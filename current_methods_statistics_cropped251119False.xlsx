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"/>
    </mc:Choice>
  </mc:AlternateContent>
  <xr:revisionPtr revIDLastSave="0" documentId="8_{0CF2CFD7-019E-314C-89CE-678745F67073}" xr6:coauthVersionLast="47" xr6:coauthVersionMax="47" xr10:uidLastSave="{00000000-0000-0000-0000-000000000000}"/>
  <bookViews>
    <workbookView xWindow="15380" yWindow="500" windowWidth="25240" windowHeight="13940" xr2:uid="{D896AFD8-78B1-544D-AF44-1DF3E0BC87D0}"/>
  </bookViews>
  <sheets>
    <sheet name="current_methods_statistics_cr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2" i="1"/>
</calcChain>
</file>

<file path=xl/sharedStrings.xml><?xml version="1.0" encoding="utf-8"?>
<sst xmlns="http://schemas.openxmlformats.org/spreadsheetml/2006/main" count="153" uniqueCount="93">
  <si>
    <t>method_name</t>
  </si>
  <si>
    <t>method_class</t>
  </si>
  <si>
    <t>#q&lt;0.5</t>
  </si>
  <si>
    <t>100#q&lt;0.5</t>
  </si>
  <si>
    <t>log-likeli</t>
  </si>
  <si>
    <t>100log-l</t>
  </si>
  <si>
    <t>RMS</t>
  </si>
  <si>
    <t>bias</t>
  </si>
  <si>
    <t>cross_year0.5</t>
  </si>
  <si>
    <t>cross_year1.0</t>
  </si>
  <si>
    <t>#yrs</t>
  </si>
  <si>
    <t>GWI_tot_CGWL</t>
  </si>
  <si>
    <t>44/3_Human_Induced</t>
  </si>
  <si>
    <t>FaIR_nonat_unB</t>
  </si>
  <si>
    <t>44/1_ERF_FaIR</t>
  </si>
  <si>
    <t>FaIR_nonat</t>
  </si>
  <si>
    <t>EBMKF_ta2</t>
  </si>
  <si>
    <t>44/2_Kalman</t>
  </si>
  <si>
    <t>FaIR_comb_unB</t>
  </si>
  <si>
    <t>EBMKF_ta</t>
  </si>
  <si>
    <t>FaIR_anthro_unB</t>
  </si>
  <si>
    <t>FaIR_anthro</t>
  </si>
  <si>
    <t>EBMKF_ta4</t>
  </si>
  <si>
    <t>CGWL10y_forec</t>
  </si>
  <si>
    <t>45/44_EarthModel_CGWL</t>
  </si>
  <si>
    <t>CGWL10y_for_halfU</t>
  </si>
  <si>
    <t>GWI_anthro_AR6</t>
  </si>
  <si>
    <t>TheilSen_h7075</t>
  </si>
  <si>
    <t>43/2_LT_Fits</t>
  </si>
  <si>
    <t>hinge75meet</t>
  </si>
  <si>
    <t>CGWL10y_pUKCP</t>
  </si>
  <si>
    <t>GWI_anthro_CGWL</t>
  </si>
  <si>
    <t>GWI_anthro</t>
  </si>
  <si>
    <t>CGWL10y_sfUKCP</t>
  </si>
  <si>
    <t>CGWL10y_sUKCP</t>
  </si>
  <si>
    <t>OLS_hinge75</t>
  </si>
  <si>
    <t>GWI_anthro_SR15</t>
  </si>
  <si>
    <t>CGWL_10y_IPCC</t>
  </si>
  <si>
    <t>Kal_flexLin_ocn</t>
  </si>
  <si>
    <t>43/5_Kalman</t>
  </si>
  <si>
    <t>Kal_flexLin</t>
  </si>
  <si>
    <t>removeGreensfx</t>
  </si>
  <si>
    <t>43/6_Remove_IV</t>
  </si>
  <si>
    <t>Kalman_RW_ocn</t>
  </si>
  <si>
    <t>lowess1dt30wnc</t>
  </si>
  <si>
    <t>43/3_ST_Fits</t>
  </si>
  <si>
    <t>lowess1dt36wnc</t>
  </si>
  <si>
    <t>lowess1dt26wnc</t>
  </si>
  <si>
    <t>Kalman_RW</t>
  </si>
  <si>
    <t>removeMEI_volc_cons</t>
  </si>
  <si>
    <t>FaIR_all_unB</t>
  </si>
  <si>
    <t>butterworth</t>
  </si>
  <si>
    <t>etrend30y</t>
  </si>
  <si>
    <t>lag5y</t>
  </si>
  <si>
    <t>43/1_Run_Means</t>
  </si>
  <si>
    <t>lowess1dt20wAR</t>
  </si>
  <si>
    <t>lowess1dt20wnc</t>
  </si>
  <si>
    <t>GAM_AR1</t>
  </si>
  <si>
    <t>43/4_GAM_AR1</t>
  </si>
  <si>
    <t>lowess1dt20wARMA</t>
  </si>
  <si>
    <t>etrend15y</t>
  </si>
  <si>
    <t>GWI_tot_SR15</t>
  </si>
  <si>
    <t>lag10y</t>
  </si>
  <si>
    <t>GWI_tot</t>
  </si>
  <si>
    <t>GWI_tot_AR6</t>
  </si>
  <si>
    <t>FaIR_all</t>
  </si>
  <si>
    <t>opt_clim_norm</t>
  </si>
  <si>
    <t>etrend30y_3CS</t>
  </si>
  <si>
    <t>lowess1dg20wnc</t>
  </si>
  <si>
    <t>GAM_AR0</t>
  </si>
  <si>
    <t>lfca_TAS</t>
  </si>
  <si>
    <t>GWI_tot_orig</t>
  </si>
  <si>
    <t>lowess2dt30wnc</t>
  </si>
  <si>
    <t>KCC_human</t>
  </si>
  <si>
    <t>eROF_tot</t>
  </si>
  <si>
    <t>lowess1dt10wnc</t>
  </si>
  <si>
    <t>lowess2dt20wnc</t>
  </si>
  <si>
    <t>Bayes_seq_CP</t>
  </si>
  <si>
    <t>eROF_anthro</t>
  </si>
  <si>
    <t>cubic_spline</t>
  </si>
  <si>
    <t>GWI_anthro_orig</t>
  </si>
  <si>
    <t>removeMEI_cons</t>
  </si>
  <si>
    <t>OLS_refit_CO2forc</t>
  </si>
  <si>
    <t>44/0_Linear</t>
  </si>
  <si>
    <t>offset11y</t>
  </si>
  <si>
    <t>min_month_proj</t>
  </si>
  <si>
    <t>KCC_all</t>
  </si>
  <si>
    <t>raw1y</t>
  </si>
  <si>
    <t>lfca_SST</t>
  </si>
  <si>
    <t>quartic</t>
  </si>
  <si>
    <t>cons_hArrh_CO2forc</t>
  </si>
  <si>
    <t>removeMEI_volc_refit</t>
  </si>
  <si>
    <t>OLS_refit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</si>
</sst>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"/>
    <numFmt numFmtId="168" formatCode="0.000"/>
    <numFmt numFmtId="169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E714-0792-E749-892D-9022452877A9}">
  <dimension ref="A1:N72"/>
  <sheetViews>
    <sheetView tabSelected="1" zoomScale="87" workbookViewId="0">
      <selection activeCell="K16" sqref="K16"/>
    </sheetView>
  </sheetViews>
  <sheetFormatPr baseColWidth="10" defaultRowHeight="16" x14ac:dyDescent="0.2"/>
  <cols>
    <col min="1" max="1" width="16" customWidth="1"/>
    <col min="3" max="3" width="11" bestFit="1" customWidth="1"/>
    <col min="4" max="4" width="11.33203125" bestFit="1" customWidth="1"/>
    <col min="6" max="6" width="11" bestFit="1" customWidth="1"/>
    <col min="7" max="8" width="11.6640625" bestFit="1" customWidth="1"/>
  </cols>
  <sheetData>
    <row r="1" spans="1:14" x14ac:dyDescent="0.2">
      <c r="A1" t="s">
        <v>0</v>
      </c>
      <c r="B1" t="s">
        <v>1</v>
      </c>
      <c r="C1" t="s">
        <v>6</v>
      </c>
      <c r="D1" t="s">
        <v>4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M1" t="s">
        <v>3</v>
      </c>
      <c r="N1" t="s">
        <v>5</v>
      </c>
    </row>
    <row r="2" spans="1:14" x14ac:dyDescent="0.2">
      <c r="A2" t="s">
        <v>11</v>
      </c>
      <c r="B2" t="s">
        <v>12</v>
      </c>
      <c r="C2" s="1">
        <v>2.6317726855987E-2</v>
      </c>
      <c r="D2" s="2">
        <v>2.2215731646332002</v>
      </c>
      <c r="E2">
        <v>0</v>
      </c>
      <c r="F2" s="1">
        <v>-1.11306505192959E-5</v>
      </c>
      <c r="G2" s="3">
        <v>1986.2916666666499</v>
      </c>
      <c r="H2" s="3">
        <v>2009.2916666666499</v>
      </c>
      <c r="I2">
        <v>75</v>
      </c>
      <c r="K2">
        <f>ABS(N2-D2)</f>
        <v>0</v>
      </c>
      <c r="M2">
        <v>0</v>
      </c>
      <c r="N2">
        <v>2.2215731646332002</v>
      </c>
    </row>
    <row r="3" spans="1:14" x14ac:dyDescent="0.2">
      <c r="A3" t="s">
        <v>13</v>
      </c>
      <c r="B3" t="s">
        <v>14</v>
      </c>
      <c r="C3" s="1">
        <v>2.7444565984716899E-2</v>
      </c>
      <c r="D3" s="2">
        <v>2.2011631679864601</v>
      </c>
      <c r="E3">
        <v>0</v>
      </c>
      <c r="F3" s="1">
        <v>-8.9184092219365407E-3</v>
      </c>
      <c r="G3" s="3">
        <v>1985.9583333333101</v>
      </c>
      <c r="H3" s="3">
        <v>2010.87499999998</v>
      </c>
      <c r="I3">
        <v>93</v>
      </c>
      <c r="K3">
        <f>ABS(N3-D3)</f>
        <v>0</v>
      </c>
      <c r="M3">
        <v>0</v>
      </c>
      <c r="N3">
        <v>2.2011631679864601</v>
      </c>
    </row>
    <row r="4" spans="1:14" x14ac:dyDescent="0.2">
      <c r="A4" t="s">
        <v>15</v>
      </c>
      <c r="B4" t="s">
        <v>14</v>
      </c>
      <c r="C4" s="1">
        <v>2.7473031355696498E-2</v>
      </c>
      <c r="D4" s="2">
        <v>2.1984189114045698</v>
      </c>
      <c r="E4">
        <v>0</v>
      </c>
      <c r="F4" s="1">
        <v>-1.06970269061719E-2</v>
      </c>
      <c r="G4" s="3">
        <v>1985.9583333333101</v>
      </c>
      <c r="H4" s="3">
        <v>2011.2916666666499</v>
      </c>
      <c r="I4">
        <v>93</v>
      </c>
      <c r="K4">
        <f>ABS(N4-D4)</f>
        <v>0</v>
      </c>
      <c r="M4">
        <v>0</v>
      </c>
      <c r="N4">
        <v>2.1984189114045698</v>
      </c>
    </row>
    <row r="5" spans="1:14" x14ac:dyDescent="0.2">
      <c r="A5" t="s">
        <v>16</v>
      </c>
      <c r="B5" t="s">
        <v>17</v>
      </c>
      <c r="C5" s="1">
        <v>2.7687437334943301E-2</v>
      </c>
      <c r="D5" s="2">
        <v>2.1461495691466301</v>
      </c>
      <c r="E5">
        <v>0</v>
      </c>
      <c r="F5" s="1">
        <v>4.8622633595904302E-5</v>
      </c>
      <c r="G5" s="3">
        <v>1985.12499999998</v>
      </c>
      <c r="H5" s="3">
        <v>2010.2083333333101</v>
      </c>
      <c r="I5">
        <v>174</v>
      </c>
      <c r="K5">
        <f>ABS(N5-D5)</f>
        <v>0.10382319781450011</v>
      </c>
      <c r="M5">
        <v>0</v>
      </c>
      <c r="N5">
        <v>2.04232637133213</v>
      </c>
    </row>
    <row r="6" spans="1:14" x14ac:dyDescent="0.2">
      <c r="A6" t="s">
        <v>18</v>
      </c>
      <c r="B6" t="s">
        <v>14</v>
      </c>
      <c r="C6" s="1">
        <v>2.85368469987409E-2</v>
      </c>
      <c r="D6" s="2">
        <v>2.1303806416000599</v>
      </c>
      <c r="E6">
        <v>0</v>
      </c>
      <c r="F6" s="1">
        <v>-1.4089543778357E-2</v>
      </c>
      <c r="G6" s="3">
        <v>1986.2083333333101</v>
      </c>
      <c r="H6" s="3">
        <v>2011.2916666666499</v>
      </c>
      <c r="I6">
        <v>89</v>
      </c>
      <c r="K6">
        <f>ABS(N6-D6)</f>
        <v>0</v>
      </c>
      <c r="M6">
        <v>0</v>
      </c>
      <c r="N6">
        <v>2.1303806416000599</v>
      </c>
    </row>
    <row r="7" spans="1:14" x14ac:dyDescent="0.2">
      <c r="A7" t="s">
        <v>19</v>
      </c>
      <c r="B7" t="s">
        <v>17</v>
      </c>
      <c r="C7" s="1">
        <v>2.9420377219981701E-2</v>
      </c>
      <c r="D7" s="2">
        <v>2.07545203759986</v>
      </c>
      <c r="E7">
        <v>0</v>
      </c>
      <c r="F7" s="1">
        <v>6.9414517143672402E-3</v>
      </c>
      <c r="G7" s="3">
        <v>1982.9583333333201</v>
      </c>
      <c r="H7" s="3">
        <v>2009.2083333333201</v>
      </c>
      <c r="I7">
        <v>174</v>
      </c>
      <c r="K7">
        <f>ABS(N7-D7)</f>
        <v>0.11692969898541006</v>
      </c>
      <c r="M7">
        <v>0</v>
      </c>
      <c r="N7">
        <v>1.9585223386144499</v>
      </c>
    </row>
    <row r="8" spans="1:14" x14ac:dyDescent="0.2">
      <c r="A8" t="s">
        <v>20</v>
      </c>
      <c r="B8" t="s">
        <v>14</v>
      </c>
      <c r="C8" s="1">
        <v>2.95140827876764E-2</v>
      </c>
      <c r="D8" s="2">
        <v>2.1185190558944198</v>
      </c>
      <c r="E8">
        <v>8</v>
      </c>
      <c r="F8" s="1">
        <v>-1.1950498212688799E-2</v>
      </c>
      <c r="G8" s="3">
        <v>1985.12499999998</v>
      </c>
      <c r="H8" s="3">
        <v>2011.0416666666499</v>
      </c>
      <c r="I8">
        <v>93</v>
      </c>
      <c r="K8">
        <f>ABS(N8-D8)</f>
        <v>0</v>
      </c>
      <c r="M8">
        <v>8</v>
      </c>
      <c r="N8">
        <v>2.1185190558944198</v>
      </c>
    </row>
    <row r="9" spans="1:14" x14ac:dyDescent="0.2">
      <c r="A9" t="s">
        <v>21</v>
      </c>
      <c r="B9" t="s">
        <v>14</v>
      </c>
      <c r="C9" s="1">
        <v>3.0143441499961E-2</v>
      </c>
      <c r="D9" s="2">
        <v>2.0959412868456999</v>
      </c>
      <c r="E9">
        <v>0</v>
      </c>
      <c r="F9" s="1">
        <v>-1.5511762043275101E-2</v>
      </c>
      <c r="G9" s="3">
        <v>1985.12499999998</v>
      </c>
      <c r="H9" s="3">
        <v>2011.9583333333101</v>
      </c>
      <c r="I9">
        <v>93</v>
      </c>
      <c r="K9">
        <f>ABS(N9-D9)</f>
        <v>0</v>
      </c>
      <c r="M9">
        <v>0</v>
      </c>
      <c r="N9">
        <v>2.0959412868456999</v>
      </c>
    </row>
    <row r="10" spans="1:14" x14ac:dyDescent="0.2">
      <c r="A10" t="s">
        <v>22</v>
      </c>
      <c r="B10" t="s">
        <v>17</v>
      </c>
      <c r="C10" s="1">
        <v>3.0241117182375599E-2</v>
      </c>
      <c r="D10" s="2">
        <v>2.0561262702572298</v>
      </c>
      <c r="E10">
        <v>0</v>
      </c>
      <c r="F10" s="1">
        <v>-7.9315850785217999E-3</v>
      </c>
      <c r="G10" s="3">
        <v>1986.2916666666499</v>
      </c>
      <c r="H10" s="3">
        <v>2010.87499999998</v>
      </c>
      <c r="I10">
        <v>174</v>
      </c>
      <c r="K10">
        <f>ABS(N10-D10)</f>
        <v>6.7336381983859717E-2</v>
      </c>
      <c r="M10">
        <v>0</v>
      </c>
      <c r="N10">
        <v>1.9887898882733701</v>
      </c>
    </row>
    <row r="11" spans="1:14" x14ac:dyDescent="0.2">
      <c r="A11" t="s">
        <v>23</v>
      </c>
      <c r="B11" t="s">
        <v>24</v>
      </c>
      <c r="C11" s="1">
        <v>3.3298270644575599E-2</v>
      </c>
      <c r="D11" s="2">
        <v>1.95708690070587</v>
      </c>
      <c r="E11">
        <v>0</v>
      </c>
      <c r="F11" s="1">
        <v>-1.94572324533922E-2</v>
      </c>
      <c r="G11" s="3">
        <v>1987.5416666666499</v>
      </c>
      <c r="H11" s="3">
        <v>2009.9583333333101</v>
      </c>
      <c r="I11">
        <v>64</v>
      </c>
      <c r="K11">
        <f>ABS(N11-D11)</f>
        <v>0</v>
      </c>
      <c r="M11">
        <v>0</v>
      </c>
      <c r="N11">
        <v>1.95708690070587</v>
      </c>
    </row>
    <row r="12" spans="1:14" x14ac:dyDescent="0.2">
      <c r="A12" t="s">
        <v>25</v>
      </c>
      <c r="B12" t="s">
        <v>24</v>
      </c>
      <c r="C12" s="1">
        <v>3.3298270644575599E-2</v>
      </c>
      <c r="D12" s="2">
        <v>1.9883160736358301</v>
      </c>
      <c r="E12">
        <v>4</v>
      </c>
      <c r="F12" s="1">
        <v>-1.94572324533922E-2</v>
      </c>
      <c r="G12" s="3">
        <v>1987.5416666666499</v>
      </c>
      <c r="H12" s="3">
        <v>2009.9583333333101</v>
      </c>
      <c r="I12">
        <v>64</v>
      </c>
      <c r="K12">
        <f>ABS(N12-D12)</f>
        <v>0</v>
      </c>
      <c r="M12">
        <v>4</v>
      </c>
      <c r="N12">
        <v>1.9883160736358301</v>
      </c>
    </row>
    <row r="13" spans="1:14" x14ac:dyDescent="0.2">
      <c r="A13" t="s">
        <v>26</v>
      </c>
      <c r="B13" t="s">
        <v>12</v>
      </c>
      <c r="C13" s="1">
        <v>3.4172601203697903E-2</v>
      </c>
      <c r="D13" s="2">
        <v>1.9561940939676099</v>
      </c>
      <c r="E13">
        <v>0</v>
      </c>
      <c r="F13" s="1">
        <v>-3.3246223247932503E-5</v>
      </c>
      <c r="G13" s="3">
        <v>1986.2916666666499</v>
      </c>
      <c r="H13" s="3">
        <v>2013.0416666666499</v>
      </c>
      <c r="I13">
        <v>75</v>
      </c>
      <c r="K13">
        <f>ABS(N13-D13)</f>
        <v>0</v>
      </c>
      <c r="M13">
        <v>0</v>
      </c>
      <c r="N13">
        <v>1.9561940939676099</v>
      </c>
    </row>
    <row r="14" spans="1:14" x14ac:dyDescent="0.2">
      <c r="A14" t="s">
        <v>27</v>
      </c>
      <c r="B14" t="s">
        <v>28</v>
      </c>
      <c r="C14" s="1">
        <v>3.6571443897569299E-2</v>
      </c>
      <c r="D14" s="2">
        <v>2.0480841661109999</v>
      </c>
      <c r="E14">
        <v>0</v>
      </c>
      <c r="F14" s="1">
        <v>4.0366132054184198E-3</v>
      </c>
      <c r="G14" s="3">
        <v>1980.7083333333201</v>
      </c>
      <c r="H14" s="3">
        <v>2012.37499999998</v>
      </c>
      <c r="I14">
        <v>90</v>
      </c>
      <c r="K14">
        <f>ABS(N14-D14)</f>
        <v>0</v>
      </c>
      <c r="M14">
        <v>0</v>
      </c>
      <c r="N14">
        <v>2.0480841661109999</v>
      </c>
    </row>
    <row r="15" spans="1:14" x14ac:dyDescent="0.2">
      <c r="A15" t="s">
        <v>29</v>
      </c>
      <c r="B15" t="s">
        <v>28</v>
      </c>
      <c r="C15" s="1">
        <v>3.7215452688157902E-2</v>
      </c>
      <c r="D15" s="2">
        <v>1.89252491677725</v>
      </c>
      <c r="E15">
        <v>1</v>
      </c>
      <c r="F15" s="1">
        <v>4.9175143999388403E-3</v>
      </c>
      <c r="G15" s="3">
        <v>1980.2083333333201</v>
      </c>
      <c r="H15" s="3">
        <v>2010.37499999998</v>
      </c>
      <c r="I15">
        <v>90</v>
      </c>
      <c r="K15">
        <f>ABS(N15-D15)</f>
        <v>0</v>
      </c>
      <c r="M15">
        <v>1</v>
      </c>
      <c r="N15">
        <v>1.89252491677725</v>
      </c>
    </row>
    <row r="16" spans="1:14" x14ac:dyDescent="0.2">
      <c r="A16" t="s">
        <v>30</v>
      </c>
      <c r="B16" t="s">
        <v>24</v>
      </c>
      <c r="C16" s="1">
        <v>3.9567313337956198E-2</v>
      </c>
      <c r="D16" s="2">
        <v>-7.3872401992261305E-2</v>
      </c>
      <c r="E16">
        <v>86</v>
      </c>
      <c r="F16" s="1">
        <v>7.8538947024367999E-3</v>
      </c>
      <c r="G16" s="3">
        <v>1987.0416666666499</v>
      </c>
      <c r="H16" s="3">
        <v>2009.7916666666499</v>
      </c>
      <c r="I16">
        <v>165</v>
      </c>
      <c r="K16">
        <f>ABS(N16-D16)</f>
        <v>2.1664555113856316</v>
      </c>
      <c r="M16">
        <v>39</v>
      </c>
      <c r="N16">
        <v>2.0925831093933702</v>
      </c>
    </row>
    <row r="17" spans="1:14" x14ac:dyDescent="0.2">
      <c r="A17" t="s">
        <v>31</v>
      </c>
      <c r="B17" t="s">
        <v>12</v>
      </c>
      <c r="C17" s="1">
        <v>4.0110426367421098E-2</v>
      </c>
      <c r="D17" s="2">
        <v>1.8154454441587899</v>
      </c>
      <c r="E17">
        <v>0</v>
      </c>
      <c r="F17" s="1">
        <v>4.35963856327885E-5</v>
      </c>
      <c r="G17" s="3">
        <v>1983.2916666666499</v>
      </c>
      <c r="H17" s="3">
        <v>2010.87499999998</v>
      </c>
      <c r="I17">
        <v>75</v>
      </c>
      <c r="K17">
        <f>ABS(N17-D17)</f>
        <v>0</v>
      </c>
      <c r="M17">
        <v>0</v>
      </c>
      <c r="N17">
        <v>1.8154454441587899</v>
      </c>
    </row>
    <row r="18" spans="1:14" x14ac:dyDescent="0.2">
      <c r="A18" t="s">
        <v>32</v>
      </c>
      <c r="B18" t="s">
        <v>12</v>
      </c>
      <c r="C18" s="1">
        <v>4.1066541613131002E-2</v>
      </c>
      <c r="D18" s="2">
        <v>1.8072283651583401</v>
      </c>
      <c r="E18">
        <v>0</v>
      </c>
      <c r="F18" s="1">
        <v>-5.3514228829197201E-6</v>
      </c>
      <c r="G18" s="3">
        <v>1983.9583333333201</v>
      </c>
      <c r="H18" s="3">
        <v>2011.5416666666499</v>
      </c>
      <c r="I18">
        <v>75</v>
      </c>
      <c r="K18">
        <f>ABS(N18-D18)</f>
        <v>0</v>
      </c>
      <c r="M18">
        <v>0</v>
      </c>
      <c r="N18">
        <v>1.8072283651583401</v>
      </c>
    </row>
    <row r="19" spans="1:14" x14ac:dyDescent="0.2">
      <c r="A19" t="s">
        <v>33</v>
      </c>
      <c r="B19" t="s">
        <v>24</v>
      </c>
      <c r="C19" s="1">
        <v>4.1134635515750799E-2</v>
      </c>
      <c r="D19" s="2">
        <v>1.75897942141647</v>
      </c>
      <c r="E19">
        <v>3</v>
      </c>
      <c r="F19" s="1">
        <v>1.4285276431899301E-3</v>
      </c>
      <c r="G19" s="3">
        <v>1985.7083333333101</v>
      </c>
      <c r="H19" s="3">
        <v>2009.62499999998</v>
      </c>
      <c r="I19">
        <v>155</v>
      </c>
      <c r="K19">
        <f>ABS(N19-D19)</f>
        <v>2.5197957869059984E-2</v>
      </c>
      <c r="M19">
        <v>2</v>
      </c>
      <c r="N19">
        <v>1.73378146354741</v>
      </c>
    </row>
    <row r="20" spans="1:14" x14ac:dyDescent="0.2">
      <c r="A20" t="s">
        <v>34</v>
      </c>
      <c r="B20" t="s">
        <v>24</v>
      </c>
      <c r="C20" s="1">
        <v>4.27103070750703E-2</v>
      </c>
      <c r="D20" s="2">
        <v>1.72640679656255</v>
      </c>
      <c r="E20">
        <v>0</v>
      </c>
      <c r="F20" s="1">
        <v>1.60096149917416E-4</v>
      </c>
      <c r="G20" s="3">
        <v>1985.62499999998</v>
      </c>
      <c r="H20" s="3">
        <v>2009.9583333333101</v>
      </c>
      <c r="I20">
        <v>155</v>
      </c>
      <c r="K20">
        <f>ABS(N20-D20)</f>
        <v>3.7215245779270045E-2</v>
      </c>
      <c r="M20">
        <v>0</v>
      </c>
      <c r="N20">
        <v>1.68919155078328</v>
      </c>
    </row>
    <row r="21" spans="1:14" x14ac:dyDescent="0.2">
      <c r="A21" t="s">
        <v>35</v>
      </c>
      <c r="B21" t="s">
        <v>28</v>
      </c>
      <c r="C21" s="1">
        <v>4.30151552583087E-2</v>
      </c>
      <c r="D21" s="2">
        <v>1.9821969218362401</v>
      </c>
      <c r="E21">
        <v>2</v>
      </c>
      <c r="F21" s="1">
        <v>7.4312126986821299E-3</v>
      </c>
      <c r="G21" s="3">
        <v>1979.5416666666499</v>
      </c>
      <c r="H21" s="3">
        <v>2011.0416666666499</v>
      </c>
      <c r="I21">
        <v>90</v>
      </c>
      <c r="K21">
        <f>ABS(N21-D21)</f>
        <v>0</v>
      </c>
      <c r="M21">
        <v>2</v>
      </c>
      <c r="N21">
        <v>1.9821969218362401</v>
      </c>
    </row>
    <row r="22" spans="1:14" x14ac:dyDescent="0.2">
      <c r="A22" t="s">
        <v>36</v>
      </c>
      <c r="B22" t="s">
        <v>12</v>
      </c>
      <c r="C22" s="1">
        <v>4.3182226833928097E-2</v>
      </c>
      <c r="D22" s="2">
        <v>1.7471985853898799</v>
      </c>
      <c r="E22">
        <v>0</v>
      </c>
      <c r="F22" s="1">
        <v>1.28533377464157E-5</v>
      </c>
      <c r="G22" s="3">
        <v>1985.37499999998</v>
      </c>
      <c r="H22" s="3">
        <v>2011.4583333333101</v>
      </c>
      <c r="I22">
        <v>75</v>
      </c>
      <c r="K22">
        <f>ABS(N22-D22)</f>
        <v>0</v>
      </c>
      <c r="M22">
        <v>0</v>
      </c>
      <c r="N22">
        <v>1.7471985853898799</v>
      </c>
    </row>
    <row r="23" spans="1:14" x14ac:dyDescent="0.2">
      <c r="A23" t="s">
        <v>37</v>
      </c>
      <c r="B23" t="s">
        <v>24</v>
      </c>
      <c r="C23" s="1">
        <v>4.3800120184230497E-2</v>
      </c>
      <c r="D23" s="2">
        <v>1.6774476204631501</v>
      </c>
      <c r="E23">
        <v>0</v>
      </c>
      <c r="F23" s="1">
        <v>-2.1149427258064499E-4</v>
      </c>
      <c r="G23" s="3">
        <v>1983.2083333333201</v>
      </c>
      <c r="H23" s="3">
        <v>2009.7083333333101</v>
      </c>
      <c r="I23">
        <v>166</v>
      </c>
      <c r="K23">
        <f>ABS(N23-D23)</f>
        <v>6.9772618070019998E-2</v>
      </c>
      <c r="M23">
        <v>0</v>
      </c>
      <c r="N23">
        <v>1.7472202385331701</v>
      </c>
    </row>
    <row r="24" spans="1:14" x14ac:dyDescent="0.2">
      <c r="A24" t="s">
        <v>38</v>
      </c>
      <c r="B24" t="s">
        <v>39</v>
      </c>
      <c r="C24" s="1">
        <v>4.42352005482234E-2</v>
      </c>
      <c r="D24" s="2">
        <v>1.68712832146688</v>
      </c>
      <c r="E24">
        <v>0</v>
      </c>
      <c r="F24" s="1">
        <v>-4.0782507132857901E-3</v>
      </c>
      <c r="G24" s="3">
        <v>1986.87499999998</v>
      </c>
      <c r="H24" s="3">
        <v>2011.7916666666499</v>
      </c>
      <c r="I24">
        <v>175</v>
      </c>
      <c r="K24">
        <f>ABS(N24-D24)</f>
        <v>6.7823075017630075E-2</v>
      </c>
      <c r="M24">
        <v>0</v>
      </c>
      <c r="N24">
        <v>1.6193052464492499</v>
      </c>
    </row>
    <row r="25" spans="1:14" x14ac:dyDescent="0.2">
      <c r="A25" t="s">
        <v>40</v>
      </c>
      <c r="B25" t="s">
        <v>39</v>
      </c>
      <c r="C25" s="1">
        <v>4.8133605025793599E-2</v>
      </c>
      <c r="D25" s="2">
        <v>1.6100588661119</v>
      </c>
      <c r="E25">
        <v>0</v>
      </c>
      <c r="F25" s="1">
        <v>-9.3913976447384199E-3</v>
      </c>
      <c r="G25" s="3">
        <v>1986.5416666666499</v>
      </c>
      <c r="H25" s="3">
        <v>2012.7916666666499</v>
      </c>
      <c r="I25">
        <v>175</v>
      </c>
      <c r="K25">
        <f>ABS(N25-D25)</f>
        <v>1.4261498957290009E-2</v>
      </c>
      <c r="M25">
        <v>0</v>
      </c>
      <c r="N25">
        <v>1.59579736715461</v>
      </c>
    </row>
    <row r="26" spans="1:14" x14ac:dyDescent="0.2">
      <c r="A26" t="s">
        <v>41</v>
      </c>
      <c r="B26" t="s">
        <v>42</v>
      </c>
      <c r="C26" s="1">
        <v>4.93330141960001E-2</v>
      </c>
      <c r="D26" s="2">
        <v>1.59019919360715</v>
      </c>
      <c r="E26">
        <v>0</v>
      </c>
      <c r="F26" s="1">
        <v>-1.7034582418157401E-3</v>
      </c>
      <c r="G26" s="3">
        <v>1980.62499999999</v>
      </c>
      <c r="H26" s="3">
        <v>2009.87499999998</v>
      </c>
      <c r="I26">
        <v>174</v>
      </c>
      <c r="K26">
        <f>ABS(N26-D26)</f>
        <v>4.8867091414399599E-3</v>
      </c>
      <c r="M26">
        <v>0</v>
      </c>
      <c r="N26">
        <v>1.58531248446571</v>
      </c>
    </row>
    <row r="27" spans="1:14" x14ac:dyDescent="0.2">
      <c r="A27" t="s">
        <v>43</v>
      </c>
      <c r="B27" t="s">
        <v>39</v>
      </c>
      <c r="C27" s="1">
        <v>4.9687400306609703E-2</v>
      </c>
      <c r="D27" s="2">
        <v>1.57746701455008</v>
      </c>
      <c r="E27">
        <v>0</v>
      </c>
      <c r="F27" s="1">
        <v>-2.1708912181148701E-2</v>
      </c>
      <c r="G27" s="3">
        <v>1987.37499999998</v>
      </c>
      <c r="H27" s="3">
        <v>2014.2083333333101</v>
      </c>
      <c r="I27">
        <v>175</v>
      </c>
      <c r="K27">
        <f>ABS(N27-D27)</f>
        <v>7.085860559676993E-2</v>
      </c>
      <c r="M27">
        <v>0</v>
      </c>
      <c r="N27">
        <v>1.5066084089533101</v>
      </c>
    </row>
    <row r="28" spans="1:14" x14ac:dyDescent="0.2">
      <c r="A28" t="s">
        <v>44</v>
      </c>
      <c r="B28" t="s">
        <v>45</v>
      </c>
      <c r="C28" s="1">
        <v>5.0526246492164702E-2</v>
      </c>
      <c r="D28" s="2">
        <v>1.46285593574523</v>
      </c>
      <c r="E28">
        <v>2</v>
      </c>
      <c r="F28" s="1">
        <v>-1.07192763371852E-2</v>
      </c>
      <c r="G28" s="3">
        <v>1985.5416666666499</v>
      </c>
      <c r="H28" s="3">
        <v>2012.0416666666499</v>
      </c>
      <c r="I28">
        <v>172</v>
      </c>
      <c r="K28">
        <f>ABS(N28-D28)</f>
        <v>0.11705031594046011</v>
      </c>
      <c r="M28">
        <v>2</v>
      </c>
      <c r="N28">
        <v>1.5799062516856901</v>
      </c>
    </row>
    <row r="29" spans="1:14" x14ac:dyDescent="0.2">
      <c r="A29" t="s">
        <v>46</v>
      </c>
      <c r="B29" t="s">
        <v>45</v>
      </c>
      <c r="C29" s="1">
        <v>5.1039528070386503E-2</v>
      </c>
      <c r="D29" s="2">
        <v>1.4289669665651401</v>
      </c>
      <c r="E29">
        <v>0</v>
      </c>
      <c r="F29" s="1">
        <v>-1.31871334761624E-2</v>
      </c>
      <c r="G29" s="3">
        <v>1986.62499999998</v>
      </c>
      <c r="H29" s="3">
        <v>2011.7083333333101</v>
      </c>
      <c r="I29">
        <v>172</v>
      </c>
      <c r="K29">
        <f>ABS(N29-D29)</f>
        <v>0.10078123689446983</v>
      </c>
      <c r="M29">
        <v>0</v>
      </c>
      <c r="N29">
        <v>1.5297482034596099</v>
      </c>
    </row>
    <row r="30" spans="1:14" x14ac:dyDescent="0.2">
      <c r="A30" t="s">
        <v>47</v>
      </c>
      <c r="B30" t="s">
        <v>45</v>
      </c>
      <c r="C30" s="1">
        <v>5.2384257328969799E-2</v>
      </c>
      <c r="D30" s="2">
        <v>1.43069817489677</v>
      </c>
      <c r="E30">
        <v>1</v>
      </c>
      <c r="F30" s="1">
        <v>-9.2429403479049807E-3</v>
      </c>
      <c r="G30" s="3">
        <v>1982.7916666666499</v>
      </c>
      <c r="H30" s="3">
        <v>2012.62499999998</v>
      </c>
      <c r="I30">
        <v>172</v>
      </c>
      <c r="K30">
        <f>ABS(N30-D30)</f>
        <v>0.12028048167055005</v>
      </c>
      <c r="M30">
        <v>1</v>
      </c>
      <c r="N30">
        <v>1.55097865656732</v>
      </c>
    </row>
    <row r="31" spans="1:14" x14ac:dyDescent="0.2">
      <c r="A31" t="s">
        <v>48</v>
      </c>
      <c r="B31" t="s">
        <v>39</v>
      </c>
      <c r="C31" s="1">
        <v>5.2772115527948402E-2</v>
      </c>
      <c r="D31" s="2">
        <v>1.5178581006995999</v>
      </c>
      <c r="E31">
        <v>0</v>
      </c>
      <c r="F31" s="1">
        <v>-2.2641372389345601E-2</v>
      </c>
      <c r="G31" s="3">
        <v>1987.2916666666499</v>
      </c>
      <c r="H31" s="3">
        <v>2014.5416666666399</v>
      </c>
      <c r="I31">
        <v>175</v>
      </c>
      <c r="K31">
        <f>ABS(N31-D31)</f>
        <v>6.7050492058909894E-2</v>
      </c>
      <c r="M31">
        <v>0</v>
      </c>
      <c r="N31">
        <v>1.45080760864069</v>
      </c>
    </row>
    <row r="32" spans="1:14" x14ac:dyDescent="0.2">
      <c r="A32" t="s">
        <v>49</v>
      </c>
      <c r="B32" t="s">
        <v>42</v>
      </c>
      <c r="C32" s="1">
        <v>5.3991065992954203E-2</v>
      </c>
      <c r="D32" s="2">
        <v>1.48827593981901</v>
      </c>
      <c r="E32">
        <v>0</v>
      </c>
      <c r="F32" s="1">
        <v>-1.26073279507273E-2</v>
      </c>
      <c r="G32" s="3">
        <v>1980.5416666666499</v>
      </c>
      <c r="H32" s="3">
        <v>2008.7083333333201</v>
      </c>
      <c r="I32">
        <v>53</v>
      </c>
      <c r="K32">
        <f>ABS(N32-D32)</f>
        <v>0</v>
      </c>
      <c r="M32">
        <v>0</v>
      </c>
      <c r="N32">
        <v>1.48827593981901</v>
      </c>
    </row>
    <row r="33" spans="1:14" x14ac:dyDescent="0.2">
      <c r="A33" t="s">
        <v>50</v>
      </c>
      <c r="B33" t="s">
        <v>14</v>
      </c>
      <c r="C33" s="1">
        <v>5.55373290158373E-2</v>
      </c>
      <c r="D33" s="2">
        <v>1.45873857597142</v>
      </c>
      <c r="E33">
        <v>2</v>
      </c>
      <c r="F33" s="1">
        <v>-1.78934865299353E-3</v>
      </c>
      <c r="G33" s="3">
        <v>1981.2916666666499</v>
      </c>
      <c r="H33" s="3">
        <v>2010.87499999998</v>
      </c>
      <c r="I33">
        <v>93</v>
      </c>
      <c r="K33">
        <f>ABS(N33-D33)</f>
        <v>0</v>
      </c>
      <c r="M33">
        <v>2</v>
      </c>
      <c r="N33">
        <v>1.45873857597142</v>
      </c>
    </row>
    <row r="34" spans="1:14" x14ac:dyDescent="0.2">
      <c r="A34" t="s">
        <v>51</v>
      </c>
      <c r="B34" t="s">
        <v>28</v>
      </c>
      <c r="C34" s="1">
        <v>5.5866625545578898E-2</v>
      </c>
      <c r="D34" s="2">
        <v>1.23670657707406</v>
      </c>
      <c r="E34">
        <v>3</v>
      </c>
      <c r="F34" s="1">
        <v>-3.45051265369219E-2</v>
      </c>
      <c r="G34" s="3">
        <v>1982.7916666666499</v>
      </c>
      <c r="H34" s="3">
        <v>2013.7916666666399</v>
      </c>
      <c r="I34">
        <v>76</v>
      </c>
      <c r="K34">
        <f>ABS(N34-D34)</f>
        <v>0</v>
      </c>
      <c r="M34">
        <v>3</v>
      </c>
      <c r="N34">
        <v>1.23670657707406</v>
      </c>
    </row>
    <row r="35" spans="1:14" x14ac:dyDescent="0.2">
      <c r="A35" t="s">
        <v>52</v>
      </c>
      <c r="B35" t="s">
        <v>45</v>
      </c>
      <c r="C35" s="1">
        <v>5.58930839381893E-2</v>
      </c>
      <c r="D35" s="2">
        <v>1.43840573776159</v>
      </c>
      <c r="E35">
        <v>0</v>
      </c>
      <c r="F35" s="1">
        <v>-1.1138304831716401E-2</v>
      </c>
      <c r="G35" s="3">
        <v>1987.4583333333101</v>
      </c>
      <c r="H35" s="3">
        <v>2011.12499999998</v>
      </c>
      <c r="I35">
        <v>146</v>
      </c>
      <c r="K35">
        <f>ABS(N35-D35)</f>
        <v>4.2557764704320045E-2</v>
      </c>
      <c r="M35">
        <v>0</v>
      </c>
      <c r="N35">
        <v>1.3958479730572699</v>
      </c>
    </row>
    <row r="36" spans="1:14" x14ac:dyDescent="0.2">
      <c r="A36" t="s">
        <v>53</v>
      </c>
      <c r="B36" t="s">
        <v>54</v>
      </c>
      <c r="C36" s="1">
        <v>5.6289359122525397E-2</v>
      </c>
      <c r="D36" s="2">
        <v>1.3444201964925699</v>
      </c>
      <c r="E36">
        <v>0</v>
      </c>
      <c r="F36" s="1">
        <v>-1.8023557195161199E-2</v>
      </c>
      <c r="G36" s="3">
        <v>1982.5416666666499</v>
      </c>
      <c r="H36" s="3">
        <v>2014.87499999998</v>
      </c>
      <c r="I36">
        <v>171</v>
      </c>
      <c r="K36">
        <f>ABS(N36-D36)</f>
        <v>1.1475783684769869E-2</v>
      </c>
      <c r="M36">
        <v>0</v>
      </c>
      <c r="N36">
        <v>1.3329444128078001</v>
      </c>
    </row>
    <row r="37" spans="1:14" x14ac:dyDescent="0.2">
      <c r="A37" t="s">
        <v>55</v>
      </c>
      <c r="B37" t="s">
        <v>45</v>
      </c>
      <c r="C37" s="1">
        <v>5.7446705086074898E-2</v>
      </c>
      <c r="D37" s="2">
        <v>1.27309504185494</v>
      </c>
      <c r="E37">
        <v>2</v>
      </c>
      <c r="F37" s="1">
        <v>-7.5137931216644202E-3</v>
      </c>
      <c r="G37" s="3">
        <v>1982.12499999998</v>
      </c>
      <c r="H37" s="3">
        <v>2013.87499999998</v>
      </c>
      <c r="I37">
        <v>172</v>
      </c>
      <c r="K37">
        <f>ABS(N37-D37)</f>
        <v>0.15319952376914991</v>
      </c>
      <c r="M37">
        <v>2</v>
      </c>
      <c r="N37">
        <v>1.42629456562409</v>
      </c>
    </row>
    <row r="38" spans="1:14" x14ac:dyDescent="0.2">
      <c r="A38" t="s">
        <v>56</v>
      </c>
      <c r="B38" t="s">
        <v>45</v>
      </c>
      <c r="C38" s="1">
        <v>5.7446705086074898E-2</v>
      </c>
      <c r="D38" s="2">
        <v>1.3042623043128201</v>
      </c>
      <c r="E38">
        <v>2</v>
      </c>
      <c r="F38" s="1">
        <v>-7.5137931216644202E-3</v>
      </c>
      <c r="G38" s="3">
        <v>1982.12499999998</v>
      </c>
      <c r="H38" s="3">
        <v>2013.87499999998</v>
      </c>
      <c r="I38">
        <v>172</v>
      </c>
      <c r="K38">
        <f>ABS(N38-D38)</f>
        <v>0.11186287028457986</v>
      </c>
      <c r="M38">
        <v>2</v>
      </c>
      <c r="N38">
        <v>1.4161251745973999</v>
      </c>
    </row>
    <row r="39" spans="1:14" x14ac:dyDescent="0.2">
      <c r="A39" t="s">
        <v>57</v>
      </c>
      <c r="B39" t="s">
        <v>58</v>
      </c>
      <c r="C39" s="1">
        <v>5.8100053242954398E-2</v>
      </c>
      <c r="D39" s="2">
        <v>1.2410149031876201</v>
      </c>
      <c r="E39">
        <v>17</v>
      </c>
      <c r="F39" s="1">
        <v>-1.20103811860332E-2</v>
      </c>
      <c r="G39" s="3">
        <v>1986.37499999998</v>
      </c>
      <c r="H39" s="3">
        <v>2012.62499999998</v>
      </c>
      <c r="I39">
        <v>146</v>
      </c>
      <c r="K39">
        <f>ABS(N39-D39)</f>
        <v>0.20321581590589988</v>
      </c>
      <c r="M39">
        <v>12</v>
      </c>
      <c r="N39">
        <v>1.44423071909352</v>
      </c>
    </row>
    <row r="40" spans="1:14" x14ac:dyDescent="0.2">
      <c r="A40" t="s">
        <v>59</v>
      </c>
      <c r="B40" t="s">
        <v>45</v>
      </c>
      <c r="C40" s="1">
        <v>5.8387883617998099E-2</v>
      </c>
      <c r="D40" s="2">
        <v>1.3178957532022699</v>
      </c>
      <c r="E40">
        <v>2</v>
      </c>
      <c r="F40" s="1">
        <v>-4.07991687622277E-3</v>
      </c>
      <c r="G40" s="3">
        <v>1982.12499999998</v>
      </c>
      <c r="H40" s="3">
        <v>2013.87499999998</v>
      </c>
      <c r="I40">
        <v>150</v>
      </c>
      <c r="K40">
        <f>ABS(N40-D40)</f>
        <v>0.10898628471221006</v>
      </c>
      <c r="M40">
        <v>2</v>
      </c>
      <c r="N40">
        <v>1.42688203791448</v>
      </c>
    </row>
    <row r="41" spans="1:14" x14ac:dyDescent="0.2">
      <c r="A41" t="s">
        <v>60</v>
      </c>
      <c r="B41" t="s">
        <v>45</v>
      </c>
      <c r="C41" s="1">
        <v>5.8839838596390401E-2</v>
      </c>
      <c r="D41" s="2">
        <v>1.37259891272528</v>
      </c>
      <c r="E41">
        <v>2</v>
      </c>
      <c r="F41" s="1">
        <v>-6.1284073079471701E-3</v>
      </c>
      <c r="G41" s="3">
        <v>1982.2916666666499</v>
      </c>
      <c r="H41" s="3">
        <v>2012.9583333333101</v>
      </c>
      <c r="I41">
        <v>161</v>
      </c>
      <c r="K41">
        <f>ABS(N41-D41)</f>
        <v>2.5017196736069947E-2</v>
      </c>
      <c r="M41">
        <v>2</v>
      </c>
      <c r="N41">
        <v>1.39761610946135</v>
      </c>
    </row>
    <row r="42" spans="1:14" x14ac:dyDescent="0.2">
      <c r="A42" t="s">
        <v>61</v>
      </c>
      <c r="B42" t="s">
        <v>12</v>
      </c>
      <c r="C42" s="1">
        <v>5.9448082600578302E-2</v>
      </c>
      <c r="D42" s="2">
        <v>1.3799596067461599</v>
      </c>
      <c r="E42">
        <v>0</v>
      </c>
      <c r="F42" s="1">
        <v>4.8072868944798003E-5</v>
      </c>
      <c r="G42" s="3">
        <v>1986.4583333333101</v>
      </c>
      <c r="H42" s="3">
        <v>2006.2083333333201</v>
      </c>
      <c r="I42">
        <v>75</v>
      </c>
      <c r="K42">
        <f>ABS(N42-D42)</f>
        <v>0</v>
      </c>
      <c r="M42">
        <v>0</v>
      </c>
      <c r="N42">
        <v>1.3799596067461599</v>
      </c>
    </row>
    <row r="43" spans="1:14" x14ac:dyDescent="0.2">
      <c r="A43" t="s">
        <v>62</v>
      </c>
      <c r="B43" t="s">
        <v>54</v>
      </c>
      <c r="C43" s="1">
        <v>6.0869234035618301E-2</v>
      </c>
      <c r="D43" s="2">
        <v>1.2226292796999001</v>
      </c>
      <c r="E43">
        <v>0</v>
      </c>
      <c r="F43" s="1">
        <v>-3.26308491112903E-2</v>
      </c>
      <c r="G43" s="3">
        <v>1987.62499999998</v>
      </c>
      <c r="H43" s="3">
        <v>2015.7916666666399</v>
      </c>
      <c r="I43">
        <v>166</v>
      </c>
      <c r="K43">
        <f>ABS(N43-D43)</f>
        <v>0.1146653248145002</v>
      </c>
      <c r="M43">
        <v>0</v>
      </c>
      <c r="N43">
        <v>1.1079639548853999</v>
      </c>
    </row>
    <row r="44" spans="1:14" x14ac:dyDescent="0.2">
      <c r="A44" t="s">
        <v>63</v>
      </c>
      <c r="B44" t="s">
        <v>12</v>
      </c>
      <c r="C44" s="1">
        <v>6.1552301255506002E-2</v>
      </c>
      <c r="D44" s="2">
        <v>1.40302419418577</v>
      </c>
      <c r="E44">
        <v>2</v>
      </c>
      <c r="F44" s="1">
        <v>1.9582002600755501E-5</v>
      </c>
      <c r="G44" s="3">
        <v>1986.4583333333101</v>
      </c>
      <c r="H44" s="3">
        <v>2009.87499999998</v>
      </c>
      <c r="I44">
        <v>75</v>
      </c>
      <c r="K44">
        <f>ABS(N44-D44)</f>
        <v>0</v>
      </c>
      <c r="M44">
        <v>2</v>
      </c>
      <c r="N44">
        <v>1.40302419418577</v>
      </c>
    </row>
    <row r="45" spans="1:14" x14ac:dyDescent="0.2">
      <c r="A45" t="s">
        <v>64</v>
      </c>
      <c r="B45" t="s">
        <v>12</v>
      </c>
      <c r="C45" s="1">
        <v>6.1828320075257001E-2</v>
      </c>
      <c r="D45" s="2">
        <v>1.3576451175464801</v>
      </c>
      <c r="E45">
        <v>0</v>
      </c>
      <c r="F45" s="1">
        <v>4.7417816885835E-5</v>
      </c>
      <c r="G45" s="3">
        <v>1986.7916666666499</v>
      </c>
      <c r="H45" s="3">
        <v>2012.0416666666499</v>
      </c>
      <c r="I45">
        <v>75</v>
      </c>
      <c r="K45">
        <f>ABS(N45-D45)</f>
        <v>0</v>
      </c>
      <c r="M45">
        <v>0</v>
      </c>
      <c r="N45">
        <v>1.3576451175464801</v>
      </c>
    </row>
    <row r="46" spans="1:14" x14ac:dyDescent="0.2">
      <c r="A46" t="s">
        <v>65</v>
      </c>
      <c r="B46" t="s">
        <v>14</v>
      </c>
      <c r="C46" s="1">
        <v>6.3709528903597407E-2</v>
      </c>
      <c r="D46" s="2">
        <v>1.33231619260893</v>
      </c>
      <c r="E46">
        <v>2</v>
      </c>
      <c r="F46" s="1">
        <v>1.0083572800711E-2</v>
      </c>
      <c r="G46" s="3">
        <v>1981.2916666666499</v>
      </c>
      <c r="H46" s="3">
        <v>2007.62499999998</v>
      </c>
      <c r="I46">
        <v>93</v>
      </c>
      <c r="K46">
        <f>ABS(N46-D46)</f>
        <v>0</v>
      </c>
      <c r="M46">
        <v>2</v>
      </c>
      <c r="N46">
        <v>1.33231619260893</v>
      </c>
    </row>
    <row r="47" spans="1:14" x14ac:dyDescent="0.2">
      <c r="A47" t="s">
        <v>66</v>
      </c>
      <c r="B47" t="s">
        <v>45</v>
      </c>
      <c r="C47" s="1">
        <v>6.4683364013102707E-2</v>
      </c>
      <c r="D47" s="2">
        <v>0.98366416173679005</v>
      </c>
      <c r="E47">
        <v>12</v>
      </c>
      <c r="F47" s="1">
        <v>-2.1120965794870199E-2</v>
      </c>
      <c r="G47" s="3">
        <v>1980.7916666666499</v>
      </c>
      <c r="H47" s="3">
        <v>2013.87499999998</v>
      </c>
      <c r="I47">
        <v>175</v>
      </c>
      <c r="K47">
        <f>ABS(N47-D47)</f>
        <v>0.26419613529943209</v>
      </c>
      <c r="M47">
        <v>12</v>
      </c>
      <c r="N47">
        <v>0.71946802643735797</v>
      </c>
    </row>
    <row r="48" spans="1:14" x14ac:dyDescent="0.2">
      <c r="A48" t="s">
        <v>67</v>
      </c>
      <c r="B48" t="s">
        <v>45</v>
      </c>
      <c r="C48" s="1">
        <v>6.4744947538476594E-2</v>
      </c>
      <c r="D48" s="2">
        <v>1.26402649617091</v>
      </c>
      <c r="E48">
        <v>0</v>
      </c>
      <c r="F48" s="1">
        <v>-2.04653067716754E-2</v>
      </c>
      <c r="G48" s="3">
        <v>1987.4583333333101</v>
      </c>
      <c r="H48" s="3">
        <v>2015.4583333333101</v>
      </c>
      <c r="I48">
        <v>146</v>
      </c>
      <c r="K48">
        <f>ABS(N48-D48)</f>
        <v>7.7645886397460062E-2</v>
      </c>
      <c r="M48">
        <v>0</v>
      </c>
      <c r="N48">
        <v>1.1863806097734499</v>
      </c>
    </row>
    <row r="49" spans="1:14" x14ac:dyDescent="0.2">
      <c r="A49" t="s">
        <v>68</v>
      </c>
      <c r="B49" t="s">
        <v>45</v>
      </c>
      <c r="C49" s="1">
        <v>6.4903315636862996E-2</v>
      </c>
      <c r="D49" s="2">
        <v>1.16896539101187</v>
      </c>
      <c r="E49">
        <v>0</v>
      </c>
      <c r="F49" s="1">
        <v>-2.3856265533544901E-2</v>
      </c>
      <c r="G49" s="3">
        <v>1989.2083333333101</v>
      </c>
      <c r="H49" s="3">
        <v>2012.7916666666499</v>
      </c>
      <c r="I49">
        <v>172</v>
      </c>
      <c r="K49">
        <f>ABS(N49-D49)</f>
        <v>4.7428401344509874E-2</v>
      </c>
      <c r="M49">
        <v>0</v>
      </c>
      <c r="N49">
        <v>1.2163937923563799</v>
      </c>
    </row>
    <row r="50" spans="1:14" x14ac:dyDescent="0.2">
      <c r="A50" t="s">
        <v>69</v>
      </c>
      <c r="B50" t="s">
        <v>58</v>
      </c>
      <c r="C50" s="1">
        <v>6.5212962977351394E-2</v>
      </c>
      <c r="D50" s="2">
        <v>1.32287227870805</v>
      </c>
      <c r="E50">
        <v>12</v>
      </c>
      <c r="F50" s="1">
        <v>-6.1147778937979602E-3</v>
      </c>
      <c r="G50" s="3">
        <v>1982.87499999998</v>
      </c>
      <c r="H50" s="3">
        <v>2012.87499999998</v>
      </c>
      <c r="I50">
        <v>146</v>
      </c>
      <c r="K50">
        <f>ABS(N50-D50)</f>
        <v>0.14941183530331004</v>
      </c>
      <c r="M50">
        <v>7</v>
      </c>
      <c r="N50">
        <v>1.4722841140113601</v>
      </c>
    </row>
    <row r="51" spans="1:14" x14ac:dyDescent="0.2">
      <c r="A51" t="s">
        <v>70</v>
      </c>
      <c r="B51" t="s">
        <v>42</v>
      </c>
      <c r="C51" s="1">
        <v>6.8309834295183405E-2</v>
      </c>
      <c r="D51" s="2">
        <v>1.2656151192257299</v>
      </c>
      <c r="E51">
        <v>0</v>
      </c>
      <c r="F51" s="1">
        <v>-4.6478583916122002E-2</v>
      </c>
      <c r="G51" s="3">
        <v>1986.62499999998</v>
      </c>
      <c r="H51" s="3">
        <v>2013.7916666666399</v>
      </c>
      <c r="I51">
        <v>48</v>
      </c>
      <c r="K51">
        <f>ABS(N51-D51)</f>
        <v>0</v>
      </c>
      <c r="M51">
        <v>0</v>
      </c>
      <c r="N51">
        <v>1.2656151192257299</v>
      </c>
    </row>
    <row r="52" spans="1:14" x14ac:dyDescent="0.2">
      <c r="A52" t="s">
        <v>71</v>
      </c>
      <c r="B52" t="s">
        <v>12</v>
      </c>
      <c r="C52" s="1">
        <v>6.8310430893780194E-2</v>
      </c>
      <c r="D52" s="2">
        <v>1.2601915378858399</v>
      </c>
      <c r="E52">
        <v>0</v>
      </c>
      <c r="F52" s="1">
        <v>9.6685722031577803E-6</v>
      </c>
      <c r="G52" s="3">
        <v>1980.9583333333201</v>
      </c>
      <c r="H52" s="3">
        <v>2008.37499999998</v>
      </c>
      <c r="I52">
        <v>74</v>
      </c>
      <c r="K52">
        <f>ABS(N52-D52)</f>
        <v>0</v>
      </c>
      <c r="M52">
        <v>0</v>
      </c>
      <c r="N52">
        <v>1.2601915378858399</v>
      </c>
    </row>
    <row r="53" spans="1:14" x14ac:dyDescent="0.2">
      <c r="A53" t="s">
        <v>72</v>
      </c>
      <c r="B53" t="s">
        <v>45</v>
      </c>
      <c r="C53" s="1">
        <v>6.8758377480819505E-2</v>
      </c>
      <c r="D53" s="2">
        <v>1.17205107126817</v>
      </c>
      <c r="E53">
        <v>0</v>
      </c>
      <c r="F53" s="1">
        <v>-4.79199462378094E-3</v>
      </c>
      <c r="G53" s="3">
        <v>1980.4583333333201</v>
      </c>
      <c r="H53" s="3">
        <v>2014.2083333333101</v>
      </c>
      <c r="I53">
        <v>172</v>
      </c>
      <c r="K53">
        <f>ABS(N53-D53)</f>
        <v>0.12626743056577006</v>
      </c>
      <c r="M53">
        <v>0</v>
      </c>
      <c r="N53">
        <v>1.29831850183394</v>
      </c>
    </row>
    <row r="54" spans="1:14" x14ac:dyDescent="0.2">
      <c r="A54" t="s">
        <v>73</v>
      </c>
      <c r="B54" t="s">
        <v>12</v>
      </c>
      <c r="C54" s="1">
        <v>7.2000766380930295E-2</v>
      </c>
      <c r="D54" s="2">
        <v>1.0000235757676199</v>
      </c>
      <c r="E54">
        <v>30</v>
      </c>
      <c r="F54" s="1">
        <v>-1.88950533134669E-5</v>
      </c>
      <c r="G54" s="3">
        <v>1983.87499999998</v>
      </c>
      <c r="H54" s="3">
        <v>2009.7083333333101</v>
      </c>
      <c r="I54">
        <v>124</v>
      </c>
      <c r="K54">
        <f>ABS(N54-D54)</f>
        <v>0.21984363502671012</v>
      </c>
      <c r="M54">
        <v>16</v>
      </c>
      <c r="N54">
        <v>1.21986721079433</v>
      </c>
    </row>
    <row r="55" spans="1:14" x14ac:dyDescent="0.2">
      <c r="A55" t="s">
        <v>74</v>
      </c>
      <c r="B55" t="s">
        <v>12</v>
      </c>
      <c r="C55" s="1">
        <v>7.38258531928635E-2</v>
      </c>
      <c r="D55" s="2">
        <v>1.03052046537575</v>
      </c>
      <c r="E55">
        <v>25</v>
      </c>
      <c r="F55" s="1">
        <v>-4.1796255578534001E-5</v>
      </c>
      <c r="G55" s="3">
        <v>1987.2083333333101</v>
      </c>
      <c r="H55" s="3">
        <v>2007.9583333333201</v>
      </c>
      <c r="I55">
        <v>175</v>
      </c>
      <c r="K55">
        <f>ABS(N55-D55)</f>
        <v>0.2146027272917499</v>
      </c>
      <c r="M55">
        <v>11</v>
      </c>
      <c r="N55">
        <v>1.2451231926674999</v>
      </c>
    </row>
    <row r="56" spans="1:14" x14ac:dyDescent="0.2">
      <c r="A56" t="s">
        <v>75</v>
      </c>
      <c r="B56" t="s">
        <v>45</v>
      </c>
      <c r="C56" s="1">
        <v>7.42110542023771E-2</v>
      </c>
      <c r="D56" s="2">
        <v>0.98765945346991602</v>
      </c>
      <c r="E56">
        <v>0</v>
      </c>
      <c r="F56" s="1">
        <v>-5.8015045678992102E-3</v>
      </c>
      <c r="G56" s="3">
        <v>1979.9583333333201</v>
      </c>
      <c r="H56" s="3">
        <v>2014.0416666666399</v>
      </c>
      <c r="I56">
        <v>172</v>
      </c>
      <c r="K56">
        <f>ABS(N56-D56)</f>
        <v>8.7982059350174002E-2</v>
      </c>
      <c r="M56">
        <v>0</v>
      </c>
      <c r="N56">
        <v>1.07564151282009</v>
      </c>
    </row>
    <row r="57" spans="1:14" x14ac:dyDescent="0.2">
      <c r="A57" t="s">
        <v>76</v>
      </c>
      <c r="B57" t="s">
        <v>45</v>
      </c>
      <c r="C57" s="1">
        <v>7.6274973681219493E-2</v>
      </c>
      <c r="D57" s="2">
        <v>1.00339279667639</v>
      </c>
      <c r="E57">
        <v>1</v>
      </c>
      <c r="F57" s="1">
        <v>-5.5530248739972896E-3</v>
      </c>
      <c r="G57" s="3">
        <v>1980.0416666666499</v>
      </c>
      <c r="H57" s="3">
        <v>2014.12499999998</v>
      </c>
      <c r="I57">
        <v>171</v>
      </c>
      <c r="K57">
        <f>ABS(N57-D57)</f>
        <v>0.10464369803752005</v>
      </c>
      <c r="M57">
        <v>1</v>
      </c>
      <c r="N57">
        <v>1.1080364947139101</v>
      </c>
    </row>
    <row r="58" spans="1:14" x14ac:dyDescent="0.2">
      <c r="A58" t="s">
        <v>77</v>
      </c>
      <c r="B58" t="s">
        <v>28</v>
      </c>
      <c r="C58" s="1">
        <v>7.6378426024506493E-2</v>
      </c>
      <c r="D58" s="2">
        <v>1.0995863350173301</v>
      </c>
      <c r="E58">
        <v>0</v>
      </c>
      <c r="F58" s="1">
        <v>-3.1158887275775801E-2</v>
      </c>
      <c r="G58" s="3">
        <v>1989.2916666666399</v>
      </c>
      <c r="H58" s="3">
        <v>2012.7083333333101</v>
      </c>
      <c r="I58">
        <v>126</v>
      </c>
      <c r="K58">
        <f>ABS(N58-D58)</f>
        <v>5.2079337084939947E-2</v>
      </c>
      <c r="M58">
        <v>0</v>
      </c>
      <c r="N58">
        <v>1.0475069979323901</v>
      </c>
    </row>
    <row r="59" spans="1:14" x14ac:dyDescent="0.2">
      <c r="A59" t="s">
        <v>78</v>
      </c>
      <c r="B59" t="s">
        <v>12</v>
      </c>
      <c r="C59" s="1">
        <v>7.7940867925735E-2</v>
      </c>
      <c r="D59" s="2">
        <v>0.91465338486438497</v>
      </c>
      <c r="E59">
        <v>23</v>
      </c>
      <c r="F59" s="1">
        <v>-3.9786195415842303E-5</v>
      </c>
      <c r="G59" s="3">
        <v>1987.12499999998</v>
      </c>
      <c r="H59" s="3">
        <v>2007.9583333333201</v>
      </c>
      <c r="I59">
        <v>175</v>
      </c>
      <c r="K59">
        <f>ABS(N59-D59)</f>
        <v>0.19358400268616505</v>
      </c>
      <c r="M59">
        <v>11</v>
      </c>
      <c r="N59">
        <v>1.10823738755055</v>
      </c>
    </row>
    <row r="60" spans="1:14" x14ac:dyDescent="0.2">
      <c r="A60" t="s">
        <v>79</v>
      </c>
      <c r="B60" t="s">
        <v>58</v>
      </c>
      <c r="C60" s="1">
        <v>7.9353029438382405E-2</v>
      </c>
      <c r="D60" s="2">
        <v>1.1138837721622601</v>
      </c>
      <c r="E60">
        <v>0</v>
      </c>
      <c r="F60" s="1">
        <v>-4.6634320076722599E-3</v>
      </c>
      <c r="G60" s="3">
        <v>1979.9583333333201</v>
      </c>
      <c r="H60" s="3">
        <v>2015.12499999998</v>
      </c>
      <c r="I60">
        <v>145</v>
      </c>
      <c r="K60">
        <f>ABS(N60-D60)</f>
        <v>9.9686892737299804E-2</v>
      </c>
      <c r="M60">
        <v>0</v>
      </c>
      <c r="N60">
        <v>1.2135706648995599</v>
      </c>
    </row>
    <row r="61" spans="1:14" x14ac:dyDescent="0.2">
      <c r="A61" t="s">
        <v>80</v>
      </c>
      <c r="B61" t="s">
        <v>12</v>
      </c>
      <c r="C61" s="1">
        <v>8.0485694748178502E-2</v>
      </c>
      <c r="D61" s="2">
        <v>1.1264345924325301</v>
      </c>
      <c r="E61">
        <v>0</v>
      </c>
      <c r="F61" s="1">
        <v>2.09828173489929E-5</v>
      </c>
      <c r="G61" s="3">
        <v>1982.37499999998</v>
      </c>
      <c r="H61" s="3">
        <v>2008.7083333333201</v>
      </c>
      <c r="I61">
        <v>74</v>
      </c>
      <c r="K61">
        <f>ABS(N61-D61)</f>
        <v>0</v>
      </c>
      <c r="M61">
        <v>0</v>
      </c>
      <c r="N61">
        <v>1.1264345924325301</v>
      </c>
    </row>
    <row r="62" spans="1:14" x14ac:dyDescent="0.2">
      <c r="A62" t="s">
        <v>81</v>
      </c>
      <c r="B62" t="s">
        <v>42</v>
      </c>
      <c r="C62" s="1">
        <v>8.1882585059320001E-2</v>
      </c>
      <c r="D62" s="2">
        <v>0.62959672003255596</v>
      </c>
      <c r="E62">
        <v>4</v>
      </c>
      <c r="F62" s="1">
        <v>5.2410009842657201E-3</v>
      </c>
      <c r="G62" s="3">
        <v>1979.87499999999</v>
      </c>
      <c r="H62" s="3">
        <v>2008.7083333333201</v>
      </c>
      <c r="I62">
        <v>152</v>
      </c>
      <c r="K62">
        <f>ABS(N62-D62)</f>
        <v>2.0173564750975093E-2</v>
      </c>
      <c r="M62">
        <v>4</v>
      </c>
      <c r="N62">
        <v>0.64977028478353105</v>
      </c>
    </row>
    <row r="63" spans="1:14" x14ac:dyDescent="0.2">
      <c r="A63" t="s">
        <v>82</v>
      </c>
      <c r="B63" t="s">
        <v>83</v>
      </c>
      <c r="C63" s="1">
        <v>8.6419115771875304E-2</v>
      </c>
      <c r="D63" s="2">
        <v>-3.84228771013125</v>
      </c>
      <c r="E63">
        <v>59</v>
      </c>
      <c r="F63" s="1">
        <v>-1.8111385211849299E-2</v>
      </c>
      <c r="G63" s="3">
        <v>1985.5416666666499</v>
      </c>
      <c r="H63" s="3">
        <v>2012.2083333333101</v>
      </c>
      <c r="I63">
        <v>175</v>
      </c>
      <c r="K63">
        <f>ABS(N63-D63)</f>
        <v>4.7948555775592432</v>
      </c>
      <c r="M63">
        <v>28</v>
      </c>
      <c r="N63">
        <v>0.95256786742799304</v>
      </c>
    </row>
    <row r="64" spans="1:14" x14ac:dyDescent="0.2">
      <c r="A64" t="s">
        <v>84</v>
      </c>
      <c r="B64" t="s">
        <v>54</v>
      </c>
      <c r="C64" s="1">
        <v>9.20010542051517E-2</v>
      </c>
      <c r="D64" s="2">
        <v>0.998702065173669</v>
      </c>
      <c r="E64">
        <v>62</v>
      </c>
      <c r="F64" s="1">
        <v>7.44963364775659E-2</v>
      </c>
      <c r="G64" s="3">
        <v>1982.62499999998</v>
      </c>
      <c r="H64" s="3">
        <v>2009.87499999998</v>
      </c>
      <c r="I64">
        <v>165</v>
      </c>
      <c r="K64">
        <f>ABS(N64-D64)</f>
        <v>0.20134173553354107</v>
      </c>
      <c r="M64">
        <v>27</v>
      </c>
      <c r="N64">
        <v>1.2000438007072101</v>
      </c>
    </row>
    <row r="65" spans="1:14" x14ac:dyDescent="0.2">
      <c r="A65" t="s">
        <v>85</v>
      </c>
      <c r="B65" t="s">
        <v>45</v>
      </c>
      <c r="C65" s="1">
        <v>9.4583027172966294E-2</v>
      </c>
      <c r="D65" s="2">
        <v>1.02595966675527</v>
      </c>
      <c r="E65">
        <v>1</v>
      </c>
      <c r="F65" s="1">
        <v>2.1132734140996302E-2</v>
      </c>
      <c r="G65" s="3">
        <v>1979.7083333333201</v>
      </c>
      <c r="H65" s="3">
        <v>2009.5416666666499</v>
      </c>
      <c r="I65">
        <v>156</v>
      </c>
      <c r="K65">
        <f>ABS(N65-D65)</f>
        <v>0.20239440321348012</v>
      </c>
      <c r="M65">
        <v>1</v>
      </c>
      <c r="N65">
        <v>1.2283540699687501</v>
      </c>
    </row>
    <row r="66" spans="1:14" x14ac:dyDescent="0.2">
      <c r="A66" t="s">
        <v>86</v>
      </c>
      <c r="B66" t="s">
        <v>12</v>
      </c>
      <c r="C66" s="1">
        <v>9.7462797466300502E-2</v>
      </c>
      <c r="D66" s="2">
        <v>0.97402618448799605</v>
      </c>
      <c r="E66">
        <v>8</v>
      </c>
      <c r="F66" s="1">
        <v>3.2235757814807297E-5</v>
      </c>
      <c r="G66" s="3">
        <v>1988.0416666666499</v>
      </c>
      <c r="H66" s="3">
        <v>2010.87499999998</v>
      </c>
      <c r="I66">
        <v>124</v>
      </c>
      <c r="K66">
        <f>ABS(N66-D66)</f>
        <v>0.141166862139674</v>
      </c>
      <c r="M66">
        <v>8</v>
      </c>
      <c r="N66">
        <v>1.11519304662767</v>
      </c>
    </row>
    <row r="67" spans="1:14" x14ac:dyDescent="0.2">
      <c r="A67" t="s">
        <v>87</v>
      </c>
      <c r="B67" t="s">
        <v>54</v>
      </c>
      <c r="C67" s="1">
        <v>9.7981694123797897E-2</v>
      </c>
      <c r="D67" s="2">
        <v>0.898280122994494</v>
      </c>
      <c r="E67">
        <v>1</v>
      </c>
      <c r="F67" s="1">
        <v>-5.3767237629032301E-3</v>
      </c>
      <c r="G67" s="3">
        <v>1979.4583333333201</v>
      </c>
      <c r="H67" s="3">
        <v>2009.5416666666499</v>
      </c>
      <c r="I67">
        <v>175</v>
      </c>
      <c r="K67">
        <f>ABS(N67-D67)</f>
        <v>3.0291072050390944E-2</v>
      </c>
      <c r="M67">
        <v>0</v>
      </c>
      <c r="N67">
        <v>0.92857119504488494</v>
      </c>
    </row>
    <row r="68" spans="1:14" x14ac:dyDescent="0.2">
      <c r="A68" t="s">
        <v>88</v>
      </c>
      <c r="B68" t="s">
        <v>42</v>
      </c>
      <c r="C68" s="1">
        <v>9.7997651795530494E-2</v>
      </c>
      <c r="D68" s="2">
        <v>0.92646199092252801</v>
      </c>
      <c r="E68">
        <v>0</v>
      </c>
      <c r="F68" s="1">
        <v>-5.2278894736708097E-2</v>
      </c>
      <c r="G68" s="3">
        <v>1989.2083333333101</v>
      </c>
      <c r="H68" s="3">
        <v>2014.7083333333101</v>
      </c>
      <c r="I68">
        <v>77</v>
      </c>
      <c r="K68">
        <f>ABS(N68-D68)</f>
        <v>0</v>
      </c>
      <c r="M68">
        <v>0</v>
      </c>
      <c r="N68">
        <v>0.92646199092252801</v>
      </c>
    </row>
    <row r="69" spans="1:14" x14ac:dyDescent="0.2">
      <c r="A69" t="s">
        <v>89</v>
      </c>
      <c r="B69" t="s">
        <v>28</v>
      </c>
      <c r="C69" s="1">
        <v>9.9062298128292495E-2</v>
      </c>
      <c r="D69" s="2">
        <v>0.99181221048036095</v>
      </c>
      <c r="E69">
        <v>0</v>
      </c>
      <c r="F69" s="1">
        <v>-6.5065473409585003E-2</v>
      </c>
      <c r="G69" s="3">
        <v>1989.5416666666399</v>
      </c>
      <c r="H69" s="3">
        <v>2009.4583333333201</v>
      </c>
      <c r="I69">
        <v>75</v>
      </c>
      <c r="K69">
        <f>ABS(N69-D69)</f>
        <v>0</v>
      </c>
      <c r="M69">
        <v>0</v>
      </c>
      <c r="N69">
        <v>0.99181221048036095</v>
      </c>
    </row>
    <row r="70" spans="1:14" x14ac:dyDescent="0.2">
      <c r="A70" t="s">
        <v>90</v>
      </c>
      <c r="B70" t="s">
        <v>83</v>
      </c>
      <c r="C70" s="1">
        <v>0.104260624949455</v>
      </c>
      <c r="D70" s="2">
        <v>-85.492807391309697</v>
      </c>
      <c r="E70">
        <v>89</v>
      </c>
      <c r="F70" s="1">
        <v>7.5242704106166694E-2</v>
      </c>
      <c r="G70" s="3">
        <v>1978.37499999999</v>
      </c>
      <c r="H70" s="3">
        <v>2009.12499999998</v>
      </c>
      <c r="I70">
        <v>175</v>
      </c>
      <c r="K70">
        <f>ABS(N70-D70)</f>
        <v>86.511227374804591</v>
      </c>
      <c r="M70">
        <v>34</v>
      </c>
      <c r="N70">
        <v>1.0184199834948899</v>
      </c>
    </row>
    <row r="71" spans="1:14" x14ac:dyDescent="0.2">
      <c r="A71" t="s">
        <v>91</v>
      </c>
      <c r="B71" t="s">
        <v>42</v>
      </c>
      <c r="C71" s="1">
        <v>0.111954922064327</v>
      </c>
      <c r="D71" s="2">
        <v>0.80388172791333001</v>
      </c>
      <c r="E71">
        <v>0</v>
      </c>
      <c r="F71" s="1">
        <v>9.0877005874854706E-3</v>
      </c>
      <c r="G71" s="3">
        <v>1985.4583333333101</v>
      </c>
      <c r="H71" s="3">
        <v>2006.62499999998</v>
      </c>
      <c r="I71">
        <v>45</v>
      </c>
      <c r="K71">
        <f>ABS(N71-D71)</f>
        <v>0</v>
      </c>
      <c r="M71">
        <v>0</v>
      </c>
      <c r="N71">
        <v>0.80388172791333001</v>
      </c>
    </row>
    <row r="72" spans="1:14" x14ac:dyDescent="0.2">
      <c r="A72" t="s">
        <v>92</v>
      </c>
      <c r="B72" t="s">
        <v>28</v>
      </c>
      <c r="C72" s="1">
        <v>0.13422070373011599</v>
      </c>
      <c r="D72" s="2">
        <v>0.56120747996850096</v>
      </c>
      <c r="E72">
        <v>0</v>
      </c>
      <c r="F72" s="1">
        <v>-3.1253101259667501E-2</v>
      </c>
      <c r="G72" s="3">
        <v>1989.7083333333101</v>
      </c>
      <c r="H72" s="3">
        <v>2022.5416666666399</v>
      </c>
      <c r="I72">
        <v>75</v>
      </c>
      <c r="K72">
        <f>ABS(N72-D72)</f>
        <v>0</v>
      </c>
      <c r="M72">
        <v>0</v>
      </c>
      <c r="N72">
        <v>0.56120747996850096</v>
      </c>
    </row>
  </sheetData>
  <conditionalFormatting sqref="K2:K72">
    <cfRule type="cellIs" dxfId="0" priority="1" operator="greaterThan">
      <formula>0.3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current_methods_statistics_crop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2025-11-20T05:14:18Z</dcterms:created>
  <dcterms:modified xsi:type="dcterms:W3CDTF">2025-11-20T05:14:18Z</dcterms:modified>
</cp:coreProperties>
</file>