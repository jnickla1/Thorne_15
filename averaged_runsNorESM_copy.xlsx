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"/>
    </mc:Choice>
  </mc:AlternateContent>
  <xr:revisionPtr revIDLastSave="0" documentId="13_ncr:1_{3333BD1A-41E9-6B43-9366-50857FC9FF2F}" xr6:coauthVersionLast="47" xr6:coauthVersionMax="47" xr10:uidLastSave="{00000000-0000-0000-0000-000000000000}"/>
  <bookViews>
    <workbookView xWindow="3660" yWindow="7300" windowWidth="28380" windowHeight="15100" xr2:uid="{AB87CD62-F563-BD4E-A04A-E4844F3BBEB6}"/>
  </bookViews>
  <sheets>
    <sheet name="averaged_runsVolc" sheetId="1" r:id="rId1"/>
    <sheet name="averaged_runsVolcCon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" i="1" l="1"/>
  <c r="AV3" i="1"/>
  <c r="AU4" i="1"/>
  <c r="AV4" i="1"/>
  <c r="AU5" i="1"/>
  <c r="AV5" i="1"/>
  <c r="AU6" i="1"/>
  <c r="AV6" i="1"/>
  <c r="AU7" i="1"/>
  <c r="AV7" i="1"/>
  <c r="AU8" i="1"/>
  <c r="AV8" i="1"/>
  <c r="AU9" i="1"/>
  <c r="AV9" i="1"/>
  <c r="AU10" i="1"/>
  <c r="AV10" i="1"/>
  <c r="AU11" i="1"/>
  <c r="AV11" i="1"/>
  <c r="AU12" i="1"/>
  <c r="AV12" i="1"/>
  <c r="AU13" i="1"/>
  <c r="AV13" i="1"/>
  <c r="AU14" i="1"/>
  <c r="AV14" i="1"/>
  <c r="AU15" i="1"/>
  <c r="AV15" i="1"/>
  <c r="AU16" i="1"/>
  <c r="AV16" i="1"/>
  <c r="AU17" i="1"/>
  <c r="AV17" i="1"/>
  <c r="AU18" i="1"/>
  <c r="AV18" i="1"/>
  <c r="AU19" i="1"/>
  <c r="AV19" i="1"/>
  <c r="AU20" i="1"/>
  <c r="AV20" i="1"/>
  <c r="AU21" i="1"/>
  <c r="AV21" i="1"/>
  <c r="AU22" i="1"/>
  <c r="AV22" i="1"/>
  <c r="AU23" i="1"/>
  <c r="AV23" i="1"/>
  <c r="AU24" i="1"/>
  <c r="AV24" i="1"/>
  <c r="AU25" i="1"/>
  <c r="AV25" i="1"/>
  <c r="AU26" i="1"/>
  <c r="AV26" i="1"/>
  <c r="AU27" i="1"/>
  <c r="AV27" i="1"/>
  <c r="AU28" i="1"/>
  <c r="AV28" i="1"/>
  <c r="AU29" i="1"/>
  <c r="AV29" i="1"/>
  <c r="AU30" i="1"/>
  <c r="AV30" i="1"/>
  <c r="AU31" i="1"/>
  <c r="AV31" i="1"/>
  <c r="AU32" i="1"/>
  <c r="AV32" i="1"/>
  <c r="AU33" i="1"/>
  <c r="AV33" i="1"/>
  <c r="AU34" i="1"/>
  <c r="AV34" i="1"/>
  <c r="AU35" i="1"/>
  <c r="AV35" i="1"/>
  <c r="AU36" i="1"/>
  <c r="AV36" i="1"/>
  <c r="AU37" i="1"/>
  <c r="AV37" i="1"/>
  <c r="AU38" i="1"/>
  <c r="AV38" i="1"/>
  <c r="AU39" i="1"/>
  <c r="AV39" i="1"/>
  <c r="AU40" i="1"/>
  <c r="AV40" i="1"/>
  <c r="AU41" i="1"/>
  <c r="AV41" i="1"/>
  <c r="AU42" i="1"/>
  <c r="AV42" i="1"/>
  <c r="AU43" i="1"/>
  <c r="AV43" i="1"/>
  <c r="AU44" i="1"/>
  <c r="AV44" i="1"/>
  <c r="AU45" i="1"/>
  <c r="AV45" i="1"/>
  <c r="AU46" i="1"/>
  <c r="AV46" i="1"/>
  <c r="AU47" i="1"/>
  <c r="AV47" i="1"/>
  <c r="AU48" i="1"/>
  <c r="AV48" i="1"/>
  <c r="AU49" i="1"/>
  <c r="AV49" i="1"/>
  <c r="AU50" i="1"/>
  <c r="AV50" i="1"/>
  <c r="AU51" i="1"/>
  <c r="AV51" i="1"/>
  <c r="AU52" i="1"/>
  <c r="AV52" i="1"/>
  <c r="AU53" i="1"/>
  <c r="AV53" i="1"/>
  <c r="AU54" i="1"/>
  <c r="AV54" i="1"/>
  <c r="AU55" i="1"/>
  <c r="AV55" i="1"/>
  <c r="AU56" i="1"/>
  <c r="AV56" i="1"/>
  <c r="AU57" i="1"/>
  <c r="AV57" i="1"/>
  <c r="AU58" i="1"/>
  <c r="AV58" i="1"/>
  <c r="AU59" i="1"/>
  <c r="AV59" i="1"/>
  <c r="AU60" i="1"/>
  <c r="AV60" i="1"/>
  <c r="AU61" i="1"/>
  <c r="AV61" i="1"/>
  <c r="AU2" i="1"/>
  <c r="AV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2" i="2"/>
</calcChain>
</file>

<file path=xl/sharedStrings.xml><?xml version="1.0" encoding="utf-8"?>
<sst xmlns="http://schemas.openxmlformats.org/spreadsheetml/2006/main" count="450" uniqueCount="118">
  <si>
    <t>method_name</t>
  </si>
  <si>
    <t>method_class</t>
  </si>
  <si>
    <t>c/r</t>
  </si>
  <si>
    <t>smooth_r</t>
  </si>
  <si>
    <t>avg_unc.(1se)</t>
  </si>
  <si>
    <t>#q&lt;0.5</t>
  </si>
  <si>
    <t>#q&lt;0.1</t>
  </si>
  <si>
    <t>q_min</t>
  </si>
  <si>
    <t>q_small5</t>
  </si>
  <si>
    <t>log-likeli</t>
  </si>
  <si>
    <t>RMS</t>
  </si>
  <si>
    <t>bias</t>
  </si>
  <si>
    <t>tlog-l</t>
  </si>
  <si>
    <t>100log-l</t>
  </si>
  <si>
    <t>100RMS</t>
  </si>
  <si>
    <t>100bias</t>
  </si>
  <si>
    <t>l15</t>
  </si>
  <si>
    <t>l20</t>
  </si>
  <si>
    <t>bias50</t>
  </si>
  <si>
    <t>Edyrs15</t>
  </si>
  <si>
    <t>Edyrs20</t>
  </si>
  <si>
    <t>Mdyrs15</t>
  </si>
  <si>
    <t>Mdyrs20</t>
  </si>
  <si>
    <t>Fdyrs15</t>
  </si>
  <si>
    <t>Fdyrs20</t>
  </si>
  <si>
    <t>EdyrsA</t>
  </si>
  <si>
    <t>RMSyrsA</t>
  </si>
  <si>
    <t>ncEdyrs</t>
  </si>
  <si>
    <t>e100log-l</t>
  </si>
  <si>
    <t>e100RMS</t>
  </si>
  <si>
    <t>e100bias</t>
  </si>
  <si>
    <t>el15</t>
  </si>
  <si>
    <t>el20</t>
  </si>
  <si>
    <t>ebias50</t>
  </si>
  <si>
    <t>eEdyrs15</t>
  </si>
  <si>
    <t>eEdyrs20</t>
  </si>
  <si>
    <t>eMdyrs15</t>
  </si>
  <si>
    <t>eMdyrs20</t>
  </si>
  <si>
    <t>eFdyrs15</t>
  </si>
  <si>
    <t>eFdyrs20</t>
  </si>
  <si>
    <t>eEdyrsA</t>
  </si>
  <si>
    <t>eRMSyrsA</t>
  </si>
  <si>
    <t>nceEdyrs</t>
  </si>
  <si>
    <t>EBMKF_ta4</t>
  </si>
  <si>
    <t>43/2_Kalman</t>
  </si>
  <si>
    <t>c</t>
  </si>
  <si>
    <t>Kal_flexLin</t>
  </si>
  <si>
    <t>42/5_Kalman</t>
  </si>
  <si>
    <t>GAM_AR1</t>
  </si>
  <si>
    <t>42/4_GAM_AR1</t>
  </si>
  <si>
    <t>Kalman_RW</t>
  </si>
  <si>
    <t>FaIR_comb_unB</t>
  </si>
  <si>
    <t>43/1_ERF_FaIR</t>
  </si>
  <si>
    <t>GAM_AR0</t>
  </si>
  <si>
    <t>removeGreensfx</t>
  </si>
  <si>
    <t>42/6_Remove_IV</t>
  </si>
  <si>
    <t>CGWL10y_sfUKCP</t>
  </si>
  <si>
    <t>44/44_EarthModel_CGWL</t>
  </si>
  <si>
    <t>FaIR_nonat_unB</t>
  </si>
  <si>
    <t>FaIR_anthro_unB</t>
  </si>
  <si>
    <t>FaIR_all_unB</t>
  </si>
  <si>
    <t>Kal_flexLin_ocn</t>
  </si>
  <si>
    <t>cubic_spline</t>
  </si>
  <si>
    <t>raw1y</t>
  </si>
  <si>
    <t>42/1_Run_Means</t>
  </si>
  <si>
    <t>CGWL10y_sUKCP</t>
  </si>
  <si>
    <t>etrend15y</t>
  </si>
  <si>
    <t>42/3_ST_Fits</t>
  </si>
  <si>
    <t>lowess1dg20wnc</t>
  </si>
  <si>
    <t>Kalman_RW_ocn</t>
  </si>
  <si>
    <t>FaIR_anthro</t>
  </si>
  <si>
    <t>butterworth</t>
  </si>
  <si>
    <t>42/2_LT_Fits</t>
  </si>
  <si>
    <t>FaIR_nonat</t>
  </si>
  <si>
    <t>removeMEI_volc_cons</t>
  </si>
  <si>
    <t>lowess1dt20wAR</t>
  </si>
  <si>
    <t>lowess1dt30wnc</t>
  </si>
  <si>
    <t>lowess1dt20wARMA</t>
  </si>
  <si>
    <t>CGWL10y_pUKCP</t>
  </si>
  <si>
    <t>GWI_anthro_SR15</t>
  </si>
  <si>
    <t>43/3_Human_Induced</t>
  </si>
  <si>
    <t>lowess1dt20wnc</t>
  </si>
  <si>
    <t>lowess2dt20wnc</t>
  </si>
  <si>
    <t>lowess1dt10wnc</t>
  </si>
  <si>
    <t>cons_hArrh_CO2forc</t>
  </si>
  <si>
    <t>43/0_Linear</t>
  </si>
  <si>
    <t>etrend30y</t>
  </si>
  <si>
    <t>lag5y</t>
  </si>
  <si>
    <t>etrend30y_3CS</t>
  </si>
  <si>
    <t>removeMEI_cons</t>
  </si>
  <si>
    <t>opt_clim_norm</t>
  </si>
  <si>
    <t>hinge75meet</t>
  </si>
  <si>
    <t>quartic</t>
  </si>
  <si>
    <t>lag10y</t>
  </si>
  <si>
    <t>Bayes_seq_CP</t>
  </si>
  <si>
    <t>offset11y</t>
  </si>
  <si>
    <t>GWI_anthro_CGWL</t>
  </si>
  <si>
    <t>GWI_anthro</t>
  </si>
  <si>
    <t>GWI_tot_CGWL</t>
  </si>
  <si>
    <t>GWI_tot_SR15</t>
  </si>
  <si>
    <t>GWI_tot</t>
  </si>
  <si>
    <t>OLS_hinge75</t>
  </si>
  <si>
    <t>TheilSen_h7075</t>
  </si>
  <si>
    <t>EBMKF_ta</t>
  </si>
  <si>
    <t>GWI_anthro_AR6</t>
  </si>
  <si>
    <t>EBMKF_ta2</t>
  </si>
  <si>
    <t>GWI_tot_AR6</t>
  </si>
  <si>
    <t>OLS_refit_CO2forc</t>
  </si>
  <si>
    <t>OLS_refit</t>
  </si>
  <si>
    <t>FaIR_all</t>
  </si>
  <si>
    <t>75RMS</t>
  </si>
  <si>
    <t>e75RMS</t>
  </si>
  <si>
    <t>lowess1dt36wnc</t>
  </si>
  <si>
    <t>lowess1dt26wnc</t>
  </si>
  <si>
    <t>lowess2dt30wnc</t>
  </si>
  <si>
    <t>removeMEI_volc_refit</t>
  </si>
  <si>
    <t>min_month_proj</t>
  </si>
  <si>
    <t>42/3_Run_Means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</si>
</sst>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charset val="1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0" fontId="0" fillId="33" borderId="0" xfId="0" applyFill="1"/>
    <xf numFmtId="0" fontId="0" fillId="34" borderId="0" xfId="0" applyFill="1"/>
    <xf numFmtId="11" fontId="0" fillId="34" borderId="0" xfId="0" applyNumberFormat="1" applyFill="1"/>
    <xf numFmtId="11" fontId="0" fillId="33" borderId="0" xfId="0" applyNumberFormat="1" applyFill="1"/>
    <xf numFmtId="0" fontId="0" fillId="0" borderId="0" xfId="0" applyFill="1"/>
    <xf numFmtId="11" fontId="0" fillId="0" borderId="0" xfId="0" applyNumberFormat="1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076C7-066E-6B4C-98DE-6DD8DFA471C5}">
  <dimension ref="A1:AV61"/>
  <sheetViews>
    <sheetView tabSelected="1" zoomScale="174" workbookViewId="0">
      <pane xSplit="1" ySplit="1" topLeftCell="AL42" activePane="bottomRight" state="frozen"/>
      <selection pane="topRight" activeCell="B1" sqref="B1"/>
      <selection pane="bottomLeft" activeCell="A2" sqref="A2"/>
      <selection pane="bottomRight" activeCell="AQ50" sqref="AQ50"/>
    </sheetView>
  </sheetViews>
  <sheetFormatPr baseColWidth="10" defaultRowHeight="16" x14ac:dyDescent="0.2"/>
  <cols>
    <col min="1" max="1" width="16.5" customWidth="1"/>
  </cols>
  <sheetData>
    <row r="1" spans="1:48" x14ac:dyDescent="0.2">
      <c r="A1" t="s">
        <v>0</v>
      </c>
      <c r="B1" t="s">
        <v>1</v>
      </c>
      <c r="C1" t="s">
        <v>2</v>
      </c>
      <c r="D1" t="s">
        <v>6</v>
      </c>
      <c r="E1" t="s">
        <v>5</v>
      </c>
      <c r="F1" t="s">
        <v>15</v>
      </c>
      <c r="G1" t="s">
        <v>13</v>
      </c>
      <c r="H1" t="s">
        <v>19</v>
      </c>
      <c r="I1" t="s">
        <v>20</v>
      </c>
      <c r="J1" t="s">
        <v>25</v>
      </c>
      <c r="K1" t="s">
        <v>23</v>
      </c>
      <c r="L1" t="s">
        <v>24</v>
      </c>
      <c r="M1" t="s">
        <v>21</v>
      </c>
      <c r="N1" t="s">
        <v>22</v>
      </c>
      <c r="O1" t="s">
        <v>26</v>
      </c>
      <c r="P1" t="s">
        <v>4</v>
      </c>
      <c r="Q1" t="s">
        <v>11</v>
      </c>
      <c r="R1" t="s">
        <v>18</v>
      </c>
      <c r="S1" t="s">
        <v>30</v>
      </c>
      <c r="T1" t="s">
        <v>28</v>
      </c>
      <c r="U1" t="s">
        <v>34</v>
      </c>
      <c r="V1" t="s">
        <v>35</v>
      </c>
      <c r="W1" t="s">
        <v>40</v>
      </c>
      <c r="X1" t="s">
        <v>38</v>
      </c>
      <c r="Y1" t="s">
        <v>39</v>
      </c>
      <c r="Z1" t="s">
        <v>36</v>
      </c>
      <c r="AA1" t="s">
        <v>37</v>
      </c>
      <c r="AB1" t="s">
        <v>41</v>
      </c>
      <c r="AC1" t="s">
        <v>33</v>
      </c>
      <c r="AD1" t="s">
        <v>31</v>
      </c>
      <c r="AE1" t="s">
        <v>32</v>
      </c>
      <c r="AF1" t="s">
        <v>16</v>
      </c>
      <c r="AG1" t="s">
        <v>17</v>
      </c>
      <c r="AH1" t="s">
        <v>9</v>
      </c>
      <c r="AI1" t="s">
        <v>27</v>
      </c>
      <c r="AJ1" t="s">
        <v>42</v>
      </c>
      <c r="AK1" t="s">
        <v>7</v>
      </c>
      <c r="AL1" t="s">
        <v>8</v>
      </c>
      <c r="AM1" t="s">
        <v>3</v>
      </c>
      <c r="AN1" t="s">
        <v>12</v>
      </c>
      <c r="AO1" t="s">
        <v>10</v>
      </c>
      <c r="AP1" t="s">
        <v>14</v>
      </c>
      <c r="AQ1" t="s">
        <v>110</v>
      </c>
      <c r="AR1" t="s">
        <v>29</v>
      </c>
      <c r="AS1" t="s">
        <v>111</v>
      </c>
      <c r="AU1">
        <v>7.6999999999999999E-2</v>
      </c>
      <c r="AV1">
        <v>7.6999999999999999E-2</v>
      </c>
    </row>
    <row r="2" spans="1:48" x14ac:dyDescent="0.2">
      <c r="A2" t="s">
        <v>93</v>
      </c>
      <c r="B2" t="s">
        <v>64</v>
      </c>
      <c r="C2" t="s">
        <v>45</v>
      </c>
      <c r="D2">
        <v>68</v>
      </c>
      <c r="E2">
        <v>134.28</v>
      </c>
      <c r="F2">
        <v>-7.5983163383569502E-2</v>
      </c>
      <c r="G2">
        <v>-153.78018072623701</v>
      </c>
      <c r="H2">
        <v>4.5158333334738803</v>
      </c>
      <c r="I2">
        <v>4.21083333349962</v>
      </c>
      <c r="J2">
        <v>4.25415545119019</v>
      </c>
      <c r="K2">
        <v>3.70666666680795</v>
      </c>
      <c r="L2">
        <v>3.63666666683288</v>
      </c>
      <c r="M2">
        <v>5.0350000001400703</v>
      </c>
      <c r="N2">
        <v>4.3500000001655597</v>
      </c>
      <c r="O2">
        <v>4.8023592947372897</v>
      </c>
      <c r="P2">
        <v>3.5957649546627397E-2</v>
      </c>
      <c r="Q2">
        <v>-4.1159180682638297E-2</v>
      </c>
      <c r="R2">
        <v>-6.0722605133056502E-2</v>
      </c>
      <c r="S2">
        <v>-7.4534829414739004E-2</v>
      </c>
      <c r="T2">
        <v>-163.664552100214</v>
      </c>
      <c r="U2">
        <v>4.5875000001405599</v>
      </c>
      <c r="V2">
        <v>3.9216666668303501</v>
      </c>
      <c r="W2">
        <v>4.0205769232332598</v>
      </c>
      <c r="X2">
        <v>3.9283333334744901</v>
      </c>
      <c r="Y2">
        <v>3.7316666668305198</v>
      </c>
      <c r="Z2">
        <v>5.2466666668066297</v>
      </c>
      <c r="AA2">
        <v>4.1116666668301702</v>
      </c>
      <c r="AB2">
        <v>4.1890384616820002</v>
      </c>
      <c r="AC2">
        <v>-5.67756945927936E-2</v>
      </c>
      <c r="AD2">
        <v>2.8634977875352701</v>
      </c>
      <c r="AE2">
        <v>5.2749261555085898</v>
      </c>
      <c r="AF2">
        <v>1.05175997116598</v>
      </c>
      <c r="AG2">
        <v>1.79054264072786</v>
      </c>
      <c r="AH2">
        <v>8.9544605608666006E-2</v>
      </c>
      <c r="AI2">
        <v>14.4</v>
      </c>
      <c r="AJ2">
        <v>14.155999999999899</v>
      </c>
      <c r="AK2" s="1">
        <v>1.19512005287957E-5</v>
      </c>
      <c r="AL2">
        <v>2.5273954764916401E-4</v>
      </c>
      <c r="AM2">
        <v>3.0743799999999899</v>
      </c>
      <c r="AN2">
        <v>20.595259289993098</v>
      </c>
      <c r="AO2">
        <v>7.27353392678321E-2</v>
      </c>
      <c r="AP2">
        <v>9.8583062683928996E-2</v>
      </c>
      <c r="AQ2">
        <v>9.7249692780246894E-2</v>
      </c>
      <c r="AR2">
        <v>0.13229042898235799</v>
      </c>
      <c r="AS2">
        <v>0.13707193459126801</v>
      </c>
      <c r="AU2">
        <f>(AQ2&lt;AU$1)*1</f>
        <v>0</v>
      </c>
      <c r="AV2">
        <f>(AS2&lt;AV$1)*1</f>
        <v>0</v>
      </c>
    </row>
    <row r="3" spans="1:48" x14ac:dyDescent="0.2">
      <c r="A3" t="s">
        <v>87</v>
      </c>
      <c r="B3" t="s">
        <v>64</v>
      </c>
      <c r="C3" t="s">
        <v>45</v>
      </c>
      <c r="D3">
        <v>41.22</v>
      </c>
      <c r="E3">
        <v>110.98</v>
      </c>
      <c r="F3">
        <v>-3.0388621983903099E-2</v>
      </c>
      <c r="G3">
        <v>-26.740485138989101</v>
      </c>
      <c r="H3">
        <v>2.2116666668092799</v>
      </c>
      <c r="I3">
        <v>1.5327777779462</v>
      </c>
      <c r="J3">
        <v>1.9846649879512299</v>
      </c>
      <c r="K3">
        <v>1.3333333477944499E-2</v>
      </c>
      <c r="L3">
        <v>0.18000000016902901</v>
      </c>
      <c r="M3">
        <v>3.3750000001415601</v>
      </c>
      <c r="N3">
        <v>2.1483333335005699</v>
      </c>
      <c r="O3">
        <v>3.4049797611429802</v>
      </c>
      <c r="P3">
        <v>4.2323942369831502E-2</v>
      </c>
      <c r="Q3">
        <v>-1.8283217388650599E-2</v>
      </c>
      <c r="R3">
        <v>-2.3544130706787E-2</v>
      </c>
      <c r="S3">
        <v>-2.8940288015072601E-2</v>
      </c>
      <c r="T3">
        <v>-169.084956093789</v>
      </c>
      <c r="U3">
        <v>2.1152777779205501</v>
      </c>
      <c r="V3">
        <v>1.6319444446101901</v>
      </c>
      <c r="W3">
        <v>1.7306410257990701</v>
      </c>
      <c r="X3">
        <v>0.235000000144482</v>
      </c>
      <c r="Y3">
        <v>0.27500000016698301</v>
      </c>
      <c r="Z3">
        <v>3.6600000001413702</v>
      </c>
      <c r="AA3">
        <v>2.5400000001649201</v>
      </c>
      <c r="AB3">
        <v>2.8627350427774001</v>
      </c>
      <c r="AC3">
        <v>-1.9597220166524099E-2</v>
      </c>
      <c r="AD3">
        <v>4.6154324259190203</v>
      </c>
      <c r="AE3">
        <v>4.7506096871807699</v>
      </c>
      <c r="AF3">
        <v>4.5196687099585304</v>
      </c>
      <c r="AG3">
        <v>3.7956870687762998</v>
      </c>
      <c r="AH3">
        <v>0.38570605443942002</v>
      </c>
      <c r="AI3">
        <v>17.404</v>
      </c>
      <c r="AJ3">
        <v>17.117999999999999</v>
      </c>
      <c r="AK3" s="1">
        <v>3.1081967143885699E-6</v>
      </c>
      <c r="AL3">
        <v>3.4729497410733603E-4</v>
      </c>
      <c r="AM3">
        <v>6.3044200000000004</v>
      </c>
      <c r="AN3">
        <v>88.712392521066803</v>
      </c>
      <c r="AO3">
        <v>7.2387936360039706E-2</v>
      </c>
      <c r="AP3">
        <v>8.7685211802892002E-2</v>
      </c>
      <c r="AQ3">
        <v>8.8282311376204597E-2</v>
      </c>
      <c r="AR3">
        <v>0.12954812640233601</v>
      </c>
      <c r="AS3">
        <v>0.13573818374371799</v>
      </c>
      <c r="AU3">
        <f t="shared" ref="AU3:AU61" si="0">(AQ3&lt;AU$1)*1</f>
        <v>0</v>
      </c>
      <c r="AV3">
        <f t="shared" ref="AV3:AV61" si="1">(AS3&lt;AV$1)*1</f>
        <v>0</v>
      </c>
    </row>
    <row r="4" spans="1:48" x14ac:dyDescent="0.2">
      <c r="A4" s="2" t="s">
        <v>95</v>
      </c>
      <c r="B4" s="2" t="s">
        <v>64</v>
      </c>
      <c r="C4" s="2" t="s">
        <v>45</v>
      </c>
      <c r="D4" s="2">
        <v>121.7</v>
      </c>
      <c r="E4" s="2">
        <v>178.66</v>
      </c>
      <c r="F4" s="2">
        <v>2.4571435213332399E-2</v>
      </c>
      <c r="G4" s="2">
        <v>1.9629798437541</v>
      </c>
      <c r="H4" s="2">
        <v>7.9166666811274794E-2</v>
      </c>
      <c r="I4" s="2">
        <v>-1.21833333316272</v>
      </c>
      <c r="J4" s="2">
        <v>-1.0421730351361</v>
      </c>
      <c r="K4" s="2">
        <v>-0.47999999985488501</v>
      </c>
      <c r="L4" s="2">
        <v>-1.7633333331632599</v>
      </c>
      <c r="M4" s="2">
        <v>-4.6666666521946301E-2</v>
      </c>
      <c r="N4" s="2">
        <v>-1.4266666664969001</v>
      </c>
      <c r="O4" s="2">
        <v>3.00859133514866</v>
      </c>
      <c r="P4" s="2">
        <v>3.5086337703553898E-2</v>
      </c>
      <c r="Q4" s="2">
        <v>6.4235639724429805E-2</v>
      </c>
      <c r="R4" s="2">
        <v>4.1424085790460599E-2</v>
      </c>
      <c r="S4" s="2">
        <v>2.6019769182163002E-2</v>
      </c>
      <c r="T4" s="2">
        <v>-201.889697814405</v>
      </c>
      <c r="U4" s="2">
        <v>0.30083333347781199</v>
      </c>
      <c r="V4" s="2">
        <v>-1.5208333331647299</v>
      </c>
      <c r="W4" s="2">
        <v>-1.19333333317367</v>
      </c>
      <c r="X4" s="2">
        <v>-0.258333333188347</v>
      </c>
      <c r="Y4" s="2">
        <v>-1.6683333331646</v>
      </c>
      <c r="Z4" s="2">
        <v>0.83166666681067003</v>
      </c>
      <c r="AA4" s="2">
        <v>-1.3733333331648701</v>
      </c>
      <c r="AB4" s="2">
        <v>3.03205128199204</v>
      </c>
      <c r="AC4" s="2">
        <v>4.5370996330723598E-2</v>
      </c>
      <c r="AD4" s="2">
        <v>4.7595610049292398</v>
      </c>
      <c r="AE4" s="2">
        <v>2.41886366770713</v>
      </c>
      <c r="AF4" s="2">
        <v>7.68976985011194</v>
      </c>
      <c r="AG4" s="2">
        <v>6.8434761210124</v>
      </c>
      <c r="AH4" s="2">
        <v>-1.42590021456129</v>
      </c>
      <c r="AI4" s="2">
        <v>14.075999999999899</v>
      </c>
      <c r="AJ4" s="2">
        <v>14.036</v>
      </c>
      <c r="AK4" s="5">
        <v>2.5113627374206701E-6</v>
      </c>
      <c r="AL4" s="5">
        <v>2.6319476527647399E-5</v>
      </c>
      <c r="AM4" s="2">
        <v>2.8082400000000001</v>
      </c>
      <c r="AN4" s="2">
        <v>-327.95704934909799</v>
      </c>
      <c r="AO4" s="2">
        <v>8.9232006385930096E-2</v>
      </c>
      <c r="AP4" s="2">
        <v>6.7071602821101306E-2</v>
      </c>
      <c r="AQ4" s="2">
        <v>7.1130220485239301E-2</v>
      </c>
      <c r="AR4" s="2">
        <v>0.11021092686558601</v>
      </c>
      <c r="AS4" s="2">
        <v>0.119942886277979</v>
      </c>
      <c r="AU4">
        <f t="shared" si="0"/>
        <v>1</v>
      </c>
      <c r="AV4">
        <f t="shared" si="1"/>
        <v>0</v>
      </c>
    </row>
    <row r="5" spans="1:48" x14ac:dyDescent="0.2">
      <c r="A5" t="s">
        <v>63</v>
      </c>
      <c r="B5" t="s">
        <v>64</v>
      </c>
      <c r="C5" t="s">
        <v>45</v>
      </c>
      <c r="D5">
        <v>0.92</v>
      </c>
      <c r="E5">
        <v>2.1</v>
      </c>
      <c r="F5">
        <v>4.2243808360581496E-3</v>
      </c>
      <c r="G5">
        <v>63.447906494799398</v>
      </c>
      <c r="H5">
        <v>-0.17744444429962999</v>
      </c>
      <c r="I5">
        <v>-0.819861110940868</v>
      </c>
      <c r="J5">
        <v>1.5166795809056399E-3</v>
      </c>
      <c r="K5">
        <v>-4.7583333331843303</v>
      </c>
      <c r="L5">
        <v>-6.8333333331591897</v>
      </c>
      <c r="M5">
        <v>0.156666666811202</v>
      </c>
      <c r="N5">
        <v>-2.7566666664962298</v>
      </c>
      <c r="O5">
        <v>3.45107001114705</v>
      </c>
      <c r="P5">
        <v>0.120273653158173</v>
      </c>
      <c r="Q5">
        <v>1.4084585438604299E-4</v>
      </c>
      <c r="R5">
        <v>4.79608535766599E-3</v>
      </c>
      <c r="S5">
        <v>5.6727148048887196E-3</v>
      </c>
      <c r="T5">
        <v>35.219488031056599</v>
      </c>
      <c r="U5">
        <v>-8.0499999855202106E-2</v>
      </c>
      <c r="V5">
        <v>-1.12697222205396</v>
      </c>
      <c r="W5">
        <v>-0.38969261278261202</v>
      </c>
      <c r="X5">
        <v>-4.5366666665177897</v>
      </c>
      <c r="Y5">
        <v>-6.8399999998265404</v>
      </c>
      <c r="Z5">
        <v>1.3400000001435199</v>
      </c>
      <c r="AA5">
        <v>-1.5799999998313301</v>
      </c>
      <c r="AB5">
        <v>2.4643977411075899</v>
      </c>
      <c r="AC5">
        <v>8.7429958979289308E-3</v>
      </c>
      <c r="AD5">
        <v>2.5573692274005602</v>
      </c>
      <c r="AE5">
        <v>2.1797822330751302</v>
      </c>
      <c r="AF5">
        <v>2.6145954782610201</v>
      </c>
      <c r="AG5">
        <v>2.6964016926949501</v>
      </c>
      <c r="AH5">
        <v>0.775927485563354</v>
      </c>
      <c r="AI5">
        <v>39.048000000000002</v>
      </c>
      <c r="AJ5">
        <v>38.246000000000002</v>
      </c>
      <c r="AK5">
        <v>0.44604765724916101</v>
      </c>
      <c r="AL5">
        <v>0.74732001243500601</v>
      </c>
      <c r="AM5">
        <v>33.463039999999999</v>
      </c>
      <c r="AN5">
        <v>178.46332167957101</v>
      </c>
      <c r="AO5">
        <v>0.112371828506104</v>
      </c>
      <c r="AP5">
        <v>0.12731603727820501</v>
      </c>
      <c r="AQ5">
        <v>0.12809482892054799</v>
      </c>
      <c r="AR5">
        <v>0.16031932416031999</v>
      </c>
      <c r="AS5">
        <v>0.16513638535948599</v>
      </c>
      <c r="AU5">
        <f t="shared" si="0"/>
        <v>0</v>
      </c>
      <c r="AV5">
        <f t="shared" si="1"/>
        <v>0</v>
      </c>
    </row>
    <row r="6" spans="1:48" x14ac:dyDescent="0.2">
      <c r="A6" t="s">
        <v>94</v>
      </c>
      <c r="B6" t="s">
        <v>72</v>
      </c>
      <c r="C6" t="s">
        <v>45</v>
      </c>
      <c r="D6">
        <v>104.2</v>
      </c>
      <c r="E6">
        <v>144.38</v>
      </c>
      <c r="F6">
        <v>-1.29241340122814E-3</v>
      </c>
      <c r="G6">
        <v>-62.527071749358299</v>
      </c>
      <c r="H6">
        <v>1.83333333347632</v>
      </c>
      <c r="I6">
        <v>-0.494166666496275</v>
      </c>
      <c r="J6">
        <v>0.33292721183848401</v>
      </c>
      <c r="K6">
        <v>1.08000000014367</v>
      </c>
      <c r="L6">
        <v>-0.72999999983003305</v>
      </c>
      <c r="M6">
        <v>2.24333333347594</v>
      </c>
      <c r="N6">
        <v>-0.72999999983003305</v>
      </c>
      <c r="O6">
        <v>3.11452489537727</v>
      </c>
      <c r="P6">
        <v>3.7880784676616798E-2</v>
      </c>
      <c r="Q6">
        <v>-8.5522336520166095E-2</v>
      </c>
      <c r="R6">
        <v>2.8167540750053899E-2</v>
      </c>
      <c r="S6">
        <v>1.5592056760238099E-4</v>
      </c>
      <c r="T6">
        <v>-292.83701065448901</v>
      </c>
      <c r="U6">
        <v>2.4475000001424898</v>
      </c>
      <c r="V6">
        <v>-0.63499999983220701</v>
      </c>
      <c r="W6">
        <v>0.21418803434671299</v>
      </c>
      <c r="X6">
        <v>1.3016666668102099</v>
      </c>
      <c r="Y6">
        <v>-0.63499999983220701</v>
      </c>
      <c r="Z6">
        <v>3.5933333334747801</v>
      </c>
      <c r="AA6">
        <v>-0.63499999983220701</v>
      </c>
      <c r="AB6">
        <v>3.0421367521156299</v>
      </c>
      <c r="AC6">
        <v>3.2114451290316898E-2</v>
      </c>
      <c r="AD6">
        <v>6.5016602922721898</v>
      </c>
      <c r="AE6">
        <v>2.6712265910434301</v>
      </c>
      <c r="AF6">
        <v>5.3641339946211302</v>
      </c>
      <c r="AG6">
        <v>7.6559463459611701</v>
      </c>
      <c r="AH6">
        <v>-12.6731519753979</v>
      </c>
      <c r="AI6">
        <v>14.575999999999899</v>
      </c>
      <c r="AJ6">
        <v>14.484</v>
      </c>
      <c r="AK6" s="1">
        <v>2.7214112825234E-37</v>
      </c>
      <c r="AL6" s="1">
        <v>1.9927970088457301E-32</v>
      </c>
      <c r="AM6">
        <v>3.6960999999999999</v>
      </c>
      <c r="AN6">
        <v>-2420.5720273010002</v>
      </c>
      <c r="AO6">
        <v>0.157409717654931</v>
      </c>
      <c r="AP6">
        <v>8.4073374702450507E-2</v>
      </c>
      <c r="AQ6">
        <v>8.8523850694468803E-2</v>
      </c>
      <c r="AR6">
        <v>0.13188461882088101</v>
      </c>
      <c r="AS6">
        <v>0.142064583205287</v>
      </c>
      <c r="AU6">
        <f t="shared" si="0"/>
        <v>0</v>
      </c>
      <c r="AV6">
        <f t="shared" si="1"/>
        <v>0</v>
      </c>
    </row>
    <row r="7" spans="1:48" x14ac:dyDescent="0.2">
      <c r="A7" t="s">
        <v>71</v>
      </c>
      <c r="B7" t="s">
        <v>72</v>
      </c>
      <c r="C7" t="s">
        <v>45</v>
      </c>
      <c r="D7">
        <v>0.66</v>
      </c>
      <c r="E7">
        <v>0.98</v>
      </c>
      <c r="F7">
        <v>-2.3410652297208099E-2</v>
      </c>
      <c r="G7">
        <v>63.4801846685885</v>
      </c>
      <c r="H7">
        <v>1.46430555569886</v>
      </c>
      <c r="I7">
        <v>1.05972222239115</v>
      </c>
      <c r="J7">
        <v>1.1039060015676401</v>
      </c>
      <c r="K7">
        <v>-0.906666666521182</v>
      </c>
      <c r="L7">
        <v>-0.74666666649679403</v>
      </c>
      <c r="M7">
        <v>2.2550000001425898</v>
      </c>
      <c r="N7">
        <v>1.1883333335014299</v>
      </c>
      <c r="O7">
        <v>2.9246937313164301</v>
      </c>
      <c r="P7">
        <v>0.14999739574270199</v>
      </c>
      <c r="Q7">
        <v>-2.6548981396041501E-2</v>
      </c>
      <c r="R7">
        <v>-2.05627601649317E-2</v>
      </c>
      <c r="S7">
        <v>-2.1962318328377601E-2</v>
      </c>
      <c r="T7">
        <v>48.308854005760899</v>
      </c>
      <c r="U7">
        <v>1.5584722223655201</v>
      </c>
      <c r="V7">
        <v>0.82000000016646701</v>
      </c>
      <c r="W7">
        <v>0.87064102579953595</v>
      </c>
      <c r="X7">
        <v>-0.68499999985464399</v>
      </c>
      <c r="Y7">
        <v>-0.65166666649885796</v>
      </c>
      <c r="Z7">
        <v>3.2200000001417801</v>
      </c>
      <c r="AA7">
        <v>0.65500000016661897</v>
      </c>
      <c r="AB7">
        <v>2.70367521368583</v>
      </c>
      <c r="AC7">
        <v>-1.6615849624668898E-2</v>
      </c>
      <c r="AD7">
        <v>1.98025043415423</v>
      </c>
      <c r="AE7">
        <v>2.0258112489196498</v>
      </c>
      <c r="AF7">
        <v>1.9633340833970701</v>
      </c>
      <c r="AG7">
        <v>2.11918038449129</v>
      </c>
      <c r="AH7">
        <v>0.82925966517165195</v>
      </c>
      <c r="AI7">
        <v>22.456</v>
      </c>
      <c r="AJ7">
        <v>22.052</v>
      </c>
      <c r="AK7">
        <v>0.55864747528504699</v>
      </c>
      <c r="AL7">
        <v>0.93966035681278604</v>
      </c>
      <c r="AM7">
        <v>14.01118</v>
      </c>
      <c r="AN7">
        <v>116.92561278920201</v>
      </c>
      <c r="AO7">
        <v>7.8670210966053394E-2</v>
      </c>
      <c r="AP7">
        <v>8.3659573459145903E-2</v>
      </c>
      <c r="AQ7">
        <v>8.5654612431139601E-2</v>
      </c>
      <c r="AR7">
        <v>0.13083368680433899</v>
      </c>
      <c r="AS7">
        <v>0.13857761493506601</v>
      </c>
      <c r="AU7">
        <f t="shared" si="0"/>
        <v>0</v>
      </c>
      <c r="AV7">
        <f t="shared" si="1"/>
        <v>0</v>
      </c>
    </row>
    <row r="8" spans="1:48" x14ac:dyDescent="0.2">
      <c r="A8" t="s">
        <v>91</v>
      </c>
      <c r="B8" t="s">
        <v>72</v>
      </c>
      <c r="C8" t="s">
        <v>45</v>
      </c>
      <c r="D8">
        <v>10.08</v>
      </c>
      <c r="E8">
        <v>46.74</v>
      </c>
      <c r="F8">
        <v>-1.7322260056948299E-2</v>
      </c>
      <c r="G8">
        <v>57.398394666171001</v>
      </c>
      <c r="H8">
        <v>2.7000000001422002</v>
      </c>
      <c r="I8">
        <v>2.0866666668344598</v>
      </c>
      <c r="J8">
        <v>1.6831716895817801</v>
      </c>
      <c r="K8">
        <v>2.7000000001422002</v>
      </c>
      <c r="L8">
        <v>2.0866666668344598</v>
      </c>
      <c r="M8">
        <v>2.7000000001422002</v>
      </c>
      <c r="N8">
        <v>2.0866666668344598</v>
      </c>
      <c r="O8">
        <v>3.9660003658485801</v>
      </c>
      <c r="P8">
        <v>6.0158358611368201E-2</v>
      </c>
      <c r="Q8">
        <v>-9.5347618174748908E-3</v>
      </c>
      <c r="R8">
        <v>1.0775357369370899E-2</v>
      </c>
      <c r="S8">
        <v>-1.5873926088117801E-2</v>
      </c>
      <c r="T8">
        <v>33.623302951003097</v>
      </c>
      <c r="U8">
        <v>2.9216666668087399</v>
      </c>
      <c r="V8">
        <v>2.1816666668319198</v>
      </c>
      <c r="W8">
        <v>1.5535256411832099</v>
      </c>
      <c r="X8">
        <v>2.9216666668087399</v>
      </c>
      <c r="Y8">
        <v>2.1816666668319198</v>
      </c>
      <c r="Z8">
        <v>2.9216666668087399</v>
      </c>
      <c r="AA8">
        <v>2.1816666668319198</v>
      </c>
      <c r="AB8">
        <v>2.9237820512928501</v>
      </c>
      <c r="AC8">
        <v>1.47222679096338E-2</v>
      </c>
      <c r="AD8">
        <v>4.4585752712131903</v>
      </c>
      <c r="AE8">
        <v>4.7258210665282396</v>
      </c>
      <c r="AF8">
        <v>3.2529052051929201</v>
      </c>
      <c r="AG8">
        <v>4.3533022175134199</v>
      </c>
      <c r="AH8">
        <v>1.00913619015773</v>
      </c>
      <c r="AI8">
        <v>13.2</v>
      </c>
      <c r="AJ8">
        <v>13.1</v>
      </c>
      <c r="AK8">
        <v>4.9846870788482101E-2</v>
      </c>
      <c r="AL8">
        <v>9.8684796392479998E-2</v>
      </c>
      <c r="AM8">
        <v>2.11885999999999</v>
      </c>
      <c r="AN8">
        <v>156.416109474449</v>
      </c>
      <c r="AO8">
        <v>7.1476590263457096E-2</v>
      </c>
      <c r="AP8">
        <v>8.3192861193576301E-2</v>
      </c>
      <c r="AQ8">
        <v>9.1480830602689106E-2</v>
      </c>
      <c r="AR8">
        <v>9.7037451601944505E-2</v>
      </c>
      <c r="AS8">
        <v>0.107668227928179</v>
      </c>
      <c r="AU8">
        <f t="shared" si="0"/>
        <v>0</v>
      </c>
      <c r="AV8">
        <f t="shared" si="1"/>
        <v>0</v>
      </c>
    </row>
    <row r="9" spans="1:48" x14ac:dyDescent="0.2">
      <c r="A9" t="s">
        <v>101</v>
      </c>
      <c r="B9" t="s">
        <v>72</v>
      </c>
      <c r="C9" t="s">
        <v>45</v>
      </c>
      <c r="D9">
        <v>43.14</v>
      </c>
      <c r="E9">
        <v>91.62</v>
      </c>
      <c r="F9">
        <v>-4.1837003471389403E-3</v>
      </c>
      <c r="G9">
        <v>-154.66490557804499</v>
      </c>
      <c r="H9">
        <v>2.0633333334760802</v>
      </c>
      <c r="I9">
        <v>0.87500000016877399</v>
      </c>
      <c r="J9">
        <v>0.83656336734886605</v>
      </c>
      <c r="K9">
        <v>2.0633333334760802</v>
      </c>
      <c r="L9">
        <v>0.87500000016877399</v>
      </c>
      <c r="M9">
        <v>2.0633333334760802</v>
      </c>
      <c r="N9">
        <v>0.87500000016877399</v>
      </c>
      <c r="O9">
        <v>3.6977491079521698</v>
      </c>
      <c r="P9">
        <v>3.4115274380706502E-2</v>
      </c>
      <c r="Q9">
        <v>-5.7192495711889798E-3</v>
      </c>
      <c r="R9">
        <v>3.2800878899570202E-2</v>
      </c>
      <c r="S9">
        <v>-2.7353663783084101E-3</v>
      </c>
      <c r="T9">
        <v>-351.39179858218603</v>
      </c>
      <c r="U9">
        <v>2.2850000001426101</v>
      </c>
      <c r="V9">
        <v>0.97000000016636401</v>
      </c>
      <c r="W9">
        <v>0.72429487195293096</v>
      </c>
      <c r="X9">
        <v>2.2850000001426101</v>
      </c>
      <c r="Y9">
        <v>0.97000000016636401</v>
      </c>
      <c r="Z9">
        <v>2.2850000001426101</v>
      </c>
      <c r="AA9">
        <v>0.97000000016636401</v>
      </c>
      <c r="AB9">
        <v>3.1981410256262301</v>
      </c>
      <c r="AC9">
        <v>3.6747789439833103E-2</v>
      </c>
      <c r="AD9">
        <v>6.3259420712895</v>
      </c>
      <c r="AE9">
        <v>3.2435142287825798</v>
      </c>
      <c r="AF9">
        <v>3.7920326398049902</v>
      </c>
      <c r="AG9">
        <v>7.0316674510337096</v>
      </c>
      <c r="AH9">
        <v>-0.42695348239583902</v>
      </c>
      <c r="AI9">
        <v>13.28</v>
      </c>
      <c r="AJ9">
        <v>13.18</v>
      </c>
      <c r="AK9">
        <v>8.9166755342569304E-4</v>
      </c>
      <c r="AL9">
        <v>2.3049646360842101E-3</v>
      </c>
      <c r="AM9">
        <v>2.5091600000000001</v>
      </c>
      <c r="AN9">
        <v>-66.177789771354995</v>
      </c>
      <c r="AO9">
        <v>7.3624659654980398E-2</v>
      </c>
      <c r="AP9">
        <v>8.2001595811541497E-2</v>
      </c>
      <c r="AQ9">
        <v>8.9425714614697505E-2</v>
      </c>
      <c r="AR9">
        <v>0.107153923610541</v>
      </c>
      <c r="AS9">
        <v>0.116689521198788</v>
      </c>
      <c r="AU9">
        <f t="shared" si="0"/>
        <v>0</v>
      </c>
      <c r="AV9">
        <f t="shared" si="1"/>
        <v>0</v>
      </c>
    </row>
    <row r="10" spans="1:48" x14ac:dyDescent="0.2">
      <c r="A10" t="s">
        <v>108</v>
      </c>
      <c r="B10" t="s">
        <v>72</v>
      </c>
      <c r="C10" t="s">
        <v>45</v>
      </c>
      <c r="D10">
        <v>121.56</v>
      </c>
      <c r="E10">
        <v>133.47999999999999</v>
      </c>
      <c r="F10">
        <v>-0.281440798102434</v>
      </c>
      <c r="G10">
        <v>-3421.01030945299</v>
      </c>
      <c r="H10">
        <v>16.9275000001244</v>
      </c>
      <c r="I10">
        <v>17.1800000001558</v>
      </c>
      <c r="J10">
        <v>16.7090609392042</v>
      </c>
      <c r="K10">
        <v>16.488333333457799</v>
      </c>
      <c r="L10">
        <v>17.1800000001558</v>
      </c>
      <c r="M10">
        <v>16.566666666791001</v>
      </c>
      <c r="N10">
        <v>17.1800000001558</v>
      </c>
      <c r="O10">
        <v>16.969896259173101</v>
      </c>
      <c r="P10">
        <v>3.0158827727921399E-2</v>
      </c>
      <c r="Q10">
        <v>-0.18315715341351499</v>
      </c>
      <c r="R10">
        <v>-0.27967280922045301</v>
      </c>
      <c r="S10">
        <v>-0.27999246413360401</v>
      </c>
      <c r="T10">
        <v>-3419.2614610887699</v>
      </c>
      <c r="U10">
        <v>17.0875000001218</v>
      </c>
      <c r="V10">
        <v>16.9800000001344</v>
      </c>
      <c r="W10">
        <v>16.300384615518301</v>
      </c>
      <c r="X10">
        <v>16.448333333455199</v>
      </c>
      <c r="Y10">
        <v>15.7800000001344</v>
      </c>
      <c r="Z10">
        <v>16.5266666667885</v>
      </c>
      <c r="AA10">
        <v>15.7800000001344</v>
      </c>
      <c r="AB10">
        <v>16.300384615518301</v>
      </c>
      <c r="AC10">
        <v>-0.27572589868018998</v>
      </c>
      <c r="AD10" s="1">
        <v>5.9751746311917906E-11</v>
      </c>
      <c r="AE10" s="1">
        <v>3.9023500829363303E-8</v>
      </c>
      <c r="AF10">
        <v>3.2920086428309098E-2</v>
      </c>
      <c r="AG10">
        <v>3.9967365612300301E-4</v>
      </c>
      <c r="AH10">
        <v>-25.880413314780199</v>
      </c>
      <c r="AI10">
        <v>12.704000000000001</v>
      </c>
      <c r="AJ10">
        <v>11.984</v>
      </c>
      <c r="AK10" s="1">
        <v>4.9129715540189099E-25</v>
      </c>
      <c r="AL10" s="1">
        <v>2.4549330915903498E-24</v>
      </c>
      <c r="AM10">
        <v>0.83004</v>
      </c>
      <c r="AN10">
        <v>-3623.25786406923</v>
      </c>
      <c r="AO10">
        <v>0.24048971810962899</v>
      </c>
      <c r="AP10">
        <v>0.29411501995881001</v>
      </c>
      <c r="AQ10">
        <v>0.31080868909457499</v>
      </c>
      <c r="AR10">
        <v>0.29314841336849801</v>
      </c>
      <c r="AS10">
        <v>0.310386269997597</v>
      </c>
      <c r="AU10">
        <f t="shared" si="0"/>
        <v>0</v>
      </c>
      <c r="AV10">
        <f t="shared" si="1"/>
        <v>0</v>
      </c>
    </row>
    <row r="11" spans="1:48" x14ac:dyDescent="0.2">
      <c r="A11" t="s">
        <v>92</v>
      </c>
      <c r="B11" t="s">
        <v>72</v>
      </c>
      <c r="C11" t="s">
        <v>45</v>
      </c>
      <c r="D11">
        <v>50</v>
      </c>
      <c r="E11">
        <v>96.24</v>
      </c>
      <c r="F11">
        <v>7.34319159361351E-2</v>
      </c>
      <c r="G11">
        <v>-101.290393382235</v>
      </c>
      <c r="H11">
        <v>-3.1616666665191202</v>
      </c>
      <c r="I11">
        <v>-4.9624999998260604</v>
      </c>
      <c r="J11">
        <v>-4.1925909505519297</v>
      </c>
      <c r="K11">
        <v>-3.7366666665185901</v>
      </c>
      <c r="L11">
        <v>-5.84666666649305</v>
      </c>
      <c r="M11">
        <v>-3.7366666665185901</v>
      </c>
      <c r="N11">
        <v>-5.84666666649305</v>
      </c>
      <c r="O11">
        <v>5.7920117131940296</v>
      </c>
      <c r="P11">
        <v>4.9870326939527802E-2</v>
      </c>
      <c r="Q11">
        <v>1.95006290171677E-2</v>
      </c>
      <c r="R11">
        <v>9.1283600275257698E-2</v>
      </c>
      <c r="S11">
        <v>7.4880249904965598E-2</v>
      </c>
      <c r="T11">
        <v>-323.50464504462599</v>
      </c>
      <c r="U11">
        <v>-2.9399999998525801</v>
      </c>
      <c r="V11">
        <v>-5.07166666649481</v>
      </c>
      <c r="W11">
        <v>-4.2771794870186302</v>
      </c>
      <c r="X11">
        <v>-3.5149999998520598</v>
      </c>
      <c r="Y11">
        <v>-5.7516666664942004</v>
      </c>
      <c r="Z11">
        <v>-2.4549999998530199</v>
      </c>
      <c r="AA11">
        <v>-4.74666666649511</v>
      </c>
      <c r="AB11">
        <v>5.38384615373353</v>
      </c>
      <c r="AC11">
        <v>9.52305108155206E-2</v>
      </c>
      <c r="AD11">
        <v>1.6966418521008599</v>
      </c>
      <c r="AE11">
        <v>0.93809780092815098</v>
      </c>
      <c r="AF11">
        <v>3.1299218180767201</v>
      </c>
      <c r="AG11">
        <v>1.9157061352906799</v>
      </c>
      <c r="AH11">
        <v>-0.56234543580240903</v>
      </c>
      <c r="AI11">
        <v>14.095999999999901</v>
      </c>
      <c r="AJ11">
        <v>13.915999999999899</v>
      </c>
      <c r="AK11" s="1">
        <v>8.3605306202790794E-5</v>
      </c>
      <c r="AL11">
        <v>3.6422975796987403E-4</v>
      </c>
      <c r="AM11">
        <v>3.2958799999999999</v>
      </c>
      <c r="AN11">
        <v>-78.728361012337203</v>
      </c>
      <c r="AO11">
        <v>0.100201080981664</v>
      </c>
      <c r="AP11">
        <v>0.104620368227633</v>
      </c>
      <c r="AQ11">
        <v>0.115020419959892</v>
      </c>
      <c r="AR11">
        <v>0.142533904903587</v>
      </c>
      <c r="AS11">
        <v>0.15689234892463499</v>
      </c>
      <c r="AU11">
        <f t="shared" si="0"/>
        <v>0</v>
      </c>
      <c r="AV11">
        <f t="shared" si="1"/>
        <v>0</v>
      </c>
    </row>
    <row r="12" spans="1:48" x14ac:dyDescent="0.2">
      <c r="A12" t="s">
        <v>102</v>
      </c>
      <c r="B12" t="s">
        <v>72</v>
      </c>
      <c r="C12" t="s">
        <v>45</v>
      </c>
      <c r="D12">
        <v>62.9</v>
      </c>
      <c r="E12">
        <v>111.38</v>
      </c>
      <c r="F12">
        <v>-3.7980355428567002E-2</v>
      </c>
      <c r="G12">
        <v>-407.09616872165799</v>
      </c>
      <c r="H12">
        <v>2.7633333334754999</v>
      </c>
      <c r="I12">
        <v>3.0666666668339899</v>
      </c>
      <c r="J12">
        <v>2.6607484184079899</v>
      </c>
      <c r="K12">
        <v>2.7266666668088702</v>
      </c>
      <c r="L12">
        <v>3.0350000001672699</v>
      </c>
      <c r="M12">
        <v>2.7266666668088702</v>
      </c>
      <c r="N12">
        <v>3.0350000001672699</v>
      </c>
      <c r="O12">
        <v>4.9763579352053897</v>
      </c>
      <c r="P12">
        <v>3.3288202192111899E-2</v>
      </c>
      <c r="Q12">
        <v>-2.8496166978082601E-2</v>
      </c>
      <c r="R12">
        <v>-2.5545974974735798E-4</v>
      </c>
      <c r="S12">
        <v>-3.6532021459736497E-2</v>
      </c>
      <c r="T12">
        <v>-483.58948616218299</v>
      </c>
      <c r="U12">
        <v>2.98500000014204</v>
      </c>
      <c r="V12">
        <v>3.1300000001643902</v>
      </c>
      <c r="W12">
        <v>2.53102564118254</v>
      </c>
      <c r="X12">
        <v>2.9483333334754098</v>
      </c>
      <c r="Y12">
        <v>3.1300000001643902</v>
      </c>
      <c r="Z12">
        <v>3.0216666668086698</v>
      </c>
      <c r="AA12">
        <v>3.1300000001643902</v>
      </c>
      <c r="AB12">
        <v>3.4861538462212902</v>
      </c>
      <c r="AC12">
        <v>3.6914507905155599E-3</v>
      </c>
      <c r="AD12">
        <v>3.5333161344631701</v>
      </c>
      <c r="AE12">
        <v>4.6345295796504704</v>
      </c>
      <c r="AF12">
        <v>3.3918073586705999</v>
      </c>
      <c r="AG12">
        <v>4.2885446973002299</v>
      </c>
      <c r="AH12">
        <v>-2.0455059140283098</v>
      </c>
      <c r="AI12">
        <v>13.183999999999999</v>
      </c>
      <c r="AJ12">
        <v>13.064</v>
      </c>
      <c r="AK12" s="1">
        <v>2.19257440536484E-5</v>
      </c>
      <c r="AL12">
        <v>1.00260508649175E-4</v>
      </c>
      <c r="AM12">
        <v>2.8415599999999999</v>
      </c>
      <c r="AN12">
        <v>-317.05341667438802</v>
      </c>
      <c r="AO12">
        <v>8.9481009347901805E-2</v>
      </c>
      <c r="AP12">
        <v>0.10536420883526</v>
      </c>
      <c r="AQ12">
        <v>0.110105274449231</v>
      </c>
      <c r="AR12">
        <v>0.113165327149263</v>
      </c>
      <c r="AS12">
        <v>0.12079615996484599</v>
      </c>
      <c r="AU12">
        <f t="shared" si="0"/>
        <v>0</v>
      </c>
      <c r="AV12">
        <f t="shared" si="1"/>
        <v>0</v>
      </c>
    </row>
    <row r="13" spans="1:48" x14ac:dyDescent="0.2">
      <c r="A13" t="s">
        <v>66</v>
      </c>
      <c r="B13" t="s">
        <v>67</v>
      </c>
      <c r="C13" t="s">
        <v>45</v>
      </c>
      <c r="D13">
        <v>16.899999999999999</v>
      </c>
      <c r="E13">
        <v>71.94</v>
      </c>
      <c r="F13">
        <v>7.3191539750116202E-3</v>
      </c>
      <c r="G13">
        <v>51.019562330363001</v>
      </c>
      <c r="H13">
        <v>0.21416666681112401</v>
      </c>
      <c r="I13">
        <v>-0.27611111094049301</v>
      </c>
      <c r="J13">
        <v>-0.29118307602058202</v>
      </c>
      <c r="K13">
        <v>-1.91333333318693</v>
      </c>
      <c r="L13">
        <v>-1.9099999998292001</v>
      </c>
      <c r="M13">
        <v>0.196666666811147</v>
      </c>
      <c r="N13">
        <v>-0.291666666496048</v>
      </c>
      <c r="O13">
        <v>3.0739868537725199</v>
      </c>
      <c r="P13">
        <v>5.1233800090228598E-2</v>
      </c>
      <c r="Q13">
        <v>-3.5294866421237901E-4</v>
      </c>
      <c r="R13">
        <v>9.7358001708983608E-3</v>
      </c>
      <c r="S13">
        <v>8.7674879438421893E-3</v>
      </c>
      <c r="T13">
        <v>-40.836155193269697</v>
      </c>
      <c r="U13">
        <v>0.55666666681088794</v>
      </c>
      <c r="V13">
        <v>-0.84944444427644294</v>
      </c>
      <c r="W13">
        <v>-0.61630341864361504</v>
      </c>
      <c r="X13">
        <v>-1.6916666665203901</v>
      </c>
      <c r="Y13">
        <v>-1.8149999998311099</v>
      </c>
      <c r="Z13">
        <v>2.2250000001427002</v>
      </c>
      <c r="AA13">
        <v>-1.0749999998317801</v>
      </c>
      <c r="AB13">
        <v>2.6168376067973198</v>
      </c>
      <c r="AC13">
        <v>1.3682710711161301E-2</v>
      </c>
      <c r="AD13">
        <v>3.5992486435815199</v>
      </c>
      <c r="AE13">
        <v>2.97510714503861</v>
      </c>
      <c r="AF13">
        <v>4.9580577653412599</v>
      </c>
      <c r="AG13">
        <v>4.3395884114135299</v>
      </c>
      <c r="AH13">
        <v>0.92621333031657005</v>
      </c>
      <c r="AI13">
        <v>17.72</v>
      </c>
      <c r="AJ13">
        <v>17.5</v>
      </c>
      <c r="AK13">
        <v>2.2233115780933201E-2</v>
      </c>
      <c r="AL13">
        <v>7.7128999604732199E-2</v>
      </c>
      <c r="AM13">
        <v>6.2323000000000004</v>
      </c>
      <c r="AN13">
        <v>209.324212651545</v>
      </c>
      <c r="AO13">
        <v>7.6417038980350793E-2</v>
      </c>
      <c r="AP13">
        <v>9.5387368121372898E-2</v>
      </c>
      <c r="AQ13">
        <v>9.6979684671206198E-2</v>
      </c>
      <c r="AR13">
        <v>0.14309045191276801</v>
      </c>
      <c r="AS13">
        <v>0.149959561829549</v>
      </c>
      <c r="AU13">
        <f t="shared" si="0"/>
        <v>0</v>
      </c>
      <c r="AV13">
        <f t="shared" si="1"/>
        <v>0</v>
      </c>
    </row>
    <row r="14" spans="1:48" x14ac:dyDescent="0.2">
      <c r="A14" t="s">
        <v>86</v>
      </c>
      <c r="B14" t="s">
        <v>67</v>
      </c>
      <c r="C14" t="s">
        <v>45</v>
      </c>
      <c r="D14">
        <v>16.36</v>
      </c>
      <c r="E14">
        <v>69.64</v>
      </c>
      <c r="F14">
        <v>8.52970780043894E-3</v>
      </c>
      <c r="G14">
        <v>67.009430308552595</v>
      </c>
      <c r="H14">
        <v>0.17666666681115201</v>
      </c>
      <c r="I14">
        <v>-0.98499999982935604</v>
      </c>
      <c r="J14">
        <v>-0.424813912776911</v>
      </c>
      <c r="K14">
        <v>-0.35333333318836102</v>
      </c>
      <c r="L14">
        <v>-1.6516666664966</v>
      </c>
      <c r="M14">
        <v>-0.35333333318836102</v>
      </c>
      <c r="N14">
        <v>-1.44833333316345</v>
      </c>
      <c r="O14">
        <v>2.9747858048860101</v>
      </c>
      <c r="P14">
        <v>4.01630642376061E-2</v>
      </c>
      <c r="Q14">
        <v>-4.5508923336421998E-3</v>
      </c>
      <c r="R14">
        <v>2.4392710376042102E-2</v>
      </c>
      <c r="S14">
        <v>9.9780417692695092E-3</v>
      </c>
      <c r="T14">
        <v>-83.944214893325807</v>
      </c>
      <c r="U14">
        <v>0.39833333347768901</v>
      </c>
      <c r="V14">
        <v>-1.1291666664983799</v>
      </c>
      <c r="W14">
        <v>-0.67466880325931899</v>
      </c>
      <c r="X14">
        <v>-0.13166666652182299</v>
      </c>
      <c r="Y14">
        <v>-1.55666666649799</v>
      </c>
      <c r="Z14">
        <v>0.92833333347720304</v>
      </c>
      <c r="AA14">
        <v>-0.95499999983187001</v>
      </c>
      <c r="AB14">
        <v>3.07721153841484</v>
      </c>
      <c r="AC14">
        <v>2.8339620916305101E-2</v>
      </c>
      <c r="AD14">
        <v>5.0428878871332303</v>
      </c>
      <c r="AE14">
        <v>2.1305163949253298</v>
      </c>
      <c r="AF14">
        <v>5.94168297887565</v>
      </c>
      <c r="AG14">
        <v>5.1116112725920404</v>
      </c>
      <c r="AH14">
        <v>1.15081181581175</v>
      </c>
      <c r="AI14">
        <v>14.672000000000001</v>
      </c>
      <c r="AJ14">
        <v>14.492000000000001</v>
      </c>
      <c r="AK14">
        <v>3.52302214890663E-2</v>
      </c>
      <c r="AL14">
        <v>5.9324383891324502E-2</v>
      </c>
      <c r="AM14">
        <v>3.2557</v>
      </c>
      <c r="AN14">
        <v>242.821293136279</v>
      </c>
      <c r="AO14">
        <v>6.1618045409146498E-2</v>
      </c>
      <c r="AP14">
        <v>7.5195186658089205E-2</v>
      </c>
      <c r="AQ14">
        <v>8.0320019448954505E-2</v>
      </c>
      <c r="AR14">
        <v>0.120988483539697</v>
      </c>
      <c r="AS14">
        <v>0.13124614855130601</v>
      </c>
      <c r="AU14">
        <f t="shared" si="0"/>
        <v>0</v>
      </c>
      <c r="AV14">
        <f t="shared" si="1"/>
        <v>0</v>
      </c>
    </row>
    <row r="15" spans="1:48" s="6" customFormat="1" x14ac:dyDescent="0.2">
      <c r="A15" s="6" t="s">
        <v>88</v>
      </c>
      <c r="B15" s="6" t="s">
        <v>67</v>
      </c>
      <c r="C15" s="6" t="s">
        <v>45</v>
      </c>
      <c r="D15" s="6">
        <v>29.28</v>
      </c>
      <c r="E15" s="6">
        <v>91.16</v>
      </c>
      <c r="F15" s="6">
        <v>-1.0516763423741899E-2</v>
      </c>
      <c r="G15" s="6">
        <v>0.61434936550397501</v>
      </c>
      <c r="H15" s="6">
        <v>0.17666666681115201</v>
      </c>
      <c r="I15" s="6">
        <v>-0.98499999982935604</v>
      </c>
      <c r="J15" s="6">
        <v>-7.7378362216679805E-2</v>
      </c>
      <c r="K15" s="6">
        <v>-0.35333333318836102</v>
      </c>
      <c r="L15" s="6">
        <v>-1.6516666664966</v>
      </c>
      <c r="M15" s="6">
        <v>-0.35333333318836102</v>
      </c>
      <c r="N15" s="6">
        <v>-1.44833333316345</v>
      </c>
      <c r="O15" s="6">
        <v>3.0868026515673099</v>
      </c>
      <c r="P15" s="6">
        <v>4.01630642376061E-2</v>
      </c>
      <c r="Q15" s="6">
        <v>-1.27946353593152E-2</v>
      </c>
      <c r="R15" s="6">
        <v>2.4392710376042102E-2</v>
      </c>
      <c r="S15" s="6">
        <v>-9.0684294549113805E-3</v>
      </c>
      <c r="T15" s="6">
        <v>-109.228709159319</v>
      </c>
      <c r="U15" s="6">
        <v>0.39833333347768901</v>
      </c>
      <c r="V15" s="6">
        <v>-1.1291666664983799</v>
      </c>
      <c r="W15" s="6">
        <v>-0.32139957249041201</v>
      </c>
      <c r="X15" s="6">
        <v>-0.13166666652182299</v>
      </c>
      <c r="Y15" s="6">
        <v>-1.55666666649799</v>
      </c>
      <c r="Z15" s="6">
        <v>0.92833333347720304</v>
      </c>
      <c r="AA15" s="6">
        <v>-0.95499999983187001</v>
      </c>
      <c r="AB15" s="6">
        <v>2.81278846149837</v>
      </c>
      <c r="AC15" s="6">
        <v>2.8339620916305101E-2</v>
      </c>
      <c r="AD15" s="6">
        <v>5.0428878871332303</v>
      </c>
      <c r="AE15" s="6">
        <v>2.1305163949253298</v>
      </c>
      <c r="AF15" s="6">
        <v>5.94168297887565</v>
      </c>
      <c r="AG15" s="6">
        <v>5.1116112725920404</v>
      </c>
      <c r="AH15" s="6">
        <v>0.826943263761027</v>
      </c>
      <c r="AI15" s="6">
        <v>14.852</v>
      </c>
      <c r="AJ15" s="6">
        <v>14.672000000000001</v>
      </c>
      <c r="AK15" s="6">
        <v>2.0453045507220501E-2</v>
      </c>
      <c r="AL15" s="6">
        <v>3.5009489936873202E-2</v>
      </c>
      <c r="AM15" s="6">
        <v>3.5097</v>
      </c>
      <c r="AN15" s="6">
        <v>174.48502865357599</v>
      </c>
      <c r="AO15" s="6">
        <v>6.9111956726940996E-2</v>
      </c>
      <c r="AP15" s="6">
        <v>8.8869959060987894E-2</v>
      </c>
      <c r="AQ15" s="6">
        <v>8.0320019448954505E-2</v>
      </c>
      <c r="AR15" s="6">
        <v>0.12180876298783</v>
      </c>
      <c r="AS15" s="6">
        <v>0.13124614855130601</v>
      </c>
      <c r="AU15" s="6">
        <f t="shared" si="0"/>
        <v>0</v>
      </c>
      <c r="AV15" s="6">
        <f t="shared" si="1"/>
        <v>0</v>
      </c>
    </row>
    <row r="16" spans="1:48" x14ac:dyDescent="0.2">
      <c r="A16" s="2" t="s">
        <v>68</v>
      </c>
      <c r="B16" s="2" t="s">
        <v>67</v>
      </c>
      <c r="C16" s="2" t="s">
        <v>45</v>
      </c>
      <c r="D16" s="2">
        <v>130.72</v>
      </c>
      <c r="E16" s="2">
        <v>186.22</v>
      </c>
      <c r="F16" s="2">
        <v>1.13015204160381E-3</v>
      </c>
      <c r="G16" s="2">
        <v>-840.26340291845099</v>
      </c>
      <c r="H16" s="2">
        <v>1.0508333334770401</v>
      </c>
      <c r="I16" s="2">
        <v>-0.68583333316302697</v>
      </c>
      <c r="J16" s="2">
        <v>-0.112157356370993</v>
      </c>
      <c r="K16" s="2">
        <v>0.538333333477517</v>
      </c>
      <c r="L16" s="2">
        <v>-1.18333333316362</v>
      </c>
      <c r="M16" s="2">
        <v>0.95500000014380404</v>
      </c>
      <c r="N16" s="2">
        <v>-0.95666666649716703</v>
      </c>
      <c r="O16" s="2">
        <v>3.0003171696937398</v>
      </c>
      <c r="P16" s="2">
        <v>1.8994662144743098E-2</v>
      </c>
      <c r="Q16" s="2">
        <v>-6.9318755280041999E-3</v>
      </c>
      <c r="R16" s="2">
        <v>3.2710416288000997E-2</v>
      </c>
      <c r="S16" s="2">
        <v>2.5784860104343401E-3</v>
      </c>
      <c r="T16" s="2">
        <v>-2141.6256962295602</v>
      </c>
      <c r="U16" s="2">
        <v>1.27250000014358</v>
      </c>
      <c r="V16" s="2">
        <v>-0.79333333316536003</v>
      </c>
      <c r="W16" s="2">
        <v>-0.28017094001197701</v>
      </c>
      <c r="X16" s="2">
        <v>0.760000000144054</v>
      </c>
      <c r="Y16" s="2">
        <v>-1.08833333316509</v>
      </c>
      <c r="Z16" s="2">
        <v>1.7850000001431101</v>
      </c>
      <c r="AA16" s="2">
        <v>-0.498333333165628</v>
      </c>
      <c r="AB16" s="2">
        <v>3.15111111107091</v>
      </c>
      <c r="AC16" s="2">
        <v>3.6657326828264003E-2</v>
      </c>
      <c r="AD16" s="2">
        <v>7.40691009338172</v>
      </c>
      <c r="AE16" s="2">
        <v>2.3057371492438099</v>
      </c>
      <c r="AF16" s="2">
        <v>6.6229975795052001</v>
      </c>
      <c r="AG16" s="2">
        <v>6.7056272748947299</v>
      </c>
      <c r="AH16" s="2">
        <v>-4.7262635456186102</v>
      </c>
      <c r="AI16" s="2">
        <v>13.912000000000001</v>
      </c>
      <c r="AJ16" s="2">
        <v>13.792</v>
      </c>
      <c r="AK16" s="5">
        <v>6.8252656022397398E-16</v>
      </c>
      <c r="AL16" s="5">
        <v>4.5725508611057898E-11</v>
      </c>
      <c r="AM16" s="2">
        <v>2.7770800000000002</v>
      </c>
      <c r="AN16" s="2">
        <v>-1087.04061549228</v>
      </c>
      <c r="AO16" s="2">
        <v>5.9670886340622599E-2</v>
      </c>
      <c r="AP16" s="2">
        <v>6.8545822379110499E-2</v>
      </c>
      <c r="AQ16" s="2">
        <v>7.0631557083885896E-2</v>
      </c>
      <c r="AR16" s="2">
        <v>0.11125971826954099</v>
      </c>
      <c r="AS16" s="2">
        <v>0.12065450494579801</v>
      </c>
      <c r="AU16">
        <f t="shared" si="0"/>
        <v>1</v>
      </c>
      <c r="AV16">
        <f t="shared" si="1"/>
        <v>0</v>
      </c>
    </row>
    <row r="17" spans="1:48" x14ac:dyDescent="0.2">
      <c r="A17" t="s">
        <v>83</v>
      </c>
      <c r="B17" t="s">
        <v>67</v>
      </c>
      <c r="C17" t="s">
        <v>45</v>
      </c>
      <c r="D17">
        <v>185.72</v>
      </c>
      <c r="E17">
        <v>214.26</v>
      </c>
      <c r="F17">
        <v>5.1403907633693399E-3</v>
      </c>
      <c r="G17">
        <v>-6271.13894391761</v>
      </c>
      <c r="H17">
        <v>7.6944444589030297E-2</v>
      </c>
      <c r="I17">
        <v>-0.55374999982922501</v>
      </c>
      <c r="J17">
        <v>-0.10530019270006601</v>
      </c>
      <c r="K17">
        <v>-3.10833333318585</v>
      </c>
      <c r="L17">
        <v>-3.9683333331608202</v>
      </c>
      <c r="M17">
        <v>1.1016666668103301</v>
      </c>
      <c r="N17">
        <v>-0.86499999982882403</v>
      </c>
      <c r="O17">
        <v>3.2321420768232301</v>
      </c>
      <c r="P17">
        <v>1.4182671007999701E-2</v>
      </c>
      <c r="Q17" s="1">
        <v>6.5729109100756702E-5</v>
      </c>
      <c r="R17">
        <v>5.5186753703080097E-3</v>
      </c>
      <c r="S17">
        <v>6.5887247321999003E-3</v>
      </c>
      <c r="T17">
        <v>-8674.2402877897603</v>
      </c>
      <c r="U17">
        <v>0.41861111125546002</v>
      </c>
      <c r="V17">
        <v>-0.71791666649878605</v>
      </c>
      <c r="W17">
        <v>-0.454568375908388</v>
      </c>
      <c r="X17">
        <v>-2.8866666665193099</v>
      </c>
      <c r="Y17">
        <v>-3.8733333331625799</v>
      </c>
      <c r="Z17">
        <v>1.9050000001429901</v>
      </c>
      <c r="AA17">
        <v>-0.79333333316540999</v>
      </c>
      <c r="AB17">
        <v>2.7382948717610001</v>
      </c>
      <c r="AC17">
        <v>9.4655859105709401E-3</v>
      </c>
      <c r="AD17">
        <v>2.3799903928676498</v>
      </c>
      <c r="AE17">
        <v>5.8363245918141002</v>
      </c>
      <c r="AF17">
        <v>4.0826645128228396</v>
      </c>
      <c r="AG17">
        <v>5.3452177176313498</v>
      </c>
      <c r="AH17">
        <v>-39.256115834893997</v>
      </c>
      <c r="AI17">
        <v>23.33</v>
      </c>
      <c r="AJ17">
        <v>22.971999999999898</v>
      </c>
      <c r="AK17" s="1">
        <v>2.7780620960589499E-130</v>
      </c>
      <c r="AL17" s="1">
        <v>3.4620128372596099E-53</v>
      </c>
      <c r="AM17">
        <v>11.27314</v>
      </c>
      <c r="AN17">
        <v>-9028.9066420256204</v>
      </c>
      <c r="AO17">
        <v>9.8785196984842893E-2</v>
      </c>
      <c r="AP17">
        <v>0.116112112497587</v>
      </c>
      <c r="AQ17">
        <v>0.117390191067554</v>
      </c>
      <c r="AR17">
        <v>0.152692853693882</v>
      </c>
      <c r="AS17">
        <v>0.1583683696183</v>
      </c>
      <c r="AU17">
        <f t="shared" si="0"/>
        <v>0</v>
      </c>
      <c r="AV17">
        <f t="shared" si="1"/>
        <v>0</v>
      </c>
    </row>
    <row r="18" spans="1:48" x14ac:dyDescent="0.2">
      <c r="A18" t="s">
        <v>75</v>
      </c>
      <c r="B18" t="s">
        <v>67</v>
      </c>
      <c r="C18" t="s">
        <v>45</v>
      </c>
      <c r="D18">
        <v>174.88</v>
      </c>
      <c r="E18">
        <v>205.46</v>
      </c>
      <c r="F18">
        <v>7.2417974214498701E-3</v>
      </c>
      <c r="G18">
        <v>-6022.4582388996796</v>
      </c>
      <c r="H18">
        <v>0.44916666681091499</v>
      </c>
      <c r="I18">
        <v>-0.42194444427434502</v>
      </c>
      <c r="J18">
        <v>-0.25272611631366498</v>
      </c>
      <c r="K18">
        <v>-1.9183333331869401</v>
      </c>
      <c r="L18">
        <v>-1.9199999998292301</v>
      </c>
      <c r="M18">
        <v>1.1383333334769501</v>
      </c>
      <c r="N18">
        <v>-0.60333333316374504</v>
      </c>
      <c r="O18">
        <v>2.9904693977594099</v>
      </c>
      <c r="P18">
        <v>1.32150345140444E-2</v>
      </c>
      <c r="Q18">
        <v>1.8966453234873501E-4</v>
      </c>
      <c r="R18">
        <v>9.5214665566923096E-3</v>
      </c>
      <c r="S18">
        <v>8.6901313902804402E-3</v>
      </c>
      <c r="T18">
        <v>-10502.0250130194</v>
      </c>
      <c r="U18">
        <v>0.79333333347733903</v>
      </c>
      <c r="V18">
        <v>-0.57694444427667302</v>
      </c>
      <c r="W18">
        <v>-0.47995726479786399</v>
      </c>
      <c r="X18">
        <v>-1.6966666665204</v>
      </c>
      <c r="Y18">
        <v>-1.8249999998311</v>
      </c>
      <c r="Z18">
        <v>2.3833333334758802</v>
      </c>
      <c r="AA18">
        <v>-0.34333333316578302</v>
      </c>
      <c r="AB18">
        <v>2.7495940170596702</v>
      </c>
      <c r="AC18">
        <v>1.3468377096955199E-2</v>
      </c>
      <c r="AD18">
        <v>7.0130797448427398</v>
      </c>
      <c r="AE18">
        <v>2.7502970602230499</v>
      </c>
      <c r="AF18">
        <v>8.0840746585247807</v>
      </c>
      <c r="AG18">
        <v>4.8011065229855499</v>
      </c>
      <c r="AH18">
        <v>-33.832504580127903</v>
      </c>
      <c r="AI18">
        <v>17.623999999999999</v>
      </c>
      <c r="AJ18">
        <v>17.423999999999999</v>
      </c>
      <c r="AK18" s="1">
        <v>6.22366735448171E-55</v>
      </c>
      <c r="AL18" s="1">
        <v>2.4359266334701599E-46</v>
      </c>
      <c r="AM18">
        <v>6.0888</v>
      </c>
      <c r="AN18">
        <v>-7781.4760534294201</v>
      </c>
      <c r="AO18">
        <v>7.4601176640859496E-2</v>
      </c>
      <c r="AP18">
        <v>9.2610796093734599E-2</v>
      </c>
      <c r="AQ18">
        <v>9.4106953156288697E-2</v>
      </c>
      <c r="AR18">
        <v>0.14035383096600501</v>
      </c>
      <c r="AS18">
        <v>0.147162049623214</v>
      </c>
      <c r="AU18">
        <f t="shared" si="0"/>
        <v>0</v>
      </c>
      <c r="AV18">
        <f t="shared" si="1"/>
        <v>0</v>
      </c>
    </row>
    <row r="19" spans="1:48" x14ac:dyDescent="0.2">
      <c r="A19" t="s">
        <v>77</v>
      </c>
      <c r="B19" t="s">
        <v>67</v>
      </c>
      <c r="C19" t="s">
        <v>45</v>
      </c>
      <c r="D19">
        <v>165.58</v>
      </c>
      <c r="E19">
        <v>194.26</v>
      </c>
      <c r="F19">
        <v>7.2417974214498701E-3</v>
      </c>
      <c r="G19">
        <v>-4691.8721767618799</v>
      </c>
      <c r="H19">
        <v>0.44833333347757598</v>
      </c>
      <c r="I19">
        <v>-0.42416666649655299</v>
      </c>
      <c r="J19">
        <v>-0.25388063309317799</v>
      </c>
      <c r="K19">
        <v>-1.92166666652028</v>
      </c>
      <c r="L19">
        <v>-1.9199999998292101</v>
      </c>
      <c r="M19">
        <v>1.1383333334769501</v>
      </c>
      <c r="N19">
        <v>-0.60666666649706702</v>
      </c>
      <c r="O19">
        <v>2.9904972252353699</v>
      </c>
      <c r="P19">
        <v>1.17062505747233E-2</v>
      </c>
      <c r="Q19">
        <v>-1.2750422011577E-3</v>
      </c>
      <c r="R19">
        <v>9.5214665566923096E-3</v>
      </c>
      <c r="S19">
        <v>8.6901313902804402E-3</v>
      </c>
      <c r="T19">
        <v>-8338.8649104508204</v>
      </c>
      <c r="U19">
        <v>0.79333333347733503</v>
      </c>
      <c r="V19">
        <v>-0.57916666649888104</v>
      </c>
      <c r="W19">
        <v>-0.48103632462692197</v>
      </c>
      <c r="X19">
        <v>-1.6999999998537401</v>
      </c>
      <c r="Y19">
        <v>-1.82499999983108</v>
      </c>
      <c r="Z19">
        <v>2.3850000001425502</v>
      </c>
      <c r="AA19">
        <v>-0.346666666499095</v>
      </c>
      <c r="AB19">
        <v>2.75033119654685</v>
      </c>
      <c r="AC19">
        <v>1.3468377096955199E-2</v>
      </c>
      <c r="AD19">
        <v>6.6502006781407799</v>
      </c>
      <c r="AE19">
        <v>2.6450810324337199</v>
      </c>
      <c r="AF19">
        <v>8.0371041188504098</v>
      </c>
      <c r="AG19">
        <v>4.9087475235134201</v>
      </c>
      <c r="AH19">
        <v>-28.3439074952047</v>
      </c>
      <c r="AI19">
        <v>17.623999999999999</v>
      </c>
      <c r="AJ19">
        <v>17.423999999999999</v>
      </c>
      <c r="AK19" s="1">
        <v>6.5380351686980801E-44</v>
      </c>
      <c r="AL19" s="1">
        <v>4.2421956890983002E-37</v>
      </c>
      <c r="AM19">
        <v>5.9698799999999999</v>
      </c>
      <c r="AN19">
        <v>-6093.9401114690099</v>
      </c>
      <c r="AO19">
        <v>7.5997639286755694E-2</v>
      </c>
      <c r="AP19">
        <v>9.2610796093734599E-2</v>
      </c>
      <c r="AQ19">
        <v>9.4106953156288697E-2</v>
      </c>
      <c r="AR19">
        <v>0.14035383096600501</v>
      </c>
      <c r="AS19">
        <v>0.147162049623214</v>
      </c>
      <c r="AU19">
        <f t="shared" si="0"/>
        <v>0</v>
      </c>
      <c r="AV19">
        <f t="shared" si="1"/>
        <v>0</v>
      </c>
    </row>
    <row r="20" spans="1:48" x14ac:dyDescent="0.2">
      <c r="A20" t="s">
        <v>81</v>
      </c>
      <c r="B20" t="s">
        <v>67</v>
      </c>
      <c r="C20" t="s">
        <v>45</v>
      </c>
      <c r="D20">
        <v>149.62</v>
      </c>
      <c r="E20">
        <v>194.18</v>
      </c>
      <c r="F20">
        <v>7.2417974214498701E-3</v>
      </c>
      <c r="G20">
        <v>-1997.239104645</v>
      </c>
      <c r="H20">
        <v>0.44666666681089701</v>
      </c>
      <c r="I20">
        <v>-0.42055555538545902</v>
      </c>
      <c r="J20">
        <v>-0.25591336887591398</v>
      </c>
      <c r="K20">
        <v>-1.91499999985362</v>
      </c>
      <c r="L20">
        <v>-1.9133333331625599</v>
      </c>
      <c r="M20">
        <v>1.1350000001436</v>
      </c>
      <c r="N20">
        <v>-0.60333333316375504</v>
      </c>
      <c r="O20">
        <v>2.98942446854057</v>
      </c>
      <c r="P20">
        <v>1.75772162907104E-2</v>
      </c>
      <c r="Q20">
        <v>1.8966453234873501E-4</v>
      </c>
      <c r="R20">
        <v>9.5214665566923096E-3</v>
      </c>
      <c r="S20">
        <v>8.6901313902804402E-3</v>
      </c>
      <c r="T20">
        <v>-3699.6421392365901</v>
      </c>
      <c r="U20">
        <v>0.79333333347732604</v>
      </c>
      <c r="V20">
        <v>-0.57555555538778802</v>
      </c>
      <c r="W20">
        <v>-0.48320512804571902</v>
      </c>
      <c r="X20">
        <v>-1.6933333331870799</v>
      </c>
      <c r="Y20">
        <v>-1.81833333316443</v>
      </c>
      <c r="Z20">
        <v>2.38666666680921</v>
      </c>
      <c r="AA20">
        <v>-0.339999999832443</v>
      </c>
      <c r="AB20">
        <v>2.7533760683417201</v>
      </c>
      <c r="AC20">
        <v>1.3468377096955199E-2</v>
      </c>
      <c r="AD20">
        <v>5.5698365695589898</v>
      </c>
      <c r="AE20">
        <v>2.3114660595249301</v>
      </c>
      <c r="AF20">
        <v>7.6650022939806597</v>
      </c>
      <c r="AG20">
        <v>5.0326012966987399</v>
      </c>
      <c r="AH20">
        <v>-10.881168014002901</v>
      </c>
      <c r="AI20">
        <v>17.623999999999999</v>
      </c>
      <c r="AJ20">
        <v>17.423999999999999</v>
      </c>
      <c r="AK20" s="1">
        <v>7.8431531558319197E-25</v>
      </c>
      <c r="AL20" s="1">
        <v>2.7383460861276798E-21</v>
      </c>
      <c r="AM20">
        <v>6.0888</v>
      </c>
      <c r="AN20">
        <v>-2502.6686432206802</v>
      </c>
      <c r="AO20">
        <v>7.4601176640859496E-2</v>
      </c>
      <c r="AP20">
        <v>9.2610796093734599E-2</v>
      </c>
      <c r="AQ20">
        <v>9.4106953156288697E-2</v>
      </c>
      <c r="AR20">
        <v>0.14035383096600501</v>
      </c>
      <c r="AS20">
        <v>0.147162049623214</v>
      </c>
      <c r="AU20">
        <f t="shared" si="0"/>
        <v>0</v>
      </c>
      <c r="AV20">
        <f t="shared" si="1"/>
        <v>0</v>
      </c>
    </row>
    <row r="21" spans="1:48" x14ac:dyDescent="0.2">
      <c r="A21" t="s">
        <v>113</v>
      </c>
      <c r="B21" t="s">
        <v>67</v>
      </c>
      <c r="C21" t="s">
        <v>45</v>
      </c>
      <c r="D21">
        <v>130.36000000000001</v>
      </c>
      <c r="E21">
        <v>180.34</v>
      </c>
      <c r="F21">
        <v>8.0367127165521905E-3</v>
      </c>
      <c r="G21">
        <v>-1342.15310197453</v>
      </c>
      <c r="H21">
        <v>0.31750000014437701</v>
      </c>
      <c r="I21">
        <v>-0.67694444427397205</v>
      </c>
      <c r="J21">
        <v>-0.28210030693808102</v>
      </c>
      <c r="K21">
        <v>-1.6116666665205199</v>
      </c>
      <c r="L21">
        <v>-1.4133333331628799</v>
      </c>
      <c r="M21">
        <v>0.46666666681090102</v>
      </c>
      <c r="N21">
        <v>-0.98333333316327298</v>
      </c>
      <c r="O21">
        <v>2.8978533969100799</v>
      </c>
      <c r="P21">
        <v>1.8482795060822899E-2</v>
      </c>
      <c r="Q21">
        <v>1.7191980287866099E-4</v>
      </c>
      <c r="R21">
        <v>1.3171715103486E-2</v>
      </c>
      <c r="S21">
        <v>9.4850466853827597E-3</v>
      </c>
      <c r="T21">
        <v>-2925.2335180208302</v>
      </c>
      <c r="U21">
        <v>0.39500000014438202</v>
      </c>
      <c r="V21">
        <v>-1.0169444442762801</v>
      </c>
      <c r="W21">
        <v>-0.55643162377247501</v>
      </c>
      <c r="X21">
        <v>-1.38999999985398</v>
      </c>
      <c r="Y21">
        <v>-1.3183333331648901</v>
      </c>
      <c r="Z21">
        <v>1.8683333334763701</v>
      </c>
      <c r="AA21">
        <v>-0.983333333165201</v>
      </c>
      <c r="AB21">
        <v>2.8309615384272302</v>
      </c>
      <c r="AC21">
        <v>1.7118625643749E-2</v>
      </c>
      <c r="AD21">
        <v>5.3101417249526603</v>
      </c>
      <c r="AE21">
        <v>1.0727214462314401</v>
      </c>
      <c r="AF21">
        <v>9.0493421983846307</v>
      </c>
      <c r="AG21">
        <v>6.7205194887632196</v>
      </c>
      <c r="AH21">
        <v>-6.8504728104352202</v>
      </c>
      <c r="AI21">
        <v>16.212</v>
      </c>
      <c r="AJ21">
        <v>15.988</v>
      </c>
      <c r="AK21" s="1">
        <v>1.1392002550470099E-18</v>
      </c>
      <c r="AL21" s="1">
        <v>2.8547803814024398E-15</v>
      </c>
      <c r="AM21">
        <v>4.8528599999999997</v>
      </c>
      <c r="AN21">
        <v>-1575.6087464001</v>
      </c>
      <c r="AO21">
        <v>6.6485668155040201E-2</v>
      </c>
      <c r="AP21">
        <v>8.2469787858478305E-2</v>
      </c>
      <c r="AQ21">
        <v>8.4764593787405806E-2</v>
      </c>
      <c r="AR21">
        <v>0.13333562700978599</v>
      </c>
      <c r="AS21">
        <v>0.14111809152906901</v>
      </c>
      <c r="AU21">
        <f t="shared" si="0"/>
        <v>0</v>
      </c>
      <c r="AV21">
        <f t="shared" si="1"/>
        <v>0</v>
      </c>
    </row>
    <row r="22" spans="1:48" s="6" customFormat="1" x14ac:dyDescent="0.2">
      <c r="A22" s="6" t="s">
        <v>76</v>
      </c>
      <c r="B22" s="6" t="s">
        <v>67</v>
      </c>
      <c r="C22" s="6" t="s">
        <v>45</v>
      </c>
      <c r="D22" s="6">
        <v>118.66</v>
      </c>
      <c r="E22" s="6">
        <v>177.08</v>
      </c>
      <c r="F22" s="6">
        <v>8.4303115758441703E-3</v>
      </c>
      <c r="G22" s="6">
        <v>-1076.7206889628001</v>
      </c>
      <c r="H22" s="6">
        <v>0.402500000144282</v>
      </c>
      <c r="I22" s="6">
        <v>-0.66749999982943298</v>
      </c>
      <c r="J22" s="6">
        <v>-0.41721327267608399</v>
      </c>
      <c r="K22" s="6">
        <v>-1.26999999985419</v>
      </c>
      <c r="L22" s="6">
        <v>-1.2499999998295901</v>
      </c>
      <c r="M22" s="6">
        <v>0.71500000014398601</v>
      </c>
      <c r="N22" s="6">
        <v>-0.896666666496585</v>
      </c>
      <c r="O22" s="6">
        <v>2.7538799431673899</v>
      </c>
      <c r="P22" s="6">
        <v>1.8922509544855401E-2</v>
      </c>
      <c r="Q22" s="7">
        <v>4.1829612188118099E-5</v>
      </c>
      <c r="R22" s="6">
        <v>1.6061567407985099E-2</v>
      </c>
      <c r="S22" s="6">
        <v>9.8786455446747395E-3</v>
      </c>
      <c r="T22" s="6">
        <v>-2595.3756977963499</v>
      </c>
      <c r="U22" s="6">
        <v>0.484166666810947</v>
      </c>
      <c r="V22" s="6">
        <v>-1.0016666664985301</v>
      </c>
      <c r="W22" s="6">
        <v>-0.64095085454169098</v>
      </c>
      <c r="X22" s="6">
        <v>-1.0483333331876501</v>
      </c>
      <c r="Y22" s="6">
        <v>-1.15499999983172</v>
      </c>
      <c r="Z22" s="6">
        <v>1.92833333347629</v>
      </c>
      <c r="AA22" s="6">
        <v>-0.84833333316533699</v>
      </c>
      <c r="AB22" s="6">
        <v>2.8903952991046</v>
      </c>
      <c r="AC22" s="6">
        <v>2.0008477948248001E-2</v>
      </c>
      <c r="AD22" s="6">
        <v>4.5700672675099803</v>
      </c>
      <c r="AE22" s="6">
        <v>1.17585152868169</v>
      </c>
      <c r="AF22" s="6">
        <v>8.5603484029434203</v>
      </c>
      <c r="AG22" s="6">
        <v>5.5434125712723796</v>
      </c>
      <c r="AH22" s="6">
        <v>-5.2974004263752201</v>
      </c>
      <c r="AI22" s="6">
        <v>15.5</v>
      </c>
      <c r="AJ22" s="6">
        <v>15.196</v>
      </c>
      <c r="AK22" s="7">
        <v>1.01931742606019E-15</v>
      </c>
      <c r="AL22" s="7">
        <v>5.2931688380860598E-13</v>
      </c>
      <c r="AM22" s="6">
        <v>4.2964000000000002</v>
      </c>
      <c r="AN22" s="6">
        <v>-1218.4020980662999</v>
      </c>
      <c r="AO22" s="6">
        <v>6.2759115658961903E-2</v>
      </c>
      <c r="AP22" s="6">
        <v>7.7766979328331001E-2</v>
      </c>
      <c r="AQ22" s="6">
        <v>8.0705618091230405E-2</v>
      </c>
      <c r="AR22" s="6">
        <v>0.12886347330845899</v>
      </c>
      <c r="AS22" s="6">
        <v>0.13724640334563201</v>
      </c>
      <c r="AU22" s="6">
        <f t="shared" si="0"/>
        <v>0</v>
      </c>
      <c r="AV22" s="6">
        <f t="shared" si="1"/>
        <v>0</v>
      </c>
    </row>
    <row r="23" spans="1:48" x14ac:dyDescent="0.2">
      <c r="A23" s="3" t="s">
        <v>112</v>
      </c>
      <c r="B23" s="3" t="s">
        <v>67</v>
      </c>
      <c r="C23" s="3" t="s">
        <v>45</v>
      </c>
      <c r="D23" s="3">
        <v>112.34</v>
      </c>
      <c r="E23" s="3">
        <v>169.54</v>
      </c>
      <c r="F23" s="3">
        <v>8.5059236649521197E-3</v>
      </c>
      <c r="G23" s="3">
        <v>-845.77295699752494</v>
      </c>
      <c r="H23" s="3">
        <v>-2.4999998553312201E-3</v>
      </c>
      <c r="I23" s="3">
        <v>-1.0233333331627199</v>
      </c>
      <c r="J23" s="3">
        <v>-0.47590506699290802</v>
      </c>
      <c r="K23" s="3">
        <v>-0.83999999985456697</v>
      </c>
      <c r="L23" s="3">
        <v>-1.7066666664965799</v>
      </c>
      <c r="M23" s="3">
        <v>-0.45999999985491202</v>
      </c>
      <c r="N23" s="3">
        <v>-1.46833333316346</v>
      </c>
      <c r="O23" s="3">
        <v>2.80633249227773</v>
      </c>
      <c r="P23" s="3">
        <v>1.94249725283226E-2</v>
      </c>
      <c r="Q23" s="3">
        <v>-4.3046776968085401E-4</v>
      </c>
      <c r="R23" s="3">
        <v>2.0426204683238001E-2</v>
      </c>
      <c r="S23" s="3">
        <v>9.9542576337826802E-3</v>
      </c>
      <c r="T23" s="3">
        <v>-2253.1380614945401</v>
      </c>
      <c r="U23" s="3">
        <v>0.219166666811206</v>
      </c>
      <c r="V23" s="3">
        <v>-1.17333333316501</v>
      </c>
      <c r="W23" s="3">
        <v>-0.68136752120796296</v>
      </c>
      <c r="X23" s="3">
        <v>-0.61833333318802897</v>
      </c>
      <c r="Y23" s="3">
        <v>-1.61166666649794</v>
      </c>
      <c r="Z23" s="3">
        <v>0.99333333347716601</v>
      </c>
      <c r="AA23" s="3">
        <v>-1.02666666649847</v>
      </c>
      <c r="AB23" s="3">
        <v>2.9769658119190701</v>
      </c>
      <c r="AC23" s="3">
        <v>2.4373115223501E-2</v>
      </c>
      <c r="AD23" s="3">
        <v>5.2065927762034496</v>
      </c>
      <c r="AE23" s="3">
        <v>1.5149106285763501</v>
      </c>
      <c r="AF23" s="3">
        <v>9.0431389400085092</v>
      </c>
      <c r="AG23" s="3">
        <v>5.5916235047271297</v>
      </c>
      <c r="AH23" s="3">
        <v>-3.9832319948244401</v>
      </c>
      <c r="AI23" s="3">
        <v>14.923999999999999</v>
      </c>
      <c r="AJ23" s="3">
        <v>14.804</v>
      </c>
      <c r="AK23" s="4">
        <v>3.7694264367908402E-13</v>
      </c>
      <c r="AL23" s="4">
        <v>6.2760189770618594E-11</v>
      </c>
      <c r="AM23" s="3">
        <v>3.6853799999999999</v>
      </c>
      <c r="AN23" s="3">
        <v>-916.14335880962096</v>
      </c>
      <c r="AO23" s="3">
        <v>5.9168795280406999E-2</v>
      </c>
      <c r="AP23" s="3">
        <v>7.2832464087343798E-2</v>
      </c>
      <c r="AQ23" s="3">
        <v>7.6648683485780494E-2</v>
      </c>
      <c r="AR23" s="3">
        <v>0.12282147243642599</v>
      </c>
      <c r="AS23" s="3">
        <v>0.132050056203845</v>
      </c>
      <c r="AU23">
        <f t="shared" si="0"/>
        <v>1</v>
      </c>
      <c r="AV23">
        <f t="shared" si="1"/>
        <v>0</v>
      </c>
    </row>
    <row r="24" spans="1:48" x14ac:dyDescent="0.2">
      <c r="A24" t="s">
        <v>82</v>
      </c>
      <c r="B24" t="s">
        <v>67</v>
      </c>
      <c r="C24" t="s">
        <v>45</v>
      </c>
      <c r="D24">
        <v>158.9</v>
      </c>
      <c r="E24">
        <v>200.3</v>
      </c>
      <c r="F24">
        <v>5.3725497041807501E-3</v>
      </c>
      <c r="G24">
        <v>-2136.98014861302</v>
      </c>
      <c r="H24">
        <v>-0.117499999855266</v>
      </c>
      <c r="I24">
        <v>-0.88138888871856302</v>
      </c>
      <c r="J24">
        <v>-0.23111766458017799</v>
      </c>
      <c r="K24">
        <v>-3.4666666665188899</v>
      </c>
      <c r="L24">
        <v>-3.8283333331609302</v>
      </c>
      <c r="M24">
        <v>0.77166666681061002</v>
      </c>
      <c r="N24">
        <v>-1.3199999998298699</v>
      </c>
      <c r="O24">
        <v>3.2811673594809601</v>
      </c>
      <c r="P24">
        <v>2.2054422057497799E-2</v>
      </c>
      <c r="Q24" s="1">
        <v>4.4010226487650697E-5</v>
      </c>
      <c r="R24">
        <v>4.5318685621390702E-3</v>
      </c>
      <c r="S24">
        <v>6.8208836730113097E-3</v>
      </c>
      <c r="T24">
        <v>-3220.85247905393</v>
      </c>
      <c r="U24">
        <v>5.83333347803092E-3</v>
      </c>
      <c r="V24">
        <v>-0.76888888872094596</v>
      </c>
      <c r="W24">
        <v>-0.57516025625018097</v>
      </c>
      <c r="X24">
        <v>-3.2449999998523502</v>
      </c>
      <c r="Y24">
        <v>-3.7333333331627001</v>
      </c>
      <c r="Z24">
        <v>1.3350000001434801</v>
      </c>
      <c r="AA24">
        <v>-0.73666666649874901</v>
      </c>
      <c r="AB24">
        <v>2.5710576922675998</v>
      </c>
      <c r="AC24">
        <v>8.4787791024019902E-3</v>
      </c>
      <c r="AD24">
        <v>3.6131048660623399</v>
      </c>
      <c r="AE24">
        <v>3.84657676040035</v>
      </c>
      <c r="AF24">
        <v>4.2702312692617204</v>
      </c>
      <c r="AG24">
        <v>3.4093846337618201</v>
      </c>
      <c r="AH24">
        <v>-12.8550569571378</v>
      </c>
      <c r="AI24">
        <v>22.814</v>
      </c>
      <c r="AJ24">
        <v>22.372</v>
      </c>
      <c r="AK24" s="1">
        <v>3.3822139529546401E-30</v>
      </c>
      <c r="AL24" s="1">
        <v>9.8397187076476106E-20</v>
      </c>
      <c r="AM24">
        <v>11.601759999999899</v>
      </c>
      <c r="AN24">
        <v>-2956.6631001416899</v>
      </c>
      <c r="AO24">
        <v>0.102452451833159</v>
      </c>
      <c r="AP24">
        <v>0.123627991079393</v>
      </c>
      <c r="AQ24">
        <v>0.124755535182335</v>
      </c>
      <c r="AR24">
        <v>0.15858088995372699</v>
      </c>
      <c r="AS24">
        <v>0.163823592807224</v>
      </c>
      <c r="AU24">
        <f t="shared" si="0"/>
        <v>0</v>
      </c>
      <c r="AV24">
        <f t="shared" si="1"/>
        <v>0</v>
      </c>
    </row>
    <row r="25" spans="1:48" x14ac:dyDescent="0.2">
      <c r="A25" t="s">
        <v>114</v>
      </c>
      <c r="B25" t="s">
        <v>67</v>
      </c>
      <c r="C25" t="s">
        <v>45</v>
      </c>
      <c r="D25">
        <v>140.97999999999999</v>
      </c>
      <c r="E25">
        <v>188.28</v>
      </c>
      <c r="F25">
        <v>6.34641188342807E-3</v>
      </c>
      <c r="G25">
        <v>-1112.77783053399</v>
      </c>
      <c r="H25">
        <v>-0.25777777763288001</v>
      </c>
      <c r="I25">
        <v>-9.2222222052553898E-2</v>
      </c>
      <c r="J25">
        <v>-0.28354412469415202</v>
      </c>
      <c r="K25">
        <v>-3.16166666651913</v>
      </c>
      <c r="L25">
        <v>-2.3166666664957098</v>
      </c>
      <c r="M25">
        <v>-1.3333333188643199E-2</v>
      </c>
      <c r="N25">
        <v>-8.99999998310613E-2</v>
      </c>
      <c r="O25">
        <v>3.1395316831686899</v>
      </c>
      <c r="P25">
        <v>2.4638111980827299E-2</v>
      </c>
      <c r="Q25">
        <v>-1.2213010038270399E-4</v>
      </c>
      <c r="R25">
        <v>4.79595321293239E-3</v>
      </c>
      <c r="S25">
        <v>7.7947458522586296E-3</v>
      </c>
      <c r="T25">
        <v>-2094.1506646999301</v>
      </c>
      <c r="U25">
        <v>-0.255555555410589</v>
      </c>
      <c r="V25">
        <v>-2.72222220549732E-2</v>
      </c>
      <c r="W25">
        <v>-0.52129700838705095</v>
      </c>
      <c r="X25">
        <v>-2.9399999998525899</v>
      </c>
      <c r="Y25">
        <v>-2.2216666664974198</v>
      </c>
      <c r="Z25">
        <v>0.76500000014402703</v>
      </c>
      <c r="AA25">
        <v>0.18833333350039499</v>
      </c>
      <c r="AB25">
        <v>2.5751645298807402</v>
      </c>
      <c r="AC25">
        <v>8.74286375319531E-3</v>
      </c>
      <c r="AD25">
        <v>3.7377346848917399</v>
      </c>
      <c r="AE25">
        <v>2.3229043969254102</v>
      </c>
      <c r="AF25">
        <v>5.8571695448011996</v>
      </c>
      <c r="AG25">
        <v>5.2121992765259497</v>
      </c>
      <c r="AH25">
        <v>-6.0300311448213897</v>
      </c>
      <c r="AI25">
        <v>19.21</v>
      </c>
      <c r="AJ25">
        <v>18.986000000000001</v>
      </c>
      <c r="AK25" s="1">
        <v>2.2298235520610299E-20</v>
      </c>
      <c r="AL25" s="1">
        <v>2.9170932240401303E-14</v>
      </c>
      <c r="AM25">
        <v>8.4283999999999999</v>
      </c>
      <c r="AN25">
        <v>-1386.90716330892</v>
      </c>
      <c r="AO25">
        <v>8.9689660496492199E-2</v>
      </c>
      <c r="AP25">
        <v>0.11048443126513199</v>
      </c>
      <c r="AQ25">
        <v>0.112133185235087</v>
      </c>
      <c r="AR25">
        <v>0.153707293376242</v>
      </c>
      <c r="AS25">
        <v>0.16002071521617101</v>
      </c>
      <c r="AU25">
        <f t="shared" si="0"/>
        <v>0</v>
      </c>
      <c r="AV25">
        <f t="shared" si="1"/>
        <v>0</v>
      </c>
    </row>
    <row r="26" spans="1:48" s="6" customFormat="1" x14ac:dyDescent="0.2">
      <c r="A26" s="6" t="s">
        <v>116</v>
      </c>
      <c r="B26" s="6" t="s">
        <v>67</v>
      </c>
      <c r="C26" s="6" t="s">
        <v>45</v>
      </c>
      <c r="D26" s="6">
        <v>38.74</v>
      </c>
      <c r="E26" s="6">
        <v>158.47999999999999</v>
      </c>
      <c r="F26" s="6">
        <v>0.201096510528879</v>
      </c>
      <c r="G26" s="6">
        <v>-60.912240101413197</v>
      </c>
      <c r="H26" s="6">
        <v>-7.3974999998486304</v>
      </c>
      <c r="I26" s="6">
        <v>-9.7108333331549392</v>
      </c>
      <c r="J26" s="6">
        <v>-9.2413171780244294</v>
      </c>
      <c r="K26" s="6">
        <v>-9.5683333331799894</v>
      </c>
      <c r="L26" s="6">
        <v>-11.3016666664873</v>
      </c>
      <c r="M26" s="6">
        <v>-7.6633333331817202</v>
      </c>
      <c r="N26" s="6">
        <v>-11.3016666664873</v>
      </c>
      <c r="O26" s="6">
        <v>10.1593815483382</v>
      </c>
      <c r="P26" s="6">
        <v>0.151288147528404</v>
      </c>
      <c r="Q26" s="6">
        <v>0.20355696949833901</v>
      </c>
      <c r="R26" s="6">
        <v>0.18235398286868101</v>
      </c>
      <c r="S26" s="6">
        <v>0.20254484449770899</v>
      </c>
      <c r="T26" s="6">
        <v>-82.872214104928304</v>
      </c>
      <c r="U26" s="6">
        <v>-7.4258333331818598</v>
      </c>
      <c r="V26" s="6">
        <v>-10.342222222045599</v>
      </c>
      <c r="W26" s="6">
        <v>-9.7018589741927403</v>
      </c>
      <c r="X26" s="6">
        <v>-9.8466666665130003</v>
      </c>
      <c r="Y26" s="6">
        <v>-12.103333333155099</v>
      </c>
      <c r="Z26" s="6">
        <v>-7.1949999998487399</v>
      </c>
      <c r="AA26" s="6">
        <v>-11.038333333156</v>
      </c>
      <c r="AB26" s="6">
        <v>9.7018589741927403</v>
      </c>
      <c r="AC26" s="6">
        <v>0.18630089340894401</v>
      </c>
      <c r="AD26" s="6">
        <v>1.30339495478815</v>
      </c>
      <c r="AE26" s="6">
        <v>1.2967458754789301</v>
      </c>
      <c r="AF26" s="6">
        <v>1.2554646626483601</v>
      </c>
      <c r="AG26" s="6">
        <v>1.5079270752296401</v>
      </c>
      <c r="AH26" s="6">
        <v>-0.59710451466108705</v>
      </c>
      <c r="AI26" s="6">
        <v>17.88</v>
      </c>
      <c r="AJ26" s="6">
        <v>18.024000000000001</v>
      </c>
      <c r="AK26" s="6">
        <v>4.69652827536296E-3</v>
      </c>
      <c r="AL26" s="6">
        <v>1.4575390628538701E-2</v>
      </c>
      <c r="AM26" s="6">
        <v>12.92502</v>
      </c>
      <c r="AN26" s="6">
        <v>-131.9600977401</v>
      </c>
      <c r="AO26" s="6">
        <v>0.22667667769154201</v>
      </c>
      <c r="AP26" s="6">
        <v>0.22965960252127501</v>
      </c>
      <c r="AQ26" s="6">
        <v>0.22254678030219299</v>
      </c>
      <c r="AR26" s="6">
        <v>0.24450984842989901</v>
      </c>
      <c r="AS26" s="6">
        <v>0.23925056322303201</v>
      </c>
      <c r="AU26" s="6">
        <f t="shared" si="0"/>
        <v>0</v>
      </c>
      <c r="AV26" s="6">
        <f t="shared" si="1"/>
        <v>0</v>
      </c>
    </row>
    <row r="27" spans="1:48" x14ac:dyDescent="0.2">
      <c r="A27" t="s">
        <v>90</v>
      </c>
      <c r="B27" t="s">
        <v>67</v>
      </c>
      <c r="C27" t="s">
        <v>45</v>
      </c>
      <c r="D27">
        <v>48.24</v>
      </c>
      <c r="E27">
        <v>93.04</v>
      </c>
      <c r="F27">
        <v>-2.5192773576703201E-2</v>
      </c>
      <c r="G27">
        <v>-12495.285435674499</v>
      </c>
      <c r="H27">
        <v>1.0915277779214301</v>
      </c>
      <c r="I27">
        <v>1.1848611112788601</v>
      </c>
      <c r="J27">
        <v>1.5026820842800701</v>
      </c>
      <c r="K27">
        <v>-1.56999999985392</v>
      </c>
      <c r="L27">
        <v>-1.5683333331635001</v>
      </c>
      <c r="M27">
        <v>1.0433333334770301</v>
      </c>
      <c r="N27">
        <v>1.8133333335000801</v>
      </c>
      <c r="O27">
        <v>4.2557592746885096</v>
      </c>
      <c r="P27">
        <v>4.5862671504949597E-2</v>
      </c>
      <c r="Q27">
        <v>-1.43038253906758E-2</v>
      </c>
      <c r="R27">
        <v>-2.0970258816312901E-2</v>
      </c>
      <c r="S27">
        <v>-2.26910689409448E-2</v>
      </c>
      <c r="T27">
        <v>-20769.520670760801</v>
      </c>
      <c r="U27">
        <v>1.20319444458807</v>
      </c>
      <c r="V27">
        <v>1.0090277779440899</v>
      </c>
      <c r="W27">
        <v>1.2282158121221201</v>
      </c>
      <c r="X27">
        <v>-1.3483333331873799</v>
      </c>
      <c r="Y27">
        <v>-1.47333333316476</v>
      </c>
      <c r="Z27">
        <v>1.1600000001436801</v>
      </c>
      <c r="AA27">
        <v>1.1116666668328901</v>
      </c>
      <c r="AB27">
        <v>3.39448076923847</v>
      </c>
      <c r="AC27">
        <v>-1.44168683741358E-2</v>
      </c>
      <c r="AD27">
        <v>3.6523942849901001</v>
      </c>
      <c r="AE27">
        <v>3.9011344858453998</v>
      </c>
      <c r="AF27">
        <v>5.7701777278337802</v>
      </c>
      <c r="AG27">
        <v>3.4928779915852299</v>
      </c>
      <c r="AH27">
        <v>-68.759756234142003</v>
      </c>
      <c r="AI27">
        <v>26.974</v>
      </c>
      <c r="AJ27">
        <v>26.51</v>
      </c>
      <c r="AK27" s="1">
        <v>2.3214278875358E-11</v>
      </c>
      <c r="AL27" s="1">
        <v>4.0076035672123703E-8</v>
      </c>
      <c r="AM27">
        <v>16.021419999999999</v>
      </c>
      <c r="AN27">
        <v>-15796.9835685363</v>
      </c>
      <c r="AO27">
        <v>8.6894207926239503E-2</v>
      </c>
      <c r="AP27">
        <v>0.11025732583905</v>
      </c>
      <c r="AQ27">
        <v>0.11130692883925</v>
      </c>
      <c r="AR27">
        <v>0.14660369000697801</v>
      </c>
      <c r="AS27">
        <v>0.149614625206513</v>
      </c>
      <c r="AU27">
        <f t="shared" si="0"/>
        <v>0</v>
      </c>
      <c r="AV27">
        <f t="shared" si="1"/>
        <v>0</v>
      </c>
    </row>
    <row r="28" spans="1:48" x14ac:dyDescent="0.2">
      <c r="A28" t="s">
        <v>62</v>
      </c>
      <c r="B28" t="s">
        <v>49</v>
      </c>
      <c r="C28" t="s">
        <v>45</v>
      </c>
      <c r="D28">
        <v>5.3</v>
      </c>
      <c r="E28">
        <v>31.72</v>
      </c>
      <c r="F28">
        <v>6.9712354760621299E-3</v>
      </c>
      <c r="G28">
        <v>78.087662009494494</v>
      </c>
      <c r="H28">
        <v>0.80750000014390899</v>
      </c>
      <c r="I28">
        <v>-1.06277777760674</v>
      </c>
      <c r="J28">
        <v>-0.276882076095053</v>
      </c>
      <c r="K28">
        <v>-0.43833333318828799</v>
      </c>
      <c r="L28">
        <v>-1.83833333316223</v>
      </c>
      <c r="M28">
        <v>0.80166666681058296</v>
      </c>
      <c r="N28">
        <v>-1.5166666664958499</v>
      </c>
      <c r="O28">
        <v>3.5471048376072001</v>
      </c>
      <c r="P28">
        <v>7.6667294076405296E-2</v>
      </c>
      <c r="Q28">
        <v>-2.5410131167003002E-4</v>
      </c>
      <c r="R28">
        <v>2.5152179666337499E-2</v>
      </c>
      <c r="S28">
        <v>8.41956944489268E-3</v>
      </c>
      <c r="T28">
        <v>0.53797296031703801</v>
      </c>
      <c r="U28">
        <v>0.84083333347728295</v>
      </c>
      <c r="V28">
        <v>-1.2036111109427701</v>
      </c>
      <c r="W28">
        <v>-0.52619658103706601</v>
      </c>
      <c r="X28">
        <v>-0.21666666652175001</v>
      </c>
      <c r="Y28">
        <v>-1.74333333316451</v>
      </c>
      <c r="Z28">
        <v>1.7566666668097799</v>
      </c>
      <c r="AA28">
        <v>-1.16333333316503</v>
      </c>
      <c r="AB28">
        <v>2.6294444443915301</v>
      </c>
      <c r="AC28">
        <v>2.9099090206600502E-2</v>
      </c>
      <c r="AD28">
        <v>3.4128085792438299</v>
      </c>
      <c r="AE28">
        <v>2.5361856206220499</v>
      </c>
      <c r="AF28">
        <v>3.69077021804272</v>
      </c>
      <c r="AG28">
        <v>3.3327331091790602</v>
      </c>
      <c r="AH28">
        <v>0.89886309555708299</v>
      </c>
      <c r="AI28">
        <v>16.46</v>
      </c>
      <c r="AJ28">
        <v>16.353999999999999</v>
      </c>
      <c r="AK28">
        <v>0.12997007277859099</v>
      </c>
      <c r="AL28">
        <v>0.313881008079752</v>
      </c>
      <c r="AM28">
        <v>9.3468</v>
      </c>
      <c r="AN28">
        <v>188.761250066987</v>
      </c>
      <c r="AO28">
        <v>9.5907316033478504E-2</v>
      </c>
      <c r="AP28">
        <v>9.9848868630580095E-2</v>
      </c>
      <c r="AQ28">
        <v>0.100769435375008</v>
      </c>
      <c r="AR28">
        <v>0.14705686721486</v>
      </c>
      <c r="AS28">
        <v>0.15213500652280501</v>
      </c>
      <c r="AU28">
        <f t="shared" si="0"/>
        <v>0</v>
      </c>
      <c r="AV28">
        <f t="shared" si="1"/>
        <v>0</v>
      </c>
    </row>
    <row r="29" spans="1:48" x14ac:dyDescent="0.2">
      <c r="A29" t="s">
        <v>53</v>
      </c>
      <c r="B29" t="s">
        <v>49</v>
      </c>
      <c r="C29" t="s">
        <v>45</v>
      </c>
      <c r="D29">
        <v>95.3</v>
      </c>
      <c r="E29">
        <v>146.62</v>
      </c>
      <c r="F29">
        <v>1.8621138916588599E-3</v>
      </c>
      <c r="G29">
        <v>75.638096463302801</v>
      </c>
      <c r="H29">
        <v>7.1666666811242993E-2</v>
      </c>
      <c r="I29">
        <v>-0.237499999829615</v>
      </c>
      <c r="J29">
        <v>-1.20113218487916E-2</v>
      </c>
      <c r="K29">
        <v>-1.3766666665207601</v>
      </c>
      <c r="L29">
        <v>-0.928333333162909</v>
      </c>
      <c r="M29">
        <v>0.24166666681108301</v>
      </c>
      <c r="N29">
        <v>-0.40999999983005098</v>
      </c>
      <c r="O29">
        <v>2.8990588535836501</v>
      </c>
      <c r="P29">
        <v>4.82894926696424E-2</v>
      </c>
      <c r="Q29">
        <v>-8.1326623862052194E-2</v>
      </c>
      <c r="R29">
        <v>-1.3754905416231999E-3</v>
      </c>
      <c r="S29">
        <v>3.31044786048941E-3</v>
      </c>
      <c r="T29">
        <v>-107.35638995191</v>
      </c>
      <c r="U29">
        <v>0.12166666681127</v>
      </c>
      <c r="V29">
        <v>-0.359999999832471</v>
      </c>
      <c r="W29">
        <v>-0.20399572633635699</v>
      </c>
      <c r="X29">
        <v>-1.15499999985422</v>
      </c>
      <c r="Y29">
        <v>-0.83333333316537395</v>
      </c>
      <c r="Z29">
        <v>1.39833333347676</v>
      </c>
      <c r="AA29">
        <v>-0.31499999983251598</v>
      </c>
      <c r="AB29">
        <v>3.0098290597947002</v>
      </c>
      <c r="AC29">
        <v>2.5714199986396902E-3</v>
      </c>
      <c r="AD29">
        <v>4.5212083247491002</v>
      </c>
      <c r="AE29">
        <v>2.9851577356213999</v>
      </c>
      <c r="AF29">
        <v>5.9635710836996196</v>
      </c>
      <c r="AG29">
        <v>4.4727920679908602</v>
      </c>
      <c r="AH29">
        <v>-1.7476841525933999</v>
      </c>
      <c r="AI29">
        <v>15.311999999999999</v>
      </c>
      <c r="AJ29">
        <v>15.128</v>
      </c>
      <c r="AK29" s="1">
        <v>1.3740071216468699E-7</v>
      </c>
      <c r="AL29" s="1">
        <v>3.0403966349645702E-6</v>
      </c>
      <c r="AM29">
        <v>6.57294</v>
      </c>
      <c r="AN29">
        <v>-368.76135619720799</v>
      </c>
      <c r="AO29">
        <v>0.14720370894079399</v>
      </c>
      <c r="AP29">
        <v>7.7334035894828707E-2</v>
      </c>
      <c r="AQ29">
        <v>8.0073578188113198E-2</v>
      </c>
      <c r="AR29">
        <v>0.12744230424752401</v>
      </c>
      <c r="AS29">
        <v>0.13500265195984201</v>
      </c>
      <c r="AU29">
        <f t="shared" si="0"/>
        <v>0</v>
      </c>
      <c r="AV29">
        <f t="shared" si="1"/>
        <v>0</v>
      </c>
    </row>
    <row r="30" spans="1:48" s="3" customFormat="1" x14ac:dyDescent="0.2">
      <c r="A30" s="3" t="s">
        <v>48</v>
      </c>
      <c r="B30" s="3" t="s">
        <v>49</v>
      </c>
      <c r="C30" s="3" t="s">
        <v>45</v>
      </c>
      <c r="D30" s="3">
        <v>79.760000000000005</v>
      </c>
      <c r="E30" s="3">
        <v>114.02</v>
      </c>
      <c r="F30" s="3">
        <v>7.5432460066454697E-3</v>
      </c>
      <c r="G30" s="3">
        <v>119.652650307145</v>
      </c>
      <c r="H30" s="3">
        <v>0.21000000014445599</v>
      </c>
      <c r="I30" s="3">
        <v>-0.48458333316292201</v>
      </c>
      <c r="J30" s="3">
        <v>-9.4581090043787494E-2</v>
      </c>
      <c r="K30" s="3">
        <v>-0.90999999985452096</v>
      </c>
      <c r="L30" s="3">
        <v>-1.1349999998295299</v>
      </c>
      <c r="M30" s="3">
        <v>7.3333333477917206E-2</v>
      </c>
      <c r="N30" s="3">
        <v>-0.90666666649640304</v>
      </c>
      <c r="O30" s="3">
        <v>2.7451994411901901</v>
      </c>
      <c r="P30" s="3">
        <v>5.1417999638226901E-2</v>
      </c>
      <c r="Q30" s="3">
        <v>-8.2785007246174006E-2</v>
      </c>
      <c r="R30" s="3">
        <v>1.3861373790160499E-2</v>
      </c>
      <c r="S30" s="3">
        <v>8.9915799754760294E-3</v>
      </c>
      <c r="T30" s="3">
        <v>24.335440314321001</v>
      </c>
      <c r="U30" s="3">
        <v>0.43166666681099403</v>
      </c>
      <c r="V30" s="3">
        <v>-0.44249999983236898</v>
      </c>
      <c r="W30" s="3">
        <v>-0.23518162377236401</v>
      </c>
      <c r="X30" s="3">
        <v>-0.68833333318798395</v>
      </c>
      <c r="Y30" s="3">
        <v>-1.0399999998318199</v>
      </c>
      <c r="Z30" s="3">
        <v>1.4850000001433601</v>
      </c>
      <c r="AA30" s="3">
        <v>-0.27333333316585501</v>
      </c>
      <c r="AB30" s="3">
        <v>3.22189102560018</v>
      </c>
      <c r="AC30" s="3">
        <v>1.7808284330423401E-2</v>
      </c>
      <c r="AD30" s="3">
        <v>4.1974006697364601</v>
      </c>
      <c r="AE30" s="3">
        <v>2.6871664381777798</v>
      </c>
      <c r="AF30" s="3">
        <v>5.3897635535885797</v>
      </c>
      <c r="AG30" s="3">
        <v>4.8990928384724999</v>
      </c>
      <c r="AH30" s="3">
        <v>-6.1506164546402404</v>
      </c>
      <c r="AI30" s="3">
        <v>16.66</v>
      </c>
      <c r="AJ30" s="3">
        <v>16.399999999999999</v>
      </c>
      <c r="AK30" s="4">
        <v>2.3373474577725998E-27</v>
      </c>
      <c r="AL30" s="4">
        <v>9.5215441846186597E-21</v>
      </c>
      <c r="AM30" s="3">
        <v>7.6254999999999997</v>
      </c>
      <c r="AN30" s="3">
        <v>-1297.7800719290899</v>
      </c>
      <c r="AO30" s="3">
        <v>0.14875008780832899</v>
      </c>
      <c r="AP30" s="3">
        <v>6.4371536619642206E-2</v>
      </c>
      <c r="AQ30" s="3">
        <v>6.5522724883967196E-2</v>
      </c>
      <c r="AR30" s="3">
        <v>0.113944467847533</v>
      </c>
      <c r="AS30" s="3">
        <v>0.12060560489164</v>
      </c>
      <c r="AU30" s="3">
        <f t="shared" si="0"/>
        <v>1</v>
      </c>
      <c r="AV30" s="3">
        <f t="shared" si="1"/>
        <v>0</v>
      </c>
    </row>
    <row r="31" spans="1:48" s="3" customFormat="1" x14ac:dyDescent="0.2">
      <c r="A31" s="3" t="s">
        <v>46</v>
      </c>
      <c r="B31" s="3" t="s">
        <v>47</v>
      </c>
      <c r="C31" s="3" t="s">
        <v>45</v>
      </c>
      <c r="D31" s="3">
        <v>6.66</v>
      </c>
      <c r="E31" s="3">
        <v>18.78</v>
      </c>
      <c r="F31" s="3">
        <v>7.6763343440831404E-3</v>
      </c>
      <c r="G31" s="3">
        <v>94.001889054877793</v>
      </c>
      <c r="H31" s="3">
        <v>0.71444444458844802</v>
      </c>
      <c r="I31" s="3">
        <v>-0.657777777607225</v>
      </c>
      <c r="J31" s="3">
        <v>-0.23950903247192901</v>
      </c>
      <c r="K31" s="3">
        <v>-1.16666666652095</v>
      </c>
      <c r="L31" s="3">
        <v>-1.26499999982953</v>
      </c>
      <c r="M31" s="3">
        <v>1.2500000001435201</v>
      </c>
      <c r="N31" s="3">
        <v>-0.92999999982984205</v>
      </c>
      <c r="O31" s="3">
        <v>2.6148565479816601</v>
      </c>
      <c r="P31" s="3">
        <v>5.1937104875293398E-2</v>
      </c>
      <c r="Q31" s="3">
        <v>-8.4438908645910796E-4</v>
      </c>
      <c r="R31" s="3">
        <v>1.71728454390211E-2</v>
      </c>
      <c r="S31" s="3">
        <v>9.1246683129137095E-3</v>
      </c>
      <c r="T31" s="3">
        <v>-90.291452482544599</v>
      </c>
      <c r="U31" s="3">
        <v>0.76111111125514497</v>
      </c>
      <c r="V31" s="3">
        <v>-0.79777777760981705</v>
      </c>
      <c r="W31" s="3">
        <v>-0.40967948702037799</v>
      </c>
      <c r="X31" s="3">
        <v>-0.94499999985441696</v>
      </c>
      <c r="Y31" s="3">
        <v>-1.1699999998316899</v>
      </c>
      <c r="Z31" s="3">
        <v>2.2766666668093101</v>
      </c>
      <c r="AA31" s="3">
        <v>-0.596666666498886</v>
      </c>
      <c r="AB31" s="3">
        <v>3.0419444444036898</v>
      </c>
      <c r="AC31" s="3">
        <v>2.1119755979284002E-2</v>
      </c>
      <c r="AD31" s="3">
        <v>4.4126953401981197</v>
      </c>
      <c r="AE31" s="3">
        <v>2.7679389534597698</v>
      </c>
      <c r="AF31" s="3">
        <v>5.8748664294489101</v>
      </c>
      <c r="AG31" s="3">
        <v>5.1441763001250198</v>
      </c>
      <c r="AH31" s="3">
        <v>1.3853499635858399</v>
      </c>
      <c r="AI31" s="3">
        <v>15.937999999999899</v>
      </c>
      <c r="AJ31" s="3">
        <v>15.654</v>
      </c>
      <c r="AK31" s="3">
        <v>0.39578650438116297</v>
      </c>
      <c r="AL31" s="3">
        <v>0.44801973163577002</v>
      </c>
      <c r="AM31" s="3">
        <v>5.0110799999999998</v>
      </c>
      <c r="AN31" s="3">
        <v>318.63049162474402</v>
      </c>
      <c r="AO31" s="3">
        <v>5.8474357049944699E-2</v>
      </c>
      <c r="AP31" s="3">
        <v>7.0729545808179195E-2</v>
      </c>
      <c r="AQ31" s="3">
        <v>7.3146089689507102E-2</v>
      </c>
      <c r="AR31" s="3">
        <v>0.12232948126696699</v>
      </c>
      <c r="AS31" s="3">
        <v>0.13057559886935899</v>
      </c>
      <c r="AU31" s="3">
        <f t="shared" si="0"/>
        <v>1</v>
      </c>
      <c r="AV31" s="3">
        <f t="shared" si="1"/>
        <v>0</v>
      </c>
    </row>
    <row r="32" spans="1:48" x14ac:dyDescent="0.2">
      <c r="A32" t="s">
        <v>61</v>
      </c>
      <c r="B32" t="s">
        <v>47</v>
      </c>
      <c r="C32" t="s">
        <v>45</v>
      </c>
      <c r="D32">
        <v>57.94</v>
      </c>
      <c r="E32">
        <v>137.44</v>
      </c>
      <c r="F32">
        <v>2.1902006251467002E-2</v>
      </c>
      <c r="G32">
        <v>58.566299875252803</v>
      </c>
      <c r="H32">
        <v>6.4166666811252104E-2</v>
      </c>
      <c r="I32">
        <v>-1.7783333331617499</v>
      </c>
      <c r="J32">
        <v>-1.19552616348893</v>
      </c>
      <c r="K32">
        <v>-1.56833333318727</v>
      </c>
      <c r="L32">
        <v>-2.5349999998283699</v>
      </c>
      <c r="M32">
        <v>0.35000000014432298</v>
      </c>
      <c r="N32">
        <v>-2.2649999998286199</v>
      </c>
      <c r="O32">
        <v>3.1964493005635601</v>
      </c>
      <c r="P32">
        <v>4.7851499671358197E-2</v>
      </c>
      <c r="Q32">
        <v>4.1710579750252302E-2</v>
      </c>
      <c r="R32">
        <v>4.0778521974218801E-2</v>
      </c>
      <c r="S32">
        <v>2.33503402202975E-2</v>
      </c>
      <c r="T32">
        <v>-182.745745517725</v>
      </c>
      <c r="U32">
        <v>0.34083333347773498</v>
      </c>
      <c r="V32">
        <v>-1.91749999983101</v>
      </c>
      <c r="W32">
        <v>-1.4074572647974299</v>
      </c>
      <c r="X32">
        <v>-1.3466666665207301</v>
      </c>
      <c r="Y32">
        <v>-2.4399999998305399</v>
      </c>
      <c r="Z32">
        <v>1.9250000001429599</v>
      </c>
      <c r="AA32">
        <v>-1.88166666649771</v>
      </c>
      <c r="AB32">
        <v>3.4494658119125901</v>
      </c>
      <c r="AC32">
        <v>4.47254325144818E-2</v>
      </c>
      <c r="AD32">
        <v>4.2352557108513702</v>
      </c>
      <c r="AE32">
        <v>1.78991192286189</v>
      </c>
      <c r="AF32">
        <v>6.3885913561985497</v>
      </c>
      <c r="AG32">
        <v>4.6443009797697004</v>
      </c>
      <c r="AH32">
        <v>0.19810863249671901</v>
      </c>
      <c r="AI32">
        <v>15.68</v>
      </c>
      <c r="AJ32">
        <v>15.56</v>
      </c>
      <c r="AK32">
        <v>7.0290249148471798E-4</v>
      </c>
      <c r="AL32">
        <v>1.4954461323506299E-3</v>
      </c>
      <c r="AM32">
        <v>5.73414</v>
      </c>
      <c r="AN32">
        <v>45.564985474245503</v>
      </c>
      <c r="AO32">
        <v>9.1432168286048499E-2</v>
      </c>
      <c r="AP32">
        <v>7.8384458209007704E-2</v>
      </c>
      <c r="AQ32">
        <v>8.2869768878605699E-2</v>
      </c>
      <c r="AR32">
        <v>0.130575009324883</v>
      </c>
      <c r="AS32">
        <v>0.14044905392343299</v>
      </c>
      <c r="AU32">
        <f t="shared" si="0"/>
        <v>0</v>
      </c>
      <c r="AV32">
        <f t="shared" si="1"/>
        <v>0</v>
      </c>
    </row>
    <row r="33" spans="1:48" x14ac:dyDescent="0.2">
      <c r="A33" t="s">
        <v>50</v>
      </c>
      <c r="B33" t="s">
        <v>47</v>
      </c>
      <c r="C33" t="s">
        <v>45</v>
      </c>
      <c r="D33">
        <v>5.04</v>
      </c>
      <c r="E33">
        <v>17.059999999999999</v>
      </c>
      <c r="F33">
        <v>-3.9838742125373597E-2</v>
      </c>
      <c r="G33">
        <v>80.627658268038203</v>
      </c>
      <c r="H33">
        <v>3.6083333334746799</v>
      </c>
      <c r="I33">
        <v>1.94083333350149</v>
      </c>
      <c r="J33">
        <v>2.4627764135621302</v>
      </c>
      <c r="K33">
        <v>1.7083333334763899</v>
      </c>
      <c r="L33">
        <v>0.86500000016854695</v>
      </c>
      <c r="M33">
        <v>5.1150000001399798</v>
      </c>
      <c r="N33">
        <v>2.32666666683388</v>
      </c>
      <c r="O33">
        <v>3.56653266701796</v>
      </c>
      <c r="P33">
        <v>5.3938721569852799E-2</v>
      </c>
      <c r="Q33">
        <v>-2.3462039619493499E-2</v>
      </c>
      <c r="R33">
        <v>-2.8940968839759398E-2</v>
      </c>
      <c r="S33">
        <v>-3.8390408156543099E-2</v>
      </c>
      <c r="T33">
        <v>-54.559026184033101</v>
      </c>
      <c r="U33">
        <v>3.5547222223636901</v>
      </c>
      <c r="V33">
        <v>1.8175000001656001</v>
      </c>
      <c r="W33">
        <v>2.2148931625508101</v>
      </c>
      <c r="X33">
        <v>1.9300000001429301</v>
      </c>
      <c r="Y33">
        <v>0.96000000016638298</v>
      </c>
      <c r="Z33">
        <v>5.1633333334733402</v>
      </c>
      <c r="AA33">
        <v>2.5300000001649501</v>
      </c>
      <c r="AB33">
        <v>3.0863888889439499</v>
      </c>
      <c r="AC33">
        <v>-2.49940582994965E-2</v>
      </c>
      <c r="AD33">
        <v>4.4082111095784402</v>
      </c>
      <c r="AE33">
        <v>4.34239164336537</v>
      </c>
      <c r="AF33">
        <v>3.6147673656806099</v>
      </c>
      <c r="AG33">
        <v>4.1880072115051803</v>
      </c>
      <c r="AH33">
        <v>1.2916605341994201</v>
      </c>
      <c r="AI33">
        <v>16.795999999999999</v>
      </c>
      <c r="AJ33">
        <v>16.510000000000002</v>
      </c>
      <c r="AK33">
        <v>0.31358080250658898</v>
      </c>
      <c r="AL33">
        <v>0.399068279304996</v>
      </c>
      <c r="AM33">
        <v>6.6243799999999897</v>
      </c>
      <c r="AN33">
        <v>297.081922865867</v>
      </c>
      <c r="AO33">
        <v>6.3885106389459795E-2</v>
      </c>
      <c r="AP33">
        <v>7.9023810291841703E-2</v>
      </c>
      <c r="AQ33">
        <v>7.8610100082998194E-2</v>
      </c>
      <c r="AR33">
        <v>0.121506605841527</v>
      </c>
      <c r="AS33">
        <v>0.127308549419518</v>
      </c>
      <c r="AU33">
        <f t="shared" si="0"/>
        <v>0</v>
      </c>
      <c r="AV33">
        <f t="shared" si="1"/>
        <v>0</v>
      </c>
    </row>
    <row r="34" spans="1:48" x14ac:dyDescent="0.2">
      <c r="A34" t="s">
        <v>69</v>
      </c>
      <c r="B34" t="s">
        <v>47</v>
      </c>
      <c r="C34" t="s">
        <v>45</v>
      </c>
      <c r="D34">
        <v>39.72</v>
      </c>
      <c r="E34">
        <v>129.1</v>
      </c>
      <c r="F34">
        <v>2.52642968263934E-2</v>
      </c>
      <c r="G34">
        <v>45.818898695941499</v>
      </c>
      <c r="H34">
        <v>0.53083333347750405</v>
      </c>
      <c r="I34">
        <v>-2.1958333331615898</v>
      </c>
      <c r="J34">
        <v>-1.0154639340523099</v>
      </c>
      <c r="K34">
        <v>-1.3133333331874799</v>
      </c>
      <c r="L34">
        <v>-2.9716666664948299</v>
      </c>
      <c r="M34">
        <v>1.1650000001436001</v>
      </c>
      <c r="N34">
        <v>-2.65999999982846</v>
      </c>
      <c r="O34">
        <v>3.7945501162559698</v>
      </c>
      <c r="P34">
        <v>5.10892059843416E-2</v>
      </c>
      <c r="Q34">
        <v>3.7716006851931098E-2</v>
      </c>
      <c r="R34">
        <v>6.5139706095365901E-2</v>
      </c>
      <c r="S34">
        <v>2.6712630795223999E-2</v>
      </c>
      <c r="T34">
        <v>-141.26511910093899</v>
      </c>
      <c r="U34">
        <v>0.57250000014420599</v>
      </c>
      <c r="V34">
        <v>-2.32999999983066</v>
      </c>
      <c r="W34">
        <v>-1.2457051280457501</v>
      </c>
      <c r="X34">
        <v>-1.09166666652095</v>
      </c>
      <c r="Y34">
        <v>-2.8766666664968299</v>
      </c>
      <c r="Z34">
        <v>2.0666666668095099</v>
      </c>
      <c r="AA34">
        <v>-2.2599999998307201</v>
      </c>
      <c r="AB34">
        <v>3.3333547007953999</v>
      </c>
      <c r="AC34">
        <v>6.9086616635628803E-2</v>
      </c>
      <c r="AD34">
        <v>4.4625253159223002</v>
      </c>
      <c r="AE34">
        <v>1.8234899333580701</v>
      </c>
      <c r="AF34">
        <v>5.6081170331083596</v>
      </c>
      <c r="AG34">
        <v>4.8438517989490002</v>
      </c>
      <c r="AH34">
        <v>0.51689167148370296</v>
      </c>
      <c r="AI34">
        <v>16.88</v>
      </c>
      <c r="AJ34">
        <v>16.596</v>
      </c>
      <c r="AK34">
        <v>3.8011244663463798E-3</v>
      </c>
      <c r="AL34">
        <v>1.6987075585242099E-2</v>
      </c>
      <c r="AM34">
        <v>8.0599600000000002</v>
      </c>
      <c r="AN34">
        <v>118.885084441251</v>
      </c>
      <c r="AO34">
        <v>8.8401311470951094E-2</v>
      </c>
      <c r="AP34">
        <v>8.8455571901420504E-2</v>
      </c>
      <c r="AQ34">
        <v>9.4278377951311595E-2</v>
      </c>
      <c r="AR34">
        <v>0.13551190191406801</v>
      </c>
      <c r="AS34">
        <v>0.14616688703622399</v>
      </c>
      <c r="AU34">
        <f t="shared" si="0"/>
        <v>0</v>
      </c>
      <c r="AV34">
        <f t="shared" si="1"/>
        <v>0</v>
      </c>
    </row>
    <row r="35" spans="1:48" x14ac:dyDescent="0.2">
      <c r="A35" t="s">
        <v>54</v>
      </c>
      <c r="B35" t="s">
        <v>55</v>
      </c>
      <c r="C35" t="s">
        <v>45</v>
      </c>
      <c r="D35">
        <v>7.58</v>
      </c>
      <c r="E35">
        <v>29.7</v>
      </c>
      <c r="F35">
        <v>-2.8513761171380402E-2</v>
      </c>
      <c r="G35">
        <v>65.192965286604604</v>
      </c>
      <c r="H35">
        <v>2.13152777792047</v>
      </c>
      <c r="I35">
        <v>1.6854166668356101</v>
      </c>
      <c r="J35">
        <v>1.89323425433308</v>
      </c>
      <c r="K35">
        <v>-0.40999999985498498</v>
      </c>
      <c r="L35">
        <v>-0.88166666649660297</v>
      </c>
      <c r="M35">
        <v>4.1866666668074899</v>
      </c>
      <c r="N35">
        <v>2.8516666668344901</v>
      </c>
      <c r="O35">
        <v>3.3808235605678401</v>
      </c>
      <c r="P35">
        <v>0.06</v>
      </c>
      <c r="Q35">
        <v>-2.3802628538920002E-2</v>
      </c>
      <c r="R35">
        <v>-2.2309147357940599E-2</v>
      </c>
      <c r="S35">
        <v>-2.70654272025499E-2</v>
      </c>
      <c r="T35">
        <v>-46.281548562900703</v>
      </c>
      <c r="U35">
        <v>2.1331944445872102</v>
      </c>
      <c r="V35">
        <v>1.4784722223880999</v>
      </c>
      <c r="W35">
        <v>1.6009636753721199</v>
      </c>
      <c r="X35">
        <v>-0.188333333188447</v>
      </c>
      <c r="Y35">
        <v>-0.78666666649870398</v>
      </c>
      <c r="Z35">
        <v>2.8550000001420899</v>
      </c>
      <c r="AA35">
        <v>1.9733333334987699</v>
      </c>
      <c r="AB35">
        <v>2.7343952992008602</v>
      </c>
      <c r="AC35">
        <v>-1.83622368176777E-2</v>
      </c>
      <c r="AD35">
        <v>3.9088718425649298</v>
      </c>
      <c r="AE35">
        <v>3.3671381075446098</v>
      </c>
      <c r="AF35">
        <v>3.6106825698772198</v>
      </c>
      <c r="AG35">
        <v>3.9731776308936801</v>
      </c>
      <c r="AH35">
        <v>0.78426301255516195</v>
      </c>
      <c r="AI35">
        <v>25.92</v>
      </c>
      <c r="AJ35">
        <v>25.495999999999999</v>
      </c>
      <c r="AK35">
        <v>0.114846699093629</v>
      </c>
      <c r="AL35">
        <v>0.18784038723886201</v>
      </c>
      <c r="AM35">
        <v>18.823499999999999</v>
      </c>
      <c r="AN35">
        <v>86.268931381067802</v>
      </c>
      <c r="AO35">
        <v>8.9406409340725898E-2</v>
      </c>
      <c r="AP35">
        <v>9.1466726630152595E-2</v>
      </c>
      <c r="AQ35">
        <v>9.1695988292109204E-2</v>
      </c>
      <c r="AR35">
        <v>0.131849630255823</v>
      </c>
      <c r="AS35">
        <v>0.13763788228941101</v>
      </c>
      <c r="AU35">
        <f t="shared" si="0"/>
        <v>0</v>
      </c>
      <c r="AV35">
        <f t="shared" si="1"/>
        <v>0</v>
      </c>
    </row>
    <row r="36" spans="1:48" x14ac:dyDescent="0.2">
      <c r="A36" t="s">
        <v>89</v>
      </c>
      <c r="B36" t="s">
        <v>55</v>
      </c>
      <c r="C36" t="s">
        <v>45</v>
      </c>
      <c r="D36">
        <v>38.56</v>
      </c>
      <c r="E36">
        <v>68.22</v>
      </c>
      <c r="F36">
        <v>-6.34995998017218E-3</v>
      </c>
      <c r="G36">
        <v>-396.60348581460198</v>
      </c>
      <c r="H36">
        <v>-0.64499999985476197</v>
      </c>
      <c r="I36">
        <v>1.03836507953427</v>
      </c>
      <c r="J36">
        <v>0.44040214662763599</v>
      </c>
      <c r="K36">
        <v>-5.8566666665166904</v>
      </c>
      <c r="L36">
        <v>-5.5866666664931701</v>
      </c>
      <c r="M36">
        <v>-1.08666666652104</v>
      </c>
      <c r="N36">
        <v>3.13500000016752</v>
      </c>
      <c r="O36">
        <v>3.9376230393532299</v>
      </c>
      <c r="P36">
        <v>6.2022402129913397E-2</v>
      </c>
      <c r="Q36">
        <v>4.4707997236301802E-3</v>
      </c>
      <c r="R36">
        <v>-3.6827673407458697E-2</v>
      </c>
      <c r="S36">
        <v>-4.9016260113416898E-3</v>
      </c>
      <c r="T36">
        <v>-732.25807205109402</v>
      </c>
      <c r="U36">
        <v>-0.42333333318822403</v>
      </c>
      <c r="V36">
        <v>0.41458730175415498</v>
      </c>
      <c r="W36">
        <v>1.24951670302621E-2</v>
      </c>
      <c r="X36">
        <v>-5.6349999998501596</v>
      </c>
      <c r="Y36">
        <v>-5.8466666664941203</v>
      </c>
      <c r="Z36">
        <v>0.28500000014447302</v>
      </c>
      <c r="AA36">
        <v>0.44000000016683699</v>
      </c>
      <c r="AB36">
        <v>2.5209231277898798</v>
      </c>
      <c r="AC36">
        <v>-3.2880762867195802E-2</v>
      </c>
      <c r="AD36">
        <v>3.74586326637644</v>
      </c>
      <c r="AE36">
        <v>3.4903845634445201</v>
      </c>
      <c r="AF36">
        <v>3.42892985715973</v>
      </c>
      <c r="AG36">
        <v>3.1044185706811001</v>
      </c>
      <c r="AH36">
        <v>-3.9396882344723099</v>
      </c>
      <c r="AI36">
        <v>49.326000000000001</v>
      </c>
      <c r="AJ36">
        <v>48.665999999999997</v>
      </c>
      <c r="AK36" s="1">
        <v>1.8621518303761101E-12</v>
      </c>
      <c r="AL36" s="1">
        <v>9.8558828585300506E-7</v>
      </c>
      <c r="AM36">
        <v>44.898459999999901</v>
      </c>
      <c r="AN36">
        <v>-433.36570579195399</v>
      </c>
      <c r="AO36">
        <v>0.128123419076072</v>
      </c>
      <c r="AP36">
        <v>0.12990681726591</v>
      </c>
      <c r="AQ36">
        <v>0.12883906263966999</v>
      </c>
      <c r="AR36">
        <v>0.15855305208075801</v>
      </c>
      <c r="AS36">
        <v>0.16115390416960501</v>
      </c>
      <c r="AU36">
        <f t="shared" si="0"/>
        <v>0</v>
      </c>
      <c r="AV36">
        <f t="shared" si="1"/>
        <v>0</v>
      </c>
    </row>
    <row r="37" spans="1:48" x14ac:dyDescent="0.2">
      <c r="A37" t="s">
        <v>74</v>
      </c>
      <c r="B37" t="s">
        <v>55</v>
      </c>
      <c r="C37" t="s">
        <v>45</v>
      </c>
      <c r="D37">
        <v>21.04</v>
      </c>
      <c r="E37">
        <v>58.24</v>
      </c>
      <c r="F37">
        <v>-1.15010278758067E-2</v>
      </c>
      <c r="G37">
        <v>5.7893044992357003</v>
      </c>
      <c r="H37">
        <v>0.130626984271528</v>
      </c>
      <c r="I37">
        <v>1.8042539684222101</v>
      </c>
      <c r="J37">
        <v>0.748471934973576</v>
      </c>
      <c r="K37">
        <v>-5.4483333331837098</v>
      </c>
      <c r="L37">
        <v>-4.3016666664943104</v>
      </c>
      <c r="M37">
        <v>0.421666666810947</v>
      </c>
      <c r="N37">
        <v>4.7466666668327697</v>
      </c>
      <c r="O37">
        <v>3.8767984088693499</v>
      </c>
      <c r="P37">
        <v>6.9074211563537005E-2</v>
      </c>
      <c r="Q37">
        <v>3.7435693413968201E-3</v>
      </c>
      <c r="R37">
        <v>-3.2275191304178601E-2</v>
      </c>
      <c r="S37">
        <v>-1.00526939069762E-2</v>
      </c>
      <c r="T37">
        <v>-61.615941865198501</v>
      </c>
      <c r="U37">
        <v>0.27329365093813801</v>
      </c>
      <c r="V37">
        <v>1.3498373017533101</v>
      </c>
      <c r="W37">
        <v>0.41350595254057698</v>
      </c>
      <c r="X37">
        <v>-5.2266666665171702</v>
      </c>
      <c r="Y37">
        <v>-4.3249999998288402</v>
      </c>
      <c r="Z37">
        <v>1.6650000001431899</v>
      </c>
      <c r="AA37">
        <v>3.21333333349763</v>
      </c>
      <c r="AB37">
        <v>2.2632495421358199</v>
      </c>
      <c r="AC37">
        <v>-2.8328280763915699E-2</v>
      </c>
      <c r="AD37">
        <v>3.40225931517362</v>
      </c>
      <c r="AE37">
        <v>2.9279004285742598</v>
      </c>
      <c r="AF37">
        <v>2.96281593361971</v>
      </c>
      <c r="AG37">
        <v>2.8255208628934501</v>
      </c>
      <c r="AH37">
        <v>-2.7038280654810998E-2</v>
      </c>
      <c r="AI37">
        <v>45.527999999999999</v>
      </c>
      <c r="AJ37">
        <v>44.786000000000001</v>
      </c>
      <c r="AK37">
        <v>8.1217704914206702E-4</v>
      </c>
      <c r="AL37">
        <v>8.3939062336586701E-3</v>
      </c>
      <c r="AM37">
        <v>41.330359999999999</v>
      </c>
      <c r="AN37">
        <v>-3.21755539792251</v>
      </c>
      <c r="AO37">
        <v>0.13018950898850101</v>
      </c>
      <c r="AP37">
        <v>0.128009704907871</v>
      </c>
      <c r="AQ37">
        <v>0.12878492266216299</v>
      </c>
      <c r="AR37">
        <v>0.156293686226747</v>
      </c>
      <c r="AS37">
        <v>0.16059240770672201</v>
      </c>
      <c r="AU37">
        <f t="shared" si="0"/>
        <v>0</v>
      </c>
      <c r="AV37">
        <f t="shared" si="1"/>
        <v>0</v>
      </c>
    </row>
    <row r="38" spans="1:48" x14ac:dyDescent="0.2">
      <c r="A38" t="s">
        <v>115</v>
      </c>
      <c r="B38" t="s">
        <v>55</v>
      </c>
      <c r="C38" t="s">
        <v>45</v>
      </c>
      <c r="D38">
        <v>2.6</v>
      </c>
      <c r="E38">
        <v>8.18</v>
      </c>
      <c r="F38">
        <v>5.9007795538273599E-3</v>
      </c>
      <c r="G38">
        <v>51.0443735685596</v>
      </c>
      <c r="H38">
        <v>-0.48899999985489301</v>
      </c>
      <c r="I38">
        <v>0.14127777794756299</v>
      </c>
      <c r="J38">
        <v>-0.18300753033571099</v>
      </c>
      <c r="K38">
        <v>-5.3933333331837598</v>
      </c>
      <c r="L38">
        <v>-5.0349999998269599</v>
      </c>
      <c r="M38">
        <v>0.87333333347720798</v>
      </c>
      <c r="N38">
        <v>1.67333333350224</v>
      </c>
      <c r="O38">
        <v>3.8581957610109701</v>
      </c>
      <c r="P38">
        <v>0.11516602346682001</v>
      </c>
      <c r="Q38">
        <v>7.7277427294147102E-4</v>
      </c>
      <c r="R38">
        <v>-9.0058021621138397E-4</v>
      </c>
      <c r="S38">
        <v>7.3491135226578996E-3</v>
      </c>
      <c r="T38">
        <v>13.929167870342701</v>
      </c>
      <c r="U38">
        <v>-0.79663888874342903</v>
      </c>
      <c r="V38">
        <v>1.7833333500542298E-2</v>
      </c>
      <c r="W38">
        <v>-0.58541300350297798</v>
      </c>
      <c r="X38">
        <v>-6.1499999998496699</v>
      </c>
      <c r="Y38">
        <v>-5.0566666664948396</v>
      </c>
      <c r="Z38">
        <v>-0.34666666652160499</v>
      </c>
      <c r="AA38">
        <v>0.77166666683318896</v>
      </c>
      <c r="AB38">
        <v>2.8276523198744998</v>
      </c>
      <c r="AC38">
        <v>3.0463303240515298E-3</v>
      </c>
      <c r="AD38">
        <v>2.28057325314471</v>
      </c>
      <c r="AE38">
        <v>2.3318429652841601</v>
      </c>
      <c r="AF38">
        <v>2.4978059616822099</v>
      </c>
      <c r="AG38">
        <v>2.5407550998617299</v>
      </c>
      <c r="AH38">
        <v>0.57070977388259603</v>
      </c>
      <c r="AI38">
        <v>38.786000000000001</v>
      </c>
      <c r="AJ38">
        <v>38.19</v>
      </c>
      <c r="AK38">
        <v>0.339864241131907</v>
      </c>
      <c r="AL38">
        <v>0.57695110434047603</v>
      </c>
      <c r="AM38">
        <v>34.500959999999999</v>
      </c>
      <c r="AN38">
        <v>58.212396936024803</v>
      </c>
      <c r="AO38">
        <v>0.14228236711266901</v>
      </c>
      <c r="AP38">
        <v>0.135882055882729</v>
      </c>
      <c r="AQ38">
        <v>0.129385441541712</v>
      </c>
      <c r="AR38">
        <v>0.16773960770421401</v>
      </c>
      <c r="AS38">
        <v>0.16680280250078899</v>
      </c>
      <c r="AU38">
        <f t="shared" si="0"/>
        <v>0</v>
      </c>
      <c r="AV38">
        <f t="shared" si="1"/>
        <v>0</v>
      </c>
    </row>
    <row r="39" spans="1:48" x14ac:dyDescent="0.2">
      <c r="A39" t="s">
        <v>84</v>
      </c>
      <c r="B39" t="s">
        <v>85</v>
      </c>
      <c r="C39" t="s">
        <v>45</v>
      </c>
      <c r="D39">
        <v>73.94</v>
      </c>
      <c r="E39">
        <v>140.46</v>
      </c>
      <c r="F39">
        <v>4.0708964035400599E-2</v>
      </c>
      <c r="G39">
        <v>-11.2388510571441</v>
      </c>
      <c r="H39">
        <v>-5.63166666651688</v>
      </c>
      <c r="I39">
        <v>2.0116666668333298</v>
      </c>
      <c r="J39">
        <v>0.35686535699244698</v>
      </c>
      <c r="K39">
        <v>-5.63166666651688</v>
      </c>
      <c r="L39">
        <v>2.0116666668333298</v>
      </c>
      <c r="M39">
        <v>-5.63166666651688</v>
      </c>
      <c r="N39">
        <v>2.0116666668333298</v>
      </c>
      <c r="O39">
        <v>13.460346560972001</v>
      </c>
      <c r="P39">
        <v>0.205006626776051</v>
      </c>
      <c r="Q39">
        <v>0.110451548392184</v>
      </c>
      <c r="R39">
        <v>-9.3239280237557301E-2</v>
      </c>
      <c r="S39">
        <v>4.2157298004231097E-2</v>
      </c>
      <c r="T39">
        <v>-9.3720879963073092</v>
      </c>
      <c r="U39">
        <v>-5.4099999998503403</v>
      </c>
      <c r="V39">
        <v>2.10666666683204</v>
      </c>
      <c r="W39">
        <v>0.21858974371742099</v>
      </c>
      <c r="X39">
        <v>-5.4099999998503403</v>
      </c>
      <c r="Y39">
        <v>2.10666666683204</v>
      </c>
      <c r="Z39">
        <v>-5.4099999998503403</v>
      </c>
      <c r="AA39">
        <v>2.10666666683204</v>
      </c>
      <c r="AB39">
        <v>1.9560256410213099</v>
      </c>
      <c r="AC39">
        <v>-8.9292369697294302E-2</v>
      </c>
      <c r="AD39">
        <v>1.0471220015171301</v>
      </c>
      <c r="AE39">
        <v>0.83263971115069302</v>
      </c>
      <c r="AF39">
        <v>1.03964848707635</v>
      </c>
      <c r="AG39">
        <v>0.83319925422017105</v>
      </c>
      <c r="AH39">
        <v>-10.5038407754435</v>
      </c>
      <c r="AI39">
        <v>10.74</v>
      </c>
      <c r="AJ39">
        <v>10.82</v>
      </c>
      <c r="AK39">
        <v>0</v>
      </c>
      <c r="AL39" s="1">
        <v>4.5726135843084799E-36</v>
      </c>
      <c r="AM39">
        <v>1.6128399999999901</v>
      </c>
      <c r="AN39">
        <v>-2352.8603336993601</v>
      </c>
      <c r="AO39">
        <v>0.18440558844432001</v>
      </c>
      <c r="AP39">
        <v>0.173332089838554</v>
      </c>
      <c r="AQ39">
        <v>0.14302320355536999</v>
      </c>
      <c r="AR39">
        <v>0.15129286237807499</v>
      </c>
      <c r="AS39">
        <v>0.109487232056336</v>
      </c>
      <c r="AU39">
        <f t="shared" si="0"/>
        <v>0</v>
      </c>
      <c r="AV39">
        <f t="shared" si="1"/>
        <v>0</v>
      </c>
    </row>
    <row r="40" spans="1:48" x14ac:dyDescent="0.2">
      <c r="A40" t="s">
        <v>107</v>
      </c>
      <c r="B40" t="s">
        <v>85</v>
      </c>
      <c r="C40" t="s">
        <v>45</v>
      </c>
      <c r="D40">
        <v>182.54</v>
      </c>
      <c r="E40">
        <v>206.12</v>
      </c>
      <c r="F40">
        <v>-0.19050764744750101</v>
      </c>
      <c r="G40">
        <v>-2406.55747683236</v>
      </c>
      <c r="H40">
        <v>9.7833333334690593</v>
      </c>
      <c r="I40">
        <v>14.495000000144801</v>
      </c>
      <c r="J40">
        <v>13.2341371823769</v>
      </c>
      <c r="K40">
        <v>9.7833333334690593</v>
      </c>
      <c r="L40">
        <v>13.895000000144799</v>
      </c>
      <c r="M40">
        <v>9.7833333334690593</v>
      </c>
      <c r="N40">
        <v>13.895000000144799</v>
      </c>
      <c r="O40">
        <v>14.624646450218499</v>
      </c>
      <c r="P40">
        <v>2.3048612789611098E-2</v>
      </c>
      <c r="Q40">
        <v>-7.4893990921024806E-2</v>
      </c>
      <c r="R40">
        <v>-0.20628834912416699</v>
      </c>
      <c r="S40">
        <v>-0.18905931347867</v>
      </c>
      <c r="T40">
        <v>-2335.1985400110302</v>
      </c>
      <c r="U40">
        <v>10.005000000135601</v>
      </c>
      <c r="V40">
        <v>13.255000000134901</v>
      </c>
      <c r="W40">
        <v>12.862628205243499</v>
      </c>
      <c r="X40">
        <v>10.005000000135601</v>
      </c>
      <c r="Y40">
        <v>11.855000000134901</v>
      </c>
      <c r="Z40">
        <v>10.005000000135601</v>
      </c>
      <c r="AA40">
        <v>11.855000000134901</v>
      </c>
      <c r="AB40">
        <v>12.862628205243499</v>
      </c>
      <c r="AC40">
        <v>-0.20234143858390399</v>
      </c>
      <c r="AD40">
        <v>2.10998948112202E-4</v>
      </c>
      <c r="AE40">
        <v>2.3930223033024299E-2</v>
      </c>
      <c r="AF40">
        <v>1.6398261577328498E-2</v>
      </c>
      <c r="AG40">
        <v>1.2629513424142101E-3</v>
      </c>
      <c r="AH40">
        <v>-20.294247640176099</v>
      </c>
      <c r="AI40">
        <v>10.82</v>
      </c>
      <c r="AJ40">
        <v>10.76</v>
      </c>
      <c r="AK40">
        <v>0</v>
      </c>
      <c r="AL40" s="1">
        <v>3.6582562274923202E-36</v>
      </c>
      <c r="AM40">
        <v>2.0472800000000002</v>
      </c>
      <c r="AN40">
        <v>-4545.9114713994504</v>
      </c>
      <c r="AO40">
        <v>0.14123723657194701</v>
      </c>
      <c r="AP40">
        <v>0.20252322772469999</v>
      </c>
      <c r="AQ40">
        <v>0.21536922143052101</v>
      </c>
      <c r="AR40">
        <v>0.201951797323106</v>
      </c>
      <c r="AS40">
        <v>0.215625688958758</v>
      </c>
      <c r="AU40">
        <f t="shared" si="0"/>
        <v>0</v>
      </c>
      <c r="AV40">
        <f t="shared" si="1"/>
        <v>0</v>
      </c>
    </row>
    <row r="41" spans="1:48" x14ac:dyDescent="0.2">
      <c r="A41" t="s">
        <v>109</v>
      </c>
      <c r="B41" t="s">
        <v>52</v>
      </c>
      <c r="C41" t="s">
        <v>45</v>
      </c>
      <c r="D41">
        <v>158.74</v>
      </c>
      <c r="E41">
        <v>159.56</v>
      </c>
      <c r="F41">
        <v>-0.19435959396137201</v>
      </c>
      <c r="G41">
        <v>-1693124.6965836801</v>
      </c>
      <c r="H41">
        <v>7.1944444445825599</v>
      </c>
      <c r="I41">
        <v>12.8975000001598</v>
      </c>
      <c r="J41">
        <v>11.2789990566305</v>
      </c>
      <c r="K41">
        <v>5.7900000001393899</v>
      </c>
      <c r="L41">
        <v>12.4233333334936</v>
      </c>
      <c r="M41">
        <v>8.1866666668038803</v>
      </c>
      <c r="N41">
        <v>13.3716666668261</v>
      </c>
      <c r="O41">
        <v>12.782061362068101</v>
      </c>
      <c r="P41">
        <v>5.5903709021058699E-3</v>
      </c>
      <c r="Q41">
        <v>-0.18594736672779</v>
      </c>
      <c r="R41">
        <v>-0.218416681766329</v>
      </c>
      <c r="S41">
        <v>-0.19291125999254199</v>
      </c>
      <c r="T41">
        <v>-1968152.49263912</v>
      </c>
      <c r="U41">
        <v>7.5463888890267601</v>
      </c>
      <c r="V41">
        <v>12.770000000144</v>
      </c>
      <c r="W41">
        <v>10.817264957395601</v>
      </c>
      <c r="X41">
        <v>6.0116666668059304</v>
      </c>
      <c r="Y41">
        <v>11.283333333478</v>
      </c>
      <c r="Z41">
        <v>9.1900000001363704</v>
      </c>
      <c r="AA41">
        <v>12.6566666668101</v>
      </c>
      <c r="AB41">
        <v>10.817264957395601</v>
      </c>
      <c r="AC41">
        <v>-0.214469771226066</v>
      </c>
      <c r="AD41">
        <v>0.40563745171754101</v>
      </c>
      <c r="AE41" s="1">
        <v>3.8164351861590501E-137</v>
      </c>
      <c r="AF41" s="1">
        <v>6.36373777243531E-62</v>
      </c>
      <c r="AG41" s="1">
        <v>2.2129183911917699E-169</v>
      </c>
      <c r="AH41">
        <v>-17823.731005504102</v>
      </c>
      <c r="AI41">
        <v>14.88</v>
      </c>
      <c r="AJ41">
        <v>14.72</v>
      </c>
      <c r="AK41" s="1">
        <v>5.9606320819446699E-85</v>
      </c>
      <c r="AL41" s="1">
        <v>6.4751686153129704E-67</v>
      </c>
      <c r="AM41">
        <v>6.69034</v>
      </c>
      <c r="AN41">
        <v>-2851796.96088066</v>
      </c>
      <c r="AO41">
        <v>0.21987842158339199</v>
      </c>
      <c r="AP41">
        <v>0.23034084858193299</v>
      </c>
      <c r="AQ41">
        <v>0.23351821627173</v>
      </c>
      <c r="AR41">
        <v>0.25438250331874301</v>
      </c>
      <c r="AS41">
        <v>0.26167198589612101</v>
      </c>
      <c r="AU41">
        <f t="shared" si="0"/>
        <v>0</v>
      </c>
      <c r="AV41">
        <f t="shared" si="1"/>
        <v>0</v>
      </c>
    </row>
    <row r="42" spans="1:48" x14ac:dyDescent="0.2">
      <c r="A42" t="s">
        <v>60</v>
      </c>
      <c r="B42" t="s">
        <v>52</v>
      </c>
      <c r="C42" t="s">
        <v>45</v>
      </c>
      <c r="D42">
        <v>22.6</v>
      </c>
      <c r="E42">
        <v>82.08</v>
      </c>
      <c r="F42">
        <v>9.4600577661483503E-4</v>
      </c>
      <c r="G42">
        <v>31.287299975105</v>
      </c>
      <c r="H42">
        <v>-1.2494444442986401</v>
      </c>
      <c r="I42">
        <v>1.1152777779468099</v>
      </c>
      <c r="J42">
        <v>0.48410796395602501</v>
      </c>
      <c r="K42">
        <v>-3.7133333331852998</v>
      </c>
      <c r="L42">
        <v>-0.94999999983053296</v>
      </c>
      <c r="M42">
        <v>-2.6666666521991799E-2</v>
      </c>
      <c r="N42">
        <v>2.6733333335014802</v>
      </c>
      <c r="O42">
        <v>4.9314568458882801</v>
      </c>
      <c r="P42">
        <v>9.0236735171079593E-2</v>
      </c>
      <c r="Q42">
        <v>-8.7913687414351405E-2</v>
      </c>
      <c r="R42">
        <v>-2.8778896934981198E-2</v>
      </c>
      <c r="S42">
        <v>2.3943397454453501E-3</v>
      </c>
      <c r="T42">
        <v>-122.48498383678</v>
      </c>
      <c r="U42">
        <v>-0.90222222207667202</v>
      </c>
      <c r="V42">
        <v>0.83722222238869204</v>
      </c>
      <c r="W42">
        <v>0.193771367677985</v>
      </c>
      <c r="X42">
        <v>-3.4916666665187601</v>
      </c>
      <c r="Y42">
        <v>-0.85499999983197905</v>
      </c>
      <c r="Z42">
        <v>1.5333333334766599</v>
      </c>
      <c r="AA42">
        <v>2.2566666668318298</v>
      </c>
      <c r="AB42">
        <v>4.0535576922893197</v>
      </c>
      <c r="AC42">
        <v>-2.48319863947183E-2</v>
      </c>
      <c r="AD42">
        <v>2.2975390501907502</v>
      </c>
      <c r="AE42">
        <v>2.3958636253244201</v>
      </c>
      <c r="AF42">
        <v>2.9555402292264898</v>
      </c>
      <c r="AG42">
        <v>3.1652807057217598</v>
      </c>
      <c r="AH42">
        <v>-1.3747326915393301</v>
      </c>
      <c r="AI42">
        <v>18.751999999999999</v>
      </c>
      <c r="AJ42">
        <v>18.314</v>
      </c>
      <c r="AK42">
        <v>4.3097072808394601E-2</v>
      </c>
      <c r="AL42">
        <v>6.4338273111960206E-2</v>
      </c>
      <c r="AM42">
        <v>7.3090799999999998</v>
      </c>
      <c r="AN42">
        <v>-219.95723064629399</v>
      </c>
      <c r="AO42">
        <v>0.173579795608651</v>
      </c>
      <c r="AP42">
        <v>0.12581174849691501</v>
      </c>
      <c r="AQ42">
        <v>0.130997227922764</v>
      </c>
      <c r="AR42">
        <v>0.167045774742693</v>
      </c>
      <c r="AS42">
        <v>0.17734624198169299</v>
      </c>
      <c r="AU42">
        <f t="shared" si="0"/>
        <v>0</v>
      </c>
      <c r="AV42">
        <f t="shared" si="1"/>
        <v>0</v>
      </c>
    </row>
    <row r="43" spans="1:48" x14ac:dyDescent="0.2">
      <c r="A43" t="s">
        <v>70</v>
      </c>
      <c r="B43" t="s">
        <v>52</v>
      </c>
      <c r="C43" t="s">
        <v>45</v>
      </c>
      <c r="D43">
        <v>39.24</v>
      </c>
      <c r="E43">
        <v>129.34</v>
      </c>
      <c r="F43">
        <v>-0.106011253305341</v>
      </c>
      <c r="G43">
        <v>46.867649283506402</v>
      </c>
      <c r="H43">
        <v>3.0783333334751499</v>
      </c>
      <c r="I43">
        <v>9.5250000001615707</v>
      </c>
      <c r="J43">
        <v>6.6344677546203501</v>
      </c>
      <c r="K43">
        <v>3.0783333334751499</v>
      </c>
      <c r="L43">
        <v>9.3866666668282495</v>
      </c>
      <c r="M43">
        <v>3.0783333334751499</v>
      </c>
      <c r="N43">
        <v>9.5766666668280696</v>
      </c>
      <c r="O43">
        <v>8.4247008623830304</v>
      </c>
      <c r="P43">
        <v>9.34325163240637E-2</v>
      </c>
      <c r="Q43">
        <v>-0.16225012036651101</v>
      </c>
      <c r="R43">
        <v>-0.13187099014841699</v>
      </c>
      <c r="S43">
        <v>-0.10456291933651</v>
      </c>
      <c r="T43">
        <v>52.249063806581098</v>
      </c>
      <c r="U43">
        <v>3.30000000014169</v>
      </c>
      <c r="V43">
        <v>9.5250000001585597</v>
      </c>
      <c r="W43">
        <v>6.3692521369010198</v>
      </c>
      <c r="X43">
        <v>3.30000000014169</v>
      </c>
      <c r="Y43">
        <v>9.4816666668252605</v>
      </c>
      <c r="Z43">
        <v>3.30000000014169</v>
      </c>
      <c r="AA43">
        <v>9.5683333334918501</v>
      </c>
      <c r="AB43">
        <v>6.3692521369010198</v>
      </c>
      <c r="AC43">
        <v>-0.127924079608154</v>
      </c>
      <c r="AD43">
        <v>2.7721475483918301</v>
      </c>
      <c r="AE43">
        <v>1.8314675799596201</v>
      </c>
      <c r="AF43">
        <v>2.66852542475071</v>
      </c>
      <c r="AG43">
        <v>1.65139645694495</v>
      </c>
      <c r="AH43">
        <v>-1.59358807720854</v>
      </c>
      <c r="AI43">
        <v>13</v>
      </c>
      <c r="AJ43">
        <v>12.82</v>
      </c>
      <c r="AK43">
        <v>7.8662252610513003E-2</v>
      </c>
      <c r="AL43">
        <v>7.8722898327583904E-2</v>
      </c>
      <c r="AM43">
        <v>2.1982200000000001</v>
      </c>
      <c r="AN43">
        <v>-254.97409235336701</v>
      </c>
      <c r="AO43">
        <v>0.187862980563541</v>
      </c>
      <c r="AP43">
        <v>0.132213853634639</v>
      </c>
      <c r="AQ43">
        <v>0.134858126667701</v>
      </c>
      <c r="AR43">
        <v>0.120620256670528</v>
      </c>
      <c r="AS43">
        <v>0.122999529454423</v>
      </c>
      <c r="AU43">
        <f t="shared" si="0"/>
        <v>0</v>
      </c>
      <c r="AV43">
        <f t="shared" si="1"/>
        <v>0</v>
      </c>
    </row>
    <row r="44" spans="1:48" s="3" customFormat="1" x14ac:dyDescent="0.2">
      <c r="A44" s="3" t="s">
        <v>59</v>
      </c>
      <c r="B44" s="3" t="s">
        <v>52</v>
      </c>
      <c r="C44" s="3" t="s">
        <v>45</v>
      </c>
      <c r="D44" s="3">
        <v>31.42</v>
      </c>
      <c r="E44" s="3">
        <v>84.92</v>
      </c>
      <c r="F44" s="3">
        <v>1.9178084490388901E-3</v>
      </c>
      <c r="G44" s="3">
        <v>90.516682779841105</v>
      </c>
      <c r="H44" s="3">
        <v>-2.8616666665194002</v>
      </c>
      <c r="I44" s="3">
        <v>2.0941666668333698</v>
      </c>
      <c r="J44" s="3">
        <v>0.28729485808043098</v>
      </c>
      <c r="K44" s="3">
        <v>-2.8616666665194002</v>
      </c>
      <c r="L44" s="3">
        <v>2.0100000001667802</v>
      </c>
      <c r="M44" s="3">
        <v>-2.8616666665194002</v>
      </c>
      <c r="N44" s="3">
        <v>2.0100000001667802</v>
      </c>
      <c r="O44" s="3">
        <v>5.3730876075923799</v>
      </c>
      <c r="P44" s="3">
        <v>9.3428895117874694E-2</v>
      </c>
      <c r="Q44" s="3">
        <v>-0.101443353446608</v>
      </c>
      <c r="R44" s="3">
        <v>-3.5373651249924698E-2</v>
      </c>
      <c r="S44" s="3">
        <v>3.36614241786942E-3</v>
      </c>
      <c r="T44" s="3">
        <v>95.312221196334505</v>
      </c>
      <c r="U44" s="3">
        <v>-2.6399999998528698</v>
      </c>
      <c r="V44" s="3">
        <v>2.1891666668319201</v>
      </c>
      <c r="W44" s="3">
        <v>0.10630341896077</v>
      </c>
      <c r="X44" s="3">
        <v>-2.6399999998528698</v>
      </c>
      <c r="Y44" s="3">
        <v>2.10500000016533</v>
      </c>
      <c r="Z44" s="3">
        <v>-2.6399999998528698</v>
      </c>
      <c r="AA44" s="3">
        <v>2.27333333349852</v>
      </c>
      <c r="AB44" s="3">
        <v>2.1207905982795201</v>
      </c>
      <c r="AC44" s="3">
        <v>-3.1426740709661803E-2</v>
      </c>
      <c r="AD44" s="3">
        <v>2.6826968791880401</v>
      </c>
      <c r="AE44" s="3">
        <v>3.2471232547636801</v>
      </c>
      <c r="AF44" s="3">
        <v>3.09165880785226</v>
      </c>
      <c r="AG44" s="3">
        <v>3.0925038351306302</v>
      </c>
      <c r="AH44" s="3">
        <v>-1.32004821639231</v>
      </c>
      <c r="AI44" s="3">
        <v>13.34</v>
      </c>
      <c r="AJ44" s="3">
        <v>13.2</v>
      </c>
      <c r="AK44" s="3">
        <v>8.0032121180581395E-2</v>
      </c>
      <c r="AL44" s="3">
        <v>8.0095785299693897E-2</v>
      </c>
      <c r="AM44" s="3">
        <v>2.55581999999999</v>
      </c>
      <c r="AN44" s="3">
        <v>-211.20771462277</v>
      </c>
      <c r="AO44" s="3">
        <v>0.17144621136058899</v>
      </c>
      <c r="AP44" s="3">
        <v>8.4226649662146102E-2</v>
      </c>
      <c r="AQ44" s="3">
        <v>9.3639772132342494E-2</v>
      </c>
      <c r="AR44" s="3">
        <v>7.3944474581673997E-2</v>
      </c>
      <c r="AS44" s="3">
        <v>7.4765144339452499E-2</v>
      </c>
      <c r="AU44">
        <f t="shared" si="0"/>
        <v>0</v>
      </c>
      <c r="AV44">
        <f t="shared" si="1"/>
        <v>1</v>
      </c>
    </row>
    <row r="45" spans="1:48" x14ac:dyDescent="0.2">
      <c r="A45" t="s">
        <v>51</v>
      </c>
      <c r="B45" t="s">
        <v>52</v>
      </c>
      <c r="C45" t="s">
        <v>45</v>
      </c>
      <c r="D45">
        <v>5.42</v>
      </c>
      <c r="E45">
        <v>79.900000000000006</v>
      </c>
      <c r="F45">
        <v>1.3867237628038499E-3</v>
      </c>
      <c r="G45">
        <v>99.974619606233603</v>
      </c>
      <c r="H45">
        <v>-1.53833333318726</v>
      </c>
      <c r="I45">
        <v>1.5991666668344799</v>
      </c>
      <c r="J45">
        <v>0.49295329686433997</v>
      </c>
      <c r="K45">
        <v>-2.91166666651934</v>
      </c>
      <c r="L45">
        <v>0.86666666683445304</v>
      </c>
      <c r="M45">
        <v>-0.97999999985444797</v>
      </c>
      <c r="N45">
        <v>1.52500000016718</v>
      </c>
      <c r="O45">
        <v>4.5225312981840897</v>
      </c>
      <c r="P45">
        <v>8.8271745065014603E-2</v>
      </c>
      <c r="Q45">
        <v>-8.65605038927936E-2</v>
      </c>
      <c r="R45">
        <v>-2.9687414032330502E-2</v>
      </c>
      <c r="S45">
        <v>2.83505773163437E-3</v>
      </c>
      <c r="T45">
        <v>66.273850423503902</v>
      </c>
      <c r="U45">
        <v>-1.3166666665207201</v>
      </c>
      <c r="V45">
        <v>1.60472222238797</v>
      </c>
      <c r="W45">
        <v>0.31550213691029899</v>
      </c>
      <c r="X45">
        <v>-2.6899999998527999</v>
      </c>
      <c r="Y45">
        <v>0.96166666683300694</v>
      </c>
      <c r="Z45">
        <v>-0.108333333188493</v>
      </c>
      <c r="AA45">
        <v>2.22500000016518</v>
      </c>
      <c r="AB45">
        <v>3.0824038461368901</v>
      </c>
      <c r="AC45">
        <v>-2.5740503492067499E-2</v>
      </c>
      <c r="AD45">
        <v>2.7150479429221099</v>
      </c>
      <c r="AE45">
        <v>3.0058062192775798</v>
      </c>
      <c r="AF45">
        <v>3.3258578578448801</v>
      </c>
      <c r="AG45">
        <v>3.4371397396385301</v>
      </c>
      <c r="AH45">
        <v>-0.11114062544628101</v>
      </c>
      <c r="AI45">
        <v>15.585999999999901</v>
      </c>
      <c r="AJ45">
        <v>15.6459999999999</v>
      </c>
      <c r="AK45">
        <v>0.160736731781569</v>
      </c>
      <c r="AL45">
        <v>0.161117231187038</v>
      </c>
      <c r="AM45">
        <v>4.2469400000000004</v>
      </c>
      <c r="AN45">
        <v>-17.782500071405</v>
      </c>
      <c r="AO45">
        <v>0.147881299150947</v>
      </c>
      <c r="AP45">
        <v>7.3559874124203603E-2</v>
      </c>
      <c r="AQ45">
        <v>7.9678854936451798E-2</v>
      </c>
      <c r="AR45">
        <v>9.2685370097899594E-2</v>
      </c>
      <c r="AS45">
        <v>9.6200275409116701E-2</v>
      </c>
      <c r="AU45">
        <f t="shared" si="0"/>
        <v>0</v>
      </c>
      <c r="AV45">
        <f t="shared" si="1"/>
        <v>0</v>
      </c>
    </row>
    <row r="46" spans="1:48" x14ac:dyDescent="0.2">
      <c r="A46" t="s">
        <v>73</v>
      </c>
      <c r="B46" t="s">
        <v>52</v>
      </c>
      <c r="C46" t="s">
        <v>45</v>
      </c>
      <c r="D46">
        <v>1.88</v>
      </c>
      <c r="E46">
        <v>116.88</v>
      </c>
      <c r="F46">
        <v>-0.11572461231757999</v>
      </c>
      <c r="G46">
        <v>48.549450997990803</v>
      </c>
      <c r="H46">
        <v>3.6166666668080398</v>
      </c>
      <c r="I46">
        <v>9.9038888890502008</v>
      </c>
      <c r="J46">
        <v>7.1208795650325598</v>
      </c>
      <c r="K46">
        <v>3.6166666668080398</v>
      </c>
      <c r="L46">
        <v>9.6333333334946794</v>
      </c>
      <c r="M46">
        <v>3.6166666668080398</v>
      </c>
      <c r="N46">
        <v>10.0266666668276</v>
      </c>
      <c r="O46">
        <v>8.6395754637079101</v>
      </c>
      <c r="P46">
        <v>0.110692734991213</v>
      </c>
      <c r="Q46">
        <v>-0.15701718971804501</v>
      </c>
      <c r="R46">
        <v>-0.13951949189986301</v>
      </c>
      <c r="S46">
        <v>-0.114276278348749</v>
      </c>
      <c r="T46">
        <v>51.652468786110497</v>
      </c>
      <c r="U46">
        <v>3.8383333334745799</v>
      </c>
      <c r="V46">
        <v>9.8383333334916294</v>
      </c>
      <c r="W46">
        <v>6.8469230770723604</v>
      </c>
      <c r="X46">
        <v>3.8383333334745799</v>
      </c>
      <c r="Y46">
        <v>9.7283333334917295</v>
      </c>
      <c r="Z46">
        <v>3.8383333334745799</v>
      </c>
      <c r="AA46">
        <v>9.9483333334915294</v>
      </c>
      <c r="AB46">
        <v>6.8469230770723604</v>
      </c>
      <c r="AC46">
        <v>-0.13557258135959999</v>
      </c>
      <c r="AD46">
        <v>2.5438066247913702</v>
      </c>
      <c r="AE46">
        <v>1.79513811955145</v>
      </c>
      <c r="AF46">
        <v>2.3791467719182</v>
      </c>
      <c r="AG46">
        <v>1.62266093469394</v>
      </c>
      <c r="AH46">
        <v>-2.06191190229018E-2</v>
      </c>
      <c r="AI46">
        <v>13.5</v>
      </c>
      <c r="AJ46">
        <v>13.24</v>
      </c>
      <c r="AK46">
        <v>0.21139016772734401</v>
      </c>
      <c r="AL46">
        <v>0.215120176021149</v>
      </c>
      <c r="AM46">
        <v>2.7517</v>
      </c>
      <c r="AN46">
        <v>-3.2990590436642901</v>
      </c>
      <c r="AO46">
        <v>0.177604830529523</v>
      </c>
      <c r="AP46">
        <v>0.13867065031821901</v>
      </c>
      <c r="AQ46">
        <v>0.14202453050490599</v>
      </c>
      <c r="AR46">
        <v>0.12931876978531501</v>
      </c>
      <c r="AS46">
        <v>0.13214763475161401</v>
      </c>
      <c r="AU46">
        <f t="shared" si="0"/>
        <v>0</v>
      </c>
      <c r="AV46">
        <f t="shared" si="1"/>
        <v>0</v>
      </c>
    </row>
    <row r="47" spans="1:48" s="3" customFormat="1" x14ac:dyDescent="0.2">
      <c r="A47" s="3" t="s">
        <v>58</v>
      </c>
      <c r="B47" s="3" t="s">
        <v>52</v>
      </c>
      <c r="C47" s="3" t="s">
        <v>45</v>
      </c>
      <c r="D47" s="3">
        <v>13.26</v>
      </c>
      <c r="E47" s="3">
        <v>83.38</v>
      </c>
      <c r="F47" s="3">
        <v>1.5955940393045901E-3</v>
      </c>
      <c r="G47" s="3">
        <v>94.262729763646206</v>
      </c>
      <c r="H47" s="3">
        <v>-2.5983333331863001</v>
      </c>
      <c r="I47" s="3">
        <v>2.0608333335000402</v>
      </c>
      <c r="J47" s="3">
        <v>0.238354839765515</v>
      </c>
      <c r="K47" s="3">
        <v>-2.5983333331863001</v>
      </c>
      <c r="L47" s="3">
        <v>1.9616666668334699</v>
      </c>
      <c r="M47" s="3">
        <v>-2.5983333331863001</v>
      </c>
      <c r="N47" s="3">
        <v>1.99166666683344</v>
      </c>
      <c r="O47" s="3">
        <v>5.0845657534040702</v>
      </c>
      <c r="P47" s="3">
        <v>8.8656806665083104E-2</v>
      </c>
      <c r="Q47" s="3">
        <v>-8.5907921516674299E-2</v>
      </c>
      <c r="R47" s="3">
        <v>-3.01585966498749E-2</v>
      </c>
      <c r="S47" s="3">
        <v>3.0439280081351302E-3</v>
      </c>
      <c r="T47" s="3">
        <v>99.077642153185707</v>
      </c>
      <c r="U47" s="3">
        <v>-2.37666666651976</v>
      </c>
      <c r="V47" s="3">
        <v>2.1558333334985802</v>
      </c>
      <c r="W47" s="3">
        <v>2.62606839195892E-2</v>
      </c>
      <c r="X47" s="3">
        <v>-2.37666666651976</v>
      </c>
      <c r="Y47" s="3">
        <v>2.0566666668320002</v>
      </c>
      <c r="Z47" s="3">
        <v>-2.37666666651976</v>
      </c>
      <c r="AA47" s="3">
        <v>2.25500000016515</v>
      </c>
      <c r="AB47" s="3">
        <v>2.0966880341851399</v>
      </c>
      <c r="AC47" s="3">
        <v>-2.6211686109612001E-2</v>
      </c>
      <c r="AD47" s="3">
        <v>2.90241791749943</v>
      </c>
      <c r="AE47" s="3">
        <v>3.2410148037551498</v>
      </c>
      <c r="AF47" s="3">
        <v>3.3429398480772701</v>
      </c>
      <c r="AG47" s="3">
        <v>3.2075616209078102</v>
      </c>
      <c r="AH47" s="3">
        <v>-9.8532240264023005E-2</v>
      </c>
      <c r="AI47" s="3">
        <v>13.52</v>
      </c>
      <c r="AJ47" s="3">
        <v>13.54</v>
      </c>
      <c r="AK47" s="3">
        <v>0.157452541293051</v>
      </c>
      <c r="AL47" s="3">
        <v>0.160890120520705</v>
      </c>
      <c r="AM47" s="3">
        <v>3.1113599999999999</v>
      </c>
      <c r="AN47" s="3">
        <v>-15.7651584422436</v>
      </c>
      <c r="AO47" s="3">
        <v>0.14969421406517799</v>
      </c>
      <c r="AP47" s="3">
        <v>8.0795439511649997E-2</v>
      </c>
      <c r="AQ47" s="3">
        <v>9.0368264057097095E-2</v>
      </c>
      <c r="AR47" s="3">
        <v>7.2525854545712906E-2</v>
      </c>
      <c r="AS47" s="3">
        <v>7.3352844051809099E-2</v>
      </c>
      <c r="AU47">
        <f t="shared" si="0"/>
        <v>0</v>
      </c>
      <c r="AV47">
        <f t="shared" si="1"/>
        <v>1</v>
      </c>
    </row>
    <row r="48" spans="1:48" x14ac:dyDescent="0.2">
      <c r="A48" t="s">
        <v>103</v>
      </c>
      <c r="B48" t="s">
        <v>44</v>
      </c>
      <c r="C48" t="s">
        <v>45</v>
      </c>
      <c r="D48">
        <v>126.96</v>
      </c>
      <c r="E48">
        <v>189.16</v>
      </c>
      <c r="F48">
        <v>0.12441059835043999</v>
      </c>
      <c r="G48">
        <v>-671.54396443276698</v>
      </c>
      <c r="H48">
        <v>-6.50999999985219</v>
      </c>
      <c r="I48">
        <v>-6.0908333331590798</v>
      </c>
      <c r="J48">
        <v>-6.5744631061727903</v>
      </c>
      <c r="K48">
        <v>-6.7099999998521902</v>
      </c>
      <c r="L48">
        <v>-6.24833333315937</v>
      </c>
      <c r="M48">
        <v>-6.7099999998521902</v>
      </c>
      <c r="N48">
        <v>-6.24833333315937</v>
      </c>
      <c r="O48">
        <v>7.7155140981677599</v>
      </c>
      <c r="P48">
        <v>3.6950561287081199E-2</v>
      </c>
      <c r="Q48">
        <v>7.4796802365825796E-2</v>
      </c>
      <c r="R48">
        <v>0.12251180464476499</v>
      </c>
      <c r="S48">
        <v>0.12585893231927001</v>
      </c>
      <c r="T48">
        <v>-730.43213397989996</v>
      </c>
      <c r="U48">
        <v>-7.3399999998485903</v>
      </c>
      <c r="V48">
        <v>-5.9958333331606504</v>
      </c>
      <c r="W48">
        <v>-6.8085256408618404</v>
      </c>
      <c r="X48">
        <v>-7.3399999998485903</v>
      </c>
      <c r="Y48">
        <v>-6.1533333331605</v>
      </c>
      <c r="Z48">
        <v>-7.3399999998485903</v>
      </c>
      <c r="AA48">
        <v>-5.8383333331607901</v>
      </c>
      <c r="AB48">
        <v>6.84557692291951</v>
      </c>
      <c r="AC48">
        <v>0.12645871518502799</v>
      </c>
      <c r="AD48">
        <v>0.635390737939863</v>
      </c>
      <c r="AE48">
        <v>1.1128194277627901</v>
      </c>
      <c r="AF48">
        <v>0.83165893480470998</v>
      </c>
      <c r="AG48">
        <v>1.88640683687193</v>
      </c>
      <c r="AH48">
        <v>-3.1262978506849599</v>
      </c>
      <c r="AI48">
        <v>13.12</v>
      </c>
      <c r="AJ48">
        <v>13.06</v>
      </c>
      <c r="AK48" s="1">
        <v>8.6955857391886896E-6</v>
      </c>
      <c r="AL48" s="1">
        <v>2.1219155404564002E-5</v>
      </c>
      <c r="AM48">
        <v>0.46722000000000002</v>
      </c>
      <c r="AN48">
        <v>-719.048505657541</v>
      </c>
      <c r="AO48">
        <v>0.10624995753232599</v>
      </c>
      <c r="AP48">
        <v>0.141761191954414</v>
      </c>
      <c r="AQ48">
        <v>0.14206645071302099</v>
      </c>
      <c r="AR48">
        <v>0.14647602721960101</v>
      </c>
      <c r="AS48">
        <v>0.15058436603542799</v>
      </c>
      <c r="AU48">
        <f t="shared" si="0"/>
        <v>0</v>
      </c>
      <c r="AV48">
        <f t="shared" si="1"/>
        <v>0</v>
      </c>
    </row>
    <row r="49" spans="1:48" x14ac:dyDescent="0.2">
      <c r="A49" t="s">
        <v>105</v>
      </c>
      <c r="B49" t="s">
        <v>44</v>
      </c>
      <c r="C49" t="s">
        <v>45</v>
      </c>
      <c r="D49">
        <v>104.72</v>
      </c>
      <c r="E49">
        <v>145.47999999999999</v>
      </c>
      <c r="F49">
        <v>0.152048070838881</v>
      </c>
      <c r="G49">
        <v>-977.34098222072896</v>
      </c>
      <c r="H49">
        <v>-5.2849999998533104</v>
      </c>
      <c r="I49">
        <v>-8.1608333331574503</v>
      </c>
      <c r="J49">
        <v>-7.4204344958946997</v>
      </c>
      <c r="K49">
        <v>-5.9649999998528704</v>
      </c>
      <c r="L49">
        <v>-8.6066666664908702</v>
      </c>
      <c r="M49">
        <v>-5.9649999998528704</v>
      </c>
      <c r="N49">
        <v>-8.6066666664908702</v>
      </c>
      <c r="O49">
        <v>8.5668933837583108</v>
      </c>
      <c r="P49">
        <v>3.7110923418077001E-2</v>
      </c>
      <c r="Q49">
        <v>7.1891674718704598E-2</v>
      </c>
      <c r="R49">
        <v>0.18767398782910799</v>
      </c>
      <c r="S49">
        <v>0.15349640480771101</v>
      </c>
      <c r="T49">
        <v>-1234.5125287503299</v>
      </c>
      <c r="U49">
        <v>-6.0949999998497297</v>
      </c>
      <c r="V49">
        <v>-8.06583333315875</v>
      </c>
      <c r="W49">
        <v>-7.6346153844517604</v>
      </c>
      <c r="X49">
        <v>-6.5749999998492896</v>
      </c>
      <c r="Y49">
        <v>-8.5116666664916902</v>
      </c>
      <c r="Z49">
        <v>-6.4816666665160403</v>
      </c>
      <c r="AA49">
        <v>-8.1533333331586793</v>
      </c>
      <c r="AB49">
        <v>7.6346153844517604</v>
      </c>
      <c r="AC49">
        <v>0.19162089836937099</v>
      </c>
      <c r="AD49">
        <v>1.1904431807462501</v>
      </c>
      <c r="AE49">
        <v>0.51454425297540995</v>
      </c>
      <c r="AF49">
        <v>0.58347751528693104</v>
      </c>
      <c r="AG49">
        <v>0.37442230697011702</v>
      </c>
      <c r="AH49">
        <v>-3.3249157345320701</v>
      </c>
      <c r="AI49">
        <v>13.8</v>
      </c>
      <c r="AJ49">
        <v>13.78</v>
      </c>
      <c r="AK49" s="1">
        <v>4.7999532240690102E-9</v>
      </c>
      <c r="AL49" s="1">
        <v>1.16556473644026E-8</v>
      </c>
      <c r="AM49">
        <v>2.0470600000000001</v>
      </c>
      <c r="AN49">
        <v>-764.73061894237605</v>
      </c>
      <c r="AO49">
        <v>0.108808249460151</v>
      </c>
      <c r="AP49">
        <v>0.165366145012011</v>
      </c>
      <c r="AQ49">
        <v>0.17897896551323</v>
      </c>
      <c r="AR49">
        <v>0.182272692190666</v>
      </c>
      <c r="AS49">
        <v>0.19936208272009101</v>
      </c>
      <c r="AU49">
        <f t="shared" si="0"/>
        <v>0</v>
      </c>
      <c r="AV49">
        <f t="shared" si="1"/>
        <v>0</v>
      </c>
    </row>
    <row r="50" spans="1:48" s="3" customFormat="1" x14ac:dyDescent="0.2">
      <c r="A50" s="3" t="s">
        <v>43</v>
      </c>
      <c r="B50" s="3" t="s">
        <v>44</v>
      </c>
      <c r="C50" s="3" t="s">
        <v>45</v>
      </c>
      <c r="D50" s="3">
        <v>49.46</v>
      </c>
      <c r="E50" s="3">
        <v>93.14</v>
      </c>
      <c r="F50" s="3">
        <v>1.09518981258731E-2</v>
      </c>
      <c r="G50" s="3">
        <v>-149.73783417724701</v>
      </c>
      <c r="H50" s="3">
        <v>0.54500000014416405</v>
      </c>
      <c r="I50" s="3">
        <v>-0.65916666649632505</v>
      </c>
      <c r="J50" s="3">
        <v>-0.19392225813477099</v>
      </c>
      <c r="K50" s="3">
        <v>-8.1666666521928097E-2</v>
      </c>
      <c r="L50" s="3">
        <v>-1.0966666664965401</v>
      </c>
      <c r="M50" s="3">
        <v>0.78000000014394999</v>
      </c>
      <c r="N50" s="3">
        <v>-0.67499999983026104</v>
      </c>
      <c r="O50" s="3">
        <v>2.3356372518274102</v>
      </c>
      <c r="P50" s="3">
        <v>3.6003679420841303E-2</v>
      </c>
      <c r="Q50" s="3">
        <v>1.7169998416912399E-2</v>
      </c>
      <c r="R50" s="3">
        <v>1.06650130349428E-2</v>
      </c>
      <c r="S50" s="3">
        <v>1.24002320947036E-2</v>
      </c>
      <c r="T50" s="3">
        <v>-831.29471241500903</v>
      </c>
      <c r="U50" s="3">
        <v>0.76666666681070095</v>
      </c>
      <c r="V50" s="3">
        <v>-0.79083333316537796</v>
      </c>
      <c r="W50" s="3">
        <v>-0.46985042719047299</v>
      </c>
      <c r="X50" s="3">
        <v>0.140000000144609</v>
      </c>
      <c r="Y50" s="3">
        <v>-1.0016666664985201</v>
      </c>
      <c r="Z50" s="3">
        <v>1.3183333334768601</v>
      </c>
      <c r="AA50" s="3">
        <v>-0.66999999983215197</v>
      </c>
      <c r="AB50" s="3">
        <v>2.5172435897100001</v>
      </c>
      <c r="AC50" s="3">
        <v>1.46119235752058E-2</v>
      </c>
      <c r="AD50" s="3">
        <v>7.0010515914971903</v>
      </c>
      <c r="AE50" s="3">
        <v>2.0874530205937001</v>
      </c>
      <c r="AF50" s="3">
        <v>10.4217763394775</v>
      </c>
      <c r="AG50" s="3">
        <v>9.7729256761738306</v>
      </c>
      <c r="AH50" s="3">
        <v>3.93755582774613E-3</v>
      </c>
      <c r="AI50" s="3">
        <v>14.92</v>
      </c>
      <c r="AJ50" s="3">
        <v>14.8</v>
      </c>
      <c r="AK50" s="3">
        <v>3.8948904638534503E-2</v>
      </c>
      <c r="AL50" s="3">
        <v>5.8443097020383902E-2</v>
      </c>
      <c r="AM50" s="3">
        <v>2.7420800000000001</v>
      </c>
      <c r="AN50" s="3">
        <v>0.90563784038159101</v>
      </c>
      <c r="AO50" s="3">
        <v>4.9438665176578397E-2</v>
      </c>
      <c r="AP50" s="3">
        <v>5.6001217213545902E-2</v>
      </c>
      <c r="AQ50" s="3">
        <v>5.7197821558381302E-2</v>
      </c>
      <c r="AR50" s="3">
        <v>9.1422515324925901E-2</v>
      </c>
      <c r="AS50" s="3">
        <v>9.75632245777448E-2</v>
      </c>
      <c r="AU50" s="3">
        <f t="shared" si="0"/>
        <v>1</v>
      </c>
      <c r="AV50" s="3">
        <f t="shared" si="1"/>
        <v>0</v>
      </c>
    </row>
    <row r="51" spans="1:48" s="3" customFormat="1" x14ac:dyDescent="0.2">
      <c r="A51" s="3" t="s">
        <v>97</v>
      </c>
      <c r="B51" s="3" t="s">
        <v>80</v>
      </c>
      <c r="C51" s="3" t="s">
        <v>45</v>
      </c>
      <c r="D51" s="3">
        <v>13.64</v>
      </c>
      <c r="E51" s="3">
        <v>47.64</v>
      </c>
      <c r="F51" s="3">
        <v>-1.1521943686366399E-2</v>
      </c>
      <c r="G51" s="3">
        <v>53.382893451202698</v>
      </c>
      <c r="H51" s="3">
        <v>0.52500000014417703</v>
      </c>
      <c r="I51" s="3">
        <v>-0.83999999983106099</v>
      </c>
      <c r="J51" s="3">
        <v>0.203241203403285</v>
      </c>
      <c r="K51" s="3">
        <v>0.52500000014417703</v>
      </c>
      <c r="L51" s="3">
        <v>-0.83999999983106099</v>
      </c>
      <c r="M51" s="3">
        <v>0.52500000014417703</v>
      </c>
      <c r="N51" s="3">
        <v>-0.83999999983106099</v>
      </c>
      <c r="O51" s="3">
        <v>4.1613456196141003</v>
      </c>
      <c r="P51" s="3">
        <v>7.6747950447123098E-2</v>
      </c>
      <c r="Q51" s="3">
        <v>1.13162880981385E-2</v>
      </c>
      <c r="R51" s="3">
        <v>1.1520783564119201E-2</v>
      </c>
      <c r="S51" s="3">
        <v>-1.0073609717535899E-2</v>
      </c>
      <c r="T51" s="3">
        <v>135.37670390100601</v>
      </c>
      <c r="U51" s="3">
        <v>0.74666666681071503</v>
      </c>
      <c r="V51" s="3">
        <v>-0.74499999983210696</v>
      </c>
      <c r="W51" s="3">
        <v>-0.121153845994003</v>
      </c>
      <c r="X51" s="3">
        <v>0.74666666681071503</v>
      </c>
      <c r="Y51" s="3">
        <v>-0.74499999983210696</v>
      </c>
      <c r="Z51" s="3">
        <v>0.74666666681071503</v>
      </c>
      <c r="AA51" s="3">
        <v>-0.74499999983210696</v>
      </c>
      <c r="AB51" s="3">
        <v>1.3337179487107</v>
      </c>
      <c r="AC51" s="3">
        <v>1.5467694104382101E-2</v>
      </c>
      <c r="AD51" s="3">
        <v>5.5167971815997197</v>
      </c>
      <c r="AE51" s="3">
        <v>6.2422087904576804</v>
      </c>
      <c r="AF51" s="3">
        <v>4.3383338562053799</v>
      </c>
      <c r="AG51" s="3">
        <v>5.0443247559437001</v>
      </c>
      <c r="AH51" s="3">
        <v>0.54140970618514805</v>
      </c>
      <c r="AI51" s="3">
        <v>13.1</v>
      </c>
      <c r="AJ51" s="3">
        <v>13</v>
      </c>
      <c r="AK51" s="3">
        <v>0.26255884282597503</v>
      </c>
      <c r="AL51" s="3">
        <v>0.29208802841202902</v>
      </c>
      <c r="AM51" s="3">
        <v>2.41432</v>
      </c>
      <c r="AN51" s="3">
        <v>75.797358865920799</v>
      </c>
      <c r="AO51" s="3">
        <v>0.11680758993104599</v>
      </c>
      <c r="AP51" s="3">
        <v>9.1783607261425398E-2</v>
      </c>
      <c r="AQ51" s="3">
        <v>9.1031551390703902E-2</v>
      </c>
      <c r="AR51" s="3">
        <v>5.7606095940834302E-2</v>
      </c>
      <c r="AS51" s="3">
        <v>4.2719264882848502E-2</v>
      </c>
      <c r="AU51">
        <f t="shared" si="0"/>
        <v>0</v>
      </c>
      <c r="AV51">
        <f t="shared" si="1"/>
        <v>1</v>
      </c>
    </row>
    <row r="52" spans="1:48" s="3" customFormat="1" x14ac:dyDescent="0.2">
      <c r="A52" s="3" t="s">
        <v>104</v>
      </c>
      <c r="B52" s="3" t="s">
        <v>80</v>
      </c>
      <c r="C52" s="3" t="s">
        <v>45</v>
      </c>
      <c r="D52" s="3">
        <v>17.760000000000002</v>
      </c>
      <c r="E52" s="3">
        <v>65.22</v>
      </c>
      <c r="F52" s="3">
        <v>-1.6337517040160999E-2</v>
      </c>
      <c r="G52" s="3">
        <v>30.548281371342199</v>
      </c>
      <c r="H52" s="3">
        <v>1.2416666668101699</v>
      </c>
      <c r="I52" s="3">
        <v>-0.31833333316479101</v>
      </c>
      <c r="J52" s="3">
        <v>0.68528887795003401</v>
      </c>
      <c r="K52" s="3">
        <v>1.2416666668101699</v>
      </c>
      <c r="L52" s="3">
        <v>-0.31833333316479101</v>
      </c>
      <c r="M52" s="3">
        <v>1.2416666668101699</v>
      </c>
      <c r="N52" s="3">
        <v>-0.31833333316479101</v>
      </c>
      <c r="O52" s="3">
        <v>4.2292961771500002</v>
      </c>
      <c r="P52" s="3">
        <v>6.9932522250663195E-2</v>
      </c>
      <c r="Q52" s="3">
        <v>2.1733498198029999E-2</v>
      </c>
      <c r="R52" s="3">
        <v>1.6334176933231099E-2</v>
      </c>
      <c r="S52" s="3">
        <v>-1.4889183071330501E-2</v>
      </c>
      <c r="T52" s="3">
        <v>133.78888932443499</v>
      </c>
      <c r="U52" s="3">
        <v>1.46333333347671</v>
      </c>
      <c r="V52" s="3">
        <v>-0.223333333165883</v>
      </c>
      <c r="W52" s="3">
        <v>0.38692307708204599</v>
      </c>
      <c r="X52" s="3">
        <v>1.46333333347671</v>
      </c>
      <c r="Y52" s="3">
        <v>-0.223333333165883</v>
      </c>
      <c r="Z52" s="3">
        <v>1.46333333347671</v>
      </c>
      <c r="AA52" s="3">
        <v>-0.223333333165883</v>
      </c>
      <c r="AB52" s="3">
        <v>1.19410256411454</v>
      </c>
      <c r="AC52" s="3">
        <v>2.0281087473494001E-2</v>
      </c>
      <c r="AD52" s="3">
        <v>5.5175653070509298</v>
      </c>
      <c r="AE52" s="3">
        <v>6.62630955024561</v>
      </c>
      <c r="AF52" s="3">
        <v>3.7720667245199402</v>
      </c>
      <c r="AG52" s="3">
        <v>4.7024437480256998</v>
      </c>
      <c r="AH52" s="3">
        <v>0.40309507230320302</v>
      </c>
      <c r="AI52" s="3">
        <v>13.1</v>
      </c>
      <c r="AJ52" s="3">
        <v>13</v>
      </c>
      <c r="AK52" s="3">
        <v>0.162281045214273</v>
      </c>
      <c r="AL52" s="3">
        <v>0.197878091683207</v>
      </c>
      <c r="AM52" s="3">
        <v>2.0566599999999999</v>
      </c>
      <c r="AN52" s="3">
        <v>56.433310122448503</v>
      </c>
      <c r="AO52" s="3">
        <v>0.122693054255434</v>
      </c>
      <c r="AP52" s="3">
        <v>9.2436492474784998E-2</v>
      </c>
      <c r="AQ52" s="3">
        <v>9.2983945236277399E-2</v>
      </c>
      <c r="AR52" s="3">
        <v>5.6749015742289702E-2</v>
      </c>
      <c r="AS52" s="3">
        <v>4.58942866127433E-2</v>
      </c>
      <c r="AU52">
        <f t="shared" si="0"/>
        <v>0</v>
      </c>
      <c r="AV52">
        <f t="shared" si="1"/>
        <v>1</v>
      </c>
    </row>
    <row r="53" spans="1:48" s="3" customFormat="1" x14ac:dyDescent="0.2">
      <c r="A53" s="3" t="s">
        <v>96</v>
      </c>
      <c r="B53" s="3" t="s">
        <v>80</v>
      </c>
      <c r="C53" s="3" t="s">
        <v>45</v>
      </c>
      <c r="D53" s="3">
        <v>12.78</v>
      </c>
      <c r="E53" s="3">
        <v>47.02</v>
      </c>
      <c r="F53" s="3">
        <v>-9.8005171565956097E-3</v>
      </c>
      <c r="G53" s="3">
        <v>56.024909030748901</v>
      </c>
      <c r="H53" s="3">
        <v>0.26666666681107398</v>
      </c>
      <c r="I53" s="3">
        <v>-0.75166666649775804</v>
      </c>
      <c r="J53" s="3">
        <v>0.133782328944442</v>
      </c>
      <c r="K53" s="3">
        <v>0.26666666681107398</v>
      </c>
      <c r="L53" s="3">
        <v>-0.75166666649775804</v>
      </c>
      <c r="M53" s="3">
        <v>0.26666666681107398</v>
      </c>
      <c r="N53" s="3">
        <v>-0.75166666649775804</v>
      </c>
      <c r="O53" s="3">
        <v>4.1151143703175403</v>
      </c>
      <c r="P53" s="3">
        <v>8.0338863003105401E-2</v>
      </c>
      <c r="Q53" s="3">
        <v>1.25833570003704E-2</v>
      </c>
      <c r="R53" s="3">
        <v>9.7956648887541804E-3</v>
      </c>
      <c r="S53" s="3">
        <v>-8.3521831877650804E-3</v>
      </c>
      <c r="T53" s="3">
        <v>136.53749776559999</v>
      </c>
      <c r="U53" s="3">
        <v>0.48833333347761199</v>
      </c>
      <c r="V53" s="3">
        <v>-0.65666666649882199</v>
      </c>
      <c r="W53" s="3">
        <v>-0.16038461522470901</v>
      </c>
      <c r="X53" s="3">
        <v>0.48833333347761199</v>
      </c>
      <c r="Y53" s="3">
        <v>-0.65666666649882199</v>
      </c>
      <c r="Z53" s="3">
        <v>0.48833333347761199</v>
      </c>
      <c r="AA53" s="3">
        <v>-0.65666666649882199</v>
      </c>
      <c r="AB53" s="3">
        <v>1.3373076923004099</v>
      </c>
      <c r="AC53" s="3">
        <v>1.3742575429017001E-2</v>
      </c>
      <c r="AD53" s="3">
        <v>5.4833500480059696</v>
      </c>
      <c r="AE53" s="3">
        <v>6.2539271427644501</v>
      </c>
      <c r="AF53" s="3">
        <v>4.5182533005914998</v>
      </c>
      <c r="AG53" s="3">
        <v>5.0368450472106003</v>
      </c>
      <c r="AH53" s="3">
        <v>0.54077477348721303</v>
      </c>
      <c r="AI53" s="3">
        <v>13.1</v>
      </c>
      <c r="AJ53" s="3">
        <v>13</v>
      </c>
      <c r="AK53" s="3">
        <v>0.26311628909143198</v>
      </c>
      <c r="AL53" s="3">
        <v>0.29097436567920898</v>
      </c>
      <c r="AM53" s="3">
        <v>2.6599599999999999</v>
      </c>
      <c r="AN53" s="3">
        <v>75.7084682882099</v>
      </c>
      <c r="AO53" s="3">
        <v>0.118263401670462</v>
      </c>
      <c r="AP53" s="3">
        <v>9.08635744347802E-2</v>
      </c>
      <c r="AQ53" s="3">
        <v>9.0879239193025194E-2</v>
      </c>
      <c r="AR53" s="3">
        <v>5.6330127568681797E-2</v>
      </c>
      <c r="AS53" s="3">
        <v>4.2379181811631299E-2</v>
      </c>
      <c r="AU53">
        <f t="shared" si="0"/>
        <v>0</v>
      </c>
      <c r="AV53">
        <f t="shared" si="1"/>
        <v>1</v>
      </c>
    </row>
    <row r="54" spans="1:48" s="3" customFormat="1" x14ac:dyDescent="0.2">
      <c r="A54" s="3" t="s">
        <v>79</v>
      </c>
      <c r="B54" s="3" t="s">
        <v>80</v>
      </c>
      <c r="C54" s="3" t="s">
        <v>45</v>
      </c>
      <c r="D54" s="3">
        <v>12.04</v>
      </c>
      <c r="E54" s="3">
        <v>44.16</v>
      </c>
      <c r="F54" s="3">
        <v>-6.6630111309314904E-3</v>
      </c>
      <c r="G54" s="3">
        <v>53.760478232862901</v>
      </c>
      <c r="H54" s="3">
        <v>0.32000000014437702</v>
      </c>
      <c r="I54" s="3">
        <v>-1.303333333164</v>
      </c>
      <c r="J54" s="3">
        <v>-9.4170967758828203E-2</v>
      </c>
      <c r="K54" s="3">
        <v>0.32000000014437702</v>
      </c>
      <c r="L54" s="3">
        <v>-1.303333333164</v>
      </c>
      <c r="M54" s="3">
        <v>0.32000000014437702</v>
      </c>
      <c r="N54" s="3">
        <v>-1.303333333164</v>
      </c>
      <c r="O54" s="3">
        <v>4.1295999551174098</v>
      </c>
      <c r="P54" s="3">
        <v>7.6099534070346295E-2</v>
      </c>
      <c r="Q54" s="3">
        <v>1.4987580821686299E-2</v>
      </c>
      <c r="R54" s="3">
        <v>1.87867720646809E-2</v>
      </c>
      <c r="S54" s="3">
        <v>-5.2146771621009603E-3</v>
      </c>
      <c r="T54" s="3">
        <v>134.044794590892</v>
      </c>
      <c r="U54" s="3">
        <v>0.54166666681091502</v>
      </c>
      <c r="V54" s="3">
        <v>-1.2083333331650199</v>
      </c>
      <c r="W54" s="3">
        <v>-0.42153846137851902</v>
      </c>
      <c r="X54" s="3">
        <v>0.54166666681091502</v>
      </c>
      <c r="Y54" s="3">
        <v>-1.2083333331650199</v>
      </c>
      <c r="Z54" s="3">
        <v>0.54166666681091502</v>
      </c>
      <c r="AA54" s="3">
        <v>-1.2083333331650199</v>
      </c>
      <c r="AB54" s="3">
        <v>1.3633333332942099</v>
      </c>
      <c r="AC54" s="3">
        <v>2.2733682604943801E-2</v>
      </c>
      <c r="AD54" s="3">
        <v>5.5432098686737099</v>
      </c>
      <c r="AE54" s="3">
        <v>6.0504485375965897</v>
      </c>
      <c r="AF54" s="3">
        <v>4.6456625581764497</v>
      </c>
      <c r="AG54" s="3">
        <v>5.1586769157753798</v>
      </c>
      <c r="AH54" s="3">
        <v>0.56771981929578497</v>
      </c>
      <c r="AI54" s="3">
        <v>13.1</v>
      </c>
      <c r="AJ54" s="3">
        <v>13</v>
      </c>
      <c r="AK54" s="3">
        <v>0.28570899850526998</v>
      </c>
      <c r="AL54" s="3">
        <v>0.31778310460661202</v>
      </c>
      <c r="AM54" s="3">
        <v>2.3309799999999998</v>
      </c>
      <c r="AN54" s="3">
        <v>79.480774701409899</v>
      </c>
      <c r="AO54" s="3">
        <v>0.11564597082901699</v>
      </c>
      <c r="AP54" s="3">
        <v>9.1764000282168606E-2</v>
      </c>
      <c r="AQ54" s="3">
        <v>9.1544353673660997E-2</v>
      </c>
      <c r="AR54" s="3">
        <v>5.7880966834572098E-2</v>
      </c>
      <c r="AS54" s="3">
        <v>4.4471585253427801E-2</v>
      </c>
      <c r="AU54">
        <f t="shared" si="0"/>
        <v>0</v>
      </c>
      <c r="AV54">
        <f t="shared" si="1"/>
        <v>1</v>
      </c>
    </row>
    <row r="55" spans="1:48" x14ac:dyDescent="0.2">
      <c r="A55" t="s">
        <v>100</v>
      </c>
      <c r="B55" t="s">
        <v>80</v>
      </c>
      <c r="C55" t="s">
        <v>45</v>
      </c>
      <c r="D55">
        <v>12.56</v>
      </c>
      <c r="E55">
        <v>43.04</v>
      </c>
      <c r="F55">
        <v>-3.0575035897156201E-3</v>
      </c>
      <c r="G55">
        <v>99.837349974279604</v>
      </c>
      <c r="H55">
        <v>1.1430555556991699</v>
      </c>
      <c r="I55">
        <v>-0.50777777760744203</v>
      </c>
      <c r="J55">
        <v>0.48343059734293697</v>
      </c>
      <c r="K55">
        <v>-0.81166666652126396</v>
      </c>
      <c r="L55">
        <v>-1.54333333316345</v>
      </c>
      <c r="M55">
        <v>2.0550000001428002</v>
      </c>
      <c r="N55">
        <v>-0.52999999982909596</v>
      </c>
      <c r="O55">
        <v>3.7146380380566799</v>
      </c>
      <c r="P55">
        <v>5.7133319179890903E-2</v>
      </c>
      <c r="Q55">
        <v>1.4319080155838999E-2</v>
      </c>
      <c r="R55">
        <v>3.0515480671942101E-3</v>
      </c>
      <c r="S55">
        <v>-1.6091696208851E-3</v>
      </c>
      <c r="T55">
        <v>56.525869748564702</v>
      </c>
      <c r="U55">
        <v>1.2402777779213801</v>
      </c>
      <c r="V55">
        <v>-0.82333333316532997</v>
      </c>
      <c r="W55">
        <v>6.5918803578563806E-2</v>
      </c>
      <c r="X55">
        <v>-0.58999999985472595</v>
      </c>
      <c r="Y55">
        <v>-1.4483333331647601</v>
      </c>
      <c r="Z55">
        <v>3.0066666668086599</v>
      </c>
      <c r="AA55">
        <v>-0.229999999832534</v>
      </c>
      <c r="AB55">
        <v>2.9917735042651401</v>
      </c>
      <c r="AC55">
        <v>6.9984586074571201E-3</v>
      </c>
      <c r="AD55">
        <v>4.37044796704234</v>
      </c>
      <c r="AE55">
        <v>4.0789599482299899</v>
      </c>
      <c r="AF55">
        <v>5.0779765697387003</v>
      </c>
      <c r="AG55">
        <v>6.0256824823466504</v>
      </c>
      <c r="AH55">
        <v>0.90183802098264498</v>
      </c>
      <c r="AI55">
        <v>15.687999999999899</v>
      </c>
      <c r="AJ55">
        <v>15.345999999999901</v>
      </c>
      <c r="AK55">
        <v>0.114585530814564</v>
      </c>
      <c r="AL55">
        <v>0.186052145499598</v>
      </c>
      <c r="AM55">
        <v>3.5390799999999998</v>
      </c>
      <c r="AN55">
        <v>126.25732293757</v>
      </c>
      <c r="AO55">
        <v>8.3086801262491697E-2</v>
      </c>
      <c r="AP55">
        <v>7.80618196732593E-2</v>
      </c>
      <c r="AQ55">
        <v>7.8607222835085297E-2</v>
      </c>
      <c r="AR55">
        <v>0.10424645810933</v>
      </c>
      <c r="AS55">
        <v>0.11010461471515499</v>
      </c>
      <c r="AU55">
        <f t="shared" si="0"/>
        <v>0</v>
      </c>
      <c r="AV55">
        <f t="shared" si="1"/>
        <v>0</v>
      </c>
    </row>
    <row r="56" spans="1:48" s="3" customFormat="1" x14ac:dyDescent="0.2">
      <c r="A56" s="3" t="s">
        <v>106</v>
      </c>
      <c r="B56" s="3" t="s">
        <v>80</v>
      </c>
      <c r="C56" s="3" t="s">
        <v>45</v>
      </c>
      <c r="D56" s="3">
        <v>30.14</v>
      </c>
      <c r="E56" s="3">
        <v>71.22</v>
      </c>
      <c r="F56" s="3">
        <v>-6.682639197748E-3</v>
      </c>
      <c r="G56" s="3">
        <v>93.4175447145075</v>
      </c>
      <c r="H56" s="3">
        <v>0.94500000014378205</v>
      </c>
      <c r="I56" s="3">
        <v>6.0833333503196599E-2</v>
      </c>
      <c r="J56" s="3">
        <v>0.39827415656082599</v>
      </c>
      <c r="K56" s="3">
        <v>0.446666666810901</v>
      </c>
      <c r="L56" s="3">
        <v>-0.153333333163855</v>
      </c>
      <c r="M56" s="3">
        <v>0.80666666681057397</v>
      </c>
      <c r="N56" s="3">
        <v>-0.153333333163855</v>
      </c>
      <c r="O56" s="3">
        <v>3.1319274672064701</v>
      </c>
      <c r="P56" s="3">
        <v>4.6347803601279901E-2</v>
      </c>
      <c r="Q56" s="3">
        <v>2.3686521021602801E-2</v>
      </c>
      <c r="R56" s="3">
        <v>6.6758520416996701E-3</v>
      </c>
      <c r="S56" s="3">
        <v>-5.2343052289174803E-3</v>
      </c>
      <c r="T56" s="3">
        <v>16.443043149875901</v>
      </c>
      <c r="U56" s="3">
        <v>1.1666666668103101</v>
      </c>
      <c r="V56" s="3">
        <v>-5.8333333166056003E-2</v>
      </c>
      <c r="W56" s="3">
        <v>0.203846154005278</v>
      </c>
      <c r="X56" s="3">
        <v>0.66833333347743895</v>
      </c>
      <c r="Y56" s="3">
        <v>-5.8333333166056003E-2</v>
      </c>
      <c r="Z56" s="3">
        <v>1.6650000001431999</v>
      </c>
      <c r="AA56" s="3">
        <v>-5.8333333166056003E-2</v>
      </c>
      <c r="AB56" s="3">
        <v>2.59089743588288</v>
      </c>
      <c r="AC56" s="3">
        <v>1.06227625819625E-2</v>
      </c>
      <c r="AD56" s="3">
        <v>4.9720170836597397</v>
      </c>
      <c r="AE56" s="3">
        <v>4.47704328605559</v>
      </c>
      <c r="AF56" s="3">
        <v>5.0601208220358203</v>
      </c>
      <c r="AG56" s="3">
        <v>5.6919629727176302</v>
      </c>
      <c r="AH56" s="3">
        <v>0.22182320726396701</v>
      </c>
      <c r="AI56" s="3">
        <v>13.552</v>
      </c>
      <c r="AJ56" s="3">
        <v>13.492000000000001</v>
      </c>
      <c r="AK56" s="3">
        <v>1.52090795504752E-3</v>
      </c>
      <c r="AL56" s="3">
        <v>1.6049750065343101E-2</v>
      </c>
      <c r="AM56" s="3">
        <v>1.61368</v>
      </c>
      <c r="AN56" s="3">
        <v>31.0552490169555</v>
      </c>
      <c r="AO56" s="3">
        <v>8.1154994242561104E-2</v>
      </c>
      <c r="AP56" s="3">
        <v>6.4891931927297697E-2</v>
      </c>
      <c r="AQ56" s="3">
        <v>6.5036308577238106E-2</v>
      </c>
      <c r="AR56" s="3">
        <v>9.0250202075624994E-2</v>
      </c>
      <c r="AS56" s="3">
        <v>9.7236753332233195E-2</v>
      </c>
      <c r="AU56" s="3">
        <f t="shared" si="0"/>
        <v>1</v>
      </c>
      <c r="AV56" s="3">
        <f t="shared" si="1"/>
        <v>0</v>
      </c>
    </row>
    <row r="57" spans="1:48" s="3" customFormat="1" x14ac:dyDescent="0.2">
      <c r="A57" s="3" t="s">
        <v>98</v>
      </c>
      <c r="B57" s="3" t="s">
        <v>80</v>
      </c>
      <c r="C57" s="3" t="s">
        <v>45</v>
      </c>
      <c r="D57" s="3">
        <v>8.6999999999999993</v>
      </c>
      <c r="E57" s="3">
        <v>32.96</v>
      </c>
      <c r="F57" s="3">
        <v>-1.71559831096311E-4</v>
      </c>
      <c r="G57" s="3">
        <v>128.79970275612899</v>
      </c>
      <c r="H57" s="3">
        <v>-0.42583333318829703</v>
      </c>
      <c r="I57" s="3">
        <v>-0.1733333331628</v>
      </c>
      <c r="J57" s="3">
        <v>-0.12421633905351</v>
      </c>
      <c r="K57" s="3">
        <v>-0.75166666652133696</v>
      </c>
      <c r="L57" s="3">
        <v>-0.1733333331628</v>
      </c>
      <c r="M57" s="3">
        <v>-0.54666666652152796</v>
      </c>
      <c r="N57" s="3">
        <v>-0.1733333331628</v>
      </c>
      <c r="O57" s="3">
        <v>3.2468655102695601</v>
      </c>
      <c r="P57" s="3">
        <v>6.0503714050654099E-2</v>
      </c>
      <c r="Q57" s="3">
        <v>1.7855941031155498E-2</v>
      </c>
      <c r="R57" s="3">
        <v>1.5474094650549499E-4</v>
      </c>
      <c r="S57" s="3">
        <v>1.2767741377342099E-3</v>
      </c>
      <c r="T57" s="3">
        <v>49.388891008502704</v>
      </c>
      <c r="U57" s="3">
        <v>-0.20416666652175899</v>
      </c>
      <c r="V57" s="3">
        <v>-0.12333333316886599</v>
      </c>
      <c r="W57" s="3">
        <v>-0.36403846137880502</v>
      </c>
      <c r="X57" s="3">
        <v>-0.52999999985479895</v>
      </c>
      <c r="Y57" s="3">
        <v>-0.32333333316886598</v>
      </c>
      <c r="Z57" s="3">
        <v>0.121666666811279</v>
      </c>
      <c r="AA57" s="3">
        <v>-0.32333333316886598</v>
      </c>
      <c r="AB57" s="3">
        <v>2.7607051281644499</v>
      </c>
      <c r="AC57" s="3">
        <v>4.1016514867684003E-3</v>
      </c>
      <c r="AD57" s="3">
        <v>4.4696493087553497</v>
      </c>
      <c r="AE57" s="3">
        <v>4.1161927524318704</v>
      </c>
      <c r="AF57" s="3">
        <v>5.2592096737737597</v>
      </c>
      <c r="AG57" s="3">
        <v>6.4483773272697302</v>
      </c>
      <c r="AH57" s="3">
        <v>1.0641345345417099</v>
      </c>
      <c r="AI57" s="3">
        <v>13.452</v>
      </c>
      <c r="AJ57" s="3">
        <v>13.292</v>
      </c>
      <c r="AK57" s="3">
        <v>0.139115698768083</v>
      </c>
      <c r="AL57" s="3">
        <v>0.178661905356154</v>
      </c>
      <c r="AM57" s="3">
        <v>2.5400200000000002</v>
      </c>
      <c r="AN57" s="3">
        <v>148.97883483583999</v>
      </c>
      <c r="AO57" s="3">
        <v>7.7630181587997699E-2</v>
      </c>
      <c r="AP57" s="3">
        <v>5.9429680534719899E-2</v>
      </c>
      <c r="AQ57" s="3">
        <v>5.4654238927904497E-2</v>
      </c>
      <c r="AR57" s="3">
        <v>8.2656845976811499E-2</v>
      </c>
      <c r="AS57" s="3">
        <v>8.6163249136397196E-2</v>
      </c>
      <c r="AU57" s="3">
        <f t="shared" si="0"/>
        <v>1</v>
      </c>
      <c r="AV57" s="3">
        <f t="shared" si="1"/>
        <v>0</v>
      </c>
    </row>
    <row r="58" spans="1:48" s="3" customFormat="1" x14ac:dyDescent="0.2">
      <c r="A58" s="3" t="s">
        <v>99</v>
      </c>
      <c r="B58" s="3" t="s">
        <v>80</v>
      </c>
      <c r="C58" s="3" t="s">
        <v>45</v>
      </c>
      <c r="D58" s="3">
        <v>13.62</v>
      </c>
      <c r="E58" s="3">
        <v>45.6</v>
      </c>
      <c r="F58" s="3">
        <v>-4.0046561600732798E-3</v>
      </c>
      <c r="G58" s="3">
        <v>94.169210340211805</v>
      </c>
      <c r="H58" s="3">
        <v>0.80666666681056498</v>
      </c>
      <c r="I58" s="3">
        <v>-0.82833333316315405</v>
      </c>
      <c r="J58" s="3">
        <v>-1.94480055356945E-2</v>
      </c>
      <c r="K58" s="3">
        <v>-0.84499999985459395</v>
      </c>
      <c r="L58" s="3">
        <v>-1.5683333331634799</v>
      </c>
      <c r="M58" s="3">
        <v>1.12666666681028</v>
      </c>
      <c r="N58" s="3">
        <v>-1.1833333331638201</v>
      </c>
      <c r="O58" s="3">
        <v>3.2652589598536199</v>
      </c>
      <c r="P58" s="3">
        <v>5.47444959237171E-2</v>
      </c>
      <c r="Q58" s="3">
        <v>1.2086039649978101E-2</v>
      </c>
      <c r="R58" s="3">
        <v>3.9926013683449701E-3</v>
      </c>
      <c r="S58" s="3">
        <v>-2.5563221912427601E-3</v>
      </c>
      <c r="T58" s="3">
        <v>15.3404477663944</v>
      </c>
      <c r="U58" s="3">
        <v>0.856666666810592</v>
      </c>
      <c r="V58" s="3">
        <v>-1.15916666649839</v>
      </c>
      <c r="W58" s="3">
        <v>-0.32147435881446401</v>
      </c>
      <c r="X58" s="3">
        <v>-0.62333333318805595</v>
      </c>
      <c r="Y58" s="3">
        <v>-1.47333333316477</v>
      </c>
      <c r="Z58" s="3">
        <v>2.33666666680924</v>
      </c>
      <c r="AA58" s="3">
        <v>-0.84499999983201601</v>
      </c>
      <c r="AB58" s="3">
        <v>2.66839743587005</v>
      </c>
      <c r="AC58" s="3">
        <v>7.9395119086078797E-3</v>
      </c>
      <c r="AD58" s="3">
        <v>4.2786117735911802</v>
      </c>
      <c r="AE58" s="3">
        <v>3.5337059110277398</v>
      </c>
      <c r="AF58" s="3">
        <v>5.4033673839893899</v>
      </c>
      <c r="AG58" s="3">
        <v>5.80505809289056</v>
      </c>
      <c r="AH58" s="3">
        <v>0.89269414077246501</v>
      </c>
      <c r="AI58" s="3">
        <v>14.436</v>
      </c>
      <c r="AJ58" s="3">
        <v>14.311999999999999</v>
      </c>
      <c r="AK58" s="3">
        <v>0.115495456424739</v>
      </c>
      <c r="AL58" s="3">
        <v>0.163080011299818</v>
      </c>
      <c r="AM58" s="3">
        <v>2.2549600000000001</v>
      </c>
      <c r="AN58" s="3">
        <v>124.977179708145</v>
      </c>
      <c r="AO58" s="3">
        <v>7.6596288744400401E-2</v>
      </c>
      <c r="AP58" s="3">
        <v>7.2798834959998004E-2</v>
      </c>
      <c r="AQ58" s="3">
        <v>7.2052105803050104E-2</v>
      </c>
      <c r="AR58" s="3">
        <v>0.105840893173586</v>
      </c>
      <c r="AS58" s="3">
        <v>0.111767564929938</v>
      </c>
      <c r="AU58" s="3">
        <f t="shared" si="0"/>
        <v>1</v>
      </c>
      <c r="AV58" s="3">
        <f t="shared" si="1"/>
        <v>0</v>
      </c>
    </row>
    <row r="59" spans="1:48" x14ac:dyDescent="0.2">
      <c r="A59" t="s">
        <v>78</v>
      </c>
      <c r="B59" t="s">
        <v>57</v>
      </c>
      <c r="C59" t="s">
        <v>45</v>
      </c>
      <c r="D59">
        <v>0.5</v>
      </c>
      <c r="E59">
        <v>23.44</v>
      </c>
      <c r="F59">
        <v>8.9762896371841996E-2</v>
      </c>
      <c r="G59">
        <v>41.230317393452701</v>
      </c>
      <c r="H59">
        <v>-0.51249999985485795</v>
      </c>
      <c r="I59">
        <v>-4.3033333331614099</v>
      </c>
      <c r="J59">
        <v>-3.17163815335164</v>
      </c>
      <c r="K59">
        <v>-0.57333333318813395</v>
      </c>
      <c r="L59">
        <v>-4.3033333331614099</v>
      </c>
      <c r="M59">
        <v>-0.57333333318813395</v>
      </c>
      <c r="N59">
        <v>-4.3033333331614099</v>
      </c>
      <c r="O59">
        <v>5.6633441301839298</v>
      </c>
      <c r="P59">
        <v>0.13723734361321999</v>
      </c>
      <c r="Q59">
        <v>-3.6029275837310198E-3</v>
      </c>
      <c r="R59">
        <v>0.178098700450804</v>
      </c>
      <c r="S59">
        <v>9.1219516357017902E-2</v>
      </c>
      <c r="T59">
        <v>41.64825602642</v>
      </c>
      <c r="U59">
        <v>-0.29083333318832</v>
      </c>
      <c r="V59">
        <v>-4.2083333331622601</v>
      </c>
      <c r="W59">
        <v>-3.3277564100963701</v>
      </c>
      <c r="X59">
        <v>-0.35166666652159601</v>
      </c>
      <c r="Y59">
        <v>-4.2083333331622601</v>
      </c>
      <c r="Z59">
        <v>-0.22999999985504399</v>
      </c>
      <c r="AA59">
        <v>-4.2083333331622601</v>
      </c>
      <c r="AB59">
        <v>3.3607051280577198</v>
      </c>
      <c r="AC59">
        <v>0.18212837370926799</v>
      </c>
      <c r="AD59">
        <v>1.93706719979834</v>
      </c>
      <c r="AE59">
        <v>1.31209204122959</v>
      </c>
      <c r="AF59">
        <v>1.91452790691787</v>
      </c>
      <c r="AG59">
        <v>1.3683653065100301</v>
      </c>
      <c r="AH59">
        <v>0.51149999691963699</v>
      </c>
      <c r="AI59">
        <v>13.224</v>
      </c>
      <c r="AJ59">
        <v>13.144</v>
      </c>
      <c r="AK59">
        <v>0.26199683183942002</v>
      </c>
      <c r="AL59">
        <v>0.29145904617278501</v>
      </c>
      <c r="AM59">
        <v>1.5689599999999999</v>
      </c>
      <c r="AN59">
        <v>117.133499294597</v>
      </c>
      <c r="AO59">
        <v>0.105564864302418</v>
      </c>
      <c r="AP59">
        <v>0.14150717991551501</v>
      </c>
      <c r="AQ59">
        <v>0.164604948549994</v>
      </c>
      <c r="AR59">
        <v>0.14469252911983499</v>
      </c>
      <c r="AS59">
        <v>0.168977477934703</v>
      </c>
      <c r="AU59">
        <f t="shared" si="0"/>
        <v>0</v>
      </c>
      <c r="AV59">
        <f t="shared" si="1"/>
        <v>0</v>
      </c>
    </row>
    <row r="60" spans="1:48" s="3" customFormat="1" x14ac:dyDescent="0.2">
      <c r="A60" s="3" t="s">
        <v>56</v>
      </c>
      <c r="B60" s="3" t="s">
        <v>57</v>
      </c>
      <c r="C60" s="3" t="s">
        <v>45</v>
      </c>
      <c r="D60" s="3">
        <v>5.7</v>
      </c>
      <c r="E60" s="3">
        <v>16</v>
      </c>
      <c r="F60" s="3">
        <v>3.7633486564192499E-2</v>
      </c>
      <c r="G60" s="3">
        <v>92.616288442687903</v>
      </c>
      <c r="H60" s="3">
        <v>-0.78388888874351903</v>
      </c>
      <c r="I60" s="3">
        <v>-2.4841666664949802</v>
      </c>
      <c r="J60" s="3">
        <v>-1.8449299541425099</v>
      </c>
      <c r="K60" s="3">
        <v>-1.6833333331871501</v>
      </c>
      <c r="L60" s="3">
        <v>-3.41999999982851</v>
      </c>
      <c r="M60" s="3">
        <v>-1.2549999998542001</v>
      </c>
      <c r="N60" s="3">
        <v>-3.0499999998288501</v>
      </c>
      <c r="O60" s="3">
        <v>3.4722377914233</v>
      </c>
      <c r="P60" s="3">
        <v>5.3560529875314997E-2</v>
      </c>
      <c r="Q60" s="3">
        <v>7.7403198085955797E-4</v>
      </c>
      <c r="R60" s="3">
        <v>5.7413534452541201E-2</v>
      </c>
      <c r="S60" s="3">
        <v>3.9090106549368397E-2</v>
      </c>
      <c r="T60" s="3">
        <v>-58.413057566407602</v>
      </c>
      <c r="U60" s="3">
        <v>-0.56222222207698103</v>
      </c>
      <c r="V60" s="3">
        <v>-2.6719444442747502</v>
      </c>
      <c r="W60" s="3">
        <v>-1.9864102562500401</v>
      </c>
      <c r="X60" s="3">
        <v>-1.4616666665206099</v>
      </c>
      <c r="Y60" s="3">
        <v>-3.3233333331630499</v>
      </c>
      <c r="Z60" s="3">
        <v>0.11833333347795801</v>
      </c>
      <c r="AA60" s="3">
        <v>-2.4633333331638299</v>
      </c>
      <c r="AB60" s="3">
        <v>3.49192307685081</v>
      </c>
      <c r="AC60" s="3">
        <v>6.1443207711004803E-2</v>
      </c>
      <c r="AD60" s="3">
        <v>3.92966904523532</v>
      </c>
      <c r="AE60" s="3">
        <v>1.9473014058176601</v>
      </c>
      <c r="AF60" s="3">
        <v>5.7475461759877602</v>
      </c>
      <c r="AG60" s="3">
        <v>4.3770393597782196</v>
      </c>
      <c r="AH60" s="3">
        <v>0.80594208284024205</v>
      </c>
      <c r="AI60" s="3">
        <v>16.437999999999999</v>
      </c>
      <c r="AJ60" s="3">
        <v>16.317999999999898</v>
      </c>
      <c r="AK60" s="3">
        <v>0.13974811485785599</v>
      </c>
      <c r="AL60" s="3">
        <v>0.25579234547109098</v>
      </c>
      <c r="AM60" s="3">
        <v>6.6223799999999997</v>
      </c>
      <c r="AN60" s="3">
        <v>177.307258224853</v>
      </c>
      <c r="AO60" s="3">
        <v>6.6906067799475097E-2</v>
      </c>
      <c r="AP60" s="3">
        <v>7.2198785406823104E-2</v>
      </c>
      <c r="AQ60" s="3">
        <v>7.6858666151900804E-2</v>
      </c>
      <c r="AR60" s="3">
        <v>0.118524919970176</v>
      </c>
      <c r="AS60" s="3">
        <v>0.128415388985302</v>
      </c>
      <c r="AU60" s="3">
        <f t="shared" si="0"/>
        <v>1</v>
      </c>
      <c r="AV60" s="3">
        <f t="shared" si="1"/>
        <v>0</v>
      </c>
    </row>
    <row r="61" spans="1:48" x14ac:dyDescent="0.2">
      <c r="A61" t="s">
        <v>65</v>
      </c>
      <c r="B61" t="s">
        <v>57</v>
      </c>
      <c r="C61" t="s">
        <v>45</v>
      </c>
      <c r="D61">
        <v>6.02</v>
      </c>
      <c r="E61">
        <v>20.079999999999998</v>
      </c>
      <c r="F61">
        <v>4.1910147265283103E-2</v>
      </c>
      <c r="G61">
        <v>81.698276829766598</v>
      </c>
      <c r="H61">
        <v>-0.77166666652132698</v>
      </c>
      <c r="I61">
        <v>-2.7044444442725499</v>
      </c>
      <c r="J61">
        <v>-1.99325311246573</v>
      </c>
      <c r="K61">
        <v>-1.4916666665206699</v>
      </c>
      <c r="L61">
        <v>-3.41833333316184</v>
      </c>
      <c r="M61">
        <v>-1.06666666652105</v>
      </c>
      <c r="N61">
        <v>-3.0683333331621601</v>
      </c>
      <c r="O61">
        <v>3.7665874938798201</v>
      </c>
      <c r="P61">
        <v>5.5129515746777602E-2</v>
      </c>
      <c r="Q61">
        <v>2.0279842566839298E-3</v>
      </c>
      <c r="R61">
        <v>6.5371196949352506E-2</v>
      </c>
      <c r="S61">
        <v>4.3366767250459098E-2</v>
      </c>
      <c r="T61">
        <v>-101.60967486386301</v>
      </c>
      <c r="U61">
        <v>-0.54999999985478998</v>
      </c>
      <c r="V61">
        <v>-2.9116666664967901</v>
      </c>
      <c r="W61">
        <v>-2.1636538459936299</v>
      </c>
      <c r="X61">
        <v>-1.26999999985413</v>
      </c>
      <c r="Y61">
        <v>-3.3233333331630801</v>
      </c>
      <c r="Z61">
        <v>0.17000000014455499</v>
      </c>
      <c r="AA61">
        <v>-2.7283333331636199</v>
      </c>
      <c r="AB61">
        <v>3.6018162392376101</v>
      </c>
      <c r="AC61">
        <v>6.9400870207816101E-2</v>
      </c>
      <c r="AD61">
        <v>3.97048719194113</v>
      </c>
      <c r="AE61">
        <v>1.76843135812962</v>
      </c>
      <c r="AF61">
        <v>5.5896508613717799</v>
      </c>
      <c r="AG61">
        <v>3.90836532463977</v>
      </c>
      <c r="AH61">
        <v>0.62885222207541702</v>
      </c>
      <c r="AI61">
        <v>14.715999999999999</v>
      </c>
      <c r="AJ61">
        <v>14.595999999999901</v>
      </c>
      <c r="AK61">
        <v>0.114520305785835</v>
      </c>
      <c r="AL61">
        <v>0.19858109245650099</v>
      </c>
      <c r="AM61">
        <v>3.52483999999999</v>
      </c>
      <c r="AN61">
        <v>138.34748885659101</v>
      </c>
      <c r="AO61">
        <v>7.2053549531619396E-2</v>
      </c>
      <c r="AP61">
        <v>7.8013585158576995E-2</v>
      </c>
      <c r="AQ61">
        <v>8.38658367763854E-2</v>
      </c>
      <c r="AR61">
        <v>0.121882743634084</v>
      </c>
      <c r="AS61">
        <v>0.13284036015595699</v>
      </c>
      <c r="AU61">
        <f t="shared" si="0"/>
        <v>0</v>
      </c>
      <c r="AV61">
        <f t="shared" si="1"/>
        <v>0</v>
      </c>
    </row>
  </sheetData>
  <sortState xmlns:xlrd2="http://schemas.microsoft.com/office/spreadsheetml/2017/richdata2" ref="A2:AS61">
    <sortCondition ref="B2:B61"/>
    <sortCondition ref="A2:A61"/>
  </sortState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8E638-908B-3448-844E-1C213202735A}">
  <dimension ref="A1:AU61"/>
  <sheetViews>
    <sheetView workbookViewId="0">
      <pane xSplit="1" ySplit="1" topLeftCell="AK37" activePane="bottomRight" state="frozen"/>
      <selection pane="topRight" activeCell="B1" sqref="B1"/>
      <selection pane="bottomLeft" activeCell="A2" sqref="A2"/>
      <selection pane="bottomRight" activeCell="A50" sqref="A50:XFD50"/>
    </sheetView>
  </sheetViews>
  <sheetFormatPr baseColWidth="10" defaultRowHeight="16" x14ac:dyDescent="0.2"/>
  <sheetData>
    <row r="1" spans="1:47" x14ac:dyDescent="0.2">
      <c r="A1" t="s">
        <v>0</v>
      </c>
      <c r="B1" t="s">
        <v>1</v>
      </c>
      <c r="C1" t="s">
        <v>2</v>
      </c>
      <c r="D1" t="s">
        <v>6</v>
      </c>
      <c r="E1" t="s">
        <v>5</v>
      </c>
      <c r="F1" t="s">
        <v>15</v>
      </c>
      <c r="G1" t="s">
        <v>13</v>
      </c>
      <c r="H1" t="s">
        <v>19</v>
      </c>
      <c r="I1" t="s">
        <v>20</v>
      </c>
      <c r="J1" t="s">
        <v>25</v>
      </c>
      <c r="K1" t="s">
        <v>23</v>
      </c>
      <c r="L1" t="s">
        <v>24</v>
      </c>
      <c r="M1" t="s">
        <v>21</v>
      </c>
      <c r="N1" t="s">
        <v>22</v>
      </c>
      <c r="O1" t="s">
        <v>26</v>
      </c>
      <c r="P1" t="s">
        <v>4</v>
      </c>
      <c r="Q1" t="s">
        <v>11</v>
      </c>
      <c r="R1" t="s">
        <v>18</v>
      </c>
      <c r="S1" t="s">
        <v>30</v>
      </c>
      <c r="T1" t="s">
        <v>28</v>
      </c>
      <c r="U1" t="s">
        <v>34</v>
      </c>
      <c r="V1" t="s">
        <v>35</v>
      </c>
      <c r="W1" t="s">
        <v>40</v>
      </c>
      <c r="X1" t="s">
        <v>38</v>
      </c>
      <c r="Y1" t="s">
        <v>39</v>
      </c>
      <c r="Z1" t="s">
        <v>36</v>
      </c>
      <c r="AA1" t="s">
        <v>37</v>
      </c>
      <c r="AB1" t="s">
        <v>41</v>
      </c>
      <c r="AC1" t="s">
        <v>33</v>
      </c>
      <c r="AD1" t="s">
        <v>31</v>
      </c>
      <c r="AE1" t="s">
        <v>32</v>
      </c>
      <c r="AF1" t="s">
        <v>16</v>
      </c>
      <c r="AG1" t="s">
        <v>17</v>
      </c>
      <c r="AH1" t="s">
        <v>9</v>
      </c>
      <c r="AI1" t="s">
        <v>27</v>
      </c>
      <c r="AJ1" t="s">
        <v>42</v>
      </c>
      <c r="AK1" t="s">
        <v>7</v>
      </c>
      <c r="AL1" t="s">
        <v>8</v>
      </c>
      <c r="AM1" t="s">
        <v>3</v>
      </c>
      <c r="AN1" t="s">
        <v>12</v>
      </c>
      <c r="AO1" t="s">
        <v>10</v>
      </c>
      <c r="AP1" t="s">
        <v>14</v>
      </c>
      <c r="AQ1" t="s">
        <v>110</v>
      </c>
      <c r="AR1" t="s">
        <v>29</v>
      </c>
      <c r="AS1" t="s">
        <v>111</v>
      </c>
      <c r="AU1">
        <v>0.06</v>
      </c>
    </row>
    <row r="2" spans="1:47" x14ac:dyDescent="0.2">
      <c r="A2" t="s">
        <v>93</v>
      </c>
      <c r="B2" t="s">
        <v>64</v>
      </c>
      <c r="C2" t="s">
        <v>45</v>
      </c>
      <c r="D2">
        <v>74.459999999999994</v>
      </c>
      <c r="E2">
        <v>138.97999999999999</v>
      </c>
      <c r="F2">
        <v>-7.6131495957963799E-2</v>
      </c>
      <c r="G2">
        <v>-174.70697411956701</v>
      </c>
      <c r="H2">
        <v>4.6533333334731397</v>
      </c>
      <c r="I2">
        <v>4.2833333334964498</v>
      </c>
      <c r="J2">
        <v>4.4350976802566899</v>
      </c>
      <c r="K2">
        <v>4.6533333334731397</v>
      </c>
      <c r="L2">
        <v>4.2150000001631804</v>
      </c>
      <c r="M2">
        <v>4.6533333334731397</v>
      </c>
      <c r="N2">
        <v>4.3516666668297201</v>
      </c>
      <c r="O2">
        <v>4.6253182277923202</v>
      </c>
      <c r="P2">
        <v>3.3120982936272497E-2</v>
      </c>
      <c r="Q2">
        <v>-4.12577823141346E-2</v>
      </c>
      <c r="R2">
        <v>-5.8297034072875897E-2</v>
      </c>
      <c r="S2">
        <v>-7.7139255823713795E-2</v>
      </c>
      <c r="T2">
        <v>-282.93633550384601</v>
      </c>
      <c r="U2">
        <v>4.6900000001395403</v>
      </c>
      <c r="V2">
        <v>4.3216666668299704</v>
      </c>
      <c r="W2">
        <v>4.5570833334898104</v>
      </c>
      <c r="X2">
        <v>4.6900000001395403</v>
      </c>
      <c r="Y2">
        <v>4.2533333334967001</v>
      </c>
      <c r="Z2">
        <v>4.6900000001395403</v>
      </c>
      <c r="AA2">
        <v>4.3900000001632398</v>
      </c>
      <c r="AB2">
        <v>4.5570833334898104</v>
      </c>
      <c r="AC2">
        <v>-5.9515835762023801E-2</v>
      </c>
      <c r="AD2">
        <v>1.0071919719684701</v>
      </c>
      <c r="AE2">
        <v>2.9850937791711099</v>
      </c>
      <c r="AF2">
        <v>0.801728003797884</v>
      </c>
      <c r="AG2">
        <v>1.5141408960863001</v>
      </c>
      <c r="AH2">
        <v>-2.18157224385109E-3</v>
      </c>
      <c r="AI2">
        <v>13.56</v>
      </c>
      <c r="AJ2">
        <v>13.54</v>
      </c>
      <c r="AK2" s="1">
        <v>1.34970946967231E-5</v>
      </c>
      <c r="AL2">
        <v>1.1608096563293401E-4</v>
      </c>
      <c r="AM2">
        <v>3.1414599999999999</v>
      </c>
      <c r="AN2">
        <v>-0.50176161608574998</v>
      </c>
      <c r="AO2">
        <v>6.5303538662913996E-2</v>
      </c>
      <c r="AP2">
        <v>8.3994925166261794E-2</v>
      </c>
      <c r="AQ2">
        <v>8.0691454734367299E-2</v>
      </c>
      <c r="AR2">
        <v>9.2958253250565601E-2</v>
      </c>
      <c r="AS2">
        <v>8.9961075424648804E-2</v>
      </c>
      <c r="AU2">
        <f>(AQ2&lt;AU$1)*1</f>
        <v>0</v>
      </c>
    </row>
    <row r="3" spans="1:47" x14ac:dyDescent="0.2">
      <c r="A3" t="s">
        <v>87</v>
      </c>
      <c r="B3" t="s">
        <v>64</v>
      </c>
      <c r="C3" t="s">
        <v>45</v>
      </c>
      <c r="D3">
        <v>36.06</v>
      </c>
      <c r="E3">
        <v>104.78</v>
      </c>
      <c r="F3">
        <v>-3.0464075838581801E-2</v>
      </c>
      <c r="G3">
        <v>17.859549392148899</v>
      </c>
      <c r="H3">
        <v>2.3008333334752802</v>
      </c>
      <c r="I3">
        <v>1.48361111127676</v>
      </c>
      <c r="J3">
        <v>1.9497786936893799</v>
      </c>
      <c r="K3">
        <v>2.0233333334755299</v>
      </c>
      <c r="L3">
        <v>1.0000000001661</v>
      </c>
      <c r="M3">
        <v>2.5783333334750198</v>
      </c>
      <c r="N3">
        <v>1.9933333334985199</v>
      </c>
      <c r="O3">
        <v>2.5996461249809699</v>
      </c>
      <c r="P3">
        <v>3.9587327241374801E-2</v>
      </c>
      <c r="Q3">
        <v>-1.8353618124256899E-2</v>
      </c>
      <c r="R3">
        <v>-2.2932313919067301E-2</v>
      </c>
      <c r="S3">
        <v>-3.1471835704331798E-2</v>
      </c>
      <c r="T3">
        <v>-92.459991402352898</v>
      </c>
      <c r="U3">
        <v>2.3375000001416799</v>
      </c>
      <c r="V3">
        <v>1.5219444446102799</v>
      </c>
      <c r="W3">
        <v>2.0504166668249399</v>
      </c>
      <c r="X3">
        <v>2.0600000001419301</v>
      </c>
      <c r="Y3">
        <v>1.0383333334996201</v>
      </c>
      <c r="Z3">
        <v>2.61500000014142</v>
      </c>
      <c r="AA3">
        <v>1.7900000001656</v>
      </c>
      <c r="AB3">
        <v>2.1247329061028002</v>
      </c>
      <c r="AC3">
        <v>-2.4151115608215201E-2</v>
      </c>
      <c r="AD3">
        <v>3.8725967590869601</v>
      </c>
      <c r="AE3">
        <v>4.5485825449636499</v>
      </c>
      <c r="AF3">
        <v>3.9585398686579798</v>
      </c>
      <c r="AG3">
        <v>4.6206442568907597</v>
      </c>
      <c r="AH3">
        <v>0.57977297077506695</v>
      </c>
      <c r="AI3">
        <v>16.204000000000001</v>
      </c>
      <c r="AJ3">
        <v>16.263999999999999</v>
      </c>
      <c r="AK3" s="1">
        <v>4.9347382908912397E-6</v>
      </c>
      <c r="AL3">
        <v>4.3291672491354899E-4</v>
      </c>
      <c r="AM3">
        <v>6.4584799999999998</v>
      </c>
      <c r="AN3">
        <v>133.34778327826501</v>
      </c>
      <c r="AO3">
        <v>5.9225245609336397E-2</v>
      </c>
      <c r="AP3">
        <v>5.6641846335429701E-2</v>
      </c>
      <c r="AQ3">
        <v>5.3999158754955E-2</v>
      </c>
      <c r="AR3">
        <v>6.9115935757922894E-2</v>
      </c>
      <c r="AS3">
        <v>6.6842310568997199E-2</v>
      </c>
      <c r="AU3">
        <f t="shared" ref="AU3:AU61" si="0">(AQ3&lt;AU$1)*1</f>
        <v>1</v>
      </c>
    </row>
    <row r="4" spans="1:47" x14ac:dyDescent="0.2">
      <c r="A4" t="s">
        <v>63</v>
      </c>
      <c r="B4" t="s">
        <v>64</v>
      </c>
      <c r="C4" t="s">
        <v>45</v>
      </c>
      <c r="D4">
        <v>0</v>
      </c>
      <c r="E4">
        <v>0.36</v>
      </c>
      <c r="F4">
        <v>3.95617932951848E-3</v>
      </c>
      <c r="G4">
        <v>89.218607961836298</v>
      </c>
      <c r="H4">
        <v>-5.6249999855894302E-2</v>
      </c>
      <c r="I4">
        <v>0.28622222238897299</v>
      </c>
      <c r="J4">
        <v>2.55414378908367E-2</v>
      </c>
      <c r="K4">
        <v>-2.9233333331866098</v>
      </c>
      <c r="L4">
        <v>-3.9716666664960099</v>
      </c>
      <c r="M4">
        <v>-0.37333333318893802</v>
      </c>
      <c r="N4">
        <v>1.0516666668327399</v>
      </c>
      <c r="O4">
        <v>2.1042881361863799</v>
      </c>
      <c r="P4">
        <v>0.106654282396211</v>
      </c>
      <c r="Q4" s="1">
        <v>-4.1398421577803597E-6</v>
      </c>
      <c r="R4">
        <v>4.3229381561278998E-3</v>
      </c>
      <c r="S4">
        <v>2.9484194637684901E-3</v>
      </c>
      <c r="T4">
        <v>82.324407532247406</v>
      </c>
      <c r="U4">
        <v>-1.9583333189497499E-2</v>
      </c>
      <c r="V4">
        <v>0.324555555722495</v>
      </c>
      <c r="W4">
        <v>0.13923473764435099</v>
      </c>
      <c r="X4">
        <v>-2.8866666665202199</v>
      </c>
      <c r="Y4">
        <v>-3.9333333331624898</v>
      </c>
      <c r="Z4">
        <v>0.12666666681035099</v>
      </c>
      <c r="AA4">
        <v>1.2050000001661501</v>
      </c>
      <c r="AB4">
        <v>1.34580006105558</v>
      </c>
      <c r="AC4">
        <v>3.1041364669799898E-3</v>
      </c>
      <c r="AD4">
        <v>2.9939430710892299</v>
      </c>
      <c r="AE4">
        <v>2.97505468496714</v>
      </c>
      <c r="AF4">
        <v>3.1883800796494901</v>
      </c>
      <c r="AG4">
        <v>2.8390296811532099</v>
      </c>
      <c r="AH4">
        <v>0.90651877309866902</v>
      </c>
      <c r="AI4">
        <v>36.457999999999998</v>
      </c>
      <c r="AJ4">
        <v>36.677999999999997</v>
      </c>
      <c r="AK4">
        <v>0.76931950334482901</v>
      </c>
      <c r="AL4">
        <v>0.947044158465849</v>
      </c>
      <c r="AM4">
        <v>34.805979999999998</v>
      </c>
      <c r="AN4">
        <v>208.49931781269299</v>
      </c>
      <c r="AO4">
        <v>9.6705486600214899E-2</v>
      </c>
      <c r="AP4">
        <v>8.8119042975293105E-2</v>
      </c>
      <c r="AQ4">
        <v>8.5492960329837095E-2</v>
      </c>
      <c r="AR4">
        <v>9.6092102703874305E-2</v>
      </c>
      <c r="AS4">
        <v>9.3703234660436993E-2</v>
      </c>
      <c r="AU4">
        <f t="shared" si="0"/>
        <v>0</v>
      </c>
    </row>
    <row r="5" spans="1:47" x14ac:dyDescent="0.2">
      <c r="A5" t="s">
        <v>94</v>
      </c>
      <c r="B5" t="s">
        <v>72</v>
      </c>
      <c r="C5" t="s">
        <v>45</v>
      </c>
      <c r="D5">
        <v>104.24</v>
      </c>
      <c r="E5">
        <v>144</v>
      </c>
      <c r="F5">
        <v>5.00743472135787E-3</v>
      </c>
      <c r="G5">
        <v>-23.079946998027101</v>
      </c>
      <c r="H5">
        <v>1.5700000001426</v>
      </c>
      <c r="I5">
        <v>-0.13166666649954001</v>
      </c>
      <c r="J5">
        <v>-5.2996031585841701E-2</v>
      </c>
      <c r="K5">
        <v>1.5700000001426</v>
      </c>
      <c r="L5">
        <v>-0.13166666649954001</v>
      </c>
      <c r="M5">
        <v>1.5700000001426</v>
      </c>
      <c r="N5">
        <v>-0.13166666649954001</v>
      </c>
      <c r="O5">
        <v>2.6321489784211498</v>
      </c>
      <c r="P5">
        <v>2.9159392238805901E-2</v>
      </c>
      <c r="Q5">
        <v>-8.2636421824945697E-2</v>
      </c>
      <c r="R5">
        <v>3.8803658074883E-2</v>
      </c>
      <c r="S5">
        <v>3.9996748556078597E-3</v>
      </c>
      <c r="T5">
        <v>-110.969609796599</v>
      </c>
      <c r="U5">
        <v>1.6066666668089999</v>
      </c>
      <c r="V5">
        <v>-9.3333333166019605E-2</v>
      </c>
      <c r="W5">
        <v>3.31196582780394E-2</v>
      </c>
      <c r="X5">
        <v>1.6066666668089999</v>
      </c>
      <c r="Y5">
        <v>-9.3333333166019605E-2</v>
      </c>
      <c r="Z5">
        <v>1.6066666668089999</v>
      </c>
      <c r="AA5">
        <v>-9.3333333166019605E-2</v>
      </c>
      <c r="AB5">
        <v>1.4748290598407501</v>
      </c>
      <c r="AC5">
        <v>3.7584856385735103E-2</v>
      </c>
      <c r="AD5">
        <v>6.3590391375103197</v>
      </c>
      <c r="AE5">
        <v>9.6584812434638998</v>
      </c>
      <c r="AF5">
        <v>7.0053115000903503</v>
      </c>
      <c r="AG5">
        <v>11.227835022383299</v>
      </c>
      <c r="AH5">
        <v>-12.466544632259</v>
      </c>
      <c r="AI5">
        <v>13.32</v>
      </c>
      <c r="AJ5">
        <v>13.34</v>
      </c>
      <c r="AK5" s="1">
        <v>2.7214112825234E-37</v>
      </c>
      <c r="AL5" s="1">
        <v>1.9927970088457301E-32</v>
      </c>
      <c r="AM5">
        <v>3.4410599999999998</v>
      </c>
      <c r="AN5">
        <v>-2381.11002476147</v>
      </c>
      <c r="AO5">
        <v>0.150756266086334</v>
      </c>
      <c r="AP5">
        <v>5.1630822461713098E-2</v>
      </c>
      <c r="AQ5">
        <v>5.7346462360034503E-2</v>
      </c>
      <c r="AR5">
        <v>6.0536017539038603E-2</v>
      </c>
      <c r="AS5">
        <v>6.4602901295675294E-2</v>
      </c>
      <c r="AU5">
        <f t="shared" si="0"/>
        <v>1</v>
      </c>
    </row>
    <row r="6" spans="1:47" x14ac:dyDescent="0.2">
      <c r="A6" t="s">
        <v>71</v>
      </c>
      <c r="B6" t="s">
        <v>72</v>
      </c>
      <c r="C6" t="s">
        <v>45</v>
      </c>
      <c r="D6">
        <v>0.52</v>
      </c>
      <c r="E6">
        <v>0.7</v>
      </c>
      <c r="F6">
        <v>-2.0870302005533501E-2</v>
      </c>
      <c r="G6">
        <v>81.530659944515804</v>
      </c>
      <c r="H6">
        <v>1.63555555569814</v>
      </c>
      <c r="I6">
        <v>1.0719444446105</v>
      </c>
      <c r="J6">
        <v>1.25864138192749</v>
      </c>
      <c r="K6">
        <v>0.91166666680992403</v>
      </c>
      <c r="L6">
        <v>7.0000000166974094E-2</v>
      </c>
      <c r="M6">
        <v>2.3766666668085699</v>
      </c>
      <c r="N6">
        <v>1.6983333334988</v>
      </c>
      <c r="O6">
        <v>2.0885959902375499</v>
      </c>
      <c r="P6">
        <v>0.13093394565011099</v>
      </c>
      <c r="Q6">
        <v>-2.50127090567791E-2</v>
      </c>
      <c r="R6">
        <v>-1.5816169717045501E-2</v>
      </c>
      <c r="S6">
        <v>-2.1878061871283602E-2</v>
      </c>
      <c r="T6">
        <v>73.750480548429394</v>
      </c>
      <c r="U6">
        <v>1.67222222236454</v>
      </c>
      <c r="V6">
        <v>1.1102777779440201</v>
      </c>
      <c r="W6">
        <v>1.3261004275091299</v>
      </c>
      <c r="X6">
        <v>0.94833333347632098</v>
      </c>
      <c r="Y6">
        <v>0.108333333500495</v>
      </c>
      <c r="Z6">
        <v>2.2300000001417999</v>
      </c>
      <c r="AA6">
        <v>1.1516666668328699</v>
      </c>
      <c r="AB6">
        <v>1.6733440171757401</v>
      </c>
      <c r="AC6">
        <v>-1.7034971406193401E-2</v>
      </c>
      <c r="AD6">
        <v>2.1110197581014098</v>
      </c>
      <c r="AE6">
        <v>2.4618497126242098</v>
      </c>
      <c r="AF6">
        <v>2.2306950748449599</v>
      </c>
      <c r="AG6">
        <v>2.5648760019746799</v>
      </c>
      <c r="AH6">
        <v>0.95725433111568403</v>
      </c>
      <c r="AI6">
        <v>21.19</v>
      </c>
      <c r="AJ6">
        <v>21.27</v>
      </c>
      <c r="AK6">
        <v>0.63600233559750996</v>
      </c>
      <c r="AL6">
        <v>0.98053422441192095</v>
      </c>
      <c r="AM6">
        <v>14.82718</v>
      </c>
      <c r="AN6">
        <v>134.972860687311</v>
      </c>
      <c r="AO6">
        <v>5.9718466111489198E-2</v>
      </c>
      <c r="AP6">
        <v>5.3356147363888898E-2</v>
      </c>
      <c r="AQ6">
        <v>5.1929823643940297E-2</v>
      </c>
      <c r="AR6">
        <v>6.7757793877857894E-2</v>
      </c>
      <c r="AS6">
        <v>6.6528375827292499E-2</v>
      </c>
      <c r="AU6">
        <f t="shared" si="0"/>
        <v>1</v>
      </c>
    </row>
    <row r="7" spans="1:47" x14ac:dyDescent="0.2">
      <c r="A7" t="s">
        <v>91</v>
      </c>
      <c r="B7" t="s">
        <v>72</v>
      </c>
      <c r="C7" t="s">
        <v>45</v>
      </c>
      <c r="D7">
        <v>10.4</v>
      </c>
      <c r="E7">
        <v>42.86</v>
      </c>
      <c r="F7">
        <v>-1.3405334116379499E-2</v>
      </c>
      <c r="G7">
        <v>85.528147172427595</v>
      </c>
      <c r="H7">
        <v>2.8950000001414198</v>
      </c>
      <c r="I7">
        <v>1.6083333334988901</v>
      </c>
      <c r="J7">
        <v>1.28436507952429</v>
      </c>
      <c r="K7">
        <v>2.8950000001414198</v>
      </c>
      <c r="L7">
        <v>1.6083333334988901</v>
      </c>
      <c r="M7">
        <v>2.8950000001414198</v>
      </c>
      <c r="N7">
        <v>1.6083333334988901</v>
      </c>
      <c r="O7">
        <v>3.0372619595548498</v>
      </c>
      <c r="P7">
        <v>5.5013944552860503E-2</v>
      </c>
      <c r="Q7">
        <v>-7.3468287040066799E-3</v>
      </c>
      <c r="R7">
        <v>2.2416494085901899E-2</v>
      </c>
      <c r="S7">
        <v>-1.4413093982129499E-2</v>
      </c>
      <c r="T7">
        <v>81.127904993843501</v>
      </c>
      <c r="U7">
        <v>2.93166666680782</v>
      </c>
      <c r="V7">
        <v>1.6466666668324099</v>
      </c>
      <c r="W7">
        <v>1.3643589745162501</v>
      </c>
      <c r="X7">
        <v>2.93166666680782</v>
      </c>
      <c r="Y7">
        <v>1.6466666668324099</v>
      </c>
      <c r="Z7">
        <v>2.93166666680782</v>
      </c>
      <c r="AA7">
        <v>1.6466666668324099</v>
      </c>
      <c r="AB7">
        <v>1.6646153847154801</v>
      </c>
      <c r="AC7">
        <v>2.1197692396753998E-2</v>
      </c>
      <c r="AD7">
        <v>3.7679370857177301</v>
      </c>
      <c r="AE7">
        <v>6.11012257876137</v>
      </c>
      <c r="AF7">
        <v>4.0907359760169602</v>
      </c>
      <c r="AG7">
        <v>6.3895449818926302</v>
      </c>
      <c r="AH7">
        <v>1.1909398209770099</v>
      </c>
      <c r="AI7">
        <v>12.98</v>
      </c>
      <c r="AJ7">
        <v>13</v>
      </c>
      <c r="AK7">
        <v>3.2846729518020902E-2</v>
      </c>
      <c r="AL7">
        <v>5.2380451564969503E-2</v>
      </c>
      <c r="AM7">
        <v>2.2079800000000001</v>
      </c>
      <c r="AN7">
        <v>184.59567225143701</v>
      </c>
      <c r="AO7">
        <v>5.89789999517214E-2</v>
      </c>
      <c r="AP7">
        <v>6.3920238168065802E-2</v>
      </c>
      <c r="AQ7">
        <v>7.0776959642023796E-2</v>
      </c>
      <c r="AR7">
        <v>6.4117486059565104E-2</v>
      </c>
      <c r="AS7">
        <v>7.0312577094476594E-2</v>
      </c>
      <c r="AU7">
        <f t="shared" si="0"/>
        <v>0</v>
      </c>
    </row>
    <row r="8" spans="1:47" x14ac:dyDescent="0.2">
      <c r="A8" t="s">
        <v>101</v>
      </c>
      <c r="B8" t="s">
        <v>72</v>
      </c>
      <c r="C8" t="s">
        <v>45</v>
      </c>
      <c r="D8">
        <v>37.799999999999997</v>
      </c>
      <c r="E8">
        <v>86.54</v>
      </c>
      <c r="F8">
        <v>2.1690914702561799E-4</v>
      </c>
      <c r="G8">
        <v>-103.287532515698</v>
      </c>
      <c r="H8">
        <v>2.19500000014206</v>
      </c>
      <c r="I8">
        <v>0.36000000016670097</v>
      </c>
      <c r="J8">
        <v>0.42460470101431602</v>
      </c>
      <c r="K8">
        <v>2.19500000014206</v>
      </c>
      <c r="L8">
        <v>0.36000000016670097</v>
      </c>
      <c r="M8">
        <v>2.19500000014206</v>
      </c>
      <c r="N8">
        <v>0.36000000016670097</v>
      </c>
      <c r="O8">
        <v>2.9054942007650602</v>
      </c>
      <c r="P8">
        <v>3.1157656036272002E-2</v>
      </c>
      <c r="Q8">
        <v>-3.2535884817851001E-3</v>
      </c>
      <c r="R8">
        <v>4.4380180642927501E-2</v>
      </c>
      <c r="S8">
        <v>-7.9085071872439701E-4</v>
      </c>
      <c r="T8">
        <v>-158.40199287405599</v>
      </c>
      <c r="U8">
        <v>2.2316666668084499</v>
      </c>
      <c r="V8">
        <v>0.39833333350022199</v>
      </c>
      <c r="W8">
        <v>0.505384615542394</v>
      </c>
      <c r="X8">
        <v>2.2316666668084499</v>
      </c>
      <c r="Y8">
        <v>0.39833333350022199</v>
      </c>
      <c r="Z8">
        <v>2.2316666668084499</v>
      </c>
      <c r="AA8">
        <v>0.39833333350022199</v>
      </c>
      <c r="AB8">
        <v>1.3892307692677499</v>
      </c>
      <c r="AC8">
        <v>4.3161378953779597E-2</v>
      </c>
      <c r="AD8">
        <v>4.5689832666224897</v>
      </c>
      <c r="AE8">
        <v>8.8959571346997599</v>
      </c>
      <c r="AF8">
        <v>4.7433890142373301</v>
      </c>
      <c r="AG8">
        <v>10.471505091391499</v>
      </c>
      <c r="AH8">
        <v>-9.6529771724060395E-2</v>
      </c>
      <c r="AI8">
        <v>12.98</v>
      </c>
      <c r="AJ8">
        <v>13</v>
      </c>
      <c r="AK8" s="1">
        <v>1.0430595850542199E-6</v>
      </c>
      <c r="AL8" s="1">
        <v>1.6324112563749701E-5</v>
      </c>
      <c r="AM8">
        <v>2.6027999999999998</v>
      </c>
      <c r="AN8">
        <v>-14.9621146172293</v>
      </c>
      <c r="AO8">
        <v>6.20564685340175E-2</v>
      </c>
      <c r="AP8">
        <v>6.3119886251038995E-2</v>
      </c>
      <c r="AQ8">
        <v>6.9120430342701294E-2</v>
      </c>
      <c r="AR8">
        <v>6.8452003784055804E-2</v>
      </c>
      <c r="AS8">
        <v>7.36279141640893E-2</v>
      </c>
      <c r="AU8">
        <f t="shared" si="0"/>
        <v>0</v>
      </c>
    </row>
    <row r="9" spans="1:47" x14ac:dyDescent="0.2">
      <c r="A9" t="s">
        <v>108</v>
      </c>
      <c r="B9" t="s">
        <v>72</v>
      </c>
      <c r="C9" t="s">
        <v>45</v>
      </c>
      <c r="D9">
        <v>122.14</v>
      </c>
      <c r="E9">
        <v>133.72</v>
      </c>
      <c r="F9">
        <v>-0.28040291891341701</v>
      </c>
      <c r="G9">
        <v>-3522.3835739484002</v>
      </c>
      <c r="H9">
        <v>16.850000000128698</v>
      </c>
      <c r="I9">
        <v>17.3050000001512</v>
      </c>
      <c r="J9">
        <v>16.290059523957801</v>
      </c>
      <c r="K9">
        <v>16.850000000128698</v>
      </c>
      <c r="L9">
        <v>17.3050000001512</v>
      </c>
      <c r="M9">
        <v>16.850000000128698</v>
      </c>
      <c r="N9">
        <v>17.3050000001512</v>
      </c>
      <c r="O9">
        <v>16.412697448677999</v>
      </c>
      <c r="P9">
        <v>2.9380649208957201E-2</v>
      </c>
      <c r="Q9">
        <v>-0.18256505004423301</v>
      </c>
      <c r="R9">
        <v>-0.27099961204765199</v>
      </c>
      <c r="S9">
        <v>-0.28141067877916698</v>
      </c>
      <c r="T9">
        <v>-3576.7370580126799</v>
      </c>
      <c r="U9">
        <v>16.886666666795101</v>
      </c>
      <c r="V9">
        <v>17.343333333484701</v>
      </c>
      <c r="W9">
        <v>16.345384615529401</v>
      </c>
      <c r="X9">
        <v>16.886666666795101</v>
      </c>
      <c r="Y9">
        <v>17.343333333484701</v>
      </c>
      <c r="Z9">
        <v>16.886666666795101</v>
      </c>
      <c r="AA9">
        <v>17.343333333484701</v>
      </c>
      <c r="AB9">
        <v>16.345384615529401</v>
      </c>
      <c r="AC9">
        <v>-0.272218413736799</v>
      </c>
      <c r="AD9" s="1">
        <v>4.7553098007381502E-15</v>
      </c>
      <c r="AE9" s="1">
        <v>9.8581048551577395E-13</v>
      </c>
      <c r="AF9" s="1">
        <v>9.6508880086675304E-20</v>
      </c>
      <c r="AG9" s="1">
        <v>1.06338647871868E-14</v>
      </c>
      <c r="AH9">
        <v>-26.620959302770899</v>
      </c>
      <c r="AI9">
        <v>12.86</v>
      </c>
      <c r="AJ9">
        <v>12.88</v>
      </c>
      <c r="AK9" s="1">
        <v>1.7977955722230199E-25</v>
      </c>
      <c r="AL9" s="1">
        <v>5.5732533541092203E-25</v>
      </c>
      <c r="AM9">
        <v>0.84129999999999905</v>
      </c>
      <c r="AN9">
        <v>-3726.9343023879301</v>
      </c>
      <c r="AO9">
        <v>0.23587527381162501</v>
      </c>
      <c r="AP9">
        <v>0.28813220133326001</v>
      </c>
      <c r="AQ9">
        <v>0.30305220803139199</v>
      </c>
      <c r="AR9">
        <v>0.28945973652145701</v>
      </c>
      <c r="AS9">
        <v>0.30433116606129301</v>
      </c>
      <c r="AU9">
        <f t="shared" si="0"/>
        <v>0</v>
      </c>
    </row>
    <row r="10" spans="1:47" x14ac:dyDescent="0.2">
      <c r="A10" t="s">
        <v>92</v>
      </c>
      <c r="B10" t="s">
        <v>72</v>
      </c>
      <c r="C10" t="s">
        <v>45</v>
      </c>
      <c r="D10">
        <v>59.48</v>
      </c>
      <c r="E10">
        <v>107.82</v>
      </c>
      <c r="F10">
        <v>7.5170177825570395E-2</v>
      </c>
      <c r="G10">
        <v>-54.437606612713999</v>
      </c>
      <c r="H10">
        <v>-3.42666666651952</v>
      </c>
      <c r="I10">
        <v>-5.6566666664944796</v>
      </c>
      <c r="J10">
        <v>-4.6414545175411401</v>
      </c>
      <c r="K10">
        <v>-3.42666666651952</v>
      </c>
      <c r="L10">
        <v>-5.6566666664944796</v>
      </c>
      <c r="M10">
        <v>-3.42666666651952</v>
      </c>
      <c r="N10">
        <v>-5.6566666664944796</v>
      </c>
      <c r="O10">
        <v>5.5042378499591402</v>
      </c>
      <c r="P10">
        <v>4.4242682963531399E-2</v>
      </c>
      <c r="Q10">
        <v>2.0537975674572599E-2</v>
      </c>
      <c r="R10">
        <v>9.5548556280798294E-2</v>
      </c>
      <c r="S10">
        <v>7.4162417959820301E-2</v>
      </c>
      <c r="T10">
        <v>-105.653411849338</v>
      </c>
      <c r="U10">
        <v>-3.3899999998531198</v>
      </c>
      <c r="V10">
        <v>-5.61833333316096</v>
      </c>
      <c r="W10">
        <v>-4.5309615382996196</v>
      </c>
      <c r="X10">
        <v>-3.3899999998531198</v>
      </c>
      <c r="Y10">
        <v>-5.61833333316096</v>
      </c>
      <c r="Z10">
        <v>-3.3899999998531198</v>
      </c>
      <c r="AA10">
        <v>-5.61833333316096</v>
      </c>
      <c r="AB10">
        <v>4.5309615382996196</v>
      </c>
      <c r="AC10">
        <v>9.4329754591650397E-2</v>
      </c>
      <c r="AD10">
        <v>3.3380173876935602</v>
      </c>
      <c r="AE10">
        <v>1.51194531142845</v>
      </c>
      <c r="AF10">
        <v>2.6656377490928902</v>
      </c>
      <c r="AG10">
        <v>0.91730849629679101</v>
      </c>
      <c r="AH10">
        <v>-0.227718857024335</v>
      </c>
      <c r="AI10">
        <v>13.2</v>
      </c>
      <c r="AJ10">
        <v>13.2</v>
      </c>
      <c r="AK10">
        <v>1.0428153689416601E-3</v>
      </c>
      <c r="AL10">
        <v>2.7551864773579498E-3</v>
      </c>
      <c r="AM10">
        <v>3.31142</v>
      </c>
      <c r="AN10">
        <v>-31.880639983406901</v>
      </c>
      <c r="AO10">
        <v>8.9487946793400205E-2</v>
      </c>
      <c r="AP10">
        <v>8.8028332923461905E-2</v>
      </c>
      <c r="AQ10">
        <v>9.7486388122517406E-2</v>
      </c>
      <c r="AR10">
        <v>9.5533407313545995E-2</v>
      </c>
      <c r="AS10">
        <v>0.104931592220113</v>
      </c>
      <c r="AU10">
        <f t="shared" si="0"/>
        <v>0</v>
      </c>
    </row>
    <row r="11" spans="1:47" x14ac:dyDescent="0.2">
      <c r="A11" t="s">
        <v>102</v>
      </c>
      <c r="B11" t="s">
        <v>72</v>
      </c>
      <c r="C11" t="s">
        <v>45</v>
      </c>
      <c r="D11">
        <v>60.64</v>
      </c>
      <c r="E11">
        <v>110.98</v>
      </c>
      <c r="F11">
        <v>-3.4393710250387802E-2</v>
      </c>
      <c r="G11">
        <v>-243.03840364814999</v>
      </c>
      <c r="H11">
        <v>2.7983333334748499</v>
      </c>
      <c r="I11">
        <v>2.9450000001643</v>
      </c>
      <c r="J11">
        <v>2.2265415141999298</v>
      </c>
      <c r="K11">
        <v>2.7983333334748499</v>
      </c>
      <c r="L11">
        <v>2.9450000001643</v>
      </c>
      <c r="M11">
        <v>2.7983333334748499</v>
      </c>
      <c r="N11">
        <v>2.9450000001643</v>
      </c>
      <c r="O11">
        <v>3.9199183005317502</v>
      </c>
      <c r="P11">
        <v>3.2047750100692197E-2</v>
      </c>
      <c r="Q11">
        <v>-2.64978789475348E-2</v>
      </c>
      <c r="R11">
        <v>8.9954983914009301E-3</v>
      </c>
      <c r="S11">
        <v>-3.5401470116137798E-2</v>
      </c>
      <c r="T11">
        <v>-286.04350602602301</v>
      </c>
      <c r="U11">
        <v>2.8350000001412501</v>
      </c>
      <c r="V11">
        <v>2.9833333334978298</v>
      </c>
      <c r="W11">
        <v>2.3133333334897301</v>
      </c>
      <c r="X11">
        <v>2.8350000001412501</v>
      </c>
      <c r="Y11">
        <v>2.9833333334978298</v>
      </c>
      <c r="Z11">
        <v>2.8350000001412501</v>
      </c>
      <c r="AA11">
        <v>2.9833333334978298</v>
      </c>
      <c r="AB11">
        <v>2.5748717949837499</v>
      </c>
      <c r="AC11">
        <v>7.7766967022530097E-3</v>
      </c>
      <c r="AD11">
        <v>3.7722467617670699</v>
      </c>
      <c r="AE11">
        <v>3.6954439400230501</v>
      </c>
      <c r="AF11">
        <v>3.0406892631539302</v>
      </c>
      <c r="AG11">
        <v>4.6029722743763797</v>
      </c>
      <c r="AH11">
        <v>-0.98965941770450705</v>
      </c>
      <c r="AI11">
        <v>12.98</v>
      </c>
      <c r="AJ11">
        <v>13</v>
      </c>
      <c r="AK11">
        <v>3.7640493154987701E-3</v>
      </c>
      <c r="AL11">
        <v>6.5485048832522701E-3</v>
      </c>
      <c r="AM11">
        <v>3.02117999999999</v>
      </c>
      <c r="AN11">
        <v>-153.39720974419799</v>
      </c>
      <c r="AO11">
        <v>7.6059164925589506E-2</v>
      </c>
      <c r="AP11">
        <v>8.49631036692024E-2</v>
      </c>
      <c r="AQ11">
        <v>8.4879035300113204E-2</v>
      </c>
      <c r="AR11">
        <v>8.6957764505047996E-2</v>
      </c>
      <c r="AS11">
        <v>8.7419861229703105E-2</v>
      </c>
      <c r="AU11">
        <f t="shared" si="0"/>
        <v>0</v>
      </c>
    </row>
    <row r="12" spans="1:47" x14ac:dyDescent="0.2">
      <c r="A12" t="s">
        <v>95</v>
      </c>
      <c r="B12" t="s">
        <v>117</v>
      </c>
      <c r="C12" t="s">
        <v>45</v>
      </c>
      <c r="D12">
        <v>119.4</v>
      </c>
      <c r="E12">
        <v>174.72</v>
      </c>
      <c r="F12">
        <v>2.4418028429165701E-2</v>
      </c>
      <c r="G12">
        <v>105.134369738884</v>
      </c>
      <c r="H12">
        <v>-0.113333333189157</v>
      </c>
      <c r="I12">
        <v>-1.3108333331651101</v>
      </c>
      <c r="J12">
        <v>-1.15678800350166</v>
      </c>
      <c r="K12">
        <v>-0.113333333189157</v>
      </c>
      <c r="L12">
        <v>-1.3266666664984399</v>
      </c>
      <c r="M12">
        <v>-0.113333333189157</v>
      </c>
      <c r="N12">
        <v>-1.3266666664984399</v>
      </c>
      <c r="O12">
        <v>2.5376929897789502</v>
      </c>
      <c r="P12">
        <v>3.2281010365474198E-2</v>
      </c>
      <c r="Q12">
        <v>6.4135074594369401E-2</v>
      </c>
      <c r="R12">
        <v>4.4029918081110002E-2</v>
      </c>
      <c r="S12">
        <v>2.3410268563415701E-2</v>
      </c>
      <c r="T12">
        <v>28.453171338616599</v>
      </c>
      <c r="U12">
        <v>-7.6666666522760302E-2</v>
      </c>
      <c r="V12">
        <v>-1.27249999983159</v>
      </c>
      <c r="W12">
        <v>-1.0909615383020901</v>
      </c>
      <c r="X12">
        <v>-7.6666666522760302E-2</v>
      </c>
      <c r="Y12">
        <v>-1.2883333331649101</v>
      </c>
      <c r="Z12">
        <v>-7.6666666522760302E-2</v>
      </c>
      <c r="AA12">
        <v>-1.25666666649827</v>
      </c>
      <c r="AB12">
        <v>1.5640384614612901</v>
      </c>
      <c r="AC12">
        <v>4.2811116391962098E-2</v>
      </c>
      <c r="AD12">
        <v>7.8795874344877204</v>
      </c>
      <c r="AE12">
        <v>6.6453008719657696</v>
      </c>
      <c r="AF12">
        <v>10.3560103757103</v>
      </c>
      <c r="AG12">
        <v>8.8279363378845996</v>
      </c>
      <c r="AH12">
        <v>-0.97629945253119199</v>
      </c>
      <c r="AI12">
        <v>13.28</v>
      </c>
      <c r="AJ12">
        <v>13.32</v>
      </c>
      <c r="AK12" s="1">
        <v>5.7552612128650003E-6</v>
      </c>
      <c r="AL12" s="1">
        <v>9.5936962338076303E-5</v>
      </c>
      <c r="AM12">
        <v>2.88226</v>
      </c>
      <c r="AN12">
        <v>-224.548874082174</v>
      </c>
      <c r="AO12">
        <v>8.3340540936382199E-2</v>
      </c>
      <c r="AP12">
        <v>4.3368801995537103E-2</v>
      </c>
      <c r="AQ12">
        <v>4.6654801926616099E-2</v>
      </c>
      <c r="AR12">
        <v>5.6375365315557299E-2</v>
      </c>
      <c r="AS12">
        <v>5.8921055076982198E-2</v>
      </c>
      <c r="AU12">
        <f t="shared" si="0"/>
        <v>1</v>
      </c>
    </row>
    <row r="13" spans="1:47" x14ac:dyDescent="0.2">
      <c r="A13" t="s">
        <v>66</v>
      </c>
      <c r="B13" t="s">
        <v>67</v>
      </c>
      <c r="C13" t="s">
        <v>45</v>
      </c>
      <c r="D13">
        <v>9.26</v>
      </c>
      <c r="E13">
        <v>53.34</v>
      </c>
      <c r="F13">
        <v>6.9634529142343499E-3</v>
      </c>
      <c r="G13">
        <v>126.83944790644099</v>
      </c>
      <c r="H13">
        <v>0.14583333347725899</v>
      </c>
      <c r="I13">
        <v>-0.13527777761065701</v>
      </c>
      <c r="J13">
        <v>-0.18486696158011101</v>
      </c>
      <c r="K13">
        <v>-0.30333333318899303</v>
      </c>
      <c r="L13">
        <v>-0.63499999983242505</v>
      </c>
      <c r="M13">
        <v>0.62333333347682096</v>
      </c>
      <c r="N13">
        <v>9.1666666833580102E-2</v>
      </c>
      <c r="O13">
        <v>2.0295519099250501</v>
      </c>
      <c r="P13">
        <v>4.6737314620747497E-2</v>
      </c>
      <c r="Q13">
        <v>-5.3495826833726504E-4</v>
      </c>
      <c r="R13">
        <v>9.5198172251383592E-3</v>
      </c>
      <c r="S13">
        <v>5.9556930484843604E-3</v>
      </c>
      <c r="T13">
        <v>70.209806925006603</v>
      </c>
      <c r="U13">
        <v>0.182500000143656</v>
      </c>
      <c r="V13">
        <v>-9.6944444277135694E-2</v>
      </c>
      <c r="W13">
        <v>-7.3912393002791399E-2</v>
      </c>
      <c r="X13">
        <v>-0.26666666652259602</v>
      </c>
      <c r="Y13">
        <v>-0.59666666649890399</v>
      </c>
      <c r="Z13">
        <v>0.510000000143354</v>
      </c>
      <c r="AA13">
        <v>-3.83333331660742E-2</v>
      </c>
      <c r="AB13">
        <v>1.35324999998011</v>
      </c>
      <c r="AC13">
        <v>8.3010155359904796E-3</v>
      </c>
      <c r="AD13">
        <v>5.2580259687917597</v>
      </c>
      <c r="AE13">
        <v>5.3828873100254802</v>
      </c>
      <c r="AF13">
        <v>6.3722779711872199</v>
      </c>
      <c r="AG13">
        <v>6.1507176577921001</v>
      </c>
      <c r="AH13">
        <v>1.26225178383589</v>
      </c>
      <c r="AI13">
        <v>16.132000000000001</v>
      </c>
      <c r="AJ13">
        <v>16.251999999999999</v>
      </c>
      <c r="AK13">
        <v>9.1231716934880594E-2</v>
      </c>
      <c r="AL13">
        <v>0.18012751558017101</v>
      </c>
      <c r="AM13">
        <v>6.3395599999999996</v>
      </c>
      <c r="AN13">
        <v>285.26890314691298</v>
      </c>
      <c r="AO13">
        <v>5.7680079928167899E-2</v>
      </c>
      <c r="AP13">
        <v>5.2185812283075499E-2</v>
      </c>
      <c r="AQ13">
        <v>4.8596744898039397E-2</v>
      </c>
      <c r="AR13">
        <v>6.8821450042173105E-2</v>
      </c>
      <c r="AS13">
        <v>6.5686091844773406E-2</v>
      </c>
      <c r="AU13">
        <f t="shared" si="0"/>
        <v>1</v>
      </c>
    </row>
    <row r="14" spans="1:47" x14ac:dyDescent="0.2">
      <c r="A14" t="s">
        <v>86</v>
      </c>
      <c r="B14" t="s">
        <v>67</v>
      </c>
      <c r="C14" t="s">
        <v>45</v>
      </c>
      <c r="D14">
        <v>7.76</v>
      </c>
      <c r="E14">
        <v>52.08</v>
      </c>
      <c r="F14">
        <v>7.7356667356731097E-3</v>
      </c>
      <c r="G14">
        <v>152.76843798768499</v>
      </c>
      <c r="H14">
        <v>0.57333333347684801</v>
      </c>
      <c r="I14">
        <v>-0.79333333316560495</v>
      </c>
      <c r="J14">
        <v>-0.50021443817792</v>
      </c>
      <c r="K14">
        <v>0.57333333347684801</v>
      </c>
      <c r="L14">
        <v>-0.88833333316551899</v>
      </c>
      <c r="M14">
        <v>0.57333333347684801</v>
      </c>
      <c r="N14">
        <v>-0.69833333316569202</v>
      </c>
      <c r="O14">
        <v>2.1826536224578299</v>
      </c>
      <c r="P14">
        <v>3.5585727278869099E-2</v>
      </c>
      <c r="Q14">
        <v>-4.9307332383208896E-3</v>
      </c>
      <c r="R14">
        <v>2.4185189126127299E-2</v>
      </c>
      <c r="S14">
        <v>6.7279068699231297E-3</v>
      </c>
      <c r="T14">
        <v>87.250347444329407</v>
      </c>
      <c r="U14">
        <v>0.61000000014324496</v>
      </c>
      <c r="V14">
        <v>-0.75499999983208399</v>
      </c>
      <c r="W14">
        <v>-0.41277777761832302</v>
      </c>
      <c r="X14">
        <v>0.61000000014324496</v>
      </c>
      <c r="Y14">
        <v>-0.84999999983199803</v>
      </c>
      <c r="Z14">
        <v>0.61000000014324496</v>
      </c>
      <c r="AA14">
        <v>-0.65999999983217095</v>
      </c>
      <c r="AB14">
        <v>1.43004273501671</v>
      </c>
      <c r="AC14">
        <v>2.2966387436979398E-2</v>
      </c>
      <c r="AD14">
        <v>6.9671476320480501</v>
      </c>
      <c r="AE14">
        <v>5.9950050797740504</v>
      </c>
      <c r="AF14">
        <v>7.7604667093736701</v>
      </c>
      <c r="AG14">
        <v>8.0704456161100797</v>
      </c>
      <c r="AH14">
        <v>1.5562872286920499</v>
      </c>
      <c r="AI14">
        <v>13.54</v>
      </c>
      <c r="AJ14">
        <v>13.58</v>
      </c>
      <c r="AK14">
        <v>0.119900336603968</v>
      </c>
      <c r="AL14">
        <v>0.16316768276545701</v>
      </c>
      <c r="AM14">
        <v>3.2938200000000002</v>
      </c>
      <c r="AN14">
        <v>328.37660525402299</v>
      </c>
      <c r="AO14">
        <v>4.5988105143224503E-2</v>
      </c>
      <c r="AP14">
        <v>4.07498692276538E-2</v>
      </c>
      <c r="AQ14">
        <v>4.14866383225432E-2</v>
      </c>
      <c r="AR14">
        <v>5.5901187559095802E-2</v>
      </c>
      <c r="AS14">
        <v>5.6398968752298599E-2</v>
      </c>
      <c r="AU14">
        <f t="shared" si="0"/>
        <v>1</v>
      </c>
    </row>
    <row r="15" spans="1:47" x14ac:dyDescent="0.2">
      <c r="A15" t="s">
        <v>88</v>
      </c>
      <c r="B15" t="s">
        <v>67</v>
      </c>
      <c r="C15" t="s">
        <v>45</v>
      </c>
      <c r="D15">
        <v>19.96</v>
      </c>
      <c r="E15">
        <v>77.599999999999994</v>
      </c>
      <c r="F15">
        <v>-1.3228400213931801E-2</v>
      </c>
      <c r="G15">
        <v>86.244821519942093</v>
      </c>
      <c r="H15">
        <v>0.57333333347684801</v>
      </c>
      <c r="I15">
        <v>-0.79333333316560495</v>
      </c>
      <c r="J15">
        <v>-0.19351800960677201</v>
      </c>
      <c r="K15">
        <v>0.57333333347684801</v>
      </c>
      <c r="L15">
        <v>-0.88833333316551899</v>
      </c>
      <c r="M15">
        <v>0.57333333347684801</v>
      </c>
      <c r="N15">
        <v>-0.69833333316569202</v>
      </c>
      <c r="O15">
        <v>2.25305774678991</v>
      </c>
      <c r="P15">
        <v>3.5585727278869099E-2</v>
      </c>
      <c r="Q15">
        <v>-1.39833199586041E-2</v>
      </c>
      <c r="R15">
        <v>2.4185189126127299E-2</v>
      </c>
      <c r="S15">
        <v>-1.4236160079681899E-2</v>
      </c>
      <c r="T15">
        <v>36.7272054243534</v>
      </c>
      <c r="U15">
        <v>0.61000000014324496</v>
      </c>
      <c r="V15">
        <v>-0.75499999983208399</v>
      </c>
      <c r="W15">
        <v>-0.10463675197758</v>
      </c>
      <c r="X15">
        <v>0.61000000014324496</v>
      </c>
      <c r="Y15">
        <v>-0.84999999983199803</v>
      </c>
      <c r="Z15">
        <v>0.61000000014324496</v>
      </c>
      <c r="AA15">
        <v>-0.65999999983217095</v>
      </c>
      <c r="AB15">
        <v>1.18155982904035</v>
      </c>
      <c r="AC15">
        <v>2.2966387436979398E-2</v>
      </c>
      <c r="AD15">
        <v>6.9671476320480501</v>
      </c>
      <c r="AE15">
        <v>5.9950050797740504</v>
      </c>
      <c r="AF15">
        <v>7.7604667093736701</v>
      </c>
      <c r="AG15">
        <v>8.0704456161100797</v>
      </c>
      <c r="AH15">
        <v>1.23172896904465</v>
      </c>
      <c r="AI15">
        <v>13.64</v>
      </c>
      <c r="AJ15">
        <v>13.68</v>
      </c>
      <c r="AK15">
        <v>4.7572043359480003E-2</v>
      </c>
      <c r="AL15">
        <v>6.7802588139319594E-2</v>
      </c>
      <c r="AM15">
        <v>3.5002</v>
      </c>
      <c r="AN15">
        <v>259.89481246842303</v>
      </c>
      <c r="AO15">
        <v>5.5725298408075399E-2</v>
      </c>
      <c r="AP15">
        <v>6.2676721024479007E-2</v>
      </c>
      <c r="AQ15">
        <v>4.14866383225432E-2</v>
      </c>
      <c r="AR15">
        <v>6.8854994651576504E-2</v>
      </c>
      <c r="AS15">
        <v>5.6398968752298599E-2</v>
      </c>
      <c r="AU15">
        <f t="shared" si="0"/>
        <v>1</v>
      </c>
    </row>
    <row r="16" spans="1:47" x14ac:dyDescent="0.2">
      <c r="A16" t="s">
        <v>68</v>
      </c>
      <c r="B16" t="s">
        <v>67</v>
      </c>
      <c r="C16" t="s">
        <v>45</v>
      </c>
      <c r="D16">
        <v>127.94</v>
      </c>
      <c r="E16">
        <v>183.22</v>
      </c>
      <c r="F16">
        <v>1.5889321130315001E-3</v>
      </c>
      <c r="G16">
        <v>-431.87363178438699</v>
      </c>
      <c r="H16">
        <v>0.96833333347650297</v>
      </c>
      <c r="I16">
        <v>-1.1699999998319299</v>
      </c>
      <c r="J16">
        <v>-0.39361111095026802</v>
      </c>
      <c r="K16">
        <v>0.96833333347650297</v>
      </c>
      <c r="L16">
        <v>-1.1699999998319299</v>
      </c>
      <c r="M16">
        <v>0.96833333347650297</v>
      </c>
      <c r="N16">
        <v>-1.1699999998319299</v>
      </c>
      <c r="O16">
        <v>2.3697532969331401</v>
      </c>
      <c r="P16">
        <v>1.76370761657988E-2</v>
      </c>
      <c r="Q16">
        <v>-6.79555096176933E-3</v>
      </c>
      <c r="R16">
        <v>3.5676833236012902E-2</v>
      </c>
      <c r="S16">
        <v>5.81172247281486E-4</v>
      </c>
      <c r="T16">
        <v>-951.70718148278604</v>
      </c>
      <c r="U16">
        <v>1.00500000014289</v>
      </c>
      <c r="V16">
        <v>-1.1316666664984101</v>
      </c>
      <c r="W16">
        <v>-0.319230769071843</v>
      </c>
      <c r="X16">
        <v>1.00500000014289</v>
      </c>
      <c r="Y16">
        <v>-1.1316666664984101</v>
      </c>
      <c r="Z16">
        <v>1.00500000014289</v>
      </c>
      <c r="AA16">
        <v>-1.1316666664984101</v>
      </c>
      <c r="AB16">
        <v>1.26692307689078</v>
      </c>
      <c r="AC16">
        <v>3.4458031546864998E-2</v>
      </c>
      <c r="AD16">
        <v>9.8504600984766792</v>
      </c>
      <c r="AE16">
        <v>7.4102731961616302</v>
      </c>
      <c r="AF16">
        <v>8.2040426956397905</v>
      </c>
      <c r="AG16">
        <v>8.0113819970958406</v>
      </c>
      <c r="AH16">
        <v>-2.95599297895183</v>
      </c>
      <c r="AI16">
        <v>13.04</v>
      </c>
      <c r="AJ16">
        <v>13.06</v>
      </c>
      <c r="AK16" s="1">
        <v>4.1348297521977396E-12</v>
      </c>
      <c r="AL16" s="1">
        <v>3.96398932197596E-10</v>
      </c>
      <c r="AM16">
        <v>2.85676</v>
      </c>
      <c r="AN16">
        <v>-679.87838515892201</v>
      </c>
      <c r="AO16">
        <v>5.0099359957386402E-2</v>
      </c>
      <c r="AP16">
        <v>4.4452755806826103E-2</v>
      </c>
      <c r="AQ16">
        <v>4.2582186280446903E-2</v>
      </c>
      <c r="AR16">
        <v>5.5944629297116202E-2</v>
      </c>
      <c r="AS16">
        <v>5.5189865557591603E-2</v>
      </c>
      <c r="AU16">
        <f t="shared" si="0"/>
        <v>1</v>
      </c>
    </row>
    <row r="17" spans="1:47" x14ac:dyDescent="0.2">
      <c r="A17" t="s">
        <v>83</v>
      </c>
      <c r="B17" t="s">
        <v>67</v>
      </c>
      <c r="C17" t="s">
        <v>45</v>
      </c>
      <c r="D17">
        <v>183.54</v>
      </c>
      <c r="E17">
        <v>213.88</v>
      </c>
      <c r="F17">
        <v>4.9828237800799702E-3</v>
      </c>
      <c r="G17">
        <v>-4148.9645658550498</v>
      </c>
      <c r="H17">
        <v>0.36500000014369799</v>
      </c>
      <c r="I17">
        <v>0.76944444461075301</v>
      </c>
      <c r="J17">
        <v>1.7794032518349101E-2</v>
      </c>
      <c r="K17">
        <v>-0.81166666652189601</v>
      </c>
      <c r="L17">
        <v>-1.27499999983184</v>
      </c>
      <c r="M17">
        <v>3.5000000143982003E-2</v>
      </c>
      <c r="N17">
        <v>1.7133333334987699</v>
      </c>
      <c r="O17">
        <v>2.10444686524069</v>
      </c>
      <c r="P17">
        <v>1.35640306253779E-2</v>
      </c>
      <c r="Q17" s="1">
        <v>-3.6445837141843003E-5</v>
      </c>
      <c r="R17">
        <v>4.5973053548687198E-3</v>
      </c>
      <c r="S17">
        <v>3.9750639143299998E-3</v>
      </c>
      <c r="T17">
        <v>-5696.6834695043999</v>
      </c>
      <c r="U17">
        <v>0.401666666810095</v>
      </c>
      <c r="V17">
        <v>0.80777777794427497</v>
      </c>
      <c r="W17">
        <v>0.127737179646746</v>
      </c>
      <c r="X17">
        <v>-0.77499999985549906</v>
      </c>
      <c r="Y17">
        <v>-1.2366666664983199</v>
      </c>
      <c r="Z17">
        <v>0.41166666681007802</v>
      </c>
      <c r="AA17">
        <v>1.85500000016554</v>
      </c>
      <c r="AB17">
        <v>1.3752072649438301</v>
      </c>
      <c r="AC17">
        <v>3.3785036657208098E-3</v>
      </c>
      <c r="AD17">
        <v>4.3518725844693797</v>
      </c>
      <c r="AE17">
        <v>1.7399469355527999</v>
      </c>
      <c r="AF17">
        <v>4.4097320997107099</v>
      </c>
      <c r="AG17">
        <v>2.8503448313236901</v>
      </c>
      <c r="AH17">
        <v>-30.012475073945499</v>
      </c>
      <c r="AI17">
        <v>20.921999999999901</v>
      </c>
      <c r="AJ17">
        <v>21.041999999999899</v>
      </c>
      <c r="AK17" s="1">
        <v>1.3749590906889801E-82</v>
      </c>
      <c r="AL17" s="1">
        <v>1.4081881135265001E-53</v>
      </c>
      <c r="AM17">
        <v>11.455159999999999</v>
      </c>
      <c r="AN17">
        <v>-6902.8692670074697</v>
      </c>
      <c r="AO17">
        <v>8.0322013463711206E-2</v>
      </c>
      <c r="AP17">
        <v>7.0376284727386995E-2</v>
      </c>
      <c r="AQ17">
        <v>6.6877940445233097E-2</v>
      </c>
      <c r="AR17">
        <v>8.0381796936253705E-2</v>
      </c>
      <c r="AS17">
        <v>7.7259729781232897E-2</v>
      </c>
      <c r="AU17">
        <f t="shared" si="0"/>
        <v>0</v>
      </c>
    </row>
    <row r="18" spans="1:47" x14ac:dyDescent="0.2">
      <c r="A18" t="s">
        <v>75</v>
      </c>
      <c r="B18" t="s">
        <v>67</v>
      </c>
      <c r="C18" t="s">
        <v>45</v>
      </c>
      <c r="D18">
        <v>170.54</v>
      </c>
      <c r="E18">
        <v>203.48</v>
      </c>
      <c r="F18">
        <v>6.9394674283411199E-3</v>
      </c>
      <c r="G18">
        <v>-2653.2686243501698</v>
      </c>
      <c r="H18">
        <v>0.116388889032812</v>
      </c>
      <c r="I18">
        <v>-0.12499999983287099</v>
      </c>
      <c r="J18">
        <v>-0.173570156533327</v>
      </c>
      <c r="K18">
        <v>-0.28999999985570801</v>
      </c>
      <c r="L18">
        <v>-0.48166666649921303</v>
      </c>
      <c r="M18">
        <v>0.39500000014367198</v>
      </c>
      <c r="N18">
        <v>-3.33333331662925E-2</v>
      </c>
      <c r="O18">
        <v>1.9939502491928001</v>
      </c>
      <c r="P18">
        <v>1.27351506207982E-2</v>
      </c>
      <c r="Q18" s="1">
        <v>3.14725953499321E-5</v>
      </c>
      <c r="R18">
        <v>9.2944309855704996E-3</v>
      </c>
      <c r="S18">
        <v>5.9317075625911399E-3</v>
      </c>
      <c r="T18">
        <v>-5165.1212353227802</v>
      </c>
      <c r="U18">
        <v>0.15305555569920901</v>
      </c>
      <c r="V18">
        <v>-8.6666666499349898E-2</v>
      </c>
      <c r="W18">
        <v>-6.3386751977158401E-2</v>
      </c>
      <c r="X18">
        <v>-0.25333333318931101</v>
      </c>
      <c r="Y18">
        <v>-0.44333333316569201</v>
      </c>
      <c r="Z18">
        <v>0.29500000014352701</v>
      </c>
      <c r="AA18">
        <v>0.13000000016711899</v>
      </c>
      <c r="AB18">
        <v>1.34509615382631</v>
      </c>
      <c r="AC18">
        <v>8.0756292964226095E-3</v>
      </c>
      <c r="AD18">
        <v>5.3465348772933803</v>
      </c>
      <c r="AE18">
        <v>9.3666729748963302</v>
      </c>
      <c r="AF18">
        <v>10.403636950601101</v>
      </c>
      <c r="AG18">
        <v>8.6629456960792108</v>
      </c>
      <c r="AH18">
        <v>-19.174618841437301</v>
      </c>
      <c r="AI18">
        <v>15.616</v>
      </c>
      <c r="AJ18">
        <v>15.735999999999899</v>
      </c>
      <c r="AK18" s="1">
        <v>3.6625672831540099E-42</v>
      </c>
      <c r="AL18" s="1">
        <v>1.02571332801953E-29</v>
      </c>
      <c r="AM18">
        <v>6.2094399999999998</v>
      </c>
      <c r="AN18">
        <v>-4410.1623335305903</v>
      </c>
      <c r="AO18">
        <v>5.6865336534147201E-2</v>
      </c>
      <c r="AP18">
        <v>5.0548841881972298E-2</v>
      </c>
      <c r="AQ18">
        <v>4.7337781472050103E-2</v>
      </c>
      <c r="AR18">
        <v>6.6930317844186196E-2</v>
      </c>
      <c r="AS18">
        <v>6.41119926120782E-2</v>
      </c>
      <c r="AU18">
        <f t="shared" si="0"/>
        <v>1</v>
      </c>
    </row>
    <row r="19" spans="1:47" x14ac:dyDescent="0.2">
      <c r="A19" t="s">
        <v>77</v>
      </c>
      <c r="B19" t="s">
        <v>67</v>
      </c>
      <c r="C19" t="s">
        <v>45</v>
      </c>
      <c r="D19">
        <v>161.19999999999999</v>
      </c>
      <c r="E19">
        <v>192.22</v>
      </c>
      <c r="F19">
        <v>6.9394674283411199E-3</v>
      </c>
      <c r="G19">
        <v>-2080.46059243023</v>
      </c>
      <c r="H19">
        <v>0.117500000143935</v>
      </c>
      <c r="I19">
        <v>-0.12833333316620099</v>
      </c>
      <c r="J19">
        <v>-0.174872049085219</v>
      </c>
      <c r="K19">
        <v>-0.28833333318902898</v>
      </c>
      <c r="L19">
        <v>-0.48499999983254299</v>
      </c>
      <c r="M19">
        <v>0.39500000014368197</v>
      </c>
      <c r="N19">
        <v>-3.6666666499622802E-2</v>
      </c>
      <c r="O19">
        <v>1.9936214143636499</v>
      </c>
      <c r="P19">
        <v>1.1097533415791699E-2</v>
      </c>
      <c r="Q19">
        <v>-1.44427078492384E-3</v>
      </c>
      <c r="R19">
        <v>9.2944309855704996E-3</v>
      </c>
      <c r="S19">
        <v>5.9317075625911399E-3</v>
      </c>
      <c r="T19">
        <v>-4105.7896223933803</v>
      </c>
      <c r="U19">
        <v>0.154166666810331</v>
      </c>
      <c r="V19">
        <v>-8.99999998326802E-2</v>
      </c>
      <c r="W19">
        <v>-6.46901707805764E-2</v>
      </c>
      <c r="X19">
        <v>-0.25166666652263298</v>
      </c>
      <c r="Y19">
        <v>-0.44666666649902198</v>
      </c>
      <c r="Z19">
        <v>0.295000000143536</v>
      </c>
      <c r="AA19">
        <v>0.12666666683378899</v>
      </c>
      <c r="AB19">
        <v>1.3457585469886999</v>
      </c>
      <c r="AC19">
        <v>8.0756292964226095E-3</v>
      </c>
      <c r="AD19">
        <v>5.4801849277105097</v>
      </c>
      <c r="AE19">
        <v>8.7569920338369993</v>
      </c>
      <c r="AF19">
        <v>10.285242504856001</v>
      </c>
      <c r="AG19">
        <v>8.4969012407413693</v>
      </c>
      <c r="AH19">
        <v>-16.188598323326602</v>
      </c>
      <c r="AI19">
        <v>15.616</v>
      </c>
      <c r="AJ19">
        <v>15.735999999999899</v>
      </c>
      <c r="AK19" s="1">
        <v>1.04792702874643E-34</v>
      </c>
      <c r="AL19" s="1">
        <v>1.0891544380829799E-24</v>
      </c>
      <c r="AM19">
        <v>6.0513399999999997</v>
      </c>
      <c r="AN19">
        <v>-3480.5486395152302</v>
      </c>
      <c r="AO19">
        <v>5.7282611102539099E-2</v>
      </c>
      <c r="AP19">
        <v>5.0548841881972298E-2</v>
      </c>
      <c r="AQ19">
        <v>4.7337781472050103E-2</v>
      </c>
      <c r="AR19">
        <v>6.6930317844186196E-2</v>
      </c>
      <c r="AS19">
        <v>6.41119926120782E-2</v>
      </c>
      <c r="AU19">
        <f t="shared" si="0"/>
        <v>1</v>
      </c>
    </row>
    <row r="20" spans="1:47" x14ac:dyDescent="0.2">
      <c r="A20" t="s">
        <v>81</v>
      </c>
      <c r="B20" t="s">
        <v>67</v>
      </c>
      <c r="C20" t="s">
        <v>45</v>
      </c>
      <c r="D20">
        <v>143.88</v>
      </c>
      <c r="E20">
        <v>191.88</v>
      </c>
      <c r="F20">
        <v>6.9394674283411199E-3</v>
      </c>
      <c r="G20">
        <v>-907.89736110466401</v>
      </c>
      <c r="H20">
        <v>0.119722222366176</v>
      </c>
      <c r="I20">
        <v>-0.127499999832862</v>
      </c>
      <c r="J20">
        <v>-0.17653490012307099</v>
      </c>
      <c r="K20">
        <v>-0.28499999985568097</v>
      </c>
      <c r="L20">
        <v>-0.48333333316587401</v>
      </c>
      <c r="M20">
        <v>0.396666666810369</v>
      </c>
      <c r="N20">
        <v>-3.4999999832943898E-2</v>
      </c>
      <c r="O20">
        <v>1.9898089923725</v>
      </c>
      <c r="P20">
        <v>1.6569772252843801E-2</v>
      </c>
      <c r="Q20" s="1">
        <v>3.14725953499321E-5</v>
      </c>
      <c r="R20">
        <v>9.2944309855704996E-3</v>
      </c>
      <c r="S20">
        <v>5.9317075625911399E-3</v>
      </c>
      <c r="T20">
        <v>-1941.6099322118901</v>
      </c>
      <c r="U20">
        <v>0.156388889032573</v>
      </c>
      <c r="V20">
        <v>-8.9166666499340796E-2</v>
      </c>
      <c r="W20">
        <v>-6.6303418643827605E-2</v>
      </c>
      <c r="X20">
        <v>-0.24833333318928399</v>
      </c>
      <c r="Y20">
        <v>-0.444999999832352</v>
      </c>
      <c r="Z20">
        <v>0.29666666681022402</v>
      </c>
      <c r="AA20">
        <v>0.12833333350046799</v>
      </c>
      <c r="AB20">
        <v>1.3457264957066599</v>
      </c>
      <c r="AC20">
        <v>8.0756292964226095E-3</v>
      </c>
      <c r="AD20">
        <v>5.6215388750485804</v>
      </c>
      <c r="AE20">
        <v>7.3713162774593499</v>
      </c>
      <c r="AF20">
        <v>9.8671758947338599</v>
      </c>
      <c r="AG20">
        <v>8.0399580380615294</v>
      </c>
      <c r="AH20">
        <v>-6.1385244287023504</v>
      </c>
      <c r="AI20">
        <v>15.616</v>
      </c>
      <c r="AJ20">
        <v>15.735999999999899</v>
      </c>
      <c r="AK20" s="1">
        <v>1.26459564419484E-20</v>
      </c>
      <c r="AL20" s="1">
        <v>1.7065564742967301E-14</v>
      </c>
      <c r="AM20">
        <v>6.2094399999999998</v>
      </c>
      <c r="AN20">
        <v>-1411.86061860154</v>
      </c>
      <c r="AO20">
        <v>5.6865336534147201E-2</v>
      </c>
      <c r="AP20">
        <v>5.0548841881972298E-2</v>
      </c>
      <c r="AQ20">
        <v>4.7337781472050103E-2</v>
      </c>
      <c r="AR20">
        <v>6.6930317844186196E-2</v>
      </c>
      <c r="AS20">
        <v>6.41119926120782E-2</v>
      </c>
      <c r="AU20">
        <f t="shared" si="0"/>
        <v>1</v>
      </c>
    </row>
    <row r="21" spans="1:47" x14ac:dyDescent="0.2">
      <c r="A21" t="s">
        <v>113</v>
      </c>
      <c r="B21" t="s">
        <v>67</v>
      </c>
      <c r="C21" t="s">
        <v>45</v>
      </c>
      <c r="D21">
        <v>123.76</v>
      </c>
      <c r="E21">
        <v>177.06</v>
      </c>
      <c r="F21">
        <v>7.5385220801099696E-3</v>
      </c>
      <c r="G21">
        <v>-486.66279584779898</v>
      </c>
      <c r="H21">
        <v>-8.3333318933000405E-4</v>
      </c>
      <c r="I21">
        <v>-0.35083333316600601</v>
      </c>
      <c r="J21">
        <v>-0.21558226479553899</v>
      </c>
      <c r="K21">
        <v>-0.121666666522551</v>
      </c>
      <c r="L21">
        <v>-0.44166666649925901</v>
      </c>
      <c r="M21">
        <v>0.12000000014389101</v>
      </c>
      <c r="N21">
        <v>-0.25999999983275301</v>
      </c>
      <c r="O21">
        <v>1.9421153430832001</v>
      </c>
      <c r="P21">
        <v>1.7313391206414699E-2</v>
      </c>
      <c r="Q21" s="1">
        <v>-6.2061687410049605E-5</v>
      </c>
      <c r="R21">
        <v>1.29468532240468E-2</v>
      </c>
      <c r="S21">
        <v>6.5307622143599801E-3</v>
      </c>
      <c r="T21">
        <v>-1352.3204667172199</v>
      </c>
      <c r="U21">
        <v>3.5833333477066798E-2</v>
      </c>
      <c r="V21">
        <v>-0.312499999832484</v>
      </c>
      <c r="W21">
        <v>-0.105448717789153</v>
      </c>
      <c r="X21">
        <v>-8.4999999856154307E-2</v>
      </c>
      <c r="Y21">
        <v>-0.403333333165737</v>
      </c>
      <c r="Z21">
        <v>1.6666666810424401E-2</v>
      </c>
      <c r="AA21">
        <v>-0.221666666499231</v>
      </c>
      <c r="AB21">
        <v>1.3976709401576499</v>
      </c>
      <c r="AC21">
        <v>1.1728051534898899E-2</v>
      </c>
      <c r="AD21">
        <v>5.8219761766995903</v>
      </c>
      <c r="AE21">
        <v>6.7964378146064703</v>
      </c>
      <c r="AF21">
        <v>9.6099018359075892</v>
      </c>
      <c r="AG21">
        <v>11.2404395475049</v>
      </c>
      <c r="AH21">
        <v>-3.1267696407812902</v>
      </c>
      <c r="AI21">
        <v>14.592000000000001</v>
      </c>
      <c r="AJ21">
        <v>14.712</v>
      </c>
      <c r="AK21" s="1">
        <v>7.3027874030483602E-14</v>
      </c>
      <c r="AL21" s="1">
        <v>2.0468478780139699E-10</v>
      </c>
      <c r="AM21">
        <v>4.9514800000000001</v>
      </c>
      <c r="AN21">
        <v>-719.157017379698</v>
      </c>
      <c r="AO21">
        <v>5.01490575139256E-2</v>
      </c>
      <c r="AP21">
        <v>4.3341064947486498E-2</v>
      </c>
      <c r="AQ21">
        <v>4.1097176451321903E-2</v>
      </c>
      <c r="AR21">
        <v>6.1577631123878297E-2</v>
      </c>
      <c r="AS21">
        <v>5.9403094819661897E-2</v>
      </c>
      <c r="AU21">
        <f t="shared" si="0"/>
        <v>1</v>
      </c>
    </row>
    <row r="22" spans="1:47" x14ac:dyDescent="0.2">
      <c r="A22" t="s">
        <v>76</v>
      </c>
      <c r="B22" t="s">
        <v>67</v>
      </c>
      <c r="C22" t="s">
        <v>45</v>
      </c>
      <c r="D22">
        <v>111.54</v>
      </c>
      <c r="E22">
        <v>173.9</v>
      </c>
      <c r="F22">
        <v>7.7979420722218097E-3</v>
      </c>
      <c r="G22">
        <v>-351.767356965099</v>
      </c>
      <c r="H22">
        <v>9.3333333477285105E-2</v>
      </c>
      <c r="I22">
        <v>-0.498888888721435</v>
      </c>
      <c r="J22">
        <v>-0.29912087895912498</v>
      </c>
      <c r="K22">
        <v>2.0000000144018499E-2</v>
      </c>
      <c r="L22">
        <v>-0.65166666649907701</v>
      </c>
      <c r="M22">
        <v>0.16666666681055101</v>
      </c>
      <c r="N22">
        <v>-0.52333333316585595</v>
      </c>
      <c r="O22">
        <v>2.0164337703528501</v>
      </c>
      <c r="P22">
        <v>1.76678688544766E-2</v>
      </c>
      <c r="Q22">
        <v>-2.4407326583551599E-4</v>
      </c>
      <c r="R22">
        <v>1.5719299434848E-2</v>
      </c>
      <c r="S22">
        <v>6.7901822064718297E-3</v>
      </c>
      <c r="T22">
        <v>-1120.2037832543499</v>
      </c>
      <c r="U22">
        <v>0.13000000014368099</v>
      </c>
      <c r="V22">
        <v>-0.46055555538791298</v>
      </c>
      <c r="W22">
        <v>-0.18892094001132601</v>
      </c>
      <c r="X22">
        <v>5.6666666810415302E-2</v>
      </c>
      <c r="Y22">
        <v>-0.61333333316555505</v>
      </c>
      <c r="Z22">
        <v>0.11666666681036</v>
      </c>
      <c r="AA22">
        <v>-0.42999999983238901</v>
      </c>
      <c r="AB22">
        <v>1.44667735041406</v>
      </c>
      <c r="AC22">
        <v>1.45004977457001E-2</v>
      </c>
      <c r="AD22">
        <v>7.5029623636048797</v>
      </c>
      <c r="AE22">
        <v>6.9734087261200397</v>
      </c>
      <c r="AF22">
        <v>10.8905917431823</v>
      </c>
      <c r="AG22">
        <v>10.425531354399199</v>
      </c>
      <c r="AH22">
        <v>-2.14436096130592</v>
      </c>
      <c r="AI22">
        <v>14.208</v>
      </c>
      <c r="AJ22">
        <v>14.308</v>
      </c>
      <c r="AK22" s="1">
        <v>3.9817765437416201E-13</v>
      </c>
      <c r="AL22" s="1">
        <v>7.1582352006544397E-9</v>
      </c>
      <c r="AM22">
        <v>4.3905799999999999</v>
      </c>
      <c r="AN22">
        <v>-493.203021100363</v>
      </c>
      <c r="AO22">
        <v>4.7281410069578297E-2</v>
      </c>
      <c r="AP22">
        <v>4.0557925715984398E-2</v>
      </c>
      <c r="AQ22">
        <v>3.9229685429619299E-2</v>
      </c>
      <c r="AR22">
        <v>5.8889989745031901E-2</v>
      </c>
      <c r="AS22">
        <v>5.7380289716623699E-2</v>
      </c>
      <c r="AU22">
        <f t="shared" si="0"/>
        <v>1</v>
      </c>
    </row>
    <row r="23" spans="1:47" x14ac:dyDescent="0.2">
      <c r="A23" t="s">
        <v>112</v>
      </c>
      <c r="B23" t="s">
        <v>67</v>
      </c>
      <c r="C23" t="s">
        <v>45</v>
      </c>
      <c r="D23">
        <v>106.04</v>
      </c>
      <c r="E23">
        <v>164.22</v>
      </c>
      <c r="F23">
        <v>7.7853289474906096E-3</v>
      </c>
      <c r="G23">
        <v>-242.235736282446</v>
      </c>
      <c r="H23">
        <v>0.32250000014373198</v>
      </c>
      <c r="I23">
        <v>-0.69583333316569196</v>
      </c>
      <c r="J23">
        <v>-0.44196962743299401</v>
      </c>
      <c r="K23">
        <v>0.30166666681041499</v>
      </c>
      <c r="L23">
        <v>-0.71333333316567404</v>
      </c>
      <c r="M23">
        <v>0.34333333347704798</v>
      </c>
      <c r="N23">
        <v>-0.71333333316567404</v>
      </c>
      <c r="O23">
        <v>2.09796755651085</v>
      </c>
      <c r="P23">
        <v>1.80744950505595E-2</v>
      </c>
      <c r="Q23">
        <v>-7.5050996958137797E-4</v>
      </c>
      <c r="R23">
        <v>2.0154389559585002E-2</v>
      </c>
      <c r="S23">
        <v>6.7775690817406297E-3</v>
      </c>
      <c r="T23">
        <v>-889.08503595880302</v>
      </c>
      <c r="U23">
        <v>0.35916666681012799</v>
      </c>
      <c r="V23">
        <v>-0.65749999983217</v>
      </c>
      <c r="W23">
        <v>-0.33743589727636902</v>
      </c>
      <c r="X23">
        <v>0.33833333347681199</v>
      </c>
      <c r="Y23">
        <v>-0.67499999983215198</v>
      </c>
      <c r="Z23">
        <v>0.38000000014344498</v>
      </c>
      <c r="AA23">
        <v>-0.67499999983215198</v>
      </c>
      <c r="AB23">
        <v>1.4566239315979399</v>
      </c>
      <c r="AC23">
        <v>1.8935587870437101E-2</v>
      </c>
      <c r="AD23">
        <v>7.4933443595595799</v>
      </c>
      <c r="AE23">
        <v>6.6889028555733603</v>
      </c>
      <c r="AF23">
        <v>11.137423180376301</v>
      </c>
      <c r="AG23">
        <v>10.4659660859214</v>
      </c>
      <c r="AH23">
        <v>-1.36124662456654</v>
      </c>
      <c r="AI23">
        <v>13.644</v>
      </c>
      <c r="AJ23">
        <v>13.704000000000001</v>
      </c>
      <c r="AK23" s="1">
        <v>1.86785432347449E-10</v>
      </c>
      <c r="AL23" s="1">
        <v>2.67489294392947E-7</v>
      </c>
      <c r="AM23">
        <v>3.7729599999999999</v>
      </c>
      <c r="AN23">
        <v>-313.086723650306</v>
      </c>
      <c r="AO23">
        <v>4.4885226279556198E-2</v>
      </c>
      <c r="AP23">
        <v>3.8209737792016502E-2</v>
      </c>
      <c r="AQ23">
        <v>3.8384991518434997E-2</v>
      </c>
      <c r="AR23">
        <v>5.5717547675995897E-2</v>
      </c>
      <c r="AS23">
        <v>5.5467014067049999E-2</v>
      </c>
      <c r="AU23">
        <f t="shared" si="0"/>
        <v>1</v>
      </c>
    </row>
    <row r="24" spans="1:47" x14ac:dyDescent="0.2">
      <c r="A24" t="s">
        <v>82</v>
      </c>
      <c r="B24" t="s">
        <v>67</v>
      </c>
      <c r="C24" t="s">
        <v>45</v>
      </c>
      <c r="D24">
        <v>155.94</v>
      </c>
      <c r="E24">
        <v>199.08</v>
      </c>
      <c r="F24">
        <v>5.3291994499201504E-3</v>
      </c>
      <c r="G24">
        <v>-1370.8027255926099</v>
      </c>
      <c r="H24">
        <v>0.16000000014389401</v>
      </c>
      <c r="I24">
        <v>0.65416666683309899</v>
      </c>
      <c r="J24">
        <v>1.7897079933988699E-2</v>
      </c>
      <c r="K24">
        <v>-1.2699999998547999</v>
      </c>
      <c r="L24">
        <v>-1.5233333331649099</v>
      </c>
      <c r="M24">
        <v>-0.20666666652243301</v>
      </c>
      <c r="N24">
        <v>1.76333333349874</v>
      </c>
      <c r="O24">
        <v>2.1473463005135001</v>
      </c>
      <c r="P24">
        <v>2.0926893758460002E-2</v>
      </c>
      <c r="Q24" s="1">
        <v>-1.3967811565567601E-5</v>
      </c>
      <c r="R24">
        <v>3.7625767160742798E-3</v>
      </c>
      <c r="S24">
        <v>4.3214395841701704E-3</v>
      </c>
      <c r="T24">
        <v>-1894.5314463326199</v>
      </c>
      <c r="U24">
        <v>0.19666666681029099</v>
      </c>
      <c r="V24">
        <v>0.69250000016661994</v>
      </c>
      <c r="W24">
        <v>0.13220940186904301</v>
      </c>
      <c r="X24">
        <v>-1.23333333318841</v>
      </c>
      <c r="Y24">
        <v>-1.4849999998313801</v>
      </c>
      <c r="Z24">
        <v>0.281666666810233</v>
      </c>
      <c r="AA24">
        <v>1.5083333334992099</v>
      </c>
      <c r="AB24">
        <v>1.3716111110976199</v>
      </c>
      <c r="AC24">
        <v>2.5437750269263798E-3</v>
      </c>
      <c r="AD24">
        <v>4.3366577631101499</v>
      </c>
      <c r="AE24">
        <v>2.00843157383279</v>
      </c>
      <c r="AF24">
        <v>5.5709569544435098</v>
      </c>
      <c r="AG24">
        <v>3.5345744496839502</v>
      </c>
      <c r="AH24">
        <v>-9.5155583135268405</v>
      </c>
      <c r="AI24">
        <v>21</v>
      </c>
      <c r="AJ24">
        <v>21.1</v>
      </c>
      <c r="AK24" s="1">
        <v>3.6425459987947603E-27</v>
      </c>
      <c r="AL24" s="1">
        <v>1.5210628944955199E-18</v>
      </c>
      <c r="AM24">
        <v>11.83788</v>
      </c>
      <c r="AN24">
        <v>-2188.5784121111701</v>
      </c>
      <c r="AO24">
        <v>8.1952016827100099E-2</v>
      </c>
      <c r="AP24">
        <v>7.4350841163321094E-2</v>
      </c>
      <c r="AQ24">
        <v>6.9773153523086204E-2</v>
      </c>
      <c r="AR24">
        <v>8.3879898460546998E-2</v>
      </c>
      <c r="AS24">
        <v>7.9837615759007496E-2</v>
      </c>
      <c r="AU24">
        <f t="shared" si="0"/>
        <v>0</v>
      </c>
    </row>
    <row r="25" spans="1:47" x14ac:dyDescent="0.2">
      <c r="A25" t="s">
        <v>114</v>
      </c>
      <c r="B25" t="s">
        <v>67</v>
      </c>
      <c r="C25" t="s">
        <v>45</v>
      </c>
      <c r="D25">
        <v>135.26</v>
      </c>
      <c r="E25">
        <v>185.22</v>
      </c>
      <c r="F25">
        <v>6.2538031204059296E-3</v>
      </c>
      <c r="G25">
        <v>-563.055794812724</v>
      </c>
      <c r="H25">
        <v>8.0833333477283595E-2</v>
      </c>
      <c r="I25">
        <v>0.26444444461119998</v>
      </c>
      <c r="J25">
        <v>-3.4402853928351199E-2</v>
      </c>
      <c r="K25">
        <v>-0.92666666652180496</v>
      </c>
      <c r="L25">
        <v>-0.57999999983247996</v>
      </c>
      <c r="M25">
        <v>0.118333333477257</v>
      </c>
      <c r="N25">
        <v>0.84833333349955797</v>
      </c>
      <c r="O25">
        <v>2.0773481922605401</v>
      </c>
      <c r="P25">
        <v>2.3178328155441599E-2</v>
      </c>
      <c r="Q25">
        <v>-1.9916903965233699E-4</v>
      </c>
      <c r="R25">
        <v>4.6075611574649998E-3</v>
      </c>
      <c r="S25">
        <v>5.2460432546559401E-3</v>
      </c>
      <c r="T25">
        <v>-1042.9410984783201</v>
      </c>
      <c r="U25">
        <v>0.11750000014368001</v>
      </c>
      <c r="V25">
        <v>0.30277777794472199</v>
      </c>
      <c r="W25">
        <v>6.8480769390422302E-2</v>
      </c>
      <c r="X25">
        <v>-0.88999999985540801</v>
      </c>
      <c r="Y25">
        <v>-0.541666666498958</v>
      </c>
      <c r="Z25">
        <v>0.21500000014359999</v>
      </c>
      <c r="AA25">
        <v>0.628333333499977</v>
      </c>
      <c r="AB25">
        <v>1.31372008545021</v>
      </c>
      <c r="AC25">
        <v>3.3887594683170898E-3</v>
      </c>
      <c r="AD25">
        <v>6.46666420220944</v>
      </c>
      <c r="AE25">
        <v>4.7131076941785404</v>
      </c>
      <c r="AF25">
        <v>8.9196864523003008</v>
      </c>
      <c r="AG25">
        <v>5.3751089991941301</v>
      </c>
      <c r="AH25">
        <v>-3.6339394695078302</v>
      </c>
      <c r="AI25">
        <v>17.713999999999999</v>
      </c>
      <c r="AJ25">
        <v>17.834</v>
      </c>
      <c r="AK25" s="1">
        <v>2.6888010237656799E-12</v>
      </c>
      <c r="AL25" s="1">
        <v>3.1398315957937199E-10</v>
      </c>
      <c r="AM25">
        <v>8.6134799999999991</v>
      </c>
      <c r="AN25">
        <v>-835.80607798680103</v>
      </c>
      <c r="AO25">
        <v>6.9195609295003097E-2</v>
      </c>
      <c r="AP25">
        <v>6.1659418785378999E-2</v>
      </c>
      <c r="AQ25">
        <v>5.66477082051745E-2</v>
      </c>
      <c r="AR25">
        <v>7.5898186633127501E-2</v>
      </c>
      <c r="AS25">
        <v>7.1514405626651706E-2</v>
      </c>
      <c r="AU25">
        <f t="shared" si="0"/>
        <v>1</v>
      </c>
    </row>
    <row r="26" spans="1:47" x14ac:dyDescent="0.2">
      <c r="A26" t="s">
        <v>116</v>
      </c>
      <c r="B26" t="s">
        <v>67</v>
      </c>
      <c r="C26" t="s">
        <v>45</v>
      </c>
      <c r="D26">
        <v>31.62</v>
      </c>
      <c r="E26">
        <v>156.56</v>
      </c>
      <c r="F26">
        <v>0.17934816925265301</v>
      </c>
      <c r="G26">
        <v>-23.132167824872099</v>
      </c>
      <c r="H26">
        <v>-8.7574999998479992</v>
      </c>
      <c r="I26">
        <v>-9.6697222220464099</v>
      </c>
      <c r="J26">
        <v>-9.4479187015016102</v>
      </c>
      <c r="K26">
        <v>-9.0849999998476996</v>
      </c>
      <c r="L26">
        <v>-10.498333333156699</v>
      </c>
      <c r="M26">
        <v>-9.0849999998476996</v>
      </c>
      <c r="N26">
        <v>-10.498333333156699</v>
      </c>
      <c r="O26">
        <v>10.008653216089201</v>
      </c>
      <c r="P26">
        <v>0.14653097499025</v>
      </c>
      <c r="Q26">
        <v>0.19475570637749201</v>
      </c>
      <c r="R26">
        <v>0.15632219574092501</v>
      </c>
      <c r="S26">
        <v>0.17834040938690299</v>
      </c>
      <c r="T26">
        <v>-27.796772412846298</v>
      </c>
      <c r="U26">
        <v>-8.7208333331816004</v>
      </c>
      <c r="V26">
        <v>-9.6313888887128893</v>
      </c>
      <c r="W26">
        <v>-9.3193376066722298</v>
      </c>
      <c r="X26">
        <v>-9.0483333331813007</v>
      </c>
      <c r="Y26">
        <v>-10.4599999998232</v>
      </c>
      <c r="Z26">
        <v>-9.0483333331813007</v>
      </c>
      <c r="AA26">
        <v>-10.196666666490099</v>
      </c>
      <c r="AB26">
        <v>9.3193376066722298</v>
      </c>
      <c r="AC26">
        <v>0.155103394051777</v>
      </c>
      <c r="AD26">
        <v>1.4055706573434701</v>
      </c>
      <c r="AE26">
        <v>1.6133071766299401</v>
      </c>
      <c r="AF26">
        <v>1.4854591534372401</v>
      </c>
      <c r="AG26">
        <v>1.42600994413063</v>
      </c>
      <c r="AH26">
        <v>-0.42496248149342197</v>
      </c>
      <c r="AI26">
        <v>16.116</v>
      </c>
      <c r="AJ26">
        <v>16.215999999999902</v>
      </c>
      <c r="AK26">
        <v>2.1245436655304501E-2</v>
      </c>
      <c r="AL26">
        <v>3.0834466962706499E-2</v>
      </c>
      <c r="AM26">
        <v>12.921799999999999</v>
      </c>
      <c r="AN26">
        <v>-93.916708410046198</v>
      </c>
      <c r="AO26">
        <v>0.21476199615713501</v>
      </c>
      <c r="AP26">
        <v>0.199355050973236</v>
      </c>
      <c r="AQ26">
        <v>0.186717093574297</v>
      </c>
      <c r="AR26">
        <v>0.20603211326433099</v>
      </c>
      <c r="AS26">
        <v>0.193723847325555</v>
      </c>
      <c r="AU26">
        <f t="shared" si="0"/>
        <v>0</v>
      </c>
    </row>
    <row r="27" spans="1:47" x14ac:dyDescent="0.2">
      <c r="A27" t="s">
        <v>90</v>
      </c>
      <c r="B27" t="s">
        <v>67</v>
      </c>
      <c r="C27" t="s">
        <v>45</v>
      </c>
      <c r="D27">
        <v>42.9</v>
      </c>
      <c r="E27">
        <v>85.08</v>
      </c>
      <c r="F27">
        <v>-1.74796331939291E-2</v>
      </c>
      <c r="G27">
        <v>-5085.42035302352</v>
      </c>
      <c r="H27">
        <v>0.70361111125450804</v>
      </c>
      <c r="I27">
        <v>1.36983333349909</v>
      </c>
      <c r="J27">
        <v>0.82218508359595699</v>
      </c>
      <c r="K27">
        <v>-1.3599999998547101</v>
      </c>
      <c r="L27">
        <v>-1.03166666649871</v>
      </c>
      <c r="M27">
        <v>0.85166666680992398</v>
      </c>
      <c r="N27">
        <v>2.3350000001648801</v>
      </c>
      <c r="O27">
        <v>2.8006585817248002</v>
      </c>
      <c r="P27">
        <v>4.5266011528877402E-2</v>
      </c>
      <c r="Q27">
        <v>-1.1385685028837E-2</v>
      </c>
      <c r="R27">
        <v>-1.73708132781102E-2</v>
      </c>
      <c r="S27">
        <v>-1.8403121767538201E-2</v>
      </c>
      <c r="T27">
        <v>-4429.4266631759501</v>
      </c>
      <c r="U27">
        <v>0.74027777792090499</v>
      </c>
      <c r="V27">
        <v>1.40816666683261</v>
      </c>
      <c r="W27">
        <v>0.91272435913289596</v>
      </c>
      <c r="X27">
        <v>-1.3233333331883199</v>
      </c>
      <c r="Y27">
        <v>-0.99333333316519201</v>
      </c>
      <c r="Z27">
        <v>0.77166666680975105</v>
      </c>
      <c r="AA27">
        <v>2.2783333334984901</v>
      </c>
      <c r="AB27">
        <v>1.52936965816306</v>
      </c>
      <c r="AC27">
        <v>-1.8982890157715801E-2</v>
      </c>
      <c r="AD27">
        <v>4.5521282665177401</v>
      </c>
      <c r="AE27">
        <v>3.73447068799888</v>
      </c>
      <c r="AF27">
        <v>4.3241524669897196</v>
      </c>
      <c r="AG27">
        <v>4.3867994232093004</v>
      </c>
      <c r="AH27">
        <v>-38.852496014163897</v>
      </c>
      <c r="AI27">
        <v>26.751999999999999</v>
      </c>
      <c r="AJ27">
        <v>26.811999999999902</v>
      </c>
      <c r="AK27" s="1">
        <v>8.67599583560474E-13</v>
      </c>
      <c r="AL27">
        <v>2.7502210633097201E-4</v>
      </c>
      <c r="AM27">
        <v>17.414000000000001</v>
      </c>
      <c r="AN27">
        <v>-8929.1245974113208</v>
      </c>
      <c r="AO27">
        <v>7.3196785474554396E-2</v>
      </c>
      <c r="AP27">
        <v>7.99614412315513E-2</v>
      </c>
      <c r="AQ27">
        <v>7.0768823770693906E-2</v>
      </c>
      <c r="AR27">
        <v>8.8122058254872099E-2</v>
      </c>
      <c r="AS27">
        <v>7.9654146773822196E-2</v>
      </c>
      <c r="AU27">
        <f t="shared" si="0"/>
        <v>0</v>
      </c>
    </row>
    <row r="28" spans="1:47" x14ac:dyDescent="0.2">
      <c r="A28" t="s">
        <v>62</v>
      </c>
      <c r="B28" t="s">
        <v>49</v>
      </c>
      <c r="C28" t="s">
        <v>45</v>
      </c>
      <c r="D28">
        <v>0.8</v>
      </c>
      <c r="E28">
        <v>7.74</v>
      </c>
      <c r="F28">
        <v>4.8056814955972403E-3</v>
      </c>
      <c r="G28">
        <v>126.254934860113</v>
      </c>
      <c r="H28">
        <v>1.27583333347623</v>
      </c>
      <c r="I28">
        <v>-0.82916666649891302</v>
      </c>
      <c r="J28">
        <v>-9.1631053969758597E-2</v>
      </c>
      <c r="K28">
        <v>1.0983333334764001</v>
      </c>
      <c r="L28">
        <v>-0.921666666498831</v>
      </c>
      <c r="M28">
        <v>1.4533333334760701</v>
      </c>
      <c r="N28">
        <v>-0.78333333316561904</v>
      </c>
      <c r="O28">
        <v>2.62497656791958</v>
      </c>
      <c r="P28">
        <v>7.4316602146004399E-2</v>
      </c>
      <c r="Q28">
        <v>-1.2170112182624999E-3</v>
      </c>
      <c r="R28">
        <v>2.1512090741194499E-2</v>
      </c>
      <c r="S28">
        <v>3.79792162984723E-3</v>
      </c>
      <c r="T28">
        <v>108.015520719314</v>
      </c>
      <c r="U28">
        <v>1.3125000001426299</v>
      </c>
      <c r="V28">
        <v>-0.79083333316539195</v>
      </c>
      <c r="W28">
        <v>7.8632480224767494E-3</v>
      </c>
      <c r="X28">
        <v>1.13500000014279</v>
      </c>
      <c r="Y28">
        <v>-0.88333333316531004</v>
      </c>
      <c r="Z28">
        <v>1.49000000014247</v>
      </c>
      <c r="AA28">
        <v>-0.74499999983209797</v>
      </c>
      <c r="AB28">
        <v>1.3120940170870301</v>
      </c>
      <c r="AC28">
        <v>2.0293289052046502E-2</v>
      </c>
      <c r="AD28">
        <v>3.9531078958296502</v>
      </c>
      <c r="AE28">
        <v>4.2743556002506899</v>
      </c>
      <c r="AF28">
        <v>4.2995482019945399</v>
      </c>
      <c r="AG28">
        <v>4.8462514306850002</v>
      </c>
      <c r="AH28">
        <v>1.12771706213983</v>
      </c>
      <c r="AI28">
        <v>14.715999999999999</v>
      </c>
      <c r="AJ28">
        <v>14.755999999999901</v>
      </c>
      <c r="AK28">
        <v>0.22732670630458801</v>
      </c>
      <c r="AL28">
        <v>0.49354923356946101</v>
      </c>
      <c r="AM28">
        <v>9.7153600000000004</v>
      </c>
      <c r="AN28">
        <v>236.82058304936501</v>
      </c>
      <c r="AO28">
        <v>7.9541153778671006E-2</v>
      </c>
      <c r="AP28">
        <v>5.65051997332882E-2</v>
      </c>
      <c r="AQ28">
        <v>5.1156126504191601E-2</v>
      </c>
      <c r="AR28">
        <v>7.19094602249708E-2</v>
      </c>
      <c r="AS28">
        <v>6.48037541625789E-2</v>
      </c>
      <c r="AU28">
        <f t="shared" si="0"/>
        <v>1</v>
      </c>
    </row>
    <row r="29" spans="1:47" x14ac:dyDescent="0.2">
      <c r="A29" t="s">
        <v>53</v>
      </c>
      <c r="B29" t="s">
        <v>49</v>
      </c>
      <c r="C29" t="s">
        <v>45</v>
      </c>
      <c r="D29">
        <v>79.180000000000007</v>
      </c>
      <c r="E29">
        <v>123.78</v>
      </c>
      <c r="F29">
        <v>9.6162655337556102E-4</v>
      </c>
      <c r="G29">
        <v>163.498077678378</v>
      </c>
      <c r="H29">
        <v>2.7500000144022999E-2</v>
      </c>
      <c r="I29">
        <v>0.14333333350020799</v>
      </c>
      <c r="J29">
        <v>4.2367216279216503E-2</v>
      </c>
      <c r="K29">
        <v>-5.6666666522569298E-2</v>
      </c>
      <c r="L29">
        <v>8.3333335003316997E-3</v>
      </c>
      <c r="M29">
        <v>2.1666666810697201E-2</v>
      </c>
      <c r="N29">
        <v>0.18500000016683699</v>
      </c>
      <c r="O29">
        <v>2.0901873629349499</v>
      </c>
      <c r="P29">
        <v>4.6648338984812403E-2</v>
      </c>
      <c r="Q29">
        <v>-8.1751363905797597E-2</v>
      </c>
      <c r="R29">
        <v>-1.80760916417643E-3</v>
      </c>
      <c r="S29" s="1">
        <v>-4.6133312374452199E-5</v>
      </c>
      <c r="T29">
        <v>116.58179344253</v>
      </c>
      <c r="U29">
        <v>6.4166666810419895E-2</v>
      </c>
      <c r="V29">
        <v>0.18166666683373001</v>
      </c>
      <c r="W29">
        <v>0.13653846169812001</v>
      </c>
      <c r="X29">
        <v>-1.9999999856172401E-2</v>
      </c>
      <c r="Y29">
        <v>4.6666666833853003E-2</v>
      </c>
      <c r="Z29">
        <v>7.0000000143745605E-2</v>
      </c>
      <c r="AA29">
        <v>0.27166666683364299</v>
      </c>
      <c r="AB29">
        <v>1.4382051281980599</v>
      </c>
      <c r="AC29">
        <v>-3.0264108533243502E-3</v>
      </c>
      <c r="AD29">
        <v>6.2877389712353597</v>
      </c>
      <c r="AE29">
        <v>5.6870957043894403</v>
      </c>
      <c r="AF29">
        <v>7.1745078093181904</v>
      </c>
      <c r="AG29">
        <v>7.1547574396583098</v>
      </c>
      <c r="AH29">
        <v>-1.33087461119678</v>
      </c>
      <c r="AI29">
        <v>13.852</v>
      </c>
      <c r="AJ29">
        <v>13.891999999999999</v>
      </c>
      <c r="AK29" s="1">
        <v>1.4590417192394599E-7</v>
      </c>
      <c r="AL29" s="1">
        <v>3.3797278294798201E-6</v>
      </c>
      <c r="AM29">
        <v>6.8414200000000003</v>
      </c>
      <c r="AN29">
        <v>-280.81454296252002</v>
      </c>
      <c r="AO29">
        <v>0.14060167645076599</v>
      </c>
      <c r="AP29">
        <v>3.84645236094995E-2</v>
      </c>
      <c r="AQ29">
        <v>3.7417933560030703E-2</v>
      </c>
      <c r="AR29">
        <v>5.6780928090289E-2</v>
      </c>
      <c r="AS29">
        <v>5.5060385269220101E-2</v>
      </c>
      <c r="AU29">
        <f t="shared" si="0"/>
        <v>1</v>
      </c>
    </row>
    <row r="30" spans="1:47" x14ac:dyDescent="0.2">
      <c r="A30" t="s">
        <v>48</v>
      </c>
      <c r="B30" t="s">
        <v>49</v>
      </c>
      <c r="C30" t="s">
        <v>45</v>
      </c>
      <c r="D30">
        <v>74.52</v>
      </c>
      <c r="E30">
        <v>95.58</v>
      </c>
      <c r="F30">
        <v>6.51156405081647E-3</v>
      </c>
      <c r="G30">
        <v>159.473318999474</v>
      </c>
      <c r="H30">
        <v>0.27750000014378601</v>
      </c>
      <c r="I30">
        <v>-0.45999999983254303</v>
      </c>
      <c r="J30">
        <v>-0.27818223427048999</v>
      </c>
      <c r="K30">
        <v>0.21333333347717601</v>
      </c>
      <c r="L30">
        <v>-0.58666666649909505</v>
      </c>
      <c r="M30">
        <v>0.34166666681039698</v>
      </c>
      <c r="N30">
        <v>-0.444999999832562</v>
      </c>
      <c r="O30">
        <v>1.85055303621418</v>
      </c>
      <c r="P30">
        <v>4.8965186741922601E-2</v>
      </c>
      <c r="Q30">
        <v>-8.3265085303955197E-2</v>
      </c>
      <c r="R30">
        <v>1.18298895516797E-2</v>
      </c>
      <c r="S30">
        <v>5.5038041850664901E-3</v>
      </c>
      <c r="T30">
        <v>133.73601288170499</v>
      </c>
      <c r="U30">
        <v>0.31416666681018302</v>
      </c>
      <c r="V30">
        <v>-0.42166666649902201</v>
      </c>
      <c r="W30">
        <v>-0.181634615225054</v>
      </c>
      <c r="X30">
        <v>0.25000000014357199</v>
      </c>
      <c r="Y30">
        <v>-0.54833333316557398</v>
      </c>
      <c r="Z30">
        <v>0.29833333347686602</v>
      </c>
      <c r="AA30">
        <v>-0.37833333316572798</v>
      </c>
      <c r="AB30">
        <v>1.41962606835629</v>
      </c>
      <c r="AC30">
        <v>1.0611087862531799E-2</v>
      </c>
      <c r="AD30">
        <v>5.5641016639001304</v>
      </c>
      <c r="AE30">
        <v>5.3245929241488401</v>
      </c>
      <c r="AF30">
        <v>6.2361673317721404</v>
      </c>
      <c r="AG30">
        <v>6.3948285608138997</v>
      </c>
      <c r="AH30">
        <v>-5.9614538146538703</v>
      </c>
      <c r="AI30">
        <v>14.948</v>
      </c>
      <c r="AJ30">
        <v>15.087999999999999</v>
      </c>
      <c r="AK30" s="1">
        <v>2.3373474577725998E-27</v>
      </c>
      <c r="AL30" s="1">
        <v>9.5215441846186597E-21</v>
      </c>
      <c r="AM30">
        <v>7.5753599999999999</v>
      </c>
      <c r="AN30">
        <v>-1257.86675489196</v>
      </c>
      <c r="AO30">
        <v>0.14466318976859099</v>
      </c>
      <c r="AP30">
        <v>3.6157013157707203E-2</v>
      </c>
      <c r="AQ30">
        <v>3.5511604932077202E-2</v>
      </c>
      <c r="AR30">
        <v>5.3675782755528999E-2</v>
      </c>
      <c r="AS30">
        <v>5.2408760451415598E-2</v>
      </c>
      <c r="AU30">
        <f t="shared" si="0"/>
        <v>1</v>
      </c>
    </row>
    <row r="31" spans="1:47" x14ac:dyDescent="0.2">
      <c r="A31" t="s">
        <v>46</v>
      </c>
      <c r="B31" t="s">
        <v>47</v>
      </c>
      <c r="C31" t="s">
        <v>45</v>
      </c>
      <c r="D31">
        <v>0</v>
      </c>
      <c r="E31">
        <v>1.24</v>
      </c>
      <c r="F31">
        <v>7.2511706207827598E-3</v>
      </c>
      <c r="G31">
        <v>159.437531413979</v>
      </c>
      <c r="H31">
        <v>0.328333333477071</v>
      </c>
      <c r="I31">
        <v>-0.61166666649908097</v>
      </c>
      <c r="J31">
        <v>-0.35661172145007097</v>
      </c>
      <c r="K31">
        <v>0.243333333477148</v>
      </c>
      <c r="L31">
        <v>-0.77333333316560104</v>
      </c>
      <c r="M31">
        <v>0.41333333347699402</v>
      </c>
      <c r="N31">
        <v>-0.57666666649911302</v>
      </c>
      <c r="O31">
        <v>1.9123184270133</v>
      </c>
      <c r="P31">
        <v>5.1937104875293398E-2</v>
      </c>
      <c r="Q31">
        <v>-1.0501123364451E-3</v>
      </c>
      <c r="R31">
        <v>1.7203587527339002E-2</v>
      </c>
      <c r="S31">
        <v>6.2434107550327902E-3</v>
      </c>
      <c r="T31">
        <v>128.80660012473899</v>
      </c>
      <c r="U31">
        <v>0.36500000014346801</v>
      </c>
      <c r="V31">
        <v>-0.57333333316556001</v>
      </c>
      <c r="W31">
        <v>-0.24785256394303901</v>
      </c>
      <c r="X31">
        <v>0.28000000014354498</v>
      </c>
      <c r="Y31">
        <v>-0.73499999983207998</v>
      </c>
      <c r="Z31">
        <v>0.35500000014347199</v>
      </c>
      <c r="AA31">
        <v>-0.43666666649901298</v>
      </c>
      <c r="AB31">
        <v>1.4018910256341</v>
      </c>
      <c r="AC31">
        <v>1.5984785838191101E-2</v>
      </c>
      <c r="AD31">
        <v>5.7119757698777196</v>
      </c>
      <c r="AE31">
        <v>5.2564697298409904</v>
      </c>
      <c r="AF31">
        <v>6.6101783379765298</v>
      </c>
      <c r="AG31">
        <v>6.4003550242469496</v>
      </c>
      <c r="AH31">
        <v>1.66992749304987</v>
      </c>
      <c r="AI31">
        <v>14.228</v>
      </c>
      <c r="AJ31">
        <v>14.327999999999999</v>
      </c>
      <c r="AK31">
        <v>0.77551115871540799</v>
      </c>
      <c r="AL31">
        <v>0.84538957792208502</v>
      </c>
      <c r="AM31">
        <v>5.1272799999999998</v>
      </c>
      <c r="AN31">
        <v>384.08332340147001</v>
      </c>
      <c r="AO31">
        <v>4.5279106707611802E-2</v>
      </c>
      <c r="AP31">
        <v>3.8283101515550998E-2</v>
      </c>
      <c r="AQ31">
        <v>3.8282284070451901E-2</v>
      </c>
      <c r="AR31">
        <v>5.58688378698926E-2</v>
      </c>
      <c r="AS31">
        <v>5.5617694166363398E-2</v>
      </c>
      <c r="AU31">
        <f t="shared" si="0"/>
        <v>1</v>
      </c>
    </row>
    <row r="32" spans="1:47" x14ac:dyDescent="0.2">
      <c r="A32" t="s">
        <v>61</v>
      </c>
      <c r="B32" t="s">
        <v>47</v>
      </c>
      <c r="C32" t="s">
        <v>45</v>
      </c>
      <c r="D32">
        <v>40.56</v>
      </c>
      <c r="E32">
        <v>118.86</v>
      </c>
      <c r="F32">
        <v>2.19706495858706E-2</v>
      </c>
      <c r="G32">
        <v>146.257523718973</v>
      </c>
      <c r="H32">
        <v>-8.4999999855858696E-2</v>
      </c>
      <c r="I32">
        <v>-1.90416666649795</v>
      </c>
      <c r="J32">
        <v>-1.2987385529518001</v>
      </c>
      <c r="K32">
        <v>-0.16333333318911999</v>
      </c>
      <c r="L32">
        <v>-1.9499999998312501</v>
      </c>
      <c r="M32">
        <v>-2.9999999855908701E-2</v>
      </c>
      <c r="N32">
        <v>-1.9499999998312501</v>
      </c>
      <c r="O32">
        <v>2.5930089073564302</v>
      </c>
      <c r="P32">
        <v>4.7851499671358197E-2</v>
      </c>
      <c r="Q32">
        <v>4.1701089239214097E-2</v>
      </c>
      <c r="R32">
        <v>4.1949690140639602E-2</v>
      </c>
      <c r="S32">
        <v>2.09628897201206E-2</v>
      </c>
      <c r="T32">
        <v>112.808325289515</v>
      </c>
      <c r="U32">
        <v>-4.83333331894618E-2</v>
      </c>
      <c r="V32">
        <v>-1.8658333331644299</v>
      </c>
      <c r="W32">
        <v>-1.22870726479745</v>
      </c>
      <c r="X32">
        <v>-0.12666666652272299</v>
      </c>
      <c r="Y32">
        <v>-1.91166666649773</v>
      </c>
      <c r="Z32">
        <v>-7.4999999856108807E-2</v>
      </c>
      <c r="AA32">
        <v>-1.84499999983112</v>
      </c>
      <c r="AB32">
        <v>1.75133546999546</v>
      </c>
      <c r="AC32">
        <v>4.0730888451491698E-2</v>
      </c>
      <c r="AD32">
        <v>6.0059773491716397</v>
      </c>
      <c r="AE32">
        <v>4.7816223261840802</v>
      </c>
      <c r="AF32">
        <v>7.28292406273148</v>
      </c>
      <c r="AG32">
        <v>5.60793181522304</v>
      </c>
      <c r="AH32">
        <v>0.57880125812180305</v>
      </c>
      <c r="AI32">
        <v>14.372</v>
      </c>
      <c r="AJ32">
        <v>14.372</v>
      </c>
      <c r="AK32">
        <v>1.3111689867260901E-3</v>
      </c>
      <c r="AL32">
        <v>2.5110948633877699E-3</v>
      </c>
      <c r="AM32">
        <v>5.8730799999999999</v>
      </c>
      <c r="AN32">
        <v>133.12428936801399</v>
      </c>
      <c r="AO32">
        <v>8.2635434322709297E-2</v>
      </c>
      <c r="AP32">
        <v>4.6701814390904997E-2</v>
      </c>
      <c r="AQ32">
        <v>4.9707731952153701E-2</v>
      </c>
      <c r="AR32">
        <v>6.0767937200426198E-2</v>
      </c>
      <c r="AS32">
        <v>6.2654502555585107E-2</v>
      </c>
      <c r="AU32">
        <f t="shared" si="0"/>
        <v>1</v>
      </c>
    </row>
    <row r="33" spans="1:47" x14ac:dyDescent="0.2">
      <c r="A33" t="s">
        <v>50</v>
      </c>
      <c r="B33" t="s">
        <v>47</v>
      </c>
      <c r="C33" t="s">
        <v>45</v>
      </c>
      <c r="D33">
        <v>0.16</v>
      </c>
      <c r="E33">
        <v>2.3199999999999998</v>
      </c>
      <c r="F33">
        <v>-3.9934816172529398E-2</v>
      </c>
      <c r="G33">
        <v>128.32152892409101</v>
      </c>
      <c r="H33">
        <v>2.68583333347495</v>
      </c>
      <c r="I33">
        <v>2.1508333334983698</v>
      </c>
      <c r="J33">
        <v>2.37338560760826</v>
      </c>
      <c r="K33">
        <v>2.46666666680848</v>
      </c>
      <c r="L33">
        <v>1.8166666668320099</v>
      </c>
      <c r="M33">
        <v>2.9050000001414098</v>
      </c>
      <c r="N33">
        <v>2.4533333334981</v>
      </c>
      <c r="O33">
        <v>2.82400128326627</v>
      </c>
      <c r="P33">
        <v>5.3938721569852799E-2</v>
      </c>
      <c r="Q33">
        <v>-2.3540419473058401E-2</v>
      </c>
      <c r="R33">
        <v>-2.7792359792272701E-2</v>
      </c>
      <c r="S33">
        <v>-4.0942576038279402E-2</v>
      </c>
      <c r="T33">
        <v>104.486646209668</v>
      </c>
      <c r="U33">
        <v>2.72250000014134</v>
      </c>
      <c r="V33">
        <v>2.1891666668318899</v>
      </c>
      <c r="W33">
        <v>2.48135683776461</v>
      </c>
      <c r="X33">
        <v>2.5033333334748802</v>
      </c>
      <c r="Y33">
        <v>1.85500000016553</v>
      </c>
      <c r="Z33">
        <v>2.94166666680781</v>
      </c>
      <c r="AA33">
        <v>2.4600000001649902</v>
      </c>
      <c r="AB33">
        <v>2.51699786339926</v>
      </c>
      <c r="AC33">
        <v>-2.9011161481420699E-2</v>
      </c>
      <c r="AD33">
        <v>3.77731689455389</v>
      </c>
      <c r="AE33">
        <v>5.0981633998652001</v>
      </c>
      <c r="AF33">
        <v>3.94539466940379</v>
      </c>
      <c r="AG33">
        <v>5.2399133917756</v>
      </c>
      <c r="AH33">
        <v>1.4989339618405899</v>
      </c>
      <c r="AI33">
        <v>15.523999999999999</v>
      </c>
      <c r="AJ33">
        <v>15.603999999999999</v>
      </c>
      <c r="AK33">
        <v>0.614377638516722</v>
      </c>
      <c r="AL33">
        <v>0.70479271037672497</v>
      </c>
      <c r="AM33">
        <v>6.7913199999999998</v>
      </c>
      <c r="AN33">
        <v>344.75481122333599</v>
      </c>
      <c r="AO33">
        <v>5.4025980328789698E-2</v>
      </c>
      <c r="AP33">
        <v>5.69142000810327E-2</v>
      </c>
      <c r="AQ33">
        <v>5.40887096948518E-2</v>
      </c>
      <c r="AR33">
        <v>6.8856625385109602E-2</v>
      </c>
      <c r="AS33">
        <v>6.6514266012241294E-2</v>
      </c>
      <c r="AU33">
        <f t="shared" si="0"/>
        <v>1</v>
      </c>
    </row>
    <row r="34" spans="1:47" x14ac:dyDescent="0.2">
      <c r="A34" t="s">
        <v>69</v>
      </c>
      <c r="B34" t="s">
        <v>47</v>
      </c>
      <c r="C34" t="s">
        <v>45</v>
      </c>
      <c r="D34">
        <v>25.86</v>
      </c>
      <c r="E34">
        <v>116.64</v>
      </c>
      <c r="F34">
        <v>2.60030271396894E-2</v>
      </c>
      <c r="G34">
        <v>113.201212173409</v>
      </c>
      <c r="H34">
        <v>0.45333333347697702</v>
      </c>
      <c r="I34">
        <v>-2.3816666664975101</v>
      </c>
      <c r="J34">
        <v>-1.42235271656674</v>
      </c>
      <c r="K34">
        <v>0.38166666681037897</v>
      </c>
      <c r="L34">
        <v>-2.51666666649739</v>
      </c>
      <c r="M34">
        <v>0.52000000014358105</v>
      </c>
      <c r="N34">
        <v>-2.51666666649739</v>
      </c>
      <c r="O34">
        <v>3.3179769773365102</v>
      </c>
      <c r="P34">
        <v>5.10892059843416E-2</v>
      </c>
      <c r="Q34">
        <v>3.7966272841066899E-2</v>
      </c>
      <c r="R34">
        <v>6.7682209076560196E-2</v>
      </c>
      <c r="S34">
        <v>2.4995267273939401E-2</v>
      </c>
      <c r="T34">
        <v>88.468011089542102</v>
      </c>
      <c r="U34">
        <v>0.49000000014337403</v>
      </c>
      <c r="V34">
        <v>-2.3433333331639901</v>
      </c>
      <c r="W34">
        <v>-1.3561004271911901</v>
      </c>
      <c r="X34">
        <v>0.41833333347677498</v>
      </c>
      <c r="Y34">
        <v>-2.4783333331638699</v>
      </c>
      <c r="Z34">
        <v>0.55666666680997801</v>
      </c>
      <c r="AA34">
        <v>-2.3699999998306298</v>
      </c>
      <c r="AB34">
        <v>1.73947649561776</v>
      </c>
      <c r="AC34">
        <v>6.6463407387412202E-2</v>
      </c>
      <c r="AD34">
        <v>5.47004988589386</v>
      </c>
      <c r="AE34">
        <v>3.9890240276506699</v>
      </c>
      <c r="AF34">
        <v>6.4573724741784098</v>
      </c>
      <c r="AG34">
        <v>4.52373288959578</v>
      </c>
      <c r="AH34">
        <v>0.80969362526585698</v>
      </c>
      <c r="AI34">
        <v>15.034000000000001</v>
      </c>
      <c r="AJ34">
        <v>15.074</v>
      </c>
      <c r="AK34">
        <v>9.5426344062795494E-3</v>
      </c>
      <c r="AL34">
        <v>3.5689185968705101E-2</v>
      </c>
      <c r="AM34">
        <v>8.2632399999999997</v>
      </c>
      <c r="AN34">
        <v>186.22953381114701</v>
      </c>
      <c r="AO34">
        <v>7.9666665209982196E-2</v>
      </c>
      <c r="AP34">
        <v>6.3470546730285002E-2</v>
      </c>
      <c r="AQ34">
        <v>6.8941659898930599E-2</v>
      </c>
      <c r="AR34">
        <v>7.3632986784179399E-2</v>
      </c>
      <c r="AS34">
        <v>7.7937970845332993E-2</v>
      </c>
      <c r="AU34">
        <f t="shared" si="0"/>
        <v>0</v>
      </c>
    </row>
    <row r="35" spans="1:47" x14ac:dyDescent="0.2">
      <c r="A35" t="s">
        <v>54</v>
      </c>
      <c r="B35" t="s">
        <v>55</v>
      </c>
      <c r="C35" t="s">
        <v>45</v>
      </c>
      <c r="D35">
        <v>0.88</v>
      </c>
      <c r="E35">
        <v>12.72</v>
      </c>
      <c r="F35">
        <v>-2.8576892667746399E-2</v>
      </c>
      <c r="G35">
        <v>113.650579481669</v>
      </c>
      <c r="H35">
        <v>2.1847222223642802</v>
      </c>
      <c r="I35">
        <v>2.2079166668316699</v>
      </c>
      <c r="J35">
        <v>1.8584289022770399</v>
      </c>
      <c r="K35">
        <v>1.1816666668096401</v>
      </c>
      <c r="L35">
        <v>0.32500000016671898</v>
      </c>
      <c r="M35">
        <v>3.2250000001411099</v>
      </c>
      <c r="N35">
        <v>4.1166666668299401</v>
      </c>
      <c r="O35">
        <v>2.4804470324863401</v>
      </c>
      <c r="P35">
        <v>0.06</v>
      </c>
      <c r="Q35">
        <v>-2.3939843676853301E-2</v>
      </c>
      <c r="R35">
        <v>-2.1252307740847201E-2</v>
      </c>
      <c r="S35">
        <v>-2.95846525334965E-2</v>
      </c>
      <c r="T35">
        <v>94.2116420347798</v>
      </c>
      <c r="U35">
        <v>2.2213888890306799</v>
      </c>
      <c r="V35">
        <v>2.2462500001652002</v>
      </c>
      <c r="W35">
        <v>1.97336752152581</v>
      </c>
      <c r="X35">
        <v>1.21833333347603</v>
      </c>
      <c r="Y35">
        <v>0.36333333350024</v>
      </c>
      <c r="Z35">
        <v>3.2100000001408899</v>
      </c>
      <c r="AA35">
        <v>4.2150000001633998</v>
      </c>
      <c r="AB35">
        <v>2.0319145300536299</v>
      </c>
      <c r="AC35">
        <v>-2.2471109429995199E-2</v>
      </c>
      <c r="AD35">
        <v>3.8276343559400301</v>
      </c>
      <c r="AE35">
        <v>4.2873781082694098</v>
      </c>
      <c r="AF35">
        <v>4.0230077687650301</v>
      </c>
      <c r="AG35">
        <v>4.3438432975602899</v>
      </c>
      <c r="AH35">
        <v>1.22439675326496</v>
      </c>
      <c r="AI35">
        <v>25.045999999999999</v>
      </c>
      <c r="AJ35">
        <v>25.085999999999999</v>
      </c>
      <c r="AK35">
        <v>0.26114982658041702</v>
      </c>
      <c r="AL35">
        <v>0.427979720511449</v>
      </c>
      <c r="AM35">
        <v>19.4696</v>
      </c>
      <c r="AN35">
        <v>134.68364285914501</v>
      </c>
      <c r="AO35">
        <v>6.9458931017478798E-2</v>
      </c>
      <c r="AP35">
        <v>6.6678298859613197E-2</v>
      </c>
      <c r="AQ35">
        <v>6.46019945696297E-2</v>
      </c>
      <c r="AR35">
        <v>7.7579531686924205E-2</v>
      </c>
      <c r="AS35">
        <v>7.5666931709730198E-2</v>
      </c>
      <c r="AU35">
        <f t="shared" si="0"/>
        <v>0</v>
      </c>
    </row>
    <row r="36" spans="1:47" x14ac:dyDescent="0.2">
      <c r="A36" t="s">
        <v>89</v>
      </c>
      <c r="B36" t="s">
        <v>55</v>
      </c>
      <c r="C36" t="s">
        <v>45</v>
      </c>
      <c r="D36">
        <v>36.700000000000003</v>
      </c>
      <c r="E36">
        <v>66</v>
      </c>
      <c r="F36">
        <v>2.63761737529348E-3</v>
      </c>
      <c r="G36">
        <v>-138.33098702380801</v>
      </c>
      <c r="H36">
        <v>-1.0784444442994101</v>
      </c>
      <c r="I36">
        <v>0.79801587318216405</v>
      </c>
      <c r="J36">
        <v>-2.05285025845094E-2</v>
      </c>
      <c r="K36">
        <v>-5.0083333331847104</v>
      </c>
      <c r="L36">
        <v>-4.9333333331618503</v>
      </c>
      <c r="M36">
        <v>-2.8899999998533201</v>
      </c>
      <c r="N36">
        <v>2.5333333334980099</v>
      </c>
      <c r="O36">
        <v>2.9093165285784202</v>
      </c>
      <c r="P36">
        <v>5.5008854797984501E-2</v>
      </c>
      <c r="Q36">
        <v>2.8861932527909501E-3</v>
      </c>
      <c r="R36">
        <v>-2.4949671197315899E-2</v>
      </c>
      <c r="S36">
        <v>1.6298575095434701E-3</v>
      </c>
      <c r="T36">
        <v>-196.09929755078201</v>
      </c>
      <c r="U36">
        <v>-1.0417777776330199</v>
      </c>
      <c r="V36">
        <v>0.83634920651568501</v>
      </c>
      <c r="W36">
        <v>7.1493437278615096E-2</v>
      </c>
      <c r="X36">
        <v>-4.9716666665183196</v>
      </c>
      <c r="Y36">
        <v>-4.8949999998283298</v>
      </c>
      <c r="Z36">
        <v>-1.84999999985451</v>
      </c>
      <c r="AA36">
        <v>1.1816666668328</v>
      </c>
      <c r="AB36">
        <v>1.67324679487703</v>
      </c>
      <c r="AC36">
        <v>-2.61684728864639E-2</v>
      </c>
      <c r="AD36">
        <v>3.9463879250692599</v>
      </c>
      <c r="AE36">
        <v>2.9133601880110702</v>
      </c>
      <c r="AF36">
        <v>4.1692176103871699</v>
      </c>
      <c r="AG36">
        <v>3.1928869101383501</v>
      </c>
      <c r="AH36">
        <v>-1.9058546131307701</v>
      </c>
      <c r="AI36">
        <v>46.676000000000002</v>
      </c>
      <c r="AJ36">
        <v>46.875999999999998</v>
      </c>
      <c r="AK36" s="1">
        <v>1.9889623613030001E-8</v>
      </c>
      <c r="AL36" s="1">
        <v>8.4611147462042604E-6</v>
      </c>
      <c r="AM36">
        <v>45.272419999999997</v>
      </c>
      <c r="AN36">
        <v>-209.64400744438399</v>
      </c>
      <c r="AO36">
        <v>0.10042566766806101</v>
      </c>
      <c r="AP36">
        <v>9.6720304183382205E-2</v>
      </c>
      <c r="AQ36">
        <v>9.3271036724362696E-2</v>
      </c>
      <c r="AR36">
        <v>0.104130942478852</v>
      </c>
      <c r="AS36">
        <v>0.10139896943485301</v>
      </c>
      <c r="AU36">
        <f t="shared" si="0"/>
        <v>0</v>
      </c>
    </row>
    <row r="37" spans="1:47" x14ac:dyDescent="0.2">
      <c r="A37" t="s">
        <v>74</v>
      </c>
      <c r="B37" t="s">
        <v>55</v>
      </c>
      <c r="C37" t="s">
        <v>45</v>
      </c>
      <c r="D37">
        <v>34.26</v>
      </c>
      <c r="E37">
        <v>73.900000000000006</v>
      </c>
      <c r="F37">
        <v>-3.4409828499165303E-2</v>
      </c>
      <c r="G37">
        <v>18.285002231976499</v>
      </c>
      <c r="H37">
        <v>2.43833333347516</v>
      </c>
      <c r="I37">
        <v>6.8342777779385697</v>
      </c>
      <c r="J37">
        <v>2.9269945456272799</v>
      </c>
      <c r="K37">
        <v>-1.1466666665215599</v>
      </c>
      <c r="L37">
        <v>2.9800000001643201</v>
      </c>
      <c r="M37">
        <v>4.5300000001399203</v>
      </c>
      <c r="N37">
        <v>10.6350000001573</v>
      </c>
      <c r="O37">
        <v>4.54296365851157</v>
      </c>
      <c r="P37">
        <v>6.00554984430837E-2</v>
      </c>
      <c r="Q37">
        <v>-6.6175046067890801E-4</v>
      </c>
      <c r="R37">
        <v>-5.5900152173350703E-2</v>
      </c>
      <c r="S37">
        <v>-3.5417588364915403E-2</v>
      </c>
      <c r="T37">
        <v>2.99070894232083</v>
      </c>
      <c r="U37">
        <v>2.4750000001415602</v>
      </c>
      <c r="V37">
        <v>6.8726111112720902</v>
      </c>
      <c r="W37">
        <v>3.02948687439397</v>
      </c>
      <c r="X37">
        <v>-1.1099999998551699</v>
      </c>
      <c r="Y37">
        <v>3.0183333334978402</v>
      </c>
      <c r="Z37">
        <v>4.7483333334728197</v>
      </c>
      <c r="AA37">
        <v>10.498333333491001</v>
      </c>
      <c r="AB37">
        <v>3.02948687439397</v>
      </c>
      <c r="AC37">
        <v>-5.71189538624986E-2</v>
      </c>
      <c r="AD37">
        <v>3.3019923989773998</v>
      </c>
      <c r="AE37">
        <v>2.2786854390056801</v>
      </c>
      <c r="AF37">
        <v>3.1666055095306902</v>
      </c>
      <c r="AG37">
        <v>2.0765004548087198</v>
      </c>
      <c r="AH37">
        <v>-0.23826890037647799</v>
      </c>
      <c r="AI37">
        <v>38.64</v>
      </c>
      <c r="AJ37">
        <v>38.880000000000003</v>
      </c>
      <c r="AK37">
        <v>5.6664359831597795E-4</v>
      </c>
      <c r="AL37">
        <v>3.9823847610613999E-3</v>
      </c>
      <c r="AM37">
        <v>37.266059999999896</v>
      </c>
      <c r="AN37">
        <v>-28.353999144800898</v>
      </c>
      <c r="AO37">
        <v>0.12584086485262</v>
      </c>
      <c r="AP37">
        <v>0.11113818262726299</v>
      </c>
      <c r="AQ37">
        <v>0.115058696197596</v>
      </c>
      <c r="AR37">
        <v>0.116320744192305</v>
      </c>
      <c r="AS37">
        <v>0.119666167085727</v>
      </c>
      <c r="AU37">
        <f t="shared" si="0"/>
        <v>0</v>
      </c>
    </row>
    <row r="38" spans="1:47" x14ac:dyDescent="0.2">
      <c r="A38" t="s">
        <v>115</v>
      </c>
      <c r="B38" t="s">
        <v>55</v>
      </c>
      <c r="C38" t="s">
        <v>45</v>
      </c>
      <c r="D38">
        <v>0.04</v>
      </c>
      <c r="E38">
        <v>0.48</v>
      </c>
      <c r="F38">
        <v>-7.0323389106445198E-3</v>
      </c>
      <c r="G38">
        <v>80.024139710861604</v>
      </c>
      <c r="H38">
        <v>0.55911111125465296</v>
      </c>
      <c r="I38">
        <v>1.0698333334993599</v>
      </c>
      <c r="J38">
        <v>0.68048565339718203</v>
      </c>
      <c r="K38">
        <v>-2.3749999998537898</v>
      </c>
      <c r="L38">
        <v>-3.3683333331632599</v>
      </c>
      <c r="M38">
        <v>1.0650000001430799</v>
      </c>
      <c r="N38">
        <v>2.4366666668314401</v>
      </c>
      <c r="O38">
        <v>2.8165700685431201</v>
      </c>
      <c r="P38">
        <v>0.117220424050166</v>
      </c>
      <c r="Q38">
        <v>-1.0508586234999799E-2</v>
      </c>
      <c r="R38">
        <v>-6.81544216719626E-3</v>
      </c>
      <c r="S38">
        <v>-8.0400987763945501E-3</v>
      </c>
      <c r="T38">
        <v>75.694995974682598</v>
      </c>
      <c r="U38">
        <v>0.59577777792105002</v>
      </c>
      <c r="V38">
        <v>1.10816666683288</v>
      </c>
      <c r="W38">
        <v>0.80253235669160305</v>
      </c>
      <c r="X38">
        <v>-2.3383333331873999</v>
      </c>
      <c r="Y38">
        <v>-3.3299999998297398</v>
      </c>
      <c r="Z38">
        <v>0.99500000014289902</v>
      </c>
      <c r="AA38">
        <v>2.50500000016494</v>
      </c>
      <c r="AB38">
        <v>1.7849719170217999</v>
      </c>
      <c r="AC38">
        <v>-8.0342438563442004E-3</v>
      </c>
      <c r="AD38">
        <v>2.5612331675178299</v>
      </c>
      <c r="AE38">
        <v>2.6955871546269599</v>
      </c>
      <c r="AF38">
        <v>2.6957158723703598</v>
      </c>
      <c r="AG38">
        <v>2.56111001762021</v>
      </c>
      <c r="AH38">
        <v>0.86025378948731501</v>
      </c>
      <c r="AI38">
        <v>35.744</v>
      </c>
      <c r="AJ38">
        <v>35.884</v>
      </c>
      <c r="AK38">
        <v>0.76248816309217804</v>
      </c>
      <c r="AL38">
        <v>0.94240861131314502</v>
      </c>
      <c r="AM38">
        <v>33.866860000000003</v>
      </c>
      <c r="AN38">
        <v>87.745886527706105</v>
      </c>
      <c r="AO38">
        <v>9.8942286103477606E-2</v>
      </c>
      <c r="AP38">
        <v>9.3557649405752202E-2</v>
      </c>
      <c r="AQ38">
        <v>8.9915627091914904E-2</v>
      </c>
      <c r="AR38">
        <v>0.100411399614156</v>
      </c>
      <c r="AS38">
        <v>9.7380667085746206E-2</v>
      </c>
      <c r="AU38">
        <f t="shared" si="0"/>
        <v>0</v>
      </c>
    </row>
    <row r="39" spans="1:47" x14ac:dyDescent="0.2">
      <c r="A39" t="s">
        <v>84</v>
      </c>
      <c r="B39" t="s">
        <v>85</v>
      </c>
      <c r="C39" t="s">
        <v>45</v>
      </c>
      <c r="D39">
        <v>73.94</v>
      </c>
      <c r="E39">
        <v>137.80000000000001</v>
      </c>
      <c r="F39">
        <v>3.3748093056863E-2</v>
      </c>
      <c r="G39">
        <v>-8.8080516524975998</v>
      </c>
      <c r="H39">
        <v>-5.02999999985136</v>
      </c>
      <c r="I39">
        <v>2.7350000001645798</v>
      </c>
      <c r="J39">
        <v>0.66189102576907599</v>
      </c>
      <c r="K39">
        <v>-5.02999999985136</v>
      </c>
      <c r="L39">
        <v>2.7350000001645798</v>
      </c>
      <c r="M39">
        <v>-5.02999999985136</v>
      </c>
      <c r="N39">
        <v>2.7350000001645798</v>
      </c>
      <c r="O39">
        <v>12.665985482587899</v>
      </c>
      <c r="P39">
        <v>0.205006626776051</v>
      </c>
      <c r="Q39">
        <v>0.107716790595606</v>
      </c>
      <c r="R39">
        <v>-9.6294412912728194E-2</v>
      </c>
      <c r="S39">
        <v>3.2740333191112997E-2</v>
      </c>
      <c r="T39">
        <v>-8.7505001650981296</v>
      </c>
      <c r="U39">
        <v>-4.9933333331849603</v>
      </c>
      <c r="V39">
        <v>2.7733333334980999</v>
      </c>
      <c r="W39">
        <v>0.75038461551142899</v>
      </c>
      <c r="X39">
        <v>-4.9933333331849603</v>
      </c>
      <c r="Y39">
        <v>2.7733333334980999</v>
      </c>
      <c r="Z39">
        <v>-4.9933333331849603</v>
      </c>
      <c r="AA39">
        <v>2.7733333334980999</v>
      </c>
      <c r="AB39">
        <v>1.98551282052402</v>
      </c>
      <c r="AC39">
        <v>-9.7513214601876105E-2</v>
      </c>
      <c r="AD39">
        <v>1.05344290847491</v>
      </c>
      <c r="AE39">
        <v>0.837874339524457</v>
      </c>
      <c r="AF39">
        <v>1.05480243433003</v>
      </c>
      <c r="AG39">
        <v>0.83817213479169705</v>
      </c>
      <c r="AH39">
        <v>-10.492713728322601</v>
      </c>
      <c r="AI39">
        <v>10.9</v>
      </c>
      <c r="AJ39">
        <v>10.82</v>
      </c>
      <c r="AK39">
        <v>0</v>
      </c>
      <c r="AL39" s="1">
        <v>4.5726135843084799E-36</v>
      </c>
      <c r="AM39">
        <v>1.7326999999999999</v>
      </c>
      <c r="AN39">
        <v>-2350.3678751442599</v>
      </c>
      <c r="AO39">
        <v>0.17557724708751901</v>
      </c>
      <c r="AP39">
        <v>0.148009115287462</v>
      </c>
      <c r="AQ39">
        <v>0.108563788310375</v>
      </c>
      <c r="AR39">
        <v>0.147826272747802</v>
      </c>
      <c r="AS39">
        <v>0.109023323405078</v>
      </c>
      <c r="AU39">
        <f t="shared" si="0"/>
        <v>0</v>
      </c>
    </row>
    <row r="40" spans="1:47" x14ac:dyDescent="0.2">
      <c r="A40" t="s">
        <v>107</v>
      </c>
      <c r="B40" t="s">
        <v>85</v>
      </c>
      <c r="C40" t="s">
        <v>45</v>
      </c>
      <c r="D40">
        <v>185.86</v>
      </c>
      <c r="E40">
        <v>207.78</v>
      </c>
      <c r="F40">
        <v>-0.18860163880122699</v>
      </c>
      <c r="G40">
        <v>-2432.0725094087002</v>
      </c>
      <c r="H40">
        <v>9.6716666668018796</v>
      </c>
      <c r="I40">
        <v>12.921666666821899</v>
      </c>
      <c r="J40">
        <v>13.018223443340499</v>
      </c>
      <c r="K40">
        <v>9.6716666668018796</v>
      </c>
      <c r="L40">
        <v>12.921666666821899</v>
      </c>
      <c r="M40">
        <v>9.6716666668018796</v>
      </c>
      <c r="N40">
        <v>12.921666666821899</v>
      </c>
      <c r="O40">
        <v>14.288581635728701</v>
      </c>
      <c r="P40">
        <v>2.2515880424818099E-2</v>
      </c>
      <c r="Q40">
        <v>-7.4197651819306001E-2</v>
      </c>
      <c r="R40">
        <v>-0.19660350417945499</v>
      </c>
      <c r="S40">
        <v>-0.18960939866697701</v>
      </c>
      <c r="T40">
        <v>-2523.4266279154599</v>
      </c>
      <c r="U40">
        <v>9.7083333334682802</v>
      </c>
      <c r="V40">
        <v>12.9600000001554</v>
      </c>
      <c r="W40">
        <v>13.087948718065499</v>
      </c>
      <c r="X40">
        <v>9.7083333334682802</v>
      </c>
      <c r="Y40">
        <v>12.9600000001554</v>
      </c>
      <c r="Z40">
        <v>9.7083333334682802</v>
      </c>
      <c r="AA40">
        <v>12.9600000001554</v>
      </c>
      <c r="AB40">
        <v>13.087948718065499</v>
      </c>
      <c r="AC40">
        <v>-0.197822305868603</v>
      </c>
      <c r="AD40" s="1">
        <v>1.3326671272534501E-6</v>
      </c>
      <c r="AE40" s="1">
        <v>8.5396437663150194E-5</v>
      </c>
      <c r="AF40" s="1">
        <v>1.22262002666496E-9</v>
      </c>
      <c r="AG40" s="1">
        <v>2.6626124132055098E-6</v>
      </c>
      <c r="AH40">
        <v>-20.4113967112519</v>
      </c>
      <c r="AI40">
        <v>10.92</v>
      </c>
      <c r="AJ40">
        <v>10.92</v>
      </c>
      <c r="AK40">
        <v>0</v>
      </c>
      <c r="AL40" s="1">
        <v>4.5726135843084799E-36</v>
      </c>
      <c r="AM40">
        <v>2.1663399999999999</v>
      </c>
      <c r="AN40">
        <v>-4572.1528633204298</v>
      </c>
      <c r="AO40">
        <v>0.13549902632566599</v>
      </c>
      <c r="AP40">
        <v>0.19209484227882101</v>
      </c>
      <c r="AQ40">
        <v>0.202432434705793</v>
      </c>
      <c r="AR40">
        <v>0.19320040544606201</v>
      </c>
      <c r="AS40">
        <v>0.20356033509594401</v>
      </c>
      <c r="AU40">
        <f t="shared" si="0"/>
        <v>0</v>
      </c>
    </row>
    <row r="41" spans="1:47" x14ac:dyDescent="0.2">
      <c r="A41" t="s">
        <v>109</v>
      </c>
      <c r="B41" t="s">
        <v>52</v>
      </c>
      <c r="C41" t="s">
        <v>45</v>
      </c>
      <c r="D41">
        <v>158.9</v>
      </c>
      <c r="E41">
        <v>159.68</v>
      </c>
      <c r="F41">
        <v>-0.193051197399396</v>
      </c>
      <c r="G41">
        <v>-1315741.7731494</v>
      </c>
      <c r="H41">
        <v>8.9683333334692001</v>
      </c>
      <c r="I41">
        <v>15.716666666816501</v>
      </c>
      <c r="J41">
        <v>12.680447191813199</v>
      </c>
      <c r="K41">
        <v>8.9683333334692001</v>
      </c>
      <c r="L41">
        <v>15.371666666816701</v>
      </c>
      <c r="M41">
        <v>8.9683333334692001</v>
      </c>
      <c r="N41">
        <v>15.6616666668164</v>
      </c>
      <c r="O41">
        <v>14.204866248124199</v>
      </c>
      <c r="P41">
        <v>5.5983916061063703E-3</v>
      </c>
      <c r="Q41">
        <v>-0.18561365912678501</v>
      </c>
      <c r="R41">
        <v>-0.21001758785336</v>
      </c>
      <c r="S41">
        <v>-0.19405895726514599</v>
      </c>
      <c r="T41">
        <v>-1304220.2308628201</v>
      </c>
      <c r="U41">
        <v>9.0050000001355901</v>
      </c>
      <c r="V41">
        <v>15.745000000152899</v>
      </c>
      <c r="W41">
        <v>12.810000000114901</v>
      </c>
      <c r="X41">
        <v>9.0050000001355901</v>
      </c>
      <c r="Y41">
        <v>15.600000000153001</v>
      </c>
      <c r="Z41">
        <v>9.0050000001355901</v>
      </c>
      <c r="AA41">
        <v>15.890000000152799</v>
      </c>
      <c r="AB41">
        <v>12.810000000114901</v>
      </c>
      <c r="AC41">
        <v>-0.21123638954250801</v>
      </c>
      <c r="AD41">
        <v>0</v>
      </c>
      <c r="AE41">
        <v>0</v>
      </c>
      <c r="AF41">
        <v>0</v>
      </c>
      <c r="AG41">
        <v>0</v>
      </c>
      <c r="AH41">
        <v>-15619.8936829878</v>
      </c>
      <c r="AI41">
        <v>11</v>
      </c>
      <c r="AJ41">
        <v>10.96</v>
      </c>
      <c r="AK41" s="1">
        <v>6.58998264331479E-78</v>
      </c>
      <c r="AL41" s="1">
        <v>1.90434727810789E-66</v>
      </c>
      <c r="AM41">
        <v>3.7242000000000002</v>
      </c>
      <c r="AN41">
        <v>-2499182.9892780501</v>
      </c>
      <c r="AO41">
        <v>0.20256648023729601</v>
      </c>
      <c r="AP41">
        <v>0.19850685795447501</v>
      </c>
      <c r="AQ41">
        <v>0.202653816316437</v>
      </c>
      <c r="AR41">
        <v>0.19804657493229999</v>
      </c>
      <c r="AS41">
        <v>0.202301292042494</v>
      </c>
      <c r="AU41">
        <f t="shared" si="0"/>
        <v>0</v>
      </c>
    </row>
    <row r="42" spans="1:47" x14ac:dyDescent="0.2">
      <c r="A42" t="s">
        <v>60</v>
      </c>
      <c r="B42" t="s">
        <v>52</v>
      </c>
      <c r="C42" t="s">
        <v>45</v>
      </c>
      <c r="D42">
        <v>14.8</v>
      </c>
      <c r="E42">
        <v>59.42</v>
      </c>
      <c r="F42">
        <v>1.5609158419946201E-2</v>
      </c>
      <c r="G42">
        <v>112.745158518511</v>
      </c>
      <c r="H42">
        <v>-1.3899999998547199</v>
      </c>
      <c r="I42">
        <v>-1.3566666664984199</v>
      </c>
      <c r="J42">
        <v>-0.83606837590717298</v>
      </c>
      <c r="K42">
        <v>-1.41166666652136</v>
      </c>
      <c r="L42">
        <v>-1.3566666664984199</v>
      </c>
      <c r="M42">
        <v>-1.41166666652136</v>
      </c>
      <c r="N42">
        <v>-1.3566666664984199</v>
      </c>
      <c r="O42">
        <v>3.4721041780041402</v>
      </c>
      <c r="P42">
        <v>9.1098546646262296E-2</v>
      </c>
      <c r="Q42">
        <v>-8.0277050179593606E-2</v>
      </c>
      <c r="R42">
        <v>6.4805434625603798E-3</v>
      </c>
      <c r="S42">
        <v>1.46013985541961E-2</v>
      </c>
      <c r="T42">
        <v>114.14836724296001</v>
      </c>
      <c r="U42">
        <v>-1.3533333331883199</v>
      </c>
      <c r="V42">
        <v>-1.3183333331649001</v>
      </c>
      <c r="W42">
        <v>-0.83414529898539802</v>
      </c>
      <c r="X42">
        <v>-1.37499999985497</v>
      </c>
      <c r="Y42">
        <v>-1.3183333331649001</v>
      </c>
      <c r="Z42">
        <v>-1.37499999985497</v>
      </c>
      <c r="AA42">
        <v>-1.3183333331649001</v>
      </c>
      <c r="AB42">
        <v>1.3001709400863899</v>
      </c>
      <c r="AC42">
        <v>5.2617417734124499E-3</v>
      </c>
      <c r="AD42">
        <v>3.5832781223300798</v>
      </c>
      <c r="AE42">
        <v>3.6887032833775999</v>
      </c>
      <c r="AF42">
        <v>3.5677388080594201</v>
      </c>
      <c r="AG42">
        <v>3.3518647341565</v>
      </c>
      <c r="AH42">
        <v>-1.0671197637683001</v>
      </c>
      <c r="AI42">
        <v>13.404</v>
      </c>
      <c r="AJ42">
        <v>13.464</v>
      </c>
      <c r="AK42">
        <v>3.8362055647053202E-2</v>
      </c>
      <c r="AL42">
        <v>8.9061037971730803E-2</v>
      </c>
      <c r="AM42">
        <v>4.3628200000000001</v>
      </c>
      <c r="AN42">
        <v>-170.73916220292901</v>
      </c>
      <c r="AO42">
        <v>0.15168499354784301</v>
      </c>
      <c r="AP42">
        <v>4.9662226951944603E-2</v>
      </c>
      <c r="AQ42">
        <v>5.3226162068745399E-2</v>
      </c>
      <c r="AR42">
        <v>4.4903399357792403E-2</v>
      </c>
      <c r="AS42">
        <v>4.3603513131476299E-2</v>
      </c>
      <c r="AU42">
        <f t="shared" si="0"/>
        <v>1</v>
      </c>
    </row>
    <row r="43" spans="1:47" x14ac:dyDescent="0.2">
      <c r="A43" t="s">
        <v>70</v>
      </c>
      <c r="B43" t="s">
        <v>52</v>
      </c>
      <c r="C43" t="s">
        <v>45</v>
      </c>
      <c r="D43">
        <v>33.76</v>
      </c>
      <c r="E43">
        <v>129.06</v>
      </c>
      <c r="F43">
        <v>-0.112948526332753</v>
      </c>
      <c r="G43">
        <v>55.153358655185599</v>
      </c>
      <c r="H43">
        <v>4.5666666668065501</v>
      </c>
      <c r="I43">
        <v>9.20333333349196</v>
      </c>
      <c r="J43">
        <v>7.3543345544800696</v>
      </c>
      <c r="K43">
        <v>4.5666666668065501</v>
      </c>
      <c r="L43">
        <v>9.1883333334919701</v>
      </c>
      <c r="M43">
        <v>4.5666666668065501</v>
      </c>
      <c r="N43">
        <v>9.2183333334919393</v>
      </c>
      <c r="O43">
        <v>8.8655602226216708</v>
      </c>
      <c r="P43">
        <v>9.4785703092936102E-2</v>
      </c>
      <c r="Q43">
        <v>-0.166636833942955</v>
      </c>
      <c r="R43">
        <v>-0.13167267150307799</v>
      </c>
      <c r="S43">
        <v>-0.113956286198503</v>
      </c>
      <c r="T43">
        <v>55.443435770382102</v>
      </c>
      <c r="U43">
        <v>4.6033333334729498</v>
      </c>
      <c r="V43">
        <v>9.2416666668254805</v>
      </c>
      <c r="W43">
        <v>7.4796153847571896</v>
      </c>
      <c r="X43">
        <v>4.6033333334729498</v>
      </c>
      <c r="Y43">
        <v>9.2266666668254906</v>
      </c>
      <c r="Z43">
        <v>4.6033333334729498</v>
      </c>
      <c r="AA43">
        <v>9.2566666668254598</v>
      </c>
      <c r="AB43">
        <v>7.4796153847571896</v>
      </c>
      <c r="AC43">
        <v>-0.132891473192226</v>
      </c>
      <c r="AD43">
        <v>2.30675104405206</v>
      </c>
      <c r="AE43">
        <v>1.7423048733689199</v>
      </c>
      <c r="AF43">
        <v>2.4062137316283101</v>
      </c>
      <c r="AG43">
        <v>1.73727623762379</v>
      </c>
      <c r="AH43">
        <v>-1.5960002686163599</v>
      </c>
      <c r="AI43">
        <v>12.5</v>
      </c>
      <c r="AJ43">
        <v>12.5</v>
      </c>
      <c r="AK43">
        <v>7.4043004350285102E-2</v>
      </c>
      <c r="AL43">
        <v>7.4043004350285102E-2</v>
      </c>
      <c r="AM43">
        <v>2.24214</v>
      </c>
      <c r="AN43">
        <v>-255.360042978618</v>
      </c>
      <c r="AO43">
        <v>0.18463645173144699</v>
      </c>
      <c r="AP43">
        <v>0.122439234181279</v>
      </c>
      <c r="AQ43">
        <v>0.124613155268196</v>
      </c>
      <c r="AR43">
        <v>0.120504452467336</v>
      </c>
      <c r="AS43">
        <v>0.12301894716900399</v>
      </c>
      <c r="AU43">
        <f t="shared" si="0"/>
        <v>0</v>
      </c>
    </row>
    <row r="44" spans="1:47" x14ac:dyDescent="0.2">
      <c r="A44" t="s">
        <v>59</v>
      </c>
      <c r="B44" t="s">
        <v>52</v>
      </c>
      <c r="C44" t="s">
        <v>45</v>
      </c>
      <c r="D44">
        <v>30.04</v>
      </c>
      <c r="E44">
        <v>71.599999999999994</v>
      </c>
      <c r="F44">
        <v>-5.0032793175714997E-3</v>
      </c>
      <c r="G44">
        <v>107.001628221959</v>
      </c>
      <c r="H44">
        <v>-1.43166666652133</v>
      </c>
      <c r="I44">
        <v>1.8191666668320099</v>
      </c>
      <c r="J44">
        <v>0.61179639820561504</v>
      </c>
      <c r="K44">
        <v>-1.43166666652133</v>
      </c>
      <c r="L44">
        <v>1.7933333334987001</v>
      </c>
      <c r="M44">
        <v>-1.43166666652133</v>
      </c>
      <c r="N44">
        <v>1.8233333334986701</v>
      </c>
      <c r="O44">
        <v>4.0902898321795096</v>
      </c>
      <c r="P44">
        <v>9.4784124130984596E-2</v>
      </c>
      <c r="Q44">
        <v>-0.10581395442661</v>
      </c>
      <c r="R44">
        <v>-3.5221935038258503E-2</v>
      </c>
      <c r="S44">
        <v>-6.0110391833214996E-3</v>
      </c>
      <c r="T44">
        <v>107.804653575522</v>
      </c>
      <c r="U44">
        <v>-1.3949999998549301</v>
      </c>
      <c r="V44">
        <v>1.85750000016553</v>
      </c>
      <c r="W44">
        <v>0.63399572665330295</v>
      </c>
      <c r="X44">
        <v>-1.3949999998549301</v>
      </c>
      <c r="Y44">
        <v>1.8316666668322199</v>
      </c>
      <c r="Z44">
        <v>-1.3949999998549301</v>
      </c>
      <c r="AA44">
        <v>1.88333333349884</v>
      </c>
      <c r="AB44">
        <v>1.3556623932043099</v>
      </c>
      <c r="AC44">
        <v>-3.6440736727406497E-2</v>
      </c>
      <c r="AD44">
        <v>3.4384366957993602</v>
      </c>
      <c r="AE44">
        <v>3.4535443083539401</v>
      </c>
      <c r="AF44">
        <v>3.4256415372447302</v>
      </c>
      <c r="AG44">
        <v>3.26329132871011</v>
      </c>
      <c r="AH44">
        <v>-1.2686899420236599</v>
      </c>
      <c r="AI44">
        <v>12.98</v>
      </c>
      <c r="AJ44">
        <v>13.04</v>
      </c>
      <c r="AK44">
        <v>7.2958336826761103E-2</v>
      </c>
      <c r="AL44">
        <v>7.3015622340118505E-2</v>
      </c>
      <c r="AM44">
        <v>2.6189</v>
      </c>
      <c r="AN44">
        <v>-202.99039072378599</v>
      </c>
      <c r="AO44">
        <v>0.165154016058774</v>
      </c>
      <c r="AP44">
        <v>5.4533796107756001E-2</v>
      </c>
      <c r="AQ44">
        <v>5.8694256508052801E-2</v>
      </c>
      <c r="AR44">
        <v>4.9884702127890201E-2</v>
      </c>
      <c r="AS44">
        <v>5.0115844713887601E-2</v>
      </c>
      <c r="AU44">
        <f t="shared" si="0"/>
        <v>1</v>
      </c>
    </row>
    <row r="45" spans="1:47" x14ac:dyDescent="0.2">
      <c r="A45" t="s">
        <v>51</v>
      </c>
      <c r="B45" t="s">
        <v>52</v>
      </c>
      <c r="C45" t="s">
        <v>45</v>
      </c>
      <c r="D45">
        <v>3.52</v>
      </c>
      <c r="E45">
        <v>66.44</v>
      </c>
      <c r="F45">
        <v>5.65178032515675E-3</v>
      </c>
      <c r="G45">
        <v>114.59939760888</v>
      </c>
      <c r="H45">
        <v>-1.31416666652141</v>
      </c>
      <c r="I45" s="1">
        <v>1.67024154507089E-10</v>
      </c>
      <c r="J45">
        <v>-0.233713369802488</v>
      </c>
      <c r="K45">
        <v>-1.33499999985472</v>
      </c>
      <c r="L45">
        <v>-3.1666666499613701E-2</v>
      </c>
      <c r="M45">
        <v>-1.33499999985472</v>
      </c>
      <c r="N45">
        <v>3.1666666833661997E-2</v>
      </c>
      <c r="O45">
        <v>3.37991010902851</v>
      </c>
      <c r="P45">
        <v>8.9818810229809504E-2</v>
      </c>
      <c r="Q45">
        <v>-8.46853451034765E-2</v>
      </c>
      <c r="R45">
        <v>-1.03421518600759E-2</v>
      </c>
      <c r="S45">
        <v>4.6440204594067301E-3</v>
      </c>
      <c r="T45">
        <v>116.26596800908401</v>
      </c>
      <c r="U45">
        <v>-1.2774999998550101</v>
      </c>
      <c r="V45">
        <v>3.8333333500545401E-2</v>
      </c>
      <c r="W45">
        <v>-0.228782051122599</v>
      </c>
      <c r="X45">
        <v>-1.29833333318832</v>
      </c>
      <c r="Y45">
        <v>6.6666668339075601E-3</v>
      </c>
      <c r="Z45">
        <v>-1.29833333318832</v>
      </c>
      <c r="AA45">
        <v>7.0000000167183302E-2</v>
      </c>
      <c r="AB45">
        <v>1.14506410255652</v>
      </c>
      <c r="AC45">
        <v>-1.15609535492239E-2</v>
      </c>
      <c r="AD45">
        <v>3.73169593731734</v>
      </c>
      <c r="AE45">
        <v>3.8237991500476198</v>
      </c>
      <c r="AF45">
        <v>3.68994540226887</v>
      </c>
      <c r="AG45">
        <v>3.52377895012572</v>
      </c>
      <c r="AH45">
        <v>-3.5862987987687701E-2</v>
      </c>
      <c r="AI45">
        <v>13.423999999999999</v>
      </c>
      <c r="AJ45">
        <v>13.484</v>
      </c>
      <c r="AK45">
        <v>0.166933476705938</v>
      </c>
      <c r="AL45">
        <v>0.166933476705938</v>
      </c>
      <c r="AM45">
        <v>3.5421399999999998</v>
      </c>
      <c r="AN45">
        <v>-5.7380780780300302</v>
      </c>
      <c r="AO45">
        <v>0.142678522714034</v>
      </c>
      <c r="AP45">
        <v>4.8139290550314698E-2</v>
      </c>
      <c r="AQ45">
        <v>5.1840636370020898E-2</v>
      </c>
      <c r="AR45">
        <v>4.3395771663114799E-2</v>
      </c>
      <c r="AS45">
        <v>4.2203377009080299E-2</v>
      </c>
      <c r="AU45">
        <f t="shared" si="0"/>
        <v>1</v>
      </c>
    </row>
    <row r="46" spans="1:47" x14ac:dyDescent="0.2">
      <c r="A46" t="s">
        <v>73</v>
      </c>
      <c r="B46" t="s">
        <v>52</v>
      </c>
      <c r="C46" t="s">
        <v>45</v>
      </c>
      <c r="D46">
        <v>0</v>
      </c>
      <c r="E46">
        <v>122.5</v>
      </c>
      <c r="F46">
        <v>-0.124097613366184</v>
      </c>
      <c r="G46">
        <v>52.865877436772102</v>
      </c>
      <c r="H46">
        <v>5.4183333334724599</v>
      </c>
      <c r="I46">
        <v>9.2538888890474702</v>
      </c>
      <c r="J46">
        <v>7.9003332317309303</v>
      </c>
      <c r="K46">
        <v>5.4066666668058003</v>
      </c>
      <c r="L46">
        <v>9.1566666668253394</v>
      </c>
      <c r="M46">
        <v>5.4300000001391098</v>
      </c>
      <c r="N46">
        <v>9.3516666668251602</v>
      </c>
      <c r="O46">
        <v>9.1412414884448108</v>
      </c>
      <c r="P46">
        <v>0.11254825072862901</v>
      </c>
      <c r="Q46">
        <v>-0.16216745892364801</v>
      </c>
      <c r="R46">
        <v>-0.13888101263911101</v>
      </c>
      <c r="S46">
        <v>-0.12510537323193399</v>
      </c>
      <c r="T46">
        <v>53.534799921573303</v>
      </c>
      <c r="U46">
        <v>5.4550000001388499</v>
      </c>
      <c r="V46">
        <v>9.2922222223809907</v>
      </c>
      <c r="W46">
        <v>7.9933119659563401</v>
      </c>
      <c r="X46">
        <v>5.4433333334722001</v>
      </c>
      <c r="Y46">
        <v>9.1950000001588599</v>
      </c>
      <c r="Z46">
        <v>5.4666666668055104</v>
      </c>
      <c r="AA46">
        <v>9.3900000001586807</v>
      </c>
      <c r="AB46">
        <v>7.9933119659563401</v>
      </c>
      <c r="AC46">
        <v>-0.14009981432825899</v>
      </c>
      <c r="AD46">
        <v>2.1627181787755099</v>
      </c>
      <c r="AE46">
        <v>1.65842475307672</v>
      </c>
      <c r="AF46">
        <v>2.16527525729451</v>
      </c>
      <c r="AG46">
        <v>1.7676230923388501</v>
      </c>
      <c r="AH46">
        <v>-2.9627936893887601E-3</v>
      </c>
      <c r="AI46">
        <v>12.964</v>
      </c>
      <c r="AJ46">
        <v>12.984</v>
      </c>
      <c r="AK46">
        <v>0.22832457474189999</v>
      </c>
      <c r="AL46">
        <v>0.22890995844262299</v>
      </c>
      <c r="AM46">
        <v>2.8240599999999998</v>
      </c>
      <c r="AN46">
        <v>-0.47404699030220099</v>
      </c>
      <c r="AO46">
        <v>0.175055448598917</v>
      </c>
      <c r="AP46">
        <v>0.13188958290004599</v>
      </c>
      <c r="AQ46">
        <v>0.13476475203364599</v>
      </c>
      <c r="AR46">
        <v>0.13060993563339901</v>
      </c>
      <c r="AS46">
        <v>0.133655255455781</v>
      </c>
      <c r="AU46">
        <f t="shared" si="0"/>
        <v>0</v>
      </c>
    </row>
    <row r="47" spans="1:47" x14ac:dyDescent="0.2">
      <c r="A47" t="s">
        <v>58</v>
      </c>
      <c r="B47" t="s">
        <v>52</v>
      </c>
      <c r="C47" t="s">
        <v>45</v>
      </c>
      <c r="D47">
        <v>7.58</v>
      </c>
      <c r="E47">
        <v>67.02</v>
      </c>
      <c r="F47">
        <v>6.70996840365739E-4</v>
      </c>
      <c r="G47">
        <v>114.552674284147</v>
      </c>
      <c r="H47">
        <v>-1.2524999998548001</v>
      </c>
      <c r="I47">
        <v>0.78666666683293895</v>
      </c>
      <c r="J47">
        <v>5.6790293201445997E-2</v>
      </c>
      <c r="K47">
        <v>-1.27333333318812</v>
      </c>
      <c r="L47">
        <v>0.75166666683297001</v>
      </c>
      <c r="M47">
        <v>-1.27333333318812</v>
      </c>
      <c r="N47">
        <v>0.82166666683290701</v>
      </c>
      <c r="O47">
        <v>3.3441291345478299</v>
      </c>
      <c r="P47">
        <v>9.0140419786611706E-2</v>
      </c>
      <c r="Q47">
        <v>-8.6902795158388293E-2</v>
      </c>
      <c r="R47">
        <v>-1.87525024089806E-2</v>
      </c>
      <c r="S47">
        <v>-3.3676302538427299E-4</v>
      </c>
      <c r="T47">
        <v>116.32259633186401</v>
      </c>
      <c r="U47">
        <v>-1.2158333331884099</v>
      </c>
      <c r="V47">
        <v>0.82500000016646002</v>
      </c>
      <c r="W47">
        <v>6.8888889048549395E-2</v>
      </c>
      <c r="X47">
        <v>-1.2366666665217201</v>
      </c>
      <c r="Y47">
        <v>0.79000000016649197</v>
      </c>
      <c r="Z47">
        <v>-1.2366666665217201</v>
      </c>
      <c r="AA47">
        <v>0.86000000016642797</v>
      </c>
      <c r="AB47">
        <v>1.14068376068942</v>
      </c>
      <c r="AC47">
        <v>-1.9971304098128501E-2</v>
      </c>
      <c r="AD47">
        <v>3.8022115397629301</v>
      </c>
      <c r="AE47">
        <v>3.8355366737949401</v>
      </c>
      <c r="AF47">
        <v>3.72832170884926</v>
      </c>
      <c r="AG47">
        <v>3.5589215883324501</v>
      </c>
      <c r="AH47">
        <v>3.0589762598897001E-2</v>
      </c>
      <c r="AI47">
        <v>13.343999999999999</v>
      </c>
      <c r="AJ47">
        <v>13.404</v>
      </c>
      <c r="AK47">
        <v>0.17704547916844399</v>
      </c>
      <c r="AL47">
        <v>0.17704547916844399</v>
      </c>
      <c r="AM47">
        <v>3.24331999999999</v>
      </c>
      <c r="AN47">
        <v>4.8943620158235204</v>
      </c>
      <c r="AO47">
        <v>0.14222425642476799</v>
      </c>
      <c r="AP47">
        <v>4.8887800502879303E-2</v>
      </c>
      <c r="AQ47">
        <v>5.2943931351768898E-2</v>
      </c>
      <c r="AR47">
        <v>4.4312223255068298E-2</v>
      </c>
      <c r="AS47">
        <v>4.3696225799184099E-2</v>
      </c>
      <c r="AU47">
        <f t="shared" si="0"/>
        <v>1</v>
      </c>
    </row>
    <row r="48" spans="1:47" x14ac:dyDescent="0.2">
      <c r="A48" t="s">
        <v>103</v>
      </c>
      <c r="B48" t="s">
        <v>44</v>
      </c>
      <c r="C48" t="s">
        <v>45</v>
      </c>
      <c r="D48">
        <v>135.26</v>
      </c>
      <c r="E48">
        <v>191.58</v>
      </c>
      <c r="F48">
        <v>0.12606621899678899</v>
      </c>
      <c r="G48">
        <v>-560.39208464923297</v>
      </c>
      <c r="H48">
        <v>-7.45499999984919</v>
      </c>
      <c r="I48">
        <v>-6.7833333331601597</v>
      </c>
      <c r="J48">
        <v>-7.06539835148366</v>
      </c>
      <c r="K48">
        <v>-7.45499999984919</v>
      </c>
      <c r="L48">
        <v>-6.7833333331601597</v>
      </c>
      <c r="M48">
        <v>-7.45499999984919</v>
      </c>
      <c r="N48">
        <v>-6.7833333331601597</v>
      </c>
      <c r="O48">
        <v>7.4693084365294702</v>
      </c>
      <c r="P48">
        <v>3.69505365729388E-2</v>
      </c>
      <c r="Q48">
        <v>7.5396252198008301E-2</v>
      </c>
      <c r="R48">
        <v>0.13183137394108299</v>
      </c>
      <c r="S48">
        <v>0.125058459131039</v>
      </c>
      <c r="T48">
        <v>-540.07233075252304</v>
      </c>
      <c r="U48">
        <v>-7.4183333331828001</v>
      </c>
      <c r="V48">
        <v>-6.7449999998266401</v>
      </c>
      <c r="W48">
        <v>-6.9885897434263304</v>
      </c>
      <c r="X48">
        <v>-7.4183333331828001</v>
      </c>
      <c r="Y48">
        <v>-6.7449999998266401</v>
      </c>
      <c r="Z48">
        <v>-7.4183333331828001</v>
      </c>
      <c r="AA48">
        <v>-6.7449999998266401</v>
      </c>
      <c r="AB48">
        <v>6.9885897434263304</v>
      </c>
      <c r="AC48">
        <v>0.13061257225193501</v>
      </c>
      <c r="AD48">
        <v>0.15455187522781599</v>
      </c>
      <c r="AE48">
        <v>8.2474906547062299E-2</v>
      </c>
      <c r="AF48">
        <v>0.16530603302168001</v>
      </c>
      <c r="AG48">
        <v>0.135353972504625</v>
      </c>
      <c r="AH48">
        <v>-2.63726836655874</v>
      </c>
      <c r="AI48">
        <v>12.98</v>
      </c>
      <c r="AJ48">
        <v>13</v>
      </c>
      <c r="AK48" s="1">
        <v>1.32372836114389E-5</v>
      </c>
      <c r="AL48" s="1">
        <v>1.82303988969434E-5</v>
      </c>
      <c r="AM48">
        <v>0.44779999999999998</v>
      </c>
      <c r="AN48">
        <v>-606.57172430851006</v>
      </c>
      <c r="AO48">
        <v>0.101577601813166</v>
      </c>
      <c r="AP48">
        <v>0.132723086519622</v>
      </c>
      <c r="AQ48">
        <v>0.13374616268303</v>
      </c>
      <c r="AR48">
        <v>0.13100491843284101</v>
      </c>
      <c r="AS48">
        <v>0.132259233470887</v>
      </c>
      <c r="AU48">
        <f t="shared" si="0"/>
        <v>0</v>
      </c>
    </row>
    <row r="49" spans="1:47" x14ac:dyDescent="0.2">
      <c r="A49" t="s">
        <v>105</v>
      </c>
      <c r="B49" t="s">
        <v>44</v>
      </c>
      <c r="C49" t="s">
        <v>45</v>
      </c>
      <c r="D49">
        <v>107.94</v>
      </c>
      <c r="E49">
        <v>147.4</v>
      </c>
      <c r="F49">
        <v>0.154048816869715</v>
      </c>
      <c r="G49">
        <v>-928.618978539419</v>
      </c>
      <c r="H49">
        <v>-6.5716666665166397</v>
      </c>
      <c r="I49">
        <v>-8.7949999998249595</v>
      </c>
      <c r="J49">
        <v>-7.9426800975156802</v>
      </c>
      <c r="K49">
        <v>-6.5716666665166397</v>
      </c>
      <c r="L49">
        <v>-8.7949999998249595</v>
      </c>
      <c r="M49">
        <v>-6.5716666665166397</v>
      </c>
      <c r="N49">
        <v>-8.7949999998249595</v>
      </c>
      <c r="O49">
        <v>8.6600179186274993</v>
      </c>
      <c r="P49">
        <v>3.71109028900913E-2</v>
      </c>
      <c r="Q49">
        <v>7.2624673069231399E-2</v>
      </c>
      <c r="R49">
        <v>0.194440467432062</v>
      </c>
      <c r="S49">
        <v>0.153041057003965</v>
      </c>
      <c r="T49">
        <v>-930.73765857413196</v>
      </c>
      <c r="U49">
        <v>-6.5349999998502399</v>
      </c>
      <c r="V49">
        <v>-8.7566666664914408</v>
      </c>
      <c r="W49">
        <v>-7.8625641024006896</v>
      </c>
      <c r="X49">
        <v>-6.5349999998502399</v>
      </c>
      <c r="Y49">
        <v>-8.7566666664914408</v>
      </c>
      <c r="Z49">
        <v>-6.5349999998502399</v>
      </c>
      <c r="AA49">
        <v>-8.7566666664914408</v>
      </c>
      <c r="AB49">
        <v>7.8625641024006896</v>
      </c>
      <c r="AC49">
        <v>0.19322166574291399</v>
      </c>
      <c r="AD49">
        <v>0.13987292293939499</v>
      </c>
      <c r="AE49">
        <v>2.2302004045864901E-3</v>
      </c>
      <c r="AF49">
        <v>0.109457307373827</v>
      </c>
      <c r="AG49">
        <v>8.5993344979232199E-4</v>
      </c>
      <c r="AH49">
        <v>-3.1088836112759499</v>
      </c>
      <c r="AI49">
        <v>12.98</v>
      </c>
      <c r="AJ49">
        <v>13</v>
      </c>
      <c r="AK49" s="1">
        <v>1.59256535229544E-9</v>
      </c>
      <c r="AL49" s="1">
        <v>4.9092769542943397E-9</v>
      </c>
      <c r="AM49">
        <v>2.0173800000000002</v>
      </c>
      <c r="AN49">
        <v>-715.04323059346802</v>
      </c>
      <c r="AO49">
        <v>0.106814416168132</v>
      </c>
      <c r="AP49">
        <v>0.16203694783929601</v>
      </c>
      <c r="AQ49">
        <v>0.17667400027548</v>
      </c>
      <c r="AR49">
        <v>0.162187909051455</v>
      </c>
      <c r="AS49">
        <v>0.176921151065352</v>
      </c>
      <c r="AU49">
        <f t="shared" si="0"/>
        <v>0</v>
      </c>
    </row>
    <row r="50" spans="1:47" x14ac:dyDescent="0.2">
      <c r="A50" t="s">
        <v>43</v>
      </c>
      <c r="B50" t="s">
        <v>44</v>
      </c>
      <c r="C50" t="s">
        <v>45</v>
      </c>
      <c r="D50">
        <v>17.46</v>
      </c>
      <c r="E50">
        <v>49.44</v>
      </c>
      <c r="F50">
        <v>-3.7394233613141999E-3</v>
      </c>
      <c r="G50">
        <v>140.129901004114</v>
      </c>
      <c r="H50">
        <v>1.2191666668096099</v>
      </c>
      <c r="I50">
        <v>0.35666666683334303</v>
      </c>
      <c r="J50">
        <v>0.51111111127275199</v>
      </c>
      <c r="K50">
        <v>1.20666666680962</v>
      </c>
      <c r="L50">
        <v>0.35666666683334303</v>
      </c>
      <c r="M50">
        <v>1.2316666668095899</v>
      </c>
      <c r="N50">
        <v>0.35666666683334303</v>
      </c>
      <c r="O50">
        <v>1.99831558733471</v>
      </c>
      <c r="P50">
        <v>4.2374245059543701E-2</v>
      </c>
      <c r="Q50">
        <v>2.2520442039225398E-3</v>
      </c>
      <c r="R50">
        <v>-5.6711898184517596E-3</v>
      </c>
      <c r="S50">
        <v>-4.7471832270642297E-3</v>
      </c>
      <c r="T50">
        <v>55.725960955963203</v>
      </c>
      <c r="U50">
        <v>1.2558333334759999</v>
      </c>
      <c r="V50">
        <v>0.39500000016686498</v>
      </c>
      <c r="W50">
        <v>0.605320512979869</v>
      </c>
      <c r="X50">
        <v>1.2433333334760199</v>
      </c>
      <c r="Y50">
        <v>0.39500000016686498</v>
      </c>
      <c r="Z50">
        <v>1.2683333334759901</v>
      </c>
      <c r="AA50">
        <v>0.39500000016686498</v>
      </c>
      <c r="AB50">
        <v>1.8403205128451701</v>
      </c>
      <c r="AC50">
        <v>-6.88999150759966E-3</v>
      </c>
      <c r="AD50">
        <v>6.9943540119209597</v>
      </c>
      <c r="AE50">
        <v>6.7899201416424502</v>
      </c>
      <c r="AF50">
        <v>6.8560660439159804</v>
      </c>
      <c r="AG50">
        <v>9.0457149846235705</v>
      </c>
      <c r="AH50">
        <v>1.6487118350872301</v>
      </c>
      <c r="AI50">
        <v>13.224</v>
      </c>
      <c r="AJ50">
        <v>13.263999999999999</v>
      </c>
      <c r="AK50">
        <v>0.41504139877325302</v>
      </c>
      <c r="AL50">
        <v>0.46443275816042801</v>
      </c>
      <c r="AM50">
        <v>2.80079999999999</v>
      </c>
      <c r="AN50">
        <v>379.20372207006301</v>
      </c>
      <c r="AO50">
        <v>3.70509973380252E-2</v>
      </c>
      <c r="AP50">
        <v>3.5059068989612502E-2</v>
      </c>
      <c r="AQ50">
        <v>3.51406859885732E-2</v>
      </c>
      <c r="AR50">
        <v>4.7129186887247203E-2</v>
      </c>
      <c r="AS50">
        <v>4.8469640284516197E-2</v>
      </c>
      <c r="AU50">
        <f t="shared" si="0"/>
        <v>1</v>
      </c>
    </row>
    <row r="51" spans="1:47" x14ac:dyDescent="0.2">
      <c r="A51" t="s">
        <v>97</v>
      </c>
      <c r="B51" t="s">
        <v>80</v>
      </c>
      <c r="C51" t="s">
        <v>45</v>
      </c>
      <c r="D51">
        <v>0.04</v>
      </c>
      <c r="E51">
        <v>4.24</v>
      </c>
      <c r="F51">
        <v>-5.5104808631339097E-3</v>
      </c>
      <c r="G51">
        <v>153.92744453600801</v>
      </c>
      <c r="H51">
        <v>0.591666666810169</v>
      </c>
      <c r="I51">
        <v>-0.38333333316596502</v>
      </c>
      <c r="J51">
        <v>5.0656289772371297E-3</v>
      </c>
      <c r="K51">
        <v>0.591666666810169</v>
      </c>
      <c r="L51">
        <v>-0.38333333316596502</v>
      </c>
      <c r="M51">
        <v>0.591666666810169</v>
      </c>
      <c r="N51">
        <v>-0.38333333316596502</v>
      </c>
      <c r="O51">
        <v>2.04241771904934</v>
      </c>
      <c r="P51">
        <v>7.5879549842060703E-2</v>
      </c>
      <c r="Q51">
        <v>3.25399051094711E-2</v>
      </c>
      <c r="R51">
        <v>5.5006914878419598E-3</v>
      </c>
      <c r="S51">
        <v>-6.51824072888392E-3</v>
      </c>
      <c r="T51">
        <v>157.097763366306</v>
      </c>
      <c r="U51">
        <v>0.62833333347656595</v>
      </c>
      <c r="V51">
        <v>-0.34499999983244301</v>
      </c>
      <c r="W51">
        <v>9.4230769390285796E-2</v>
      </c>
      <c r="X51">
        <v>0.62833333347656595</v>
      </c>
      <c r="Y51">
        <v>-0.34499999983244301</v>
      </c>
      <c r="Z51">
        <v>0.62833333347656595</v>
      </c>
      <c r="AA51">
        <v>-0.34499999983244301</v>
      </c>
      <c r="AB51">
        <v>1.0844871795055999</v>
      </c>
      <c r="AC51">
        <v>4.2818897986940403E-3</v>
      </c>
      <c r="AD51">
        <v>6.1994493118189196</v>
      </c>
      <c r="AE51">
        <v>6.7156393203647102</v>
      </c>
      <c r="AF51">
        <v>6.10408304462063</v>
      </c>
      <c r="AG51">
        <v>6.3968416397707601</v>
      </c>
      <c r="AH51">
        <v>1.27177392437402</v>
      </c>
      <c r="AI51">
        <v>13</v>
      </c>
      <c r="AJ51">
        <v>13.02</v>
      </c>
      <c r="AK51">
        <v>0.57102878947712599</v>
      </c>
      <c r="AL51">
        <v>0.65326873615478298</v>
      </c>
      <c r="AM51">
        <v>2.5312000000000001</v>
      </c>
      <c r="AN51">
        <v>178.048349412363</v>
      </c>
      <c r="AO51">
        <v>0.109750297484928</v>
      </c>
      <c r="AP51">
        <v>4.2047706209205303E-2</v>
      </c>
      <c r="AQ51">
        <v>3.4939172696685998E-2</v>
      </c>
      <c r="AR51">
        <v>3.9558256455461398E-2</v>
      </c>
      <c r="AS51">
        <v>3.0977292890274E-2</v>
      </c>
      <c r="AU51">
        <f t="shared" si="0"/>
        <v>1</v>
      </c>
    </row>
    <row r="52" spans="1:47" x14ac:dyDescent="0.2">
      <c r="A52" t="s">
        <v>104</v>
      </c>
      <c r="B52" t="s">
        <v>80</v>
      </c>
      <c r="C52" t="s">
        <v>45</v>
      </c>
      <c r="D52">
        <v>0.86</v>
      </c>
      <c r="E52">
        <v>19.28</v>
      </c>
      <c r="F52">
        <v>-1.0197439783662001E-2</v>
      </c>
      <c r="G52">
        <v>152.88173622892</v>
      </c>
      <c r="H52">
        <v>1.2750000001428901</v>
      </c>
      <c r="I52">
        <v>0.16833333350020399</v>
      </c>
      <c r="J52">
        <v>0.46797161188229602</v>
      </c>
      <c r="K52">
        <v>1.2750000001428901</v>
      </c>
      <c r="L52">
        <v>0.16833333350020399</v>
      </c>
      <c r="M52">
        <v>1.2750000001428901</v>
      </c>
      <c r="N52">
        <v>0.16833333350020399</v>
      </c>
      <c r="O52">
        <v>2.17777711620022</v>
      </c>
      <c r="P52">
        <v>6.9543733247359296E-2</v>
      </c>
      <c r="Q52">
        <v>4.2566097740181802E-2</v>
      </c>
      <c r="R52">
        <v>1.0194632808832199E-2</v>
      </c>
      <c r="S52">
        <v>-1.12051996494121E-2</v>
      </c>
      <c r="T52">
        <v>157.87709801825201</v>
      </c>
      <c r="U52">
        <v>1.31166666680928</v>
      </c>
      <c r="V52">
        <v>0.206666666833725</v>
      </c>
      <c r="W52">
        <v>0.55051282067148399</v>
      </c>
      <c r="X52">
        <v>1.31166666680928</v>
      </c>
      <c r="Y52">
        <v>0.206666666833725</v>
      </c>
      <c r="Z52">
        <v>1.31166666680928</v>
      </c>
      <c r="AA52">
        <v>0.206666666833725</v>
      </c>
      <c r="AB52">
        <v>1.12615384622944</v>
      </c>
      <c r="AC52">
        <v>8.9758311196843493E-3</v>
      </c>
      <c r="AD52">
        <v>5.9718359044235196</v>
      </c>
      <c r="AE52">
        <v>6.89811035764951</v>
      </c>
      <c r="AF52">
        <v>5.9138373170889604</v>
      </c>
      <c r="AG52">
        <v>6.2978351567893798</v>
      </c>
      <c r="AH52">
        <v>1.2048250910239999</v>
      </c>
      <c r="AI52">
        <v>12.98</v>
      </c>
      <c r="AJ52">
        <v>13</v>
      </c>
      <c r="AK52">
        <v>0.32146379881753101</v>
      </c>
      <c r="AL52">
        <v>0.46304666794495902</v>
      </c>
      <c r="AM52">
        <v>2.14866</v>
      </c>
      <c r="AN52">
        <v>168.67551274336</v>
      </c>
      <c r="AO52">
        <v>0.120718971665252</v>
      </c>
      <c r="AP52">
        <v>4.2709185384953399E-2</v>
      </c>
      <c r="AQ52">
        <v>3.9995111173445702E-2</v>
      </c>
      <c r="AR52">
        <v>3.9276198373646501E-2</v>
      </c>
      <c r="AS52">
        <v>3.56686642180351E-2</v>
      </c>
      <c r="AU52">
        <f t="shared" si="0"/>
        <v>1</v>
      </c>
    </row>
    <row r="53" spans="1:47" x14ac:dyDescent="0.2">
      <c r="A53" t="s">
        <v>96</v>
      </c>
      <c r="B53" t="s">
        <v>80</v>
      </c>
      <c r="C53" t="s">
        <v>45</v>
      </c>
      <c r="D53">
        <v>0.04</v>
      </c>
      <c r="E53">
        <v>3.82</v>
      </c>
      <c r="F53">
        <v>-3.7972879997311801E-3</v>
      </c>
      <c r="G53">
        <v>154.18019296417501</v>
      </c>
      <c r="H53">
        <v>0.30833333347710301</v>
      </c>
      <c r="I53">
        <v>-0.29333333316603699</v>
      </c>
      <c r="J53">
        <v>-4.2733516321820098E-2</v>
      </c>
      <c r="K53">
        <v>0.30833333347710301</v>
      </c>
      <c r="L53">
        <v>-0.29333333316603699</v>
      </c>
      <c r="M53">
        <v>0.30833333347710301</v>
      </c>
      <c r="N53">
        <v>-0.29333333316603699</v>
      </c>
      <c r="O53">
        <v>2.0267549753866798</v>
      </c>
      <c r="P53">
        <v>7.9745029739164197E-2</v>
      </c>
      <c r="Q53">
        <v>3.3815983150516697E-2</v>
      </c>
      <c r="R53">
        <v>3.7967333221113099E-3</v>
      </c>
      <c r="S53">
        <v>-4.8050478654812004E-3</v>
      </c>
      <c r="T53">
        <v>157.237143884272</v>
      </c>
      <c r="U53">
        <v>0.34500000014350002</v>
      </c>
      <c r="V53">
        <v>-0.25499999983251598</v>
      </c>
      <c r="W53">
        <v>5.2948718108303199E-2</v>
      </c>
      <c r="X53">
        <v>0.34500000014350002</v>
      </c>
      <c r="Y53">
        <v>-0.25499999983251598</v>
      </c>
      <c r="Z53">
        <v>0.34500000014350002</v>
      </c>
      <c r="AA53">
        <v>-0.25499999983251598</v>
      </c>
      <c r="AB53">
        <v>1.08371794873636</v>
      </c>
      <c r="AC53">
        <v>2.5779316329634099E-3</v>
      </c>
      <c r="AD53">
        <v>6.2463750758277197</v>
      </c>
      <c r="AE53">
        <v>6.7034548161419698</v>
      </c>
      <c r="AF53">
        <v>6.1383579809564104</v>
      </c>
      <c r="AG53">
        <v>6.4017736951341702</v>
      </c>
      <c r="AH53">
        <v>1.2587480675838001</v>
      </c>
      <c r="AI53">
        <v>12.98</v>
      </c>
      <c r="AJ53">
        <v>13</v>
      </c>
      <c r="AK53">
        <v>0.61432873182244996</v>
      </c>
      <c r="AL53">
        <v>0.66289949184729202</v>
      </c>
      <c r="AM53">
        <v>2.7991000000000001</v>
      </c>
      <c r="AN53">
        <v>176.22472946173201</v>
      </c>
      <c r="AO53">
        <v>0.111670262043749</v>
      </c>
      <c r="AP53">
        <v>4.12254296934439E-2</v>
      </c>
      <c r="AQ53">
        <v>3.4559102160772098E-2</v>
      </c>
      <c r="AR53">
        <v>3.8811716852913701E-2</v>
      </c>
      <c r="AS53">
        <v>3.0613122463020202E-2</v>
      </c>
      <c r="AU53">
        <f t="shared" si="0"/>
        <v>1</v>
      </c>
    </row>
    <row r="54" spans="1:47" x14ac:dyDescent="0.2">
      <c r="A54" t="s">
        <v>79</v>
      </c>
      <c r="B54" t="s">
        <v>80</v>
      </c>
      <c r="C54" t="s">
        <v>45</v>
      </c>
      <c r="D54">
        <v>0.04</v>
      </c>
      <c r="E54">
        <v>3.48</v>
      </c>
      <c r="F54">
        <v>-1.2736944094326699E-2</v>
      </c>
      <c r="G54">
        <v>151.893497474719</v>
      </c>
      <c r="H54">
        <v>0.970000000143181</v>
      </c>
      <c r="I54">
        <v>-0.141666666499531</v>
      </c>
      <c r="J54">
        <v>0.398766788928201</v>
      </c>
      <c r="K54">
        <v>0.970000000143181</v>
      </c>
      <c r="L54">
        <v>-0.141666666499531</v>
      </c>
      <c r="M54">
        <v>0.970000000143181</v>
      </c>
      <c r="N54">
        <v>-0.141666666499531</v>
      </c>
      <c r="O54">
        <v>2.0513430492934299</v>
      </c>
      <c r="P54">
        <v>7.52420908855502E-2</v>
      </c>
      <c r="Q54">
        <v>2.4147808058192499E-2</v>
      </c>
      <c r="R54">
        <v>6.2450739241930902E-4</v>
      </c>
      <c r="S54">
        <v>-1.3744703960076699E-2</v>
      </c>
      <c r="T54">
        <v>154.75414057227999</v>
      </c>
      <c r="U54">
        <v>1.0066666668095701</v>
      </c>
      <c r="V54">
        <v>-0.10333333316601</v>
      </c>
      <c r="W54">
        <v>0.48679487195415999</v>
      </c>
      <c r="X54">
        <v>1.0066666668095701</v>
      </c>
      <c r="Y54">
        <v>-0.10333333316601</v>
      </c>
      <c r="Z54">
        <v>1.0066666668095701</v>
      </c>
      <c r="AA54">
        <v>-0.10333333316601</v>
      </c>
      <c r="AB54">
        <v>1.1891025641720501</v>
      </c>
      <c r="AC54">
        <v>-5.9429429672859795E-4</v>
      </c>
      <c r="AD54">
        <v>5.9820654269523104</v>
      </c>
      <c r="AE54">
        <v>6.68071202433274</v>
      </c>
      <c r="AF54">
        <v>5.9741850689452303</v>
      </c>
      <c r="AG54">
        <v>6.3384911362298801</v>
      </c>
      <c r="AH54">
        <v>1.28223892274805</v>
      </c>
      <c r="AI54">
        <v>12.98</v>
      </c>
      <c r="AJ54">
        <v>13</v>
      </c>
      <c r="AK54">
        <v>0.61410502168710601</v>
      </c>
      <c r="AL54">
        <v>0.68765634172619094</v>
      </c>
      <c r="AM54">
        <v>2.4417800000000001</v>
      </c>
      <c r="AN54">
        <v>179.51344918472699</v>
      </c>
      <c r="AO54">
        <v>0.105419507405994</v>
      </c>
      <c r="AP54">
        <v>4.4037201640464402E-2</v>
      </c>
      <c r="AQ54">
        <v>3.5825095928800503E-2</v>
      </c>
      <c r="AR54">
        <v>4.1891445405274501E-2</v>
      </c>
      <c r="AS54">
        <v>3.21747194872226E-2</v>
      </c>
      <c r="AU54">
        <f t="shared" si="0"/>
        <v>1</v>
      </c>
    </row>
    <row r="55" spans="1:47" x14ac:dyDescent="0.2">
      <c r="A55" t="s">
        <v>100</v>
      </c>
      <c r="B55" t="s">
        <v>80</v>
      </c>
      <c r="C55" t="s">
        <v>45</v>
      </c>
      <c r="D55">
        <v>7.12</v>
      </c>
      <c r="E55">
        <v>27.76</v>
      </c>
      <c r="F55">
        <v>-2.9885708150166898E-3</v>
      </c>
      <c r="G55">
        <v>145.34149683109499</v>
      </c>
      <c r="H55">
        <v>0.193333333477203</v>
      </c>
      <c r="I55">
        <v>-0.42833333316593702</v>
      </c>
      <c r="J55">
        <v>-0.159052197640385</v>
      </c>
      <c r="K55">
        <v>0.193333333477203</v>
      </c>
      <c r="L55">
        <v>-0.42833333316593702</v>
      </c>
      <c r="M55">
        <v>0.193333333477203</v>
      </c>
      <c r="N55">
        <v>-0.42833333316593702</v>
      </c>
      <c r="O55">
        <v>2.50295759931352</v>
      </c>
      <c r="P55">
        <v>5.4846822305291497E-2</v>
      </c>
      <c r="Q55">
        <v>1.5954868138175399E-2</v>
      </c>
      <c r="R55">
        <v>2.97755185863964E-3</v>
      </c>
      <c r="S55">
        <v>-3.9963306807667201E-3</v>
      </c>
      <c r="T55">
        <v>156.99464703840101</v>
      </c>
      <c r="U55">
        <v>0.2300000001436</v>
      </c>
      <c r="V55">
        <v>-0.38999999983241601</v>
      </c>
      <c r="W55">
        <v>-7.7435897276156102E-2</v>
      </c>
      <c r="X55">
        <v>0.2300000001436</v>
      </c>
      <c r="Y55">
        <v>-0.38999999983241601</v>
      </c>
      <c r="Z55">
        <v>0.2300000001436</v>
      </c>
      <c r="AA55">
        <v>-0.38999999983241601</v>
      </c>
      <c r="AB55">
        <v>1.23358974358261</v>
      </c>
      <c r="AC55">
        <v>1.75875016949174E-3</v>
      </c>
      <c r="AD55">
        <v>6.2979012078262002</v>
      </c>
      <c r="AE55">
        <v>7.0441510538677399</v>
      </c>
      <c r="AF55">
        <v>5.95548410801789</v>
      </c>
      <c r="AG55">
        <v>5.9445455645586502</v>
      </c>
      <c r="AH55">
        <v>1.1974961473392101</v>
      </c>
      <c r="AI55">
        <v>12.98</v>
      </c>
      <c r="AJ55">
        <v>13</v>
      </c>
      <c r="AK55">
        <v>0.18574718600944801</v>
      </c>
      <c r="AL55">
        <v>0.27457024031342198</v>
      </c>
      <c r="AM55">
        <v>2.2702599999999999</v>
      </c>
      <c r="AN55">
        <v>167.64946062748999</v>
      </c>
      <c r="AO55">
        <v>6.8195058647906398E-2</v>
      </c>
      <c r="AP55">
        <v>4.8017362256741997E-2</v>
      </c>
      <c r="AQ55">
        <v>4.3132539109769101E-2</v>
      </c>
      <c r="AR55">
        <v>3.9982667898490899E-2</v>
      </c>
      <c r="AS55">
        <v>3.2646101430159197E-2</v>
      </c>
      <c r="AU55">
        <f t="shared" si="0"/>
        <v>1</v>
      </c>
    </row>
    <row r="56" spans="1:47" x14ac:dyDescent="0.2">
      <c r="A56" t="s">
        <v>106</v>
      </c>
      <c r="B56" t="s">
        <v>80</v>
      </c>
      <c r="C56" t="s">
        <v>45</v>
      </c>
      <c r="D56">
        <v>23.62</v>
      </c>
      <c r="E56">
        <v>58.84</v>
      </c>
      <c r="F56">
        <v>-7.5704845227773099E-3</v>
      </c>
      <c r="G56">
        <v>142.56736951578799</v>
      </c>
      <c r="H56">
        <v>0.87500000014327195</v>
      </c>
      <c r="I56">
        <v>0.12500000016686499</v>
      </c>
      <c r="J56">
        <v>0.32062728953817399</v>
      </c>
      <c r="K56">
        <v>0.87500000014327195</v>
      </c>
      <c r="L56">
        <v>0.12500000016686499</v>
      </c>
      <c r="M56">
        <v>0.87500000014327195</v>
      </c>
      <c r="N56">
        <v>0.12500000016686499</v>
      </c>
      <c r="O56">
        <v>2.49352286324637</v>
      </c>
      <c r="P56">
        <v>4.5594573549601898E-2</v>
      </c>
      <c r="Q56">
        <v>2.40214878300271E-2</v>
      </c>
      <c r="R56">
        <v>7.5664470074565601E-3</v>
      </c>
      <c r="S56">
        <v>-8.5782443885273202E-3</v>
      </c>
      <c r="T56">
        <v>160.97319747645199</v>
      </c>
      <c r="U56">
        <v>0.91166666680966901</v>
      </c>
      <c r="V56">
        <v>0.16333333350038601</v>
      </c>
      <c r="W56">
        <v>0.39346153862040101</v>
      </c>
      <c r="X56">
        <v>0.91166666680966901</v>
      </c>
      <c r="Y56">
        <v>0.16333333350038601</v>
      </c>
      <c r="Z56">
        <v>0.91166666680966901</v>
      </c>
      <c r="AA56">
        <v>0.16333333350038601</v>
      </c>
      <c r="AB56">
        <v>1.19166666669775</v>
      </c>
      <c r="AC56">
        <v>6.3476453183086397E-3</v>
      </c>
      <c r="AD56">
        <v>6.4132057530462703</v>
      </c>
      <c r="AE56">
        <v>7.5837317531481299</v>
      </c>
      <c r="AF56">
        <v>6.0666905087556904</v>
      </c>
      <c r="AG56">
        <v>6.0390267922697696</v>
      </c>
      <c r="AH56">
        <v>0.51829593139303898</v>
      </c>
      <c r="AI56">
        <v>12.98</v>
      </c>
      <c r="AJ56">
        <v>13</v>
      </c>
      <c r="AK56">
        <v>1.78187149118566E-3</v>
      </c>
      <c r="AL56">
        <v>2.2354033845134302E-2</v>
      </c>
      <c r="AM56">
        <v>1.4894399999999901</v>
      </c>
      <c r="AN56">
        <v>72.561430395025496</v>
      </c>
      <c r="AO56">
        <v>7.4091756140684598E-2</v>
      </c>
      <c r="AP56">
        <v>4.7542451992626002E-2</v>
      </c>
      <c r="AQ56">
        <v>4.6354226931463599E-2</v>
      </c>
      <c r="AR56">
        <v>3.8327033568551799E-2</v>
      </c>
      <c r="AS56">
        <v>3.5896696109665997E-2</v>
      </c>
      <c r="AU56">
        <f t="shared" si="0"/>
        <v>1</v>
      </c>
    </row>
    <row r="57" spans="1:47" x14ac:dyDescent="0.2">
      <c r="A57" t="s">
        <v>98</v>
      </c>
      <c r="B57" t="s">
        <v>80</v>
      </c>
      <c r="C57" t="s">
        <v>45</v>
      </c>
      <c r="D57">
        <v>7.4</v>
      </c>
      <c r="E57">
        <v>26.64</v>
      </c>
      <c r="F57">
        <v>-1.0773759911826099E-3</v>
      </c>
      <c r="G57">
        <v>145.43395291774499</v>
      </c>
      <c r="H57">
        <v>-4.8333333189220798E-2</v>
      </c>
      <c r="I57">
        <v>-0.28333333316607401</v>
      </c>
      <c r="J57">
        <v>-0.20986111094924401</v>
      </c>
      <c r="K57">
        <v>-4.8333333189220798E-2</v>
      </c>
      <c r="L57">
        <v>-0.28333333316607401</v>
      </c>
      <c r="M57">
        <v>-4.8333333189220798E-2</v>
      </c>
      <c r="N57">
        <v>-0.28333333316607401</v>
      </c>
      <c r="O57">
        <v>2.4981961611584098</v>
      </c>
      <c r="P57">
        <v>5.9267802260504897E-2</v>
      </c>
      <c r="Q57">
        <v>1.9336587510206799E-2</v>
      </c>
      <c r="R57">
        <v>1.06181104858746E-3</v>
      </c>
      <c r="S57">
        <v>-2.08513585693263E-3</v>
      </c>
      <c r="T57">
        <v>156.96762228417199</v>
      </c>
      <c r="U57">
        <v>-1.1666666522824E-2</v>
      </c>
      <c r="V57">
        <v>-0.244999999832552</v>
      </c>
      <c r="W57">
        <v>-0.113076922917133</v>
      </c>
      <c r="X57">
        <v>-1.1666666522824E-2</v>
      </c>
      <c r="Y57">
        <v>-0.244999999832552</v>
      </c>
      <c r="Z57">
        <v>-1.1666666522824E-2</v>
      </c>
      <c r="AA57">
        <v>-0.244999999832552</v>
      </c>
      <c r="AB57">
        <v>1.24358974358259</v>
      </c>
      <c r="AC57">
        <v>-1.5699064056045001E-4</v>
      </c>
      <c r="AD57">
        <v>6.25582354047976</v>
      </c>
      <c r="AE57">
        <v>6.9854839298827596</v>
      </c>
      <c r="AF57">
        <v>5.9555868507522698</v>
      </c>
      <c r="AG57">
        <v>5.9800919434017299</v>
      </c>
      <c r="AH57">
        <v>1.1551089668719901</v>
      </c>
      <c r="AI57">
        <v>12.98</v>
      </c>
      <c r="AJ57">
        <v>13</v>
      </c>
      <c r="AK57">
        <v>0.16612015113402501</v>
      </c>
      <c r="AL57">
        <v>0.20602840772926101</v>
      </c>
      <c r="AM57">
        <v>2.53016</v>
      </c>
      <c r="AN57">
        <v>161.71525536207801</v>
      </c>
      <c r="AO57">
        <v>7.3687329794946799E-2</v>
      </c>
      <c r="AP57">
        <v>4.7448841611579501E-2</v>
      </c>
      <c r="AQ57">
        <v>4.3096480892464199E-2</v>
      </c>
      <c r="AR57">
        <v>3.9321717110378102E-2</v>
      </c>
      <c r="AS57">
        <v>3.2601995710391102E-2</v>
      </c>
      <c r="AU57">
        <f t="shared" si="0"/>
        <v>1</v>
      </c>
    </row>
    <row r="58" spans="1:47" x14ac:dyDescent="0.2">
      <c r="A58" t="s">
        <v>99</v>
      </c>
      <c r="B58" t="s">
        <v>80</v>
      </c>
      <c r="C58" t="s">
        <v>45</v>
      </c>
      <c r="D58">
        <v>7.44</v>
      </c>
      <c r="E58">
        <v>28.56</v>
      </c>
      <c r="F58">
        <v>-4.1554422444083899E-3</v>
      </c>
      <c r="G58">
        <v>144.95719125417801</v>
      </c>
      <c r="H58">
        <v>0.26666666681045997</v>
      </c>
      <c r="I58">
        <v>-0.52333333316583697</v>
      </c>
      <c r="J58">
        <v>-9.7278693366968802E-2</v>
      </c>
      <c r="K58">
        <v>0.26666666681045997</v>
      </c>
      <c r="L58">
        <v>-0.52333333316583697</v>
      </c>
      <c r="M58">
        <v>0.26666666681045997</v>
      </c>
      <c r="N58">
        <v>-0.52333333316583697</v>
      </c>
      <c r="O58">
        <v>2.4965277445325502</v>
      </c>
      <c r="P58">
        <v>5.30753915601795E-2</v>
      </c>
      <c r="Q58">
        <v>1.3459493908192E-2</v>
      </c>
      <c r="R58">
        <v>4.1451574194703196E-3</v>
      </c>
      <c r="S58">
        <v>-5.1632021101584002E-3</v>
      </c>
      <c r="T58">
        <v>156.63859898881799</v>
      </c>
      <c r="U58">
        <v>0.30333333347685698</v>
      </c>
      <c r="V58">
        <v>-0.48499999983231601</v>
      </c>
      <c r="W58">
        <v>-1.8141025481366702E-2</v>
      </c>
      <c r="X58">
        <v>0.30333333347685698</v>
      </c>
      <c r="Y58">
        <v>-0.48499999983231601</v>
      </c>
      <c r="Z58">
        <v>0.30333333347685698</v>
      </c>
      <c r="AA58">
        <v>-0.48499999983231601</v>
      </c>
      <c r="AB58">
        <v>1.2163461538390501</v>
      </c>
      <c r="AC58">
        <v>2.92635573032242E-3</v>
      </c>
      <c r="AD58">
        <v>6.2753483262649103</v>
      </c>
      <c r="AE58">
        <v>7.0023670782620604</v>
      </c>
      <c r="AF58">
        <v>6.00147540121388</v>
      </c>
      <c r="AG58">
        <v>5.8844685290147503</v>
      </c>
      <c r="AH58">
        <v>1.22686119064917</v>
      </c>
      <c r="AI58">
        <v>13</v>
      </c>
      <c r="AJ58">
        <v>13.02</v>
      </c>
      <c r="AK58">
        <v>0.208757172964362</v>
      </c>
      <c r="AL58">
        <v>0.26617836685363</v>
      </c>
      <c r="AM58">
        <v>1.9235</v>
      </c>
      <c r="AN58">
        <v>171.76056669088399</v>
      </c>
      <c r="AO58">
        <v>6.3972636311368403E-2</v>
      </c>
      <c r="AP58">
        <v>4.8055192602193597E-2</v>
      </c>
      <c r="AQ58">
        <v>4.3449148052975201E-2</v>
      </c>
      <c r="AR58">
        <v>4.0291417176430797E-2</v>
      </c>
      <c r="AS58">
        <v>3.3142344080537699E-2</v>
      </c>
      <c r="AU58">
        <f t="shared" si="0"/>
        <v>1</v>
      </c>
    </row>
    <row r="59" spans="1:47" x14ac:dyDescent="0.2">
      <c r="A59" t="s">
        <v>78</v>
      </c>
      <c r="B59" t="s">
        <v>57</v>
      </c>
      <c r="C59" t="s">
        <v>45</v>
      </c>
      <c r="D59">
        <v>0.5</v>
      </c>
      <c r="E59">
        <v>23.44</v>
      </c>
      <c r="F59">
        <v>8.6229835951198805E-2</v>
      </c>
      <c r="G59">
        <v>43.543003058794298</v>
      </c>
      <c r="H59">
        <v>-0.20166666652242299</v>
      </c>
      <c r="I59">
        <v>-4.1683333331625301</v>
      </c>
      <c r="J59">
        <v>-3.1038308911702801</v>
      </c>
      <c r="K59">
        <v>-0.20166666652242299</v>
      </c>
      <c r="L59">
        <v>-4.1683333331625301</v>
      </c>
      <c r="M59">
        <v>-0.20166666652242299</v>
      </c>
      <c r="N59">
        <v>-4.1683333331625301</v>
      </c>
      <c r="O59">
        <v>5.4224611290536098</v>
      </c>
      <c r="P59">
        <v>0.13723734361321999</v>
      </c>
      <c r="Q59">
        <v>-5.0019934926377801E-3</v>
      </c>
      <c r="R59">
        <v>0.17791559811206201</v>
      </c>
      <c r="S59">
        <v>8.5231207334865805E-2</v>
      </c>
      <c r="T59">
        <v>43.579357287422802</v>
      </c>
      <c r="U59">
        <v>-0.16499999985602601</v>
      </c>
      <c r="V59">
        <v>-4.1299999998290096</v>
      </c>
      <c r="W59">
        <v>-3.0317948716354799</v>
      </c>
      <c r="X59">
        <v>-0.16499999985602601</v>
      </c>
      <c r="Y59">
        <v>-4.1299999998290096</v>
      </c>
      <c r="Z59">
        <v>-0.16499999985602601</v>
      </c>
      <c r="AA59">
        <v>-4.1299999998290096</v>
      </c>
      <c r="AB59">
        <v>3.0317948716354799</v>
      </c>
      <c r="AC59">
        <v>0.17671198893894799</v>
      </c>
      <c r="AD59">
        <v>1.97143807709134</v>
      </c>
      <c r="AE59">
        <v>1.36842381885475</v>
      </c>
      <c r="AF59">
        <v>1.97202323841807</v>
      </c>
      <c r="AG59">
        <v>1.3687608893969601</v>
      </c>
      <c r="AH59">
        <v>0.52171319716452602</v>
      </c>
      <c r="AI59">
        <v>12.98</v>
      </c>
      <c r="AJ59">
        <v>13</v>
      </c>
      <c r="AK59">
        <v>0.26199683183942002</v>
      </c>
      <c r="AL59">
        <v>0.29145904617278501</v>
      </c>
      <c r="AM59">
        <v>1.60768</v>
      </c>
      <c r="AN59">
        <v>119.47232215067601</v>
      </c>
      <c r="AO59">
        <v>0.10116281296164201</v>
      </c>
      <c r="AP59">
        <v>0.13291386810445099</v>
      </c>
      <c r="AQ59">
        <v>0.156457377825062</v>
      </c>
      <c r="AR59">
        <v>0.132246886320255</v>
      </c>
      <c r="AS59">
        <v>0.15557220337218</v>
      </c>
      <c r="AU59">
        <f t="shared" si="0"/>
        <v>0</v>
      </c>
    </row>
    <row r="60" spans="1:47" x14ac:dyDescent="0.2">
      <c r="A60" t="s">
        <v>56</v>
      </c>
      <c r="B60" t="s">
        <v>57</v>
      </c>
      <c r="C60" t="s">
        <v>45</v>
      </c>
      <c r="D60">
        <v>4.28</v>
      </c>
      <c r="E60">
        <v>9.64</v>
      </c>
      <c r="F60">
        <v>3.8327306034218703E-2</v>
      </c>
      <c r="G60">
        <v>130.96877884161199</v>
      </c>
      <c r="H60">
        <v>-0.68666666652199604</v>
      </c>
      <c r="I60">
        <v>-2.4908333331640602</v>
      </c>
      <c r="J60">
        <v>-1.99683455417267</v>
      </c>
      <c r="K60">
        <v>-0.78666666652190498</v>
      </c>
      <c r="L60">
        <v>-2.7149999998305199</v>
      </c>
      <c r="M60">
        <v>-0.72166666652195999</v>
      </c>
      <c r="N60">
        <v>-2.7149999998305199</v>
      </c>
      <c r="O60">
        <v>3.1003926848651502</v>
      </c>
      <c r="P60">
        <v>5.3388247264887702E-2</v>
      </c>
      <c r="Q60">
        <v>1.0084835137653E-3</v>
      </c>
      <c r="R60">
        <v>6.0134719323676797E-2</v>
      </c>
      <c r="S60">
        <v>3.73286774178858E-2</v>
      </c>
      <c r="T60">
        <v>113.337085839609</v>
      </c>
      <c r="U60">
        <v>-0.64999999985559898</v>
      </c>
      <c r="V60">
        <v>-2.4524999998305401</v>
      </c>
      <c r="W60">
        <v>-1.93444444428434</v>
      </c>
      <c r="X60">
        <v>-0.74999999985550803</v>
      </c>
      <c r="Y60">
        <v>-2.6766666664969998</v>
      </c>
      <c r="Z60">
        <v>-0.64999999985559898</v>
      </c>
      <c r="AA60">
        <v>-2.5616666664971</v>
      </c>
      <c r="AB60">
        <v>2.1631196580039602</v>
      </c>
      <c r="AC60">
        <v>5.8931110150562301E-2</v>
      </c>
      <c r="AD60">
        <v>5.5537065584860503</v>
      </c>
      <c r="AE60">
        <v>4.0239038656970303</v>
      </c>
      <c r="AF60">
        <v>6.03679133642009</v>
      </c>
      <c r="AG60">
        <v>4.1817655318010196</v>
      </c>
      <c r="AH60">
        <v>0.98120062504618499</v>
      </c>
      <c r="AI60">
        <v>15.103999999999999</v>
      </c>
      <c r="AJ60">
        <v>15.164</v>
      </c>
      <c r="AK60">
        <v>0.171491488457403</v>
      </c>
      <c r="AL60">
        <v>0.30865808843634401</v>
      </c>
      <c r="AM60">
        <v>6.7906599999999999</v>
      </c>
      <c r="AN60">
        <v>215.86413751015999</v>
      </c>
      <c r="AO60">
        <v>5.9478345945715903E-2</v>
      </c>
      <c r="AP60">
        <v>5.3706315369040698E-2</v>
      </c>
      <c r="AQ60">
        <v>5.8524117387870202E-2</v>
      </c>
      <c r="AR60">
        <v>6.6000608941283706E-2</v>
      </c>
      <c r="AS60">
        <v>7.0027303835733204E-2</v>
      </c>
      <c r="AU60">
        <f t="shared" si="0"/>
        <v>1</v>
      </c>
    </row>
    <row r="61" spans="1:47" x14ac:dyDescent="0.2">
      <c r="A61" t="s">
        <v>65</v>
      </c>
      <c r="B61" t="s">
        <v>57</v>
      </c>
      <c r="C61" t="s">
        <v>45</v>
      </c>
      <c r="D61">
        <v>4.0999999999999996</v>
      </c>
      <c r="E61">
        <v>10.4</v>
      </c>
      <c r="F61">
        <v>4.22943268370959E-2</v>
      </c>
      <c r="G61">
        <v>126.262338687971</v>
      </c>
      <c r="H61">
        <v>-0.69499999985534</v>
      </c>
      <c r="I61">
        <v>-2.7874999998304899</v>
      </c>
      <c r="J61">
        <v>-2.19530677639505</v>
      </c>
      <c r="K61">
        <v>-0.71666666652198696</v>
      </c>
      <c r="L61">
        <v>-2.7999999998304701</v>
      </c>
      <c r="M61">
        <v>-0.67333333318869304</v>
      </c>
      <c r="N61">
        <v>-2.7999999998304701</v>
      </c>
      <c r="O61">
        <v>3.5167516914853101</v>
      </c>
      <c r="P61">
        <v>5.5244683004577001E-2</v>
      </c>
      <c r="Q61">
        <v>2.13857983030429E-3</v>
      </c>
      <c r="R61">
        <v>6.8370978912505195E-2</v>
      </c>
      <c r="S61">
        <v>4.1295698220762997E-2</v>
      </c>
      <c r="T61">
        <v>109.677173276454</v>
      </c>
      <c r="U61">
        <v>-0.65833333318894305</v>
      </c>
      <c r="V61">
        <v>-2.7491666664969698</v>
      </c>
      <c r="W61">
        <v>-2.1289316237715101</v>
      </c>
      <c r="X61">
        <v>-0.67999999985559001</v>
      </c>
      <c r="Y61">
        <v>-2.76166666649695</v>
      </c>
      <c r="Z61">
        <v>-0.67999999985559001</v>
      </c>
      <c r="AA61">
        <v>-2.76166666649695</v>
      </c>
      <c r="AB61">
        <v>2.2916239315018401</v>
      </c>
      <c r="AC61">
        <v>6.7167369739390803E-2</v>
      </c>
      <c r="AD61">
        <v>5.5034353227229902</v>
      </c>
      <c r="AE61">
        <v>3.8555558246784201</v>
      </c>
      <c r="AF61">
        <v>6.0844405711497203</v>
      </c>
      <c r="AG61">
        <v>3.8114669676613802</v>
      </c>
      <c r="AH61">
        <v>0.83234987184473497</v>
      </c>
      <c r="AI61">
        <v>13.544</v>
      </c>
      <c r="AJ61">
        <v>13.584</v>
      </c>
      <c r="AK61">
        <v>0.15109730107369601</v>
      </c>
      <c r="AL61">
        <v>0.25054852990093301</v>
      </c>
      <c r="AM61">
        <v>3.6275999999999899</v>
      </c>
      <c r="AN61">
        <v>183.11697180584099</v>
      </c>
      <c r="AO61">
        <v>6.3831064044892097E-2</v>
      </c>
      <c r="AP61">
        <v>5.75586775269906E-2</v>
      </c>
      <c r="AQ61">
        <v>6.3669847582039904E-2</v>
      </c>
      <c r="AR61">
        <v>6.9118573642793807E-2</v>
      </c>
      <c r="AS61">
        <v>7.4140477323485596E-2</v>
      </c>
      <c r="AU61">
        <f t="shared" si="0"/>
        <v>0</v>
      </c>
    </row>
  </sheetData>
  <sortState xmlns:xlrd2="http://schemas.microsoft.com/office/spreadsheetml/2017/richdata2" ref="A2:AS61">
    <sortCondition ref="B2:B61"/>
    <sortCondition ref="A2:A61"/>
  </sortState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averaged_runsVolc</vt:lpstr>
      <vt:lpstr>averaged_runsVolcConst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2025-07-05T21:56:38Z</dcterms:created>
  <dcterms:modified xsi:type="dcterms:W3CDTF">2025-11-22T05:20:30Z</dcterms:modified>
</cp:coreProperties>
</file>