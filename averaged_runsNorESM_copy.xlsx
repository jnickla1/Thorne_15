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720" yWindow="3080" windowWidth="28380" windowHeight="15100" tabRatio="600" firstSheet="0" activeTab="0" autoFilterDateGrouping="1"/>
  </bookViews>
  <sheets>
    <sheet name="averaged_runsVolc" sheetId="1" state="visible" r:id="rId1"/>
    <sheet name="averaged_runsVolcCons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1" fontId="0" fillId="0" borderId="0" pivotButton="0" quotePrefix="0" xfId="0"/>
    <xf numFmtId="0" fontId="0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61"/>
  <sheetViews>
    <sheetView tabSelected="1" zoomScale="144" workbookViewId="0">
      <pane xSplit="1" ySplit="1" topLeftCell="AP33" activePane="bottomRight" state="frozen"/>
      <selection pane="topRight" activeCell="B1" sqref="B1"/>
      <selection pane="bottomLeft" activeCell="A2" sqref="A2"/>
      <selection pane="bottomRight" activeCell="A45" sqref="A45"/>
    </sheetView>
  </sheetViews>
  <sheetFormatPr baseColWidth="10" defaultRowHeight="16"/>
  <sheetData>
    <row r="1">
      <c r="A1" t="inlineStr">
        <is>
          <t>method_name</t>
        </is>
      </c>
      <c r="B1" t="inlineStr">
        <is>
          <t>method_class</t>
        </is>
      </c>
      <c r="C1" t="inlineStr">
        <is>
          <t>c/r</t>
        </is>
      </c>
      <c r="D1" t="inlineStr">
        <is>
          <t>#q&lt;0.1</t>
        </is>
      </c>
      <c r="E1" t="inlineStr">
        <is>
          <t>#q&lt;0.5</t>
        </is>
      </c>
      <c r="F1" t="inlineStr">
        <is>
          <t>100bias</t>
        </is>
      </c>
      <c r="G1" t="inlineStr">
        <is>
          <t>100log-l</t>
        </is>
      </c>
      <c r="H1" t="inlineStr">
        <is>
          <t>Edyrs15</t>
        </is>
      </c>
      <c r="I1" t="inlineStr">
        <is>
          <t>Edyrs20</t>
        </is>
      </c>
      <c r="J1" t="inlineStr">
        <is>
          <t>EdyrsA</t>
        </is>
      </c>
      <c r="K1" t="inlineStr">
        <is>
          <t>Fdyrs15</t>
        </is>
      </c>
      <c r="L1" t="inlineStr">
        <is>
          <t>Fdyrs20</t>
        </is>
      </c>
      <c r="M1" t="inlineStr">
        <is>
          <t>Mdyrs15</t>
        </is>
      </c>
      <c r="N1" t="inlineStr">
        <is>
          <t>Mdyrs20</t>
        </is>
      </c>
      <c r="O1" t="inlineStr">
        <is>
          <t>RMSyrsA</t>
        </is>
      </c>
      <c r="P1" t="inlineStr">
        <is>
          <t>avg_unc.(1se)</t>
        </is>
      </c>
      <c r="Q1" t="inlineStr">
        <is>
          <t>bias</t>
        </is>
      </c>
      <c r="R1" t="inlineStr">
        <is>
          <t>bias50</t>
        </is>
      </c>
      <c r="S1" t="inlineStr">
        <is>
          <t>e100bias</t>
        </is>
      </c>
      <c r="T1" t="inlineStr">
        <is>
          <t>e100log-l</t>
        </is>
      </c>
      <c r="U1" t="inlineStr">
        <is>
          <t>eEdyrs15</t>
        </is>
      </c>
      <c r="V1" t="inlineStr">
        <is>
          <t>eEdyrs20</t>
        </is>
      </c>
      <c r="W1" t="inlineStr">
        <is>
          <t>eEdyrsA</t>
        </is>
      </c>
      <c r="X1" t="inlineStr">
        <is>
          <t>eFdyrs15</t>
        </is>
      </c>
      <c r="Y1" t="inlineStr">
        <is>
          <t>eFdyrs20</t>
        </is>
      </c>
      <c r="Z1" t="inlineStr">
        <is>
          <t>eMdyrs15</t>
        </is>
      </c>
      <c r="AA1" t="inlineStr">
        <is>
          <t>eMdyrs20</t>
        </is>
      </c>
      <c r="AB1" t="inlineStr">
        <is>
          <t>eRMSyrsA</t>
        </is>
      </c>
      <c r="AC1" t="inlineStr">
        <is>
          <t>ebias50</t>
        </is>
      </c>
      <c r="AD1" t="inlineStr">
        <is>
          <t>el15</t>
        </is>
      </c>
      <c r="AE1" t="inlineStr">
        <is>
          <t>el20</t>
        </is>
      </c>
      <c r="AF1" t="inlineStr">
        <is>
          <t>l15</t>
        </is>
      </c>
      <c r="AG1" t="inlineStr">
        <is>
          <t>l20</t>
        </is>
      </c>
      <c r="AH1" t="inlineStr">
        <is>
          <t>log-likeli</t>
        </is>
      </c>
      <c r="AI1" t="inlineStr">
        <is>
          <t>ncEdyrs</t>
        </is>
      </c>
      <c r="AJ1" t="inlineStr">
        <is>
          <t>nceEdyrs</t>
        </is>
      </c>
      <c r="AK1" t="inlineStr">
        <is>
          <t>q_min</t>
        </is>
      </c>
      <c r="AL1" t="inlineStr">
        <is>
          <t>q_small5</t>
        </is>
      </c>
      <c r="AM1" t="inlineStr">
        <is>
          <t>smooth_r</t>
        </is>
      </c>
      <c r="AN1" t="inlineStr">
        <is>
          <t>tlog-l</t>
        </is>
      </c>
      <c r="AO1" t="inlineStr">
        <is>
          <t>RMS</t>
        </is>
      </c>
      <c r="AP1" t="inlineStr">
        <is>
          <t>100RMS</t>
        </is>
      </c>
      <c r="AQ1" t="inlineStr">
        <is>
          <t>75RMS</t>
        </is>
      </c>
      <c r="AR1" t="inlineStr">
        <is>
          <t>e100RMS</t>
        </is>
      </c>
      <c r="AS1" t="inlineStr">
        <is>
          <t>e75RMS</t>
        </is>
      </c>
      <c r="AU1" t="n">
        <v>0.077</v>
      </c>
      <c r="AV1" t="n">
        <v>0.077</v>
      </c>
    </row>
    <row r="2">
      <c r="A2" t="inlineStr">
        <is>
          <t>lag10y</t>
        </is>
      </c>
      <c r="B2" t="inlineStr">
        <is>
          <t>42/1_Run_Means</t>
        </is>
      </c>
      <c r="C2" t="inlineStr">
        <is>
          <t>c</t>
        </is>
      </c>
      <c r="D2" t="n">
        <v>66.58333333333333</v>
      </c>
      <c r="E2" t="n">
        <v>133.2666666666667</v>
      </c>
      <c r="F2" t="n">
        <v>-0.07653183354271779</v>
      </c>
      <c r="G2" t="n">
        <v>-159.5053943725203</v>
      </c>
      <c r="H2" t="n">
        <v>4.54652777791838</v>
      </c>
      <c r="I2" t="n">
        <v>4.467361111276644</v>
      </c>
      <c r="J2" t="n">
        <v>4.265986636979596</v>
      </c>
      <c r="K2" t="n">
        <v>3.798611111252387</v>
      </c>
      <c r="L2" t="n">
        <v>3.844444444610053</v>
      </c>
      <c r="M2" t="n">
        <v>5.054166666806808</v>
      </c>
      <c r="N2" t="n">
        <v>4.729166666831467</v>
      </c>
      <c r="O2" t="n">
        <v>4.810105939158253</v>
      </c>
      <c r="P2" t="n">
        <v>0.0360097252856166</v>
      </c>
      <c r="Q2" t="n">
        <v>-0.0411776376738249</v>
      </c>
      <c r="R2" t="n">
        <v>-0.0601723713676134</v>
      </c>
      <c r="S2" t="n">
        <v>-0.076531833410263</v>
      </c>
      <c r="T2" t="n">
        <v>-180.3939075778764</v>
      </c>
      <c r="U2" t="n">
        <v>4.589583333473892</v>
      </c>
      <c r="V2" t="n">
        <v>4.208564814978249</v>
      </c>
      <c r="W2" t="n">
        <v>4.162304131210159</v>
      </c>
      <c r="X2" t="n">
        <v>3.969444444585565</v>
      </c>
      <c r="Y2" t="n">
        <v>3.672222222386146</v>
      </c>
      <c r="Z2" t="n">
        <v>5.209722222362219</v>
      </c>
      <c r="AA2" t="n">
        <v>4.679166666829671</v>
      </c>
      <c r="AB2" t="n">
        <v>4.305252849148198</v>
      </c>
      <c r="AC2" t="n">
        <v>-0.0601723718742529</v>
      </c>
      <c r="AD2" t="n">
        <v>2.69181586840901</v>
      </c>
      <c r="AE2" t="n">
        <v>4.903913019796736</v>
      </c>
      <c r="AF2" t="n">
        <v>0.955411356575159</v>
      </c>
      <c r="AG2" t="n">
        <v>1.913840606981773</v>
      </c>
      <c r="AH2" t="n">
        <v>0.0900432614359344</v>
      </c>
      <c r="AI2" t="n">
        <v>14.50333333333333</v>
      </c>
      <c r="AJ2" t="n">
        <v>14.35</v>
      </c>
      <c r="AK2" s="1" t="n">
        <v>1.043951979226101e-05</v>
      </c>
      <c r="AL2" t="n">
        <v>0.0002124243029554</v>
      </c>
      <c r="AM2" t="n">
        <v>3.0795</v>
      </c>
      <c r="AN2" t="n">
        <v>20.70995013026493</v>
      </c>
      <c r="AO2" t="n">
        <v>0.0722220751786735</v>
      </c>
      <c r="AP2" t="n">
        <v>0.0983327350722456</v>
      </c>
      <c r="AQ2" t="n">
        <v>0.0972060336648873</v>
      </c>
      <c r="AR2" t="n">
        <v>0.1311057469720195</v>
      </c>
      <c r="AS2" t="n">
        <v>0.1365852013306503</v>
      </c>
      <c r="AU2">
        <f>(AQ2&lt;AU$1)*1</f>
        <v/>
      </c>
      <c r="AV2">
        <f>(AS2&lt;AV$1)*1</f>
        <v/>
      </c>
    </row>
    <row r="3">
      <c r="A3" t="inlineStr">
        <is>
          <t>lag5y</t>
        </is>
      </c>
      <c r="B3" t="inlineStr">
        <is>
          <t>42/1_Run_Means</t>
        </is>
      </c>
      <c r="C3" t="inlineStr">
        <is>
          <t>c</t>
        </is>
      </c>
      <c r="D3" t="n">
        <v>41.58333333333334</v>
      </c>
      <c r="E3" t="n">
        <v>110.15</v>
      </c>
      <c r="F3" t="n">
        <v>-0.0305173813634448</v>
      </c>
      <c r="G3" t="n">
        <v>-34.33686617352225</v>
      </c>
      <c r="H3" t="n">
        <v>2.136805555698326</v>
      </c>
      <c r="I3" t="n">
        <v>1.999074074241558</v>
      </c>
      <c r="J3" t="n">
        <v>2.0210991749061</v>
      </c>
      <c r="K3" t="n">
        <v>0.0013888890335958</v>
      </c>
      <c r="L3" t="n">
        <v>0.3055555557240723</v>
      </c>
      <c r="M3" t="n">
        <v>3.109722222364102</v>
      </c>
      <c r="N3" t="n">
        <v>3.102777777943736</v>
      </c>
      <c r="O3" t="n">
        <v>3.491176482620757</v>
      </c>
      <c r="P3" t="n">
        <v>0.0424058360870124</v>
      </c>
      <c r="Q3" t="n">
        <v>-0.0183579908602805</v>
      </c>
      <c r="R3" t="n">
        <v>-0.0233436635633309</v>
      </c>
      <c r="S3" t="n">
        <v>-0.0305173812309901</v>
      </c>
      <c r="T3" t="n">
        <v>-189.8727998844744</v>
      </c>
      <c r="U3" t="n">
        <v>2.044212963105816</v>
      </c>
      <c r="V3" t="n">
        <v>1.830324074239637</v>
      </c>
      <c r="W3" t="n">
        <v>1.889031339189441</v>
      </c>
      <c r="X3" t="n">
        <v>0.1722222223667738</v>
      </c>
      <c r="Y3" t="n">
        <v>0.1333333335004454</v>
      </c>
      <c r="Z3" t="n">
        <v>3.634722222363636</v>
      </c>
      <c r="AA3" t="n">
        <v>3.052777777942227</v>
      </c>
      <c r="AB3" t="n">
        <v>2.889494302039819</v>
      </c>
      <c r="AC3" t="n">
        <v>-0.0233436640699705</v>
      </c>
      <c r="AD3" t="n">
        <v>4.57942688816401</v>
      </c>
      <c r="AE3" t="n">
        <v>4.661283637766412</v>
      </c>
      <c r="AF3" t="n">
        <v>4.80255903478603</v>
      </c>
      <c r="AG3" t="n">
        <v>3.759830690955884</v>
      </c>
      <c r="AH3" t="n">
        <v>0.3613928862379794</v>
      </c>
      <c r="AI3" t="n">
        <v>17.31</v>
      </c>
      <c r="AJ3" t="n">
        <v>17.22166666666667</v>
      </c>
      <c r="AK3" s="1" t="n">
        <v>6.30041240665541e-06</v>
      </c>
      <c r="AL3" t="n">
        <v>0.0004257031037971</v>
      </c>
      <c r="AM3" t="n">
        <v>6.32515</v>
      </c>
      <c r="AN3" t="n">
        <v>83.12036383473524</v>
      </c>
      <c r="AO3" t="n">
        <v>0.0720623819437031</v>
      </c>
      <c r="AP3" t="n">
        <v>0.086968754020711</v>
      </c>
      <c r="AQ3" t="n">
        <v>0.0883869233654401</v>
      </c>
      <c r="AR3" t="n">
        <v>0.1276403163974436</v>
      </c>
      <c r="AS3" t="n">
        <v>0.1350100490727918</v>
      </c>
      <c r="AU3">
        <f>(AQ3&lt;AU$1)*1</f>
        <v/>
      </c>
      <c r="AV3">
        <f>(AS3&lt;AV$1)*1</f>
        <v/>
      </c>
    </row>
    <row r="4">
      <c r="A4" t="inlineStr">
        <is>
          <t>offset11y</t>
        </is>
      </c>
      <c r="B4" t="inlineStr">
        <is>
          <t>42/1_Run_Means</t>
        </is>
      </c>
      <c r="C4" t="inlineStr">
        <is>
          <t>c</t>
        </is>
      </c>
      <c r="D4" t="n">
        <v>122</v>
      </c>
      <c r="E4" t="n">
        <v>178.5</v>
      </c>
      <c r="F4" t="n">
        <v>0.0241817696889241</v>
      </c>
      <c r="G4" t="n">
        <v>7.332511982807788</v>
      </c>
      <c r="H4" t="n">
        <v>0.1333333334779392</v>
      </c>
      <c r="I4" t="n">
        <v>-0.9937499998300154</v>
      </c>
      <c r="J4" t="n">
        <v>-0.9974880442011786</v>
      </c>
      <c r="K4" t="n">
        <v>-0.4749999998548408</v>
      </c>
      <c r="L4" t="n">
        <v>-1.668055555385816</v>
      </c>
      <c r="M4" t="n">
        <v>-0.115277777632942</v>
      </c>
      <c r="N4" t="n">
        <v>-0.9458333331642508</v>
      </c>
      <c r="O4" t="n">
        <v>3.025924476842969</v>
      </c>
      <c r="P4" t="n">
        <v>0.0351304922642553</v>
      </c>
      <c r="Q4" t="n">
        <v>0.0642397352063056</v>
      </c>
      <c r="R4" t="n">
        <v>0.0420703405141829</v>
      </c>
      <c r="S4" t="n">
        <v>0.0241817698213788</v>
      </c>
      <c r="T4" t="n">
        <v>-187.1708227761038</v>
      </c>
      <c r="U4" t="n">
        <v>0.3041666668111171</v>
      </c>
      <c r="V4" t="n">
        <v>-1.497222222053616</v>
      </c>
      <c r="W4" t="n">
        <v>-1.088657407247856</v>
      </c>
      <c r="X4" t="n">
        <v>-0.3041666665216629</v>
      </c>
      <c r="Y4" t="n">
        <v>-1.840277777608859</v>
      </c>
      <c r="Z4" t="n">
        <v>0.8916666668105866</v>
      </c>
      <c r="AA4" t="n">
        <v>-1.154166666498372</v>
      </c>
      <c r="AB4" t="n">
        <v>3.020067663756988</v>
      </c>
      <c r="AC4" t="n">
        <v>0.0420703400075434</v>
      </c>
      <c r="AD4" t="n">
        <v>4.705179835519625</v>
      </c>
      <c r="AE4" t="n">
        <v>2.630997735564883</v>
      </c>
      <c r="AF4" t="n">
        <v>7.427631168396194</v>
      </c>
      <c r="AG4" t="n">
        <v>6.950737846120683</v>
      </c>
      <c r="AH4" t="n">
        <v>-1.353161312995771</v>
      </c>
      <c r="AI4" t="n">
        <v>14.06666666666667</v>
      </c>
      <c r="AJ4" t="n">
        <v>14.08333333333333</v>
      </c>
      <c r="AK4" s="1" t="n">
        <v>3.207858394490799e-06</v>
      </c>
      <c r="AL4" s="1" t="n">
        <v>4.670999485572681e-05</v>
      </c>
      <c r="AM4" t="n">
        <v>2.815383333333334</v>
      </c>
      <c r="AN4" t="n">
        <v>-311.2271019890274</v>
      </c>
      <c r="AO4" t="n">
        <v>0.08881017782285559</v>
      </c>
      <c r="AP4" t="n">
        <v>0.0658559229497141</v>
      </c>
      <c r="AQ4" t="n">
        <v>0.0703950119256313</v>
      </c>
      <c r="AR4" t="n">
        <v>0.1069002089865798</v>
      </c>
      <c r="AS4" t="n">
        <v>0.117085890551571</v>
      </c>
      <c r="AU4">
        <f>(AQ4&lt;AU$1)*1</f>
        <v/>
      </c>
      <c r="AV4">
        <f>(AS4&lt;AV$1)*1</f>
        <v/>
      </c>
      <c r="AX4" t="inlineStr">
        <is>
          <t>(failed SSP cutoff)</t>
        </is>
      </c>
    </row>
    <row r="5">
      <c r="A5" t="inlineStr">
        <is>
          <t>raw1y</t>
        </is>
      </c>
      <c r="B5" t="inlineStr">
        <is>
          <t>42/1_Run_Means</t>
        </is>
      </c>
      <c r="C5" t="inlineStr">
        <is>
          <t>c</t>
        </is>
      </c>
      <c r="D5" t="n">
        <v>0.9333333333333332</v>
      </c>
      <c r="E5" t="n">
        <v>2</v>
      </c>
      <c r="F5" t="n">
        <v>0.0046521870736722</v>
      </c>
      <c r="G5" t="n">
        <v>64.48021934394563</v>
      </c>
      <c r="H5" t="n">
        <v>-0.0275925924478517</v>
      </c>
      <c r="I5" t="n">
        <v>-0.4151521162327009</v>
      </c>
      <c r="J5" t="n">
        <v>0.0456040827528794</v>
      </c>
      <c r="K5" t="n">
        <v>-4.781944444295372</v>
      </c>
      <c r="L5" t="n">
        <v>-6.470833333159711</v>
      </c>
      <c r="M5" t="n">
        <v>0.8291666668106435</v>
      </c>
      <c r="N5" t="n">
        <v>-1.362499999831023</v>
      </c>
      <c r="O5" t="n">
        <v>3.563118938166411</v>
      </c>
      <c r="P5" t="n">
        <v>0.1202926066028163</v>
      </c>
      <c r="Q5" s="1" t="n">
        <v>8.155708484675998e-05</v>
      </c>
      <c r="R5" t="n">
        <v>0.0048745882014433</v>
      </c>
      <c r="S5" t="n">
        <v>0.0046521872061269</v>
      </c>
      <c r="T5" t="n">
        <v>36.87530447464027</v>
      </c>
      <c r="U5" t="n">
        <v>-0.0496296294848692</v>
      </c>
      <c r="V5" t="n">
        <v>-0.9220039680859108</v>
      </c>
      <c r="W5" t="n">
        <v>-0.3002218150616807</v>
      </c>
      <c r="X5" t="n">
        <v>-4.611111110962194</v>
      </c>
      <c r="Y5" t="n">
        <v>-6.726388888715549</v>
      </c>
      <c r="Z5" t="n">
        <v>1.597222222365501</v>
      </c>
      <c r="AA5" t="n">
        <v>-0.8999999998319556</v>
      </c>
      <c r="AB5" t="n">
        <v>2.386351241312292</v>
      </c>
      <c r="AC5" t="n">
        <v>0.0048745876948038</v>
      </c>
      <c r="AD5" t="n">
        <v>2.419772676949207</v>
      </c>
      <c r="AE5" t="n">
        <v>2.162291566420613</v>
      </c>
      <c r="AF5" t="n">
        <v>2.503880064002402</v>
      </c>
      <c r="AG5" t="n">
        <v>2.770792125472508</v>
      </c>
      <c r="AH5" t="n">
        <v>0.7744931309452346</v>
      </c>
      <c r="AI5" t="n">
        <v>38.93</v>
      </c>
      <c r="AJ5" t="n">
        <v>38.46</v>
      </c>
      <c r="AK5" t="n">
        <v>0.4543673509594776</v>
      </c>
      <c r="AL5" t="n">
        <v>0.766910761947623</v>
      </c>
      <c r="AM5" t="n">
        <v>33.6998</v>
      </c>
      <c r="AN5" t="n">
        <v>178.133420117404</v>
      </c>
      <c r="AO5" t="n">
        <v>0.112344849375843</v>
      </c>
      <c r="AP5" t="n">
        <v>0.126202309543627</v>
      </c>
      <c r="AQ5" t="n">
        <v>0.1278145003618591</v>
      </c>
      <c r="AR5" t="n">
        <v>0.1582212749332448</v>
      </c>
      <c r="AS5" t="n">
        <v>0.164300975423442</v>
      </c>
      <c r="AU5">
        <f>(AQ5&lt;AU$1)*1</f>
        <v/>
      </c>
      <c r="AV5">
        <f>(AS5&lt;AV$1)*1</f>
        <v/>
      </c>
    </row>
    <row r="6">
      <c r="A6" t="inlineStr">
        <is>
          <t>Bayes_seq_CP</t>
        </is>
      </c>
      <c r="B6" t="inlineStr">
        <is>
          <t>42/2_LT_Fits</t>
        </is>
      </c>
      <c r="C6" t="inlineStr">
        <is>
          <t>c</t>
        </is>
      </c>
      <c r="D6" t="n">
        <v>73.23333333333333</v>
      </c>
      <c r="E6" t="n">
        <v>126.9833333333333</v>
      </c>
      <c r="F6" t="n">
        <v>-0.0156415866622218</v>
      </c>
      <c r="G6" t="n">
        <v>-69.92625694792127</v>
      </c>
      <c r="H6" t="n">
        <v>2.136111111253888</v>
      </c>
      <c r="I6" t="n">
        <v>-0.0409722220527707</v>
      </c>
      <c r="J6" t="n">
        <v>0.8837234911760167</v>
      </c>
      <c r="K6" t="n">
        <v>1.402777777921222</v>
      </c>
      <c r="L6" t="n">
        <v>-0.6513888887194222</v>
      </c>
      <c r="M6" t="n">
        <v>2.320833333475938</v>
      </c>
      <c r="N6" t="n">
        <v>0.015277777946638</v>
      </c>
      <c r="O6" t="n">
        <v>3.289598592692921</v>
      </c>
      <c r="P6" t="n">
        <v>0.0351540810116085</v>
      </c>
      <c r="Q6" t="n">
        <v>-0.0249636460694316</v>
      </c>
      <c r="R6" t="n">
        <v>0.0224436098485787</v>
      </c>
      <c r="S6" t="n">
        <v>-0.015641586529767</v>
      </c>
      <c r="T6" t="n">
        <v>-256.5117485503557</v>
      </c>
      <c r="U6" t="n">
        <v>2.672916666808961</v>
      </c>
      <c r="V6" t="n">
        <v>-0.2034722220548095</v>
      </c>
      <c r="W6" t="n">
        <v>0.8612357551439326</v>
      </c>
      <c r="X6" t="n">
        <v>1.5736111112544</v>
      </c>
      <c r="Y6" t="n">
        <v>-0.8236111109431324</v>
      </c>
      <c r="Z6" t="n">
        <v>3.772222222363522</v>
      </c>
      <c r="AA6" t="n">
        <v>0.4166666668335134</v>
      </c>
      <c r="AB6" t="n">
        <v>2.906463675222093</v>
      </c>
      <c r="AC6" t="n">
        <v>0.0224436093419392</v>
      </c>
      <c r="AD6" t="n">
        <v>4.705675388031919</v>
      </c>
      <c r="AE6" t="n">
        <v>2.8700716957304</v>
      </c>
      <c r="AF6" t="n">
        <v>4.00735267348065</v>
      </c>
      <c r="AG6" t="n">
        <v>7.675190016428166</v>
      </c>
      <c r="AH6" t="n">
        <v>-1.091424141540494</v>
      </c>
      <c r="AI6" t="n">
        <v>14.65333333333333</v>
      </c>
      <c r="AJ6" t="n">
        <v>14.77666666666667</v>
      </c>
      <c r="AK6" s="1" t="n">
        <v>3.862405308330299e-07</v>
      </c>
      <c r="AL6" s="1" t="n">
        <v>1.951707221921588e-05</v>
      </c>
      <c r="AM6" t="n">
        <v>3.068233333333333</v>
      </c>
      <c r="AN6" t="n">
        <v>-208.4620110342344</v>
      </c>
      <c r="AO6" t="n">
        <v>0.07808906691651971</v>
      </c>
      <c r="AP6" t="n">
        <v>0.0865524551278388</v>
      </c>
      <c r="AQ6" t="n">
        <v>0.08775547923843501</v>
      </c>
      <c r="AR6" t="n">
        <v>0.1313161985632652</v>
      </c>
      <c r="AS6" t="n">
        <v>0.1398124285516879</v>
      </c>
      <c r="AU6">
        <f>(AQ6&lt;AU$1)*1</f>
        <v/>
      </c>
      <c r="AV6">
        <f>(AS6&lt;AV$1)*1</f>
        <v/>
      </c>
    </row>
    <row r="7">
      <c r="A7" t="inlineStr">
        <is>
          <t>butterworth</t>
        </is>
      </c>
      <c r="B7" t="inlineStr">
        <is>
          <t>42/2_LT_Fits</t>
        </is>
      </c>
      <c r="C7" t="inlineStr">
        <is>
          <t>c</t>
        </is>
      </c>
      <c r="D7" t="n">
        <v>0.6666666666666666</v>
      </c>
      <c r="E7" t="n">
        <v>1.016666666666667</v>
      </c>
      <c r="F7" t="n">
        <v>-0.0235601284963005</v>
      </c>
      <c r="G7" t="n">
        <v>63.83902266663513</v>
      </c>
      <c r="H7" t="n">
        <v>1.466435185328557</v>
      </c>
      <c r="I7" t="n">
        <v>1.178009259427574</v>
      </c>
      <c r="J7" t="n">
        <v>1.103566360498757</v>
      </c>
      <c r="K7" t="n">
        <v>-0.7916666665212423</v>
      </c>
      <c r="L7" t="n">
        <v>-1.006944444274738</v>
      </c>
      <c r="M7" t="n">
        <v>2.381944444586986</v>
      </c>
      <c r="N7" t="n">
        <v>1.60555555572289</v>
      </c>
      <c r="O7" t="n">
        <v>2.99176901212448</v>
      </c>
      <c r="P7" t="n">
        <v>0.1491918349585612</v>
      </c>
      <c r="Q7" t="n">
        <v>-0.0264792081890639</v>
      </c>
      <c r="R7" t="n">
        <v>-0.020732852115464</v>
      </c>
      <c r="S7" t="n">
        <v>-0.0235601283638458</v>
      </c>
      <c r="T7" t="n">
        <v>48.64813802898133</v>
      </c>
      <c r="U7" t="n">
        <v>1.53101851866183</v>
      </c>
      <c r="V7" t="n">
        <v>0.7268518520184266</v>
      </c>
      <c r="W7" t="n">
        <v>0.9841435186773828</v>
      </c>
      <c r="X7" t="n">
        <v>-0.6208333331880643</v>
      </c>
      <c r="Y7" t="n">
        <v>-1.179166666498357</v>
      </c>
      <c r="Z7" t="n">
        <v>3.337500000141669</v>
      </c>
      <c r="AA7" t="n">
        <v>1.037500000166301</v>
      </c>
      <c r="AB7" t="n">
        <v>2.64940349004788</v>
      </c>
      <c r="AC7" t="n">
        <v>-0.0207328526221036</v>
      </c>
      <c r="AD7" t="n">
        <v>1.921958180090638</v>
      </c>
      <c r="AE7" t="n">
        <v>2.024702436321902</v>
      </c>
      <c r="AF7" t="n">
        <v>1.922937745631865</v>
      </c>
      <c r="AG7" t="n">
        <v>2.153081344683151</v>
      </c>
      <c r="AH7" t="n">
        <v>0.8336325741227668</v>
      </c>
      <c r="AI7" t="n">
        <v>22.29666666666667</v>
      </c>
      <c r="AJ7" t="n">
        <v>22.09333333333333</v>
      </c>
      <c r="AK7" t="n">
        <v>0.5363670157130774</v>
      </c>
      <c r="AL7" t="n">
        <v>0.936571074749602</v>
      </c>
      <c r="AM7" t="n">
        <v>13.91396666666666</v>
      </c>
      <c r="AN7" t="n">
        <v>117.5421929513101</v>
      </c>
      <c r="AO7" t="n">
        <v>0.07800170097896129</v>
      </c>
      <c r="AP7" t="n">
        <v>0.08296463189786051</v>
      </c>
      <c r="AQ7" t="n">
        <v>0.08571644139238201</v>
      </c>
      <c r="AR7" t="n">
        <v>0.1292121933047284</v>
      </c>
      <c r="AS7" t="n">
        <v>0.1382212131491707</v>
      </c>
      <c r="AU7">
        <f>(AQ7&lt;AU$1)*1</f>
        <v/>
      </c>
      <c r="AV7">
        <f>(AS7&lt;AV$1)*1</f>
        <v/>
      </c>
    </row>
    <row r="8">
      <c r="A8" t="inlineStr">
        <is>
          <t>hinge75meet</t>
        </is>
      </c>
      <c r="B8" t="inlineStr">
        <is>
          <t>42/2_LT_Fits</t>
        </is>
      </c>
      <c r="C8" t="inlineStr">
        <is>
          <t>c</t>
        </is>
      </c>
      <c r="D8" t="n">
        <v>11.01666666666667</v>
      </c>
      <c r="E8" t="n">
        <v>48.03333333333333</v>
      </c>
      <c r="F8" t="n">
        <v>-0.017466176947641</v>
      </c>
      <c r="G8" t="n">
        <v>56.91984108579006</v>
      </c>
      <c r="H8" t="n">
        <v>2.815277777919956</v>
      </c>
      <c r="I8" t="n">
        <v>2.251388889056064</v>
      </c>
      <c r="J8" t="n">
        <v>1.685939234536592</v>
      </c>
      <c r="K8" t="n">
        <v>2.815277777919956</v>
      </c>
      <c r="L8" t="n">
        <v>2.251388889056064</v>
      </c>
      <c r="M8" t="n">
        <v>2.815277777919956</v>
      </c>
      <c r="N8" t="n">
        <v>2.251388889056064</v>
      </c>
      <c r="O8" t="n">
        <v>4.067795726348621</v>
      </c>
      <c r="P8" t="n">
        <v>0.0597122085070317</v>
      </c>
      <c r="Q8" t="n">
        <v>-0.0097786086786627</v>
      </c>
      <c r="R8" t="n">
        <v>0.0134042839635087</v>
      </c>
      <c r="S8" t="n">
        <v>-0.0174661768151863</v>
      </c>
      <c r="T8" t="n">
        <v>44.30535019538538</v>
      </c>
      <c r="U8" t="n">
        <v>2.986111111253134</v>
      </c>
      <c r="V8" t="n">
        <v>2.079166666832005</v>
      </c>
      <c r="W8" t="n">
        <v>1.569925213832917</v>
      </c>
      <c r="X8" t="n">
        <v>2.986111111253134</v>
      </c>
      <c r="Y8" t="n">
        <v>2.079166666832005</v>
      </c>
      <c r="Z8" t="n">
        <v>2.986111111253134</v>
      </c>
      <c r="AA8" t="n">
        <v>2.079166666832005</v>
      </c>
      <c r="AB8" t="n">
        <v>2.790865384645336</v>
      </c>
      <c r="AC8" t="n">
        <v>0.0134042834568692</v>
      </c>
      <c r="AD8" t="n">
        <v>4.290214663672706</v>
      </c>
      <c r="AE8" t="n">
        <v>4.855352534530203</v>
      </c>
      <c r="AF8" t="n">
        <v>3.186790196092363</v>
      </c>
      <c r="AG8" t="n">
        <v>4.300517057350463</v>
      </c>
      <c r="AH8" t="n">
        <v>0.9964013888278492</v>
      </c>
      <c r="AI8" t="n">
        <v>13.1</v>
      </c>
      <c r="AJ8" t="n">
        <v>13.08333333333333</v>
      </c>
      <c r="AK8" t="n">
        <v>0.0532268871483407</v>
      </c>
      <c r="AL8" t="n">
        <v>0.1043368078985321</v>
      </c>
      <c r="AM8" t="n">
        <v>2.056466666666667</v>
      </c>
      <c r="AN8" t="n">
        <v>154.4422152683166</v>
      </c>
      <c r="AO8" t="n">
        <v>0.07192050535466921</v>
      </c>
      <c r="AP8" t="n">
        <v>0.0838791181176784</v>
      </c>
      <c r="AQ8" t="n">
        <v>0.0925614401853594</v>
      </c>
      <c r="AR8" t="n">
        <v>0.0932081760594064</v>
      </c>
      <c r="AS8" t="n">
        <v>0.103378222526908</v>
      </c>
      <c r="AU8">
        <f>(AQ8&lt;AU$1)*1</f>
        <v/>
      </c>
      <c r="AV8">
        <f>(AS8&lt;AV$1)*1</f>
        <v/>
      </c>
    </row>
    <row r="9">
      <c r="A9" t="inlineStr">
        <is>
          <t>OLS_hinge75</t>
        </is>
      </c>
      <c r="B9" t="inlineStr">
        <is>
          <t>42/2_LT_Fits</t>
        </is>
      </c>
      <c r="C9" t="inlineStr">
        <is>
          <t>c</t>
        </is>
      </c>
      <c r="D9" t="n">
        <v>43.23333333333333</v>
      </c>
      <c r="E9" t="n">
        <v>90.53333333333332</v>
      </c>
      <c r="F9" t="n">
        <v>-0.0021884828360496</v>
      </c>
      <c r="G9" t="n">
        <v>-161.7543902803335</v>
      </c>
      <c r="H9" t="n">
        <v>1.992361111254062</v>
      </c>
      <c r="I9" t="n">
        <v>0.9138888890571936</v>
      </c>
      <c r="J9" t="n">
        <v>0.6966416686770086</v>
      </c>
      <c r="K9" t="n">
        <v>1.893055555698595</v>
      </c>
      <c r="L9" t="n">
        <v>0.9138888890571936</v>
      </c>
      <c r="M9" t="n">
        <v>1.893055555698595</v>
      </c>
      <c r="N9" t="n">
        <v>0.9138888890571936</v>
      </c>
      <c r="O9" t="n">
        <v>3.837892086734656</v>
      </c>
      <c r="P9" t="n">
        <v>0.0340875056795527</v>
      </c>
      <c r="Q9" t="n">
        <v>-0.0036468648276131</v>
      </c>
      <c r="R9" t="n">
        <v>0.0374181463815366</v>
      </c>
      <c r="S9" t="n">
        <v>-0.0021884827035949</v>
      </c>
      <c r="T9" t="n">
        <v>-317.8788275137552</v>
      </c>
      <c r="U9" t="n">
        <v>2.16319444458724</v>
      </c>
      <c r="V9" t="n">
        <v>0.7416666668332482</v>
      </c>
      <c r="W9" t="n">
        <v>0.5966880343463432</v>
      </c>
      <c r="X9" t="n">
        <v>2.063888889031773</v>
      </c>
      <c r="Y9" t="n">
        <v>0.7416666668332482</v>
      </c>
      <c r="Z9" t="n">
        <v>2.262500000142708</v>
      </c>
      <c r="AA9" t="n">
        <v>0.7416666668332482</v>
      </c>
      <c r="AB9" t="n">
        <v>3.005662393144585</v>
      </c>
      <c r="AC9" t="n">
        <v>0.0374181458748971</v>
      </c>
      <c r="AD9" t="n">
        <v>6.446615842837722</v>
      </c>
      <c r="AE9" t="n">
        <v>3.34796968873745</v>
      </c>
      <c r="AF9" t="n">
        <v>3.85337533451269</v>
      </c>
      <c r="AG9" t="n">
        <v>7.325165397742698</v>
      </c>
      <c r="AH9" t="n">
        <v>-0.4714767084214893</v>
      </c>
      <c r="AI9" t="n">
        <v>13.18666666666667</v>
      </c>
      <c r="AJ9" t="n">
        <v>13.18666666666667</v>
      </c>
      <c r="AK9" t="n">
        <v>0.0007430980014905</v>
      </c>
      <c r="AL9" t="n">
        <v>0.0019410773825747</v>
      </c>
      <c r="AM9" t="n">
        <v>2.453116666666667</v>
      </c>
      <c r="AN9" t="n">
        <v>-73.07888980533085</v>
      </c>
      <c r="AO9" t="n">
        <v>0.07373202731684909</v>
      </c>
      <c r="AP9" t="n">
        <v>0.08233766331207421</v>
      </c>
      <c r="AQ9" t="n">
        <v>0.0903991705657291</v>
      </c>
      <c r="AR9" t="n">
        <v>0.102965075841565</v>
      </c>
      <c r="AS9" t="n">
        <v>0.1124626063629021</v>
      </c>
      <c r="AU9">
        <f>(AQ9&lt;AU$1)*1</f>
        <v/>
      </c>
      <c r="AV9">
        <f>(AS9&lt;AV$1)*1</f>
        <v/>
      </c>
    </row>
    <row r="10">
      <c r="A10" t="inlineStr">
        <is>
          <t>OLS_refit</t>
        </is>
      </c>
      <c r="B10" t="inlineStr">
        <is>
          <t>42/2_LT_Fits</t>
        </is>
      </c>
      <c r="C10" t="inlineStr">
        <is>
          <t>c</t>
        </is>
      </c>
      <c r="D10" t="n">
        <v>120.8</v>
      </c>
      <c r="E10" t="n">
        <v>133.6833333333333</v>
      </c>
      <c r="F10" t="n">
        <v>-0.279263063237266</v>
      </c>
      <c r="G10" t="n">
        <v>-3439.740484431604</v>
      </c>
      <c r="H10" t="n">
        <v>16.91111111123644</v>
      </c>
      <c r="I10" t="n">
        <v>17.58888888903884</v>
      </c>
      <c r="J10" t="n">
        <v>16.57717953357566</v>
      </c>
      <c r="K10" t="n">
        <v>16.54305555568092</v>
      </c>
      <c r="L10" t="n">
        <v>17.2555555557055</v>
      </c>
      <c r="M10" t="n">
        <v>16.6125000001253</v>
      </c>
      <c r="N10" t="n">
        <v>17.2555555557055</v>
      </c>
      <c r="O10" t="n">
        <v>16.84144988922013</v>
      </c>
      <c r="P10" t="n">
        <v>0.0301931858388467</v>
      </c>
      <c r="Q10" t="n">
        <v>-0.1821573651870629</v>
      </c>
      <c r="R10" t="n">
        <v>-0.2763987128488302</v>
      </c>
      <c r="S10" t="n">
        <v>-0.2792630631048112</v>
      </c>
      <c r="T10" t="n">
        <v>-3445.476365343853</v>
      </c>
      <c r="U10" t="n">
        <v>17.02916666678981</v>
      </c>
      <c r="V10" t="n">
        <v>17.14305555568793</v>
      </c>
      <c r="W10" t="n">
        <v>16.31314102577556</v>
      </c>
      <c r="X10" t="n">
        <v>16.49444444456762</v>
      </c>
      <c r="Y10" t="n">
        <v>15.80972222235459</v>
      </c>
      <c r="Z10" t="n">
        <v>16.563888889012</v>
      </c>
      <c r="AA10" t="n">
        <v>15.80972222235459</v>
      </c>
      <c r="AB10" t="n">
        <v>16.31314102577556</v>
      </c>
      <c r="AC10" t="n">
        <v>-0.2763987133554698</v>
      </c>
      <c r="AD10" s="1" t="n">
        <v>4.980054593640525e-11</v>
      </c>
      <c r="AE10" s="1" t="n">
        <v>3.252484911822987e-08</v>
      </c>
      <c r="AF10" t="n">
        <v>0.0274333675136317</v>
      </c>
      <c r="AG10" t="n">
        <v>0.0003330578599261</v>
      </c>
      <c r="AH10" t="n">
        <v>-25.76570409109342</v>
      </c>
      <c r="AI10" t="n">
        <v>12.73666666666667</v>
      </c>
      <c r="AJ10" t="n">
        <v>11.98666666666667</v>
      </c>
      <c r="AK10" s="1" t="n">
        <v>4.111708950180025e-25</v>
      </c>
      <c r="AL10" s="1" t="n">
        <v>2.05752928549305e-24</v>
      </c>
      <c r="AM10" t="n">
        <v>0.8278666666666666</v>
      </c>
      <c r="AN10" t="n">
        <v>-3607.198572753079</v>
      </c>
      <c r="AO10" t="n">
        <v>0.2398139955279229</v>
      </c>
      <c r="AP10" t="n">
        <v>0.2923510173085072</v>
      </c>
      <c r="AQ10" t="n">
        <v>0.3096352270743254</v>
      </c>
      <c r="AR10" t="n">
        <v>0.2919415573587798</v>
      </c>
      <c r="AS10" t="n">
        <v>0.3098741093601365</v>
      </c>
      <c r="AU10">
        <f>(AQ10&lt;AU$1)*1</f>
        <v/>
      </c>
      <c r="AV10">
        <f>(AS10&lt;AV$1)*1</f>
        <v/>
      </c>
    </row>
    <row r="11">
      <c r="A11" t="inlineStr">
        <is>
          <t>quartic</t>
        </is>
      </c>
      <c r="B11" t="inlineStr">
        <is>
          <t>42/2_LT_Fits</t>
        </is>
      </c>
      <c r="C11" t="inlineStr">
        <is>
          <t>c</t>
        </is>
      </c>
      <c r="D11" t="n">
        <v>49.28333333333333</v>
      </c>
      <c r="E11" t="n">
        <v>96.13333333333334</v>
      </c>
      <c r="F11" t="n">
        <v>0.0720953775769005</v>
      </c>
      <c r="G11" t="n">
        <v>-103.2869601217681</v>
      </c>
      <c r="H11" t="n">
        <v>-3.096527777630248</v>
      </c>
      <c r="I11" t="n">
        <v>-4.863425925752529</v>
      </c>
      <c r="J11" t="n">
        <v>-4.250463579466342</v>
      </c>
      <c r="K11" t="n">
        <v>-3.74027777762966</v>
      </c>
      <c r="L11" t="n">
        <v>-5.655555555382398</v>
      </c>
      <c r="M11" t="n">
        <v>-3.74027777762966</v>
      </c>
      <c r="N11" t="n">
        <v>-5.547222222049163</v>
      </c>
      <c r="O11" t="n">
        <v>5.897517015629568</v>
      </c>
      <c r="P11" t="n">
        <v>0.0496773775939465</v>
      </c>
      <c r="Q11" t="n">
        <v>0.019734296708904</v>
      </c>
      <c r="R11" t="n">
        <v>0.0926831486490777</v>
      </c>
      <c r="S11" t="n">
        <v>0.0720953777093552</v>
      </c>
      <c r="T11" t="n">
        <v>-315.4595316985677</v>
      </c>
      <c r="U11" t="n">
        <v>-2.92569444429707</v>
      </c>
      <c r="V11" t="n">
        <v>-5.205787036865074</v>
      </c>
      <c r="W11" t="n">
        <v>-4.348896011234454</v>
      </c>
      <c r="X11" t="n">
        <v>-3.569444444296482</v>
      </c>
      <c r="Y11" t="n">
        <v>-5.827777777605252</v>
      </c>
      <c r="Z11" t="n">
        <v>-2.358333333186473</v>
      </c>
      <c r="AA11" t="n">
        <v>-4.880555555383891</v>
      </c>
      <c r="AB11" t="n">
        <v>5.322578347457829</v>
      </c>
      <c r="AC11" t="n">
        <v>0.09268314814243819</v>
      </c>
      <c r="AD11" t="n">
        <v>1.945177156135257</v>
      </c>
      <c r="AE11" t="n">
        <v>1.06832775408344</v>
      </c>
      <c r="AF11" t="n">
        <v>3.297092827002474</v>
      </c>
      <c r="AG11" t="n">
        <v>1.882873489108476</v>
      </c>
      <c r="AH11" t="n">
        <v>-0.5692087791603301</v>
      </c>
      <c r="AI11" t="n">
        <v>14.01666666666667</v>
      </c>
      <c r="AJ11" t="n">
        <v>13.96666666666667</v>
      </c>
      <c r="AK11" s="1" t="n">
        <v>7.041381841622351e-05</v>
      </c>
      <c r="AL11" t="n">
        <v>0.0003329777681919</v>
      </c>
      <c r="AM11" t="n">
        <v>3.2853</v>
      </c>
      <c r="AN11" t="n">
        <v>-79.6892290824462</v>
      </c>
      <c r="AO11" t="n">
        <v>0.0999857744483956</v>
      </c>
      <c r="AP11" t="n">
        <v>0.104404512165085</v>
      </c>
      <c r="AQ11" t="n">
        <v>0.115327554597137</v>
      </c>
      <c r="AR11" t="n">
        <v>0.1400245445138478</v>
      </c>
      <c r="AS11" t="n">
        <v>0.1549789702097382</v>
      </c>
      <c r="AU11">
        <f>(AQ11&lt;AU$1)*1</f>
        <v/>
      </c>
      <c r="AV11">
        <f>(AS11&lt;AV$1)*1</f>
        <v/>
      </c>
    </row>
    <row r="12">
      <c r="A12" t="inlineStr">
        <is>
          <t>TheilSen_h7075</t>
        </is>
      </c>
      <c r="B12" t="inlineStr">
        <is>
          <t>42/2_LT_Fits</t>
        </is>
      </c>
      <c r="C12" t="inlineStr">
        <is>
          <t>c</t>
        </is>
      </c>
      <c r="D12" t="n">
        <v>61.83333333333334</v>
      </c>
      <c r="E12" t="n">
        <v>110.7</v>
      </c>
      <c r="F12" t="n">
        <v>-0.0358313031160538</v>
      </c>
      <c r="G12" t="n">
        <v>-401.0647892511016</v>
      </c>
      <c r="H12" t="n">
        <v>2.768055555697761</v>
      </c>
      <c r="I12" t="n">
        <v>3.039583333500142</v>
      </c>
      <c r="J12" t="n">
        <v>2.535791870326232</v>
      </c>
      <c r="K12" t="n">
        <v>2.737500000142234</v>
      </c>
      <c r="L12" t="n">
        <v>3.01666666683343</v>
      </c>
      <c r="M12" t="n">
        <v>2.737500000142234</v>
      </c>
      <c r="N12" t="n">
        <v>3.01666666683343</v>
      </c>
      <c r="O12" t="n">
        <v>5.038355002336303</v>
      </c>
      <c r="P12" t="n">
        <v>0.0337821481437551</v>
      </c>
      <c r="Q12" t="n">
        <v>-0.0268367828075524</v>
      </c>
      <c r="R12" t="n">
        <v>0.0049893445864258</v>
      </c>
      <c r="S12" t="n">
        <v>-0.0358313029835991</v>
      </c>
      <c r="T12" t="n">
        <v>-424.0258103769211</v>
      </c>
      <c r="U12" t="n">
        <v>2.938888889030939</v>
      </c>
      <c r="V12" t="n">
        <v>2.844444444609076</v>
      </c>
      <c r="W12" t="n">
        <v>2.407638889045983</v>
      </c>
      <c r="X12" t="n">
        <v>2.908333333475412</v>
      </c>
      <c r="Y12" t="n">
        <v>2.844444444609076</v>
      </c>
      <c r="Z12" t="n">
        <v>2.969444444586467</v>
      </c>
      <c r="AA12" t="n">
        <v>2.844444444609076</v>
      </c>
      <c r="AB12" t="n">
        <v>3.28092948724604</v>
      </c>
      <c r="AC12" t="n">
        <v>0.0049893440797863</v>
      </c>
      <c r="AD12" t="n">
        <v>3.472239110451824</v>
      </c>
      <c r="AE12" t="n">
        <v>5.275251097554157</v>
      </c>
      <c r="AF12" t="n">
        <v>3.252880070997197</v>
      </c>
      <c r="AG12" t="n">
        <v>4.398347211943912</v>
      </c>
      <c r="AH12" t="n">
        <v>-2.004771184736355</v>
      </c>
      <c r="AI12" t="n">
        <v>13.08666666666667</v>
      </c>
      <c r="AJ12" t="n">
        <v>13.05333333333334</v>
      </c>
      <c r="AK12" s="1" t="n">
        <v>1.82761431107926e-05</v>
      </c>
      <c r="AL12" s="1" t="n">
        <v>8.551201988507201e-05</v>
      </c>
      <c r="AM12" t="n">
        <v>2.8986</v>
      </c>
      <c r="AN12" t="n">
        <v>-310.739533634135</v>
      </c>
      <c r="AO12" t="n">
        <v>0.0898419320498354</v>
      </c>
      <c r="AP12" t="n">
        <v>0.1056833381299873</v>
      </c>
      <c r="AQ12" t="n">
        <v>0.1112913027173881</v>
      </c>
      <c r="AR12" t="n">
        <v>0.1084303042050599</v>
      </c>
      <c r="AS12" t="n">
        <v>0.1155430245511997</v>
      </c>
      <c r="AU12">
        <f>(AQ12&lt;AU$1)*1</f>
        <v/>
      </c>
      <c r="AV12">
        <f>(AS12&lt;AV$1)*1</f>
        <v/>
      </c>
    </row>
    <row r="13">
      <c r="A13" t="inlineStr">
        <is>
          <t>etrend15y</t>
        </is>
      </c>
      <c r="B13" t="inlineStr">
        <is>
          <t>42/3_ST_Fits</t>
        </is>
      </c>
      <c r="C13" t="inlineStr">
        <is>
          <t>c</t>
        </is>
      </c>
      <c r="D13" t="n">
        <v>15.53333333333333</v>
      </c>
      <c r="E13" t="n">
        <v>68.41666666666667</v>
      </c>
      <c r="F13" t="n">
        <v>0.006592595566202</v>
      </c>
      <c r="G13" t="n">
        <v>48.67270652835488</v>
      </c>
      <c r="H13" t="n">
        <v>0.2500000001444885</v>
      </c>
      <c r="I13" t="n">
        <v>-0.0430555553857415</v>
      </c>
      <c r="J13" t="n">
        <v>-0.2782011197054331</v>
      </c>
      <c r="K13" t="n">
        <v>-1.837499999853613</v>
      </c>
      <c r="L13" t="n">
        <v>-2.024999999829477</v>
      </c>
      <c r="M13" t="n">
        <v>0.1569444445890098</v>
      </c>
      <c r="N13" t="n">
        <v>0.1875000001695981</v>
      </c>
      <c r="O13" t="n">
        <v>3.094601442030053</v>
      </c>
      <c r="P13" t="n">
        <v>0.0514586977592917</v>
      </c>
      <c r="Q13" t="n">
        <v>-0.0004768942328373</v>
      </c>
      <c r="R13" t="n">
        <v>0.009376951922972899</v>
      </c>
      <c r="S13" t="n">
        <v>0.0065925956986567</v>
      </c>
      <c r="T13" t="n">
        <v>-39.92818249958582</v>
      </c>
      <c r="U13" t="n">
        <v>0.522222222366463</v>
      </c>
      <c r="V13" t="n">
        <v>-0.5840277776100165</v>
      </c>
      <c r="W13" t="n">
        <v>-0.4565794157947836</v>
      </c>
      <c r="X13" t="n">
        <v>-1.666666666520435</v>
      </c>
      <c r="Y13" t="n">
        <v>-2.197222222052998</v>
      </c>
      <c r="Z13" t="n">
        <v>1.986111111254013</v>
      </c>
      <c r="AA13" t="n">
        <v>-0.1819444442770418</v>
      </c>
      <c r="AB13" t="n">
        <v>2.57219551279693</v>
      </c>
      <c r="AC13" t="n">
        <v>0.009376951416333301</v>
      </c>
      <c r="AD13" t="n">
        <v>3.498892281794352</v>
      </c>
      <c r="AE13" t="n">
        <v>3.040295768396086</v>
      </c>
      <c r="AF13" t="n">
        <v>5.058545604433127</v>
      </c>
      <c r="AG13" t="n">
        <v>4.42534048680794</v>
      </c>
      <c r="AH13" t="n">
        <v>0.9354596315013176</v>
      </c>
      <c r="AI13" t="n">
        <v>17.64</v>
      </c>
      <c r="AJ13" t="n">
        <v>17.60666666666667</v>
      </c>
      <c r="AK13" t="n">
        <v>0.0264199019520396</v>
      </c>
      <c r="AL13" t="n">
        <v>0.07807717629877919</v>
      </c>
      <c r="AM13" t="n">
        <v>6.261233333333333</v>
      </c>
      <c r="AN13" t="n">
        <v>211.4138767192978</v>
      </c>
      <c r="AO13" t="n">
        <v>0.0755035673538474</v>
      </c>
      <c r="AP13" t="n">
        <v>0.0940217493189023</v>
      </c>
      <c r="AQ13" t="n">
        <v>0.0964279193147569</v>
      </c>
      <c r="AR13" t="n">
        <v>0.1405352197881151</v>
      </c>
      <c r="AS13" t="n">
        <v>0.1487710529892581</v>
      </c>
      <c r="AU13">
        <f>(AQ13&lt;AU$1)*1</f>
        <v/>
      </c>
      <c r="AV13">
        <f>(AS13&lt;AV$1)*1</f>
        <v/>
      </c>
    </row>
    <row r="14">
      <c r="A14" t="inlineStr">
        <is>
          <t>etrend30y</t>
        </is>
      </c>
      <c r="B14" t="inlineStr">
        <is>
          <t>42/3_ST_Fits</t>
        </is>
      </c>
      <c r="C14" t="inlineStr">
        <is>
          <t>c</t>
        </is>
      </c>
      <c r="D14" t="n">
        <v>15.41666666666667</v>
      </c>
      <c r="E14" t="n">
        <v>65.21666666666667</v>
      </c>
      <c r="F14" t="n">
        <v>0.0073104229741055</v>
      </c>
      <c r="G14" t="n">
        <v>69.2130438796809</v>
      </c>
      <c r="H14" t="n">
        <v>0.357638889033304</v>
      </c>
      <c r="I14" t="n">
        <v>-0.974999999829874</v>
      </c>
      <c r="J14" t="n">
        <v>-0.3805593902932158</v>
      </c>
      <c r="K14" t="n">
        <v>-0.0763888887440809</v>
      </c>
      <c r="L14" t="n">
        <v>-1.688888888719112</v>
      </c>
      <c r="M14" t="n">
        <v>-0.0763888887440809</v>
      </c>
      <c r="N14" t="n">
        <v>-1.520833333163705</v>
      </c>
      <c r="O14" t="n">
        <v>2.98381423673333</v>
      </c>
      <c r="P14" t="n">
        <v>0.0402355110063073</v>
      </c>
      <c r="Q14" t="n">
        <v>-0.0047243520902572</v>
      </c>
      <c r="R14" t="n">
        <v>0.0238232958409734</v>
      </c>
      <c r="S14" t="n">
        <v>0.0073104231065603</v>
      </c>
      <c r="T14" t="n">
        <v>-76.42104737609843</v>
      </c>
      <c r="U14" t="n">
        <v>0.5284722223664819</v>
      </c>
      <c r="V14" t="n">
        <v>-1.34722222205377</v>
      </c>
      <c r="W14" t="n">
        <v>-0.5812499998404399</v>
      </c>
      <c r="X14" t="n">
        <v>0.094444444589097</v>
      </c>
      <c r="Y14" t="n">
        <v>-1.861111110942193</v>
      </c>
      <c r="Z14" t="n">
        <v>0.9625000001438668</v>
      </c>
      <c r="AA14" t="n">
        <v>-1.022222222054059</v>
      </c>
      <c r="AB14" t="n">
        <v>2.974697293402499</v>
      </c>
      <c r="AC14" t="n">
        <v>0.0238232953343339</v>
      </c>
      <c r="AD14" t="n">
        <v>5.08705166691308</v>
      </c>
      <c r="AE14" t="n">
        <v>2.424954913356459</v>
      </c>
      <c r="AF14" t="n">
        <v>5.939304652169072</v>
      </c>
      <c r="AG14" t="n">
        <v>5.142028574411122</v>
      </c>
      <c r="AH14" t="n">
        <v>1.177875039375883</v>
      </c>
      <c r="AI14" t="n">
        <v>14.41</v>
      </c>
      <c r="AJ14" t="n">
        <v>14.32666666666667</v>
      </c>
      <c r="AK14" t="n">
        <v>0.0366076011454694</v>
      </c>
      <c r="AL14" t="n">
        <v>0.06578512602354809</v>
      </c>
      <c r="AM14" t="n">
        <v>3.269566666666667</v>
      </c>
      <c r="AN14" t="n">
        <v>248.5316333083112</v>
      </c>
      <c r="AO14" t="n">
        <v>0.0606337026498965</v>
      </c>
      <c r="AP14" t="n">
        <v>0.0737460887187268</v>
      </c>
      <c r="AQ14" t="n">
        <v>0.0790941614658076</v>
      </c>
      <c r="AR14" t="n">
        <v>0.1182897707448075</v>
      </c>
      <c r="AS14" t="n">
        <v>0.1292208928376926</v>
      </c>
      <c r="AU14">
        <f>(AQ14&lt;AU$1)*1</f>
        <v/>
      </c>
      <c r="AV14">
        <f>(AS14&lt;AV$1)*1</f>
        <v/>
      </c>
    </row>
    <row r="15">
      <c r="A15" t="inlineStr">
        <is>
          <t>etrend30y_3CS</t>
        </is>
      </c>
      <c r="B15" t="inlineStr">
        <is>
          <t>42/3_ST_Fits</t>
        </is>
      </c>
      <c r="C15" t="inlineStr">
        <is>
          <t>c</t>
        </is>
      </c>
      <c r="D15" t="n">
        <v>28.2</v>
      </c>
      <c r="E15" t="n">
        <v>86.61666666666666</v>
      </c>
      <c r="F15" t="n">
        <v>-0.0112811882824168</v>
      </c>
      <c r="G15" t="n">
        <v>4.43392059925089</v>
      </c>
      <c r="H15" t="n">
        <v>0.357638889033304</v>
      </c>
      <c r="I15" t="n">
        <v>-0.974999999829874</v>
      </c>
      <c r="J15" t="n">
        <v>-0.07075010235921141</v>
      </c>
      <c r="K15" t="n">
        <v>-0.0763888887440809</v>
      </c>
      <c r="L15" t="n">
        <v>-1.688888888719112</v>
      </c>
      <c r="M15" t="n">
        <v>-0.0763888887440809</v>
      </c>
      <c r="N15" t="n">
        <v>-1.520833333163705</v>
      </c>
      <c r="O15" t="n">
        <v>3.069505415081586</v>
      </c>
      <c r="P15" t="n">
        <v>0.0402355110063073</v>
      </c>
      <c r="Q15" t="n">
        <v>-0.0126544232423284</v>
      </c>
      <c r="R15" t="n">
        <v>0.0238232958409734</v>
      </c>
      <c r="S15" t="n">
        <v>-0.0112811881499621</v>
      </c>
      <c r="T15" t="n">
        <v>-101.8336262980169</v>
      </c>
      <c r="U15" t="n">
        <v>0.5284722223664819</v>
      </c>
      <c r="V15" t="n">
        <v>-1.34722222205377</v>
      </c>
      <c r="W15" t="n">
        <v>-0.2663461536868821</v>
      </c>
      <c r="X15" t="n">
        <v>0.094444444589097</v>
      </c>
      <c r="Y15" t="n">
        <v>-1.861111110942193</v>
      </c>
      <c r="Z15" t="n">
        <v>0.9625000001438668</v>
      </c>
      <c r="AA15" t="n">
        <v>-1.022222222054059</v>
      </c>
      <c r="AB15" t="n">
        <v>2.738639601105733</v>
      </c>
      <c r="AC15" t="n">
        <v>0.0238232953343339</v>
      </c>
      <c r="AD15" t="n">
        <v>5.08705166691308</v>
      </c>
      <c r="AE15" t="n">
        <v>2.424954913356459</v>
      </c>
      <c r="AF15" t="n">
        <v>5.939304652169072</v>
      </c>
      <c r="AG15" t="n">
        <v>5.142028574411122</v>
      </c>
      <c r="AH15" t="n">
        <v>0.870864976435456</v>
      </c>
      <c r="AI15" t="n">
        <v>14.67666666666667</v>
      </c>
      <c r="AJ15" t="n">
        <v>14.59333333333333</v>
      </c>
      <c r="AK15" t="n">
        <v>0.0237687282934772</v>
      </c>
      <c r="AL15" t="n">
        <v>0.0393052792609387</v>
      </c>
      <c r="AM15" t="n">
        <v>3.500483333333333</v>
      </c>
      <c r="AN15" t="n">
        <v>183.7525100278812</v>
      </c>
      <c r="AO15" t="n">
        <v>0.06779796548426451</v>
      </c>
      <c r="AP15" t="n">
        <v>0.0871530358983095</v>
      </c>
      <c r="AQ15" t="n">
        <v>0.0790941614658076</v>
      </c>
      <c r="AR15" t="n">
        <v>0.1196068692415481</v>
      </c>
      <c r="AS15" t="n">
        <v>0.1292208928376926</v>
      </c>
      <c r="AU15">
        <f>(AQ15&lt;AU$1)*1</f>
        <v/>
      </c>
      <c r="AV15">
        <f>(AS15&lt;AV$1)*1</f>
        <v/>
      </c>
    </row>
    <row r="16">
      <c r="A16" t="inlineStr">
        <is>
          <t>lowess1dg20wnc</t>
        </is>
      </c>
      <c r="B16" t="inlineStr">
        <is>
          <t>42/3_ST_Fits</t>
        </is>
      </c>
      <c r="C16" t="inlineStr">
        <is>
          <t>c</t>
        </is>
      </c>
      <c r="D16" t="n">
        <v>11.53333333333333</v>
      </c>
      <c r="E16" t="n">
        <v>50.96666666666667</v>
      </c>
      <c r="F16" t="n">
        <v>0.0001104769110679</v>
      </c>
      <c r="G16" t="n">
        <v>55.74014792937224</v>
      </c>
      <c r="H16" t="n">
        <v>1.01875000014378</v>
      </c>
      <c r="I16" t="n">
        <v>-0.5152777776081242</v>
      </c>
      <c r="J16" t="n">
        <v>-0.0988984393620532</v>
      </c>
      <c r="K16" t="n">
        <v>0.4333333334776436</v>
      </c>
      <c r="L16" t="n">
        <v>-1.154166666497311</v>
      </c>
      <c r="M16" t="n">
        <v>0.78055555569955</v>
      </c>
      <c r="N16" t="n">
        <v>-0.5166666664978872</v>
      </c>
      <c r="O16" t="n">
        <v>3.041932509455225</v>
      </c>
      <c r="P16" t="n">
        <v>0.0525716879147427</v>
      </c>
      <c r="Q16" t="n">
        <v>-0.0069576980867397</v>
      </c>
      <c r="R16" t="n">
        <v>0.0333206452429294</v>
      </c>
      <c r="S16" t="n">
        <v>0.0001104770435226</v>
      </c>
      <c r="T16" t="n">
        <v>-103.9951985569255</v>
      </c>
      <c r="U16" t="n">
        <v>1.189583333476958</v>
      </c>
      <c r="V16" t="n">
        <v>-0.8562499998319973</v>
      </c>
      <c r="W16" t="n">
        <v>-0.2537927348838513</v>
      </c>
      <c r="X16" t="n">
        <v>0.6041666668108215</v>
      </c>
      <c r="Y16" t="n">
        <v>-1.326388888720461</v>
      </c>
      <c r="Z16" t="n">
        <v>1.775000000143094</v>
      </c>
      <c r="AA16" t="n">
        <v>-0.3861111109435342</v>
      </c>
      <c r="AB16" t="n">
        <v>3.048023504228766</v>
      </c>
      <c r="AC16" t="n">
        <v>0.0333206447362899</v>
      </c>
      <c r="AD16" t="n">
        <v>5.536421650666886</v>
      </c>
      <c r="AE16" t="n">
        <v>2.224201346405954</v>
      </c>
      <c r="AF16" t="n">
        <v>6.258757287306676</v>
      </c>
      <c r="AG16" t="n">
        <v>6.536439641112324</v>
      </c>
      <c r="AH16" t="n">
        <v>1.075679153766707</v>
      </c>
      <c r="AI16" t="n">
        <v>13.83</v>
      </c>
      <c r="AJ16" t="n">
        <v>13.74666666666667</v>
      </c>
      <c r="AK16" t="n">
        <v>0.0264602974362807</v>
      </c>
      <c r="AL16" t="n">
        <v>0.0470903496456175</v>
      </c>
      <c r="AM16" t="n">
        <v>2.800883333333333</v>
      </c>
      <c r="AN16" t="n">
        <v>247.4062053663427</v>
      </c>
      <c r="AO16" t="n">
        <v>0.0591269482868269</v>
      </c>
      <c r="AP16" t="n">
        <v>0.0682463203309906</v>
      </c>
      <c r="AQ16" t="n">
        <v>0.0700703627073643</v>
      </c>
      <c r="AR16" t="n">
        <v>0.1086294917072761</v>
      </c>
      <c r="AS16" t="n">
        <v>0.1179615202712182</v>
      </c>
      <c r="AU16">
        <f>(AQ16&lt;AU$1)*1</f>
        <v/>
      </c>
      <c r="AV16">
        <f>(AS16&lt;AV$1)*1</f>
        <v/>
      </c>
    </row>
    <row r="17">
      <c r="A17" t="inlineStr">
        <is>
          <t>lowess1dt10wnc</t>
        </is>
      </c>
      <c r="B17" t="inlineStr">
        <is>
          <t>42/3_ST_Fits</t>
        </is>
      </c>
      <c r="C17" t="inlineStr">
        <is>
          <t>c</t>
        </is>
      </c>
      <c r="D17" t="n">
        <v>110.1333333333333</v>
      </c>
      <c r="E17" t="n">
        <v>169.2166666666667</v>
      </c>
      <c r="F17" t="n">
        <v>0.0055044385680445</v>
      </c>
      <c r="G17" t="n">
        <v>-658.0696753253237</v>
      </c>
      <c r="H17" t="n">
        <v>0.2699074075518941</v>
      </c>
      <c r="I17" t="n">
        <v>-0.1091435183487464</v>
      </c>
      <c r="J17" t="n">
        <v>-0.0608379697380964</v>
      </c>
      <c r="K17" t="n">
        <v>-2.937499999852597</v>
      </c>
      <c r="L17" t="n">
        <v>-3.791666666494704</v>
      </c>
      <c r="M17" t="n">
        <v>1.493055555698928</v>
      </c>
      <c r="N17" t="n">
        <v>-0.3708333331632351</v>
      </c>
      <c r="O17" t="n">
        <v>3.246114190343862</v>
      </c>
      <c r="P17" t="n">
        <v>0.0394287698611229</v>
      </c>
      <c r="Q17" s="1" t="n">
        <v>-3.053282892020956e-05</v>
      </c>
      <c r="R17" t="n">
        <v>0.0055138517419496</v>
      </c>
      <c r="S17" t="n">
        <v>0.0055044387004993</v>
      </c>
      <c r="T17" t="n">
        <v>-999.9167249206448</v>
      </c>
      <c r="U17" t="n">
        <v>0.3923611112554858</v>
      </c>
      <c r="V17" t="n">
        <v>-0.5008101850175087</v>
      </c>
      <c r="W17" t="n">
        <v>-0.2739066949965633</v>
      </c>
      <c r="X17" t="n">
        <v>-2.76666666651942</v>
      </c>
      <c r="Y17" t="n">
        <v>-3.963888888718073</v>
      </c>
      <c r="Z17" t="n">
        <v>1.865277777920816</v>
      </c>
      <c r="AA17" t="n">
        <v>-0.0944444442771479</v>
      </c>
      <c r="AB17" t="n">
        <v>2.644177350404232</v>
      </c>
      <c r="AC17" t="n">
        <v>0.0055138512353101</v>
      </c>
      <c r="AD17" t="n">
        <v>2.906695024598894</v>
      </c>
      <c r="AE17" t="n">
        <v>4.522838860263876</v>
      </c>
      <c r="AF17" t="n">
        <v>4.752242010053979</v>
      </c>
      <c r="AG17" t="n">
        <v>4.374174869316859</v>
      </c>
      <c r="AH17" t="n">
        <v>-3.264867076239067</v>
      </c>
      <c r="AI17" t="n">
        <v>23.15333333333333</v>
      </c>
      <c r="AJ17" t="n">
        <v>23.03666666666667</v>
      </c>
      <c r="AK17" s="1" t="n">
        <v>6.255053633361901e-18</v>
      </c>
      <c r="AL17" s="1" t="n">
        <v>2.718596638476747e-08</v>
      </c>
      <c r="AM17" t="n">
        <v>11.30551666666667</v>
      </c>
      <c r="AN17" t="n">
        <v>-750.9194275349854</v>
      </c>
      <c r="AO17" t="n">
        <v>0.0986071035657226</v>
      </c>
      <c r="AP17" t="n">
        <v>0.1154261771170165</v>
      </c>
      <c r="AQ17" t="n">
        <v>0.1177982702435659</v>
      </c>
      <c r="AR17" t="n">
        <v>0.1507593988403562</v>
      </c>
      <c r="AS17" t="n">
        <v>0.1578675525730266</v>
      </c>
      <c r="AU17">
        <f>(AQ17&lt;AU$1)*1</f>
        <v/>
      </c>
      <c r="AV17">
        <f>(AS17&lt;AV$1)*1</f>
        <v/>
      </c>
    </row>
    <row r="18">
      <c r="A18" t="inlineStr">
        <is>
          <t>lowess1dt20wAR</t>
        </is>
      </c>
      <c r="B18" t="inlineStr">
        <is>
          <t>42/3_ST_Fits</t>
        </is>
      </c>
      <c r="C18" t="inlineStr">
        <is>
          <t>c</t>
        </is>
      </c>
      <c r="D18" t="n">
        <v>85.05</v>
      </c>
      <c r="E18" t="n">
        <v>146.9</v>
      </c>
      <c r="F18" t="n">
        <v>0.0066235509183671</v>
      </c>
      <c r="G18" t="n">
        <v>-576.8866501948357</v>
      </c>
      <c r="H18" t="n">
        <v>0.6944444445885096</v>
      </c>
      <c r="I18" t="n">
        <v>0.0770833335024539</v>
      </c>
      <c r="J18" t="n">
        <v>-0.1530694226987669</v>
      </c>
      <c r="K18" t="n">
        <v>-1.8069444442981</v>
      </c>
      <c r="L18" t="n">
        <v>-2.033333333162872</v>
      </c>
      <c r="M18" t="n">
        <v>1.148611111254767</v>
      </c>
      <c r="N18" t="n">
        <v>0.4263888890571251</v>
      </c>
      <c r="O18" t="n">
        <v>3.066070745353385</v>
      </c>
      <c r="P18" t="n">
        <v>0.0372901299485337</v>
      </c>
      <c r="Q18" s="1" t="n">
        <v>-8.808794171241213e-06</v>
      </c>
      <c r="R18" t="n">
        <v>0.009158106992642001</v>
      </c>
      <c r="S18" t="n">
        <v>0.0066235510508219</v>
      </c>
      <c r="T18" t="n">
        <v>-1138.392765014266</v>
      </c>
      <c r="U18" t="n">
        <v>0.7430555556995804</v>
      </c>
      <c r="V18" t="n">
        <v>-0.3027777776102842</v>
      </c>
      <c r="W18" t="n">
        <v>-0.3027599713502651</v>
      </c>
      <c r="X18" t="n">
        <v>-1.636111110964922</v>
      </c>
      <c r="Y18" t="n">
        <v>-2.205555555386339</v>
      </c>
      <c r="Z18" t="n">
        <v>2.426388889031379</v>
      </c>
      <c r="AA18" t="n">
        <v>0.4625000001667939</v>
      </c>
      <c r="AB18" t="n">
        <v>2.670868945845453</v>
      </c>
      <c r="AC18" t="n">
        <v>0.0091581064860025</v>
      </c>
      <c r="AD18" t="n">
        <v>4.419278731571845</v>
      </c>
      <c r="AE18" t="n">
        <v>1.948670927056985</v>
      </c>
      <c r="AF18" t="n">
        <v>7.289191815118404</v>
      </c>
      <c r="AG18" t="n">
        <v>5.055551472122221</v>
      </c>
      <c r="AH18" t="n">
        <v>-2.247216849523805</v>
      </c>
      <c r="AI18" t="n">
        <v>17.59666666666667</v>
      </c>
      <c r="AJ18" t="n">
        <v>17.52666666666666</v>
      </c>
      <c r="AK18" s="1" t="n">
        <v>4.482755928237132e-08</v>
      </c>
      <c r="AL18" s="1" t="n">
        <v>4.598631524675305e-07</v>
      </c>
      <c r="AM18" t="n">
        <v>6.111916666666667</v>
      </c>
      <c r="AN18" t="n">
        <v>-516.8598753904751</v>
      </c>
      <c r="AO18" t="n">
        <v>0.0737907397131338</v>
      </c>
      <c r="AP18" t="n">
        <v>0.0913089724501786</v>
      </c>
      <c r="AQ18" t="n">
        <v>0.0936643455516435</v>
      </c>
      <c r="AR18" t="n">
        <v>0.1378425449482266</v>
      </c>
      <c r="AS18" t="n">
        <v>0.1460052622757909</v>
      </c>
      <c r="AU18">
        <f>(AQ18&lt;AU$1)*1</f>
        <v/>
      </c>
      <c r="AV18">
        <f>(AS18&lt;AV$1)*1</f>
        <v/>
      </c>
    </row>
    <row r="19">
      <c r="A19" t="inlineStr">
        <is>
          <t>lowess1dt20wARMA</t>
        </is>
      </c>
      <c r="B19" t="inlineStr">
        <is>
          <t>42/3_ST_Fits</t>
        </is>
      </c>
      <c r="C19" t="inlineStr">
        <is>
          <t>c</t>
        </is>
      </c>
      <c r="D19" t="n">
        <v>74.53333333333333</v>
      </c>
      <c r="E19" t="n">
        <v>140.3666666666667</v>
      </c>
      <c r="F19" t="n">
        <v>0.0066235509183671</v>
      </c>
      <c r="G19" t="n">
        <v>-413.1340466398858</v>
      </c>
      <c r="H19" t="n">
        <v>0.6965277779218544</v>
      </c>
      <c r="I19" t="n">
        <v>0.0703703705394926</v>
      </c>
      <c r="J19" t="n">
        <v>-0.154211933737109</v>
      </c>
      <c r="K19" t="n">
        <v>-1.805555555409201</v>
      </c>
      <c r="L19" t="n">
        <v>-2.038888888718422</v>
      </c>
      <c r="M19" t="n">
        <v>1.150000000143666</v>
      </c>
      <c r="N19" t="n">
        <v>0.4194444446126832</v>
      </c>
      <c r="O19" t="n">
        <v>3.064563621414543</v>
      </c>
      <c r="P19" t="n">
        <v>0.032773250356544</v>
      </c>
      <c r="Q19" t="n">
        <v>-0.0014476901053071</v>
      </c>
      <c r="R19" t="n">
        <v>0.009158106992642001</v>
      </c>
      <c r="S19" t="n">
        <v>0.0066235510508219</v>
      </c>
      <c r="T19" t="n">
        <v>-871.1655617340747</v>
      </c>
      <c r="U19" t="n">
        <v>0.745833333477367</v>
      </c>
      <c r="V19" t="n">
        <v>-0.3094907405732455</v>
      </c>
      <c r="W19" t="n">
        <v>-0.3040687320340253</v>
      </c>
      <c r="X19" t="n">
        <v>-1.634722222076024</v>
      </c>
      <c r="Y19" t="n">
        <v>-2.21111111094189</v>
      </c>
      <c r="Z19" t="n">
        <v>2.430555555698053</v>
      </c>
      <c r="AA19" t="n">
        <v>0.4555555557223519</v>
      </c>
      <c r="AB19" t="n">
        <v>2.671572293423798</v>
      </c>
      <c r="AC19" t="n">
        <v>0.0091581064860025</v>
      </c>
      <c r="AD19" t="n">
        <v>4.309584473926308</v>
      </c>
      <c r="AE19" t="n">
        <v>2.083462832568026</v>
      </c>
      <c r="AF19" t="n">
        <v>7.07628140374371</v>
      </c>
      <c r="AG19" t="n">
        <v>5.029876966473163</v>
      </c>
      <c r="AH19" t="n">
        <v>-1.573537640523205</v>
      </c>
      <c r="AI19" t="n">
        <v>17.59666666666667</v>
      </c>
      <c r="AJ19" t="n">
        <v>17.52666666666666</v>
      </c>
      <c r="AK19" s="1" t="n">
        <v>1.320675055943812e-06</v>
      </c>
      <c r="AL19" s="1" t="n">
        <v>6.774024238697681e-06</v>
      </c>
      <c r="AM19" t="n">
        <v>5.97255</v>
      </c>
      <c r="AN19" t="n">
        <v>-338.310592712489</v>
      </c>
      <c r="AO19" t="n">
        <v>0.07517265877711631</v>
      </c>
      <c r="AP19" t="n">
        <v>0.0913089724501786</v>
      </c>
      <c r="AQ19" t="n">
        <v>0.0936643455516435</v>
      </c>
      <c r="AR19" t="n">
        <v>0.1378425449482266</v>
      </c>
      <c r="AS19" t="n">
        <v>0.1460052622757909</v>
      </c>
      <c r="AU19">
        <f>(AQ19&lt;AU$1)*1</f>
        <v/>
      </c>
      <c r="AV19">
        <f>(AS19&lt;AV$1)*1</f>
        <v/>
      </c>
    </row>
    <row r="20">
      <c r="A20" t="inlineStr">
        <is>
          <t>lowess1dt20wnc</t>
        </is>
      </c>
      <c r="B20" t="inlineStr">
        <is>
          <t>42/3_ST_Fits</t>
        </is>
      </c>
      <c r="C20" t="inlineStr">
        <is>
          <t>c</t>
        </is>
      </c>
      <c r="D20" t="n">
        <v>38.5</v>
      </c>
      <c r="E20" t="n">
        <v>92.59999999999999</v>
      </c>
      <c r="F20" t="n">
        <v>0.0066235509183671</v>
      </c>
      <c r="G20" t="n">
        <v>-88.80180261329487</v>
      </c>
      <c r="H20" t="n">
        <v>0.68819444458854</v>
      </c>
      <c r="I20" t="n">
        <v>0.0743055557246861</v>
      </c>
      <c r="J20" t="n">
        <v>-0.1540957979438914</v>
      </c>
      <c r="K20" t="n">
        <v>-1.812499999853628</v>
      </c>
      <c r="L20" t="n">
        <v>-2.030555555385081</v>
      </c>
      <c r="M20" t="n">
        <v>1.143055555699247</v>
      </c>
      <c r="N20" t="n">
        <v>0.422222222390466</v>
      </c>
      <c r="O20" t="n">
        <v>3.062047146722633</v>
      </c>
      <c r="P20" t="n">
        <v>0.0488121321500252</v>
      </c>
      <c r="Q20" s="1" t="n">
        <v>-8.808794171241213e-06</v>
      </c>
      <c r="R20" t="n">
        <v>0.009158106992642001</v>
      </c>
      <c r="S20" t="n">
        <v>0.0066235510508219</v>
      </c>
      <c r="T20" t="n">
        <v>-305.4220666944906</v>
      </c>
      <c r="U20" t="n">
        <v>0.7381944445884945</v>
      </c>
      <c r="V20" t="n">
        <v>-0.3055555553880518</v>
      </c>
      <c r="W20" t="n">
        <v>-0.3039707975610888</v>
      </c>
      <c r="X20" t="n">
        <v>-1.64166666652045</v>
      </c>
      <c r="Y20" t="n">
        <v>-2.202777777608548</v>
      </c>
      <c r="Z20" t="n">
        <v>2.425000000142518</v>
      </c>
      <c r="AA20" t="n">
        <v>0.4583333335001348</v>
      </c>
      <c r="AB20" t="n">
        <v>2.672916666643175</v>
      </c>
      <c r="AC20" t="n">
        <v>0.0091581064860025</v>
      </c>
      <c r="AD20" t="n">
        <v>3.962026706116552</v>
      </c>
      <c r="AE20" t="n">
        <v>2.671851029946161</v>
      </c>
      <c r="AF20" t="n">
        <v>6.461972481328956</v>
      </c>
      <c r="AG20" t="n">
        <v>4.938295964162813</v>
      </c>
      <c r="AH20" t="n">
        <v>0.3361985958672274</v>
      </c>
      <c r="AI20" t="n">
        <v>17.59666666666667</v>
      </c>
      <c r="AJ20" t="n">
        <v>17.52666666666666</v>
      </c>
      <c r="AK20" t="n">
        <v>0.0007221262727411</v>
      </c>
      <c r="AL20" t="n">
        <v>0.0027413393328226</v>
      </c>
      <c r="AM20" t="n">
        <v>6.111916666666667</v>
      </c>
      <c r="AN20" t="n">
        <v>77.3256770494623</v>
      </c>
      <c r="AO20" t="n">
        <v>0.0737907397131338</v>
      </c>
      <c r="AP20" t="n">
        <v>0.0913089724501786</v>
      </c>
      <c r="AQ20" t="n">
        <v>0.0936643455516435</v>
      </c>
      <c r="AR20" t="n">
        <v>0.1378425449482266</v>
      </c>
      <c r="AS20" t="n">
        <v>0.1460052622757909</v>
      </c>
      <c r="AU20">
        <f>(AQ20&lt;AU$1)*1</f>
        <v/>
      </c>
      <c r="AV20">
        <f>(AS20&lt;AV$1)*1</f>
        <v/>
      </c>
    </row>
    <row r="21">
      <c r="A21" t="inlineStr">
        <is>
          <t>lowess1dt26wnc</t>
        </is>
      </c>
      <c r="B21" t="inlineStr">
        <is>
          <t>42/3_ST_Fits</t>
        </is>
      </c>
      <c r="C21" t="inlineStr">
        <is>
          <t>c</t>
        </is>
      </c>
      <c r="D21" t="n">
        <v>20.58333333333333</v>
      </c>
      <c r="E21" t="n">
        <v>56.91666666666666</v>
      </c>
      <c r="F21" t="n">
        <v>0.0070993977895489</v>
      </c>
      <c r="G21" t="n">
        <v>-3.818210490202582</v>
      </c>
      <c r="H21" t="n">
        <v>0.3173611112555212</v>
      </c>
      <c r="I21" t="n">
        <v>-0.6057870368671475</v>
      </c>
      <c r="J21" t="n">
        <v>-0.2998963033800454</v>
      </c>
      <c r="K21" t="n">
        <v>-1.37222222207627</v>
      </c>
      <c r="L21" t="n">
        <v>-1.612499999829765</v>
      </c>
      <c r="M21" t="n">
        <v>0.3583333334777042</v>
      </c>
      <c r="N21" t="n">
        <v>-0.9236111109415028</v>
      </c>
      <c r="O21" t="n">
        <v>2.890597061236688</v>
      </c>
      <c r="P21" t="n">
        <v>0.0512691076624982</v>
      </c>
      <c r="Q21" t="n">
        <v>-0.0001074167601038</v>
      </c>
      <c r="R21" t="n">
        <v>0.0124849472443262</v>
      </c>
      <c r="S21" t="n">
        <v>0.0070993979220036</v>
      </c>
      <c r="T21" t="n">
        <v>-204.5466790234365</v>
      </c>
      <c r="U21" t="n">
        <v>0.3666666668110337</v>
      </c>
      <c r="V21" t="n">
        <v>-1.141203703535432</v>
      </c>
      <c r="W21" t="n">
        <v>-0.4702101138006708</v>
      </c>
      <c r="X21" t="n">
        <v>-1.201388888743092</v>
      </c>
      <c r="Y21" t="n">
        <v>-1.784722222053362</v>
      </c>
      <c r="Z21" t="n">
        <v>1.680555555698727</v>
      </c>
      <c r="AA21" t="n">
        <v>-0.8194444442764658</v>
      </c>
      <c r="AB21" t="n">
        <v>2.723664529885702</v>
      </c>
      <c r="AC21" t="n">
        <v>0.0124849467376867</v>
      </c>
      <c r="AD21" t="n">
        <v>4.220866276286888</v>
      </c>
      <c r="AE21" t="n">
        <v>2.785052962529193</v>
      </c>
      <c r="AF21" t="n">
        <v>6.872022215609467</v>
      </c>
      <c r="AG21" t="n">
        <v>5.771128750157223</v>
      </c>
      <c r="AH21" t="n">
        <v>0.827773613786973</v>
      </c>
      <c r="AI21" t="n">
        <v>16.09333333333333</v>
      </c>
      <c r="AJ21" t="n">
        <v>16.04</v>
      </c>
      <c r="AK21" t="n">
        <v>0.0074923706623669</v>
      </c>
      <c r="AL21" t="n">
        <v>0.0234429738332821</v>
      </c>
      <c r="AM21" t="n">
        <v>4.87725</v>
      </c>
      <c r="AN21" t="n">
        <v>190.3879311710038</v>
      </c>
      <c r="AO21" t="n">
        <v>0.0656434515666228</v>
      </c>
      <c r="AP21" t="n">
        <v>0.0810010591865131</v>
      </c>
      <c r="AQ21" t="n">
        <v>0.0841317136330082</v>
      </c>
      <c r="AR21" t="n">
        <v>0.1307230935722327</v>
      </c>
      <c r="AS21" t="n">
        <v>0.1398122811960696</v>
      </c>
      <c r="AU21">
        <f>(AQ21&lt;AU$1)*1</f>
        <v/>
      </c>
      <c r="AV21">
        <f>(AS21&lt;AV$1)*1</f>
        <v/>
      </c>
    </row>
    <row r="22">
      <c r="A22" t="inlineStr">
        <is>
          <t>lowess1dt30wnc</t>
        </is>
      </c>
      <c r="B22" t="inlineStr">
        <is>
          <t>42/3_ST_Fits</t>
        </is>
      </c>
      <c r="C22" t="inlineStr">
        <is>
          <t>c</t>
        </is>
      </c>
      <c r="D22" t="n">
        <v>15.38333333333333</v>
      </c>
      <c r="E22" t="n">
        <v>41</v>
      </c>
      <c r="F22" t="n">
        <v>0.0073038694262504</v>
      </c>
      <c r="G22" t="n">
        <v>30.25320142008047</v>
      </c>
      <c r="H22" t="n">
        <v>0.4041666668110376</v>
      </c>
      <c r="I22" t="n">
        <v>-0.6067129627930032</v>
      </c>
      <c r="J22" t="n">
        <v>-0.4005865853203792</v>
      </c>
      <c r="K22" t="n">
        <v>-1.154166666520878</v>
      </c>
      <c r="L22" t="n">
        <v>-1.469444444274276</v>
      </c>
      <c r="M22" t="n">
        <v>0.5013888890331715</v>
      </c>
      <c r="N22" t="n">
        <v>-0.8611111109414954</v>
      </c>
      <c r="O22" t="n">
        <v>2.824041793189367</v>
      </c>
      <c r="P22" t="n">
        <v>0.052466931911223</v>
      </c>
      <c r="Q22" t="n">
        <v>-0.0002695552913823</v>
      </c>
      <c r="R22" t="n">
        <v>0.0152589960892994</v>
      </c>
      <c r="S22" t="n">
        <v>0.0073038695587051</v>
      </c>
      <c r="T22" t="n">
        <v>-162.7846215953253</v>
      </c>
      <c r="U22" t="n">
        <v>0.4618055556998758</v>
      </c>
      <c r="V22" t="n">
        <v>-1.135879629461375</v>
      </c>
      <c r="W22" t="n">
        <v>-0.52037037021128</v>
      </c>
      <c r="X22" t="n">
        <v>-0.9833333331877004</v>
      </c>
      <c r="Y22" t="n">
        <v>-1.641666666497955</v>
      </c>
      <c r="Z22" t="n">
        <v>1.831944444587521</v>
      </c>
      <c r="AA22" t="n">
        <v>-0.71249999983213</v>
      </c>
      <c r="AB22" t="n">
        <v>2.79401709397187</v>
      </c>
      <c r="AC22" t="n">
        <v>0.0152589955826599</v>
      </c>
      <c r="AD22" t="n">
        <v>4.540872886148759</v>
      </c>
      <c r="AE22" t="n">
        <v>2.749435949960852</v>
      </c>
      <c r="AF22" t="n">
        <v>7.068957371741695</v>
      </c>
      <c r="AG22" t="n">
        <v>5.768215368216313</v>
      </c>
      <c r="AH22" t="n">
        <v>1.016791393812836</v>
      </c>
      <c r="AI22" t="n">
        <v>15.40333333333333</v>
      </c>
      <c r="AJ22" t="n">
        <v>15.26666666666667</v>
      </c>
      <c r="AK22" t="n">
        <v>0.0207622601426078</v>
      </c>
      <c r="AL22" t="n">
        <v>0.0493149544225733</v>
      </c>
      <c r="AM22" t="n">
        <v>4.320566666666666</v>
      </c>
      <c r="AN22" t="n">
        <v>233.8620205769523</v>
      </c>
      <c r="AO22" t="n">
        <v>0.0618742832138776</v>
      </c>
      <c r="AP22" t="n">
        <v>0.07631666899813359</v>
      </c>
      <c r="AQ22" t="n">
        <v>0.08000444791078749</v>
      </c>
      <c r="AR22" t="n">
        <v>0.1262666317575982</v>
      </c>
      <c r="AS22" t="n">
        <v>0.1358538611271244</v>
      </c>
      <c r="AU22">
        <f>(AQ22&lt;AU$1)*1</f>
        <v/>
      </c>
      <c r="AV22">
        <f>(AS22&lt;AV$1)*1</f>
        <v/>
      </c>
    </row>
    <row r="23" customFormat="1" s="2">
      <c r="A23" t="inlineStr">
        <is>
          <t>lowess1dt36wnc</t>
        </is>
      </c>
      <c r="B23" t="inlineStr">
        <is>
          <t>42/3_ST_Fits</t>
        </is>
      </c>
      <c r="C23" t="inlineStr">
        <is>
          <t>c</t>
        </is>
      </c>
      <c r="D23" t="n">
        <v>11.03333333333333</v>
      </c>
      <c r="E23" t="n">
        <v>31.03333333333333</v>
      </c>
      <c r="F23" t="n">
        <v>0.0072959300875663</v>
      </c>
      <c r="G23" t="n">
        <v>58.76782244382999</v>
      </c>
      <c r="H23" t="n">
        <v>0.0465277779224607</v>
      </c>
      <c r="I23" t="n">
        <v>-0.8518518516815232</v>
      </c>
      <c r="J23" t="n">
        <v>-0.4491398646027425</v>
      </c>
      <c r="K23" t="n">
        <v>-0.8138888887434216</v>
      </c>
      <c r="L23" t="n">
        <v>-1.366666666496424</v>
      </c>
      <c r="M23" t="n">
        <v>-0.4972222220770428</v>
      </c>
      <c r="N23" t="n">
        <v>-1.166666666496606</v>
      </c>
      <c r="O23" t="n">
        <v>2.803154293712081</v>
      </c>
      <c r="P23" t="n">
        <v>0.0538304332852383</v>
      </c>
      <c r="Q23" t="n">
        <v>-0.0007364943946763</v>
      </c>
      <c r="R23" t="n">
        <v>0.0196999568243821</v>
      </c>
      <c r="S23" t="n">
        <v>0.007295930220021</v>
      </c>
      <c r="T23" t="n">
        <v>-120.1525323858819</v>
      </c>
      <c r="U23" t="n">
        <v>0.2173611112556386</v>
      </c>
      <c r="V23" t="n">
        <v>-1.227546296127951</v>
      </c>
      <c r="W23" t="n">
        <v>-0.5355769229179802</v>
      </c>
      <c r="X23" t="n">
        <v>-0.6430555554102436</v>
      </c>
      <c r="Y23" t="n">
        <v>-1.538888888720256</v>
      </c>
      <c r="Z23" t="n">
        <v>1.025000000143791</v>
      </c>
      <c r="AA23" t="n">
        <v>-0.9874999998318724</v>
      </c>
      <c r="AB23" t="n">
        <v>2.865349002803538</v>
      </c>
      <c r="AC23" t="n">
        <v>0.0196999563177426</v>
      </c>
      <c r="AD23" t="n">
        <v>4.91480503297738</v>
      </c>
      <c r="AE23" t="n">
        <v>2.55587009641617</v>
      </c>
      <c r="AF23" t="n">
        <v>6.812975893095206</v>
      </c>
      <c r="AG23" t="n">
        <v>5.609222766165536</v>
      </c>
      <c r="AH23" t="n">
        <v>1.168130747783542</v>
      </c>
      <c r="AI23" t="n">
        <v>14.84</v>
      </c>
      <c r="AJ23" t="n">
        <v>14.79</v>
      </c>
      <c r="AK23" t="n">
        <v>0.0518167282797116</v>
      </c>
      <c r="AL23" t="n">
        <v>0.0818454008738521</v>
      </c>
      <c r="AM23" t="n">
        <v>3.709816666666666</v>
      </c>
      <c r="AN23" t="n">
        <v>268.6700719902146</v>
      </c>
      <c r="AO23" t="n">
        <v>0.0582730889577882</v>
      </c>
      <c r="AP23" t="n">
        <v>0.07147681412335399</v>
      </c>
      <c r="AQ23" t="n">
        <v>0.0758062842087472</v>
      </c>
      <c r="AR23" t="n">
        <v>0.1202251579255583</v>
      </c>
      <c r="AS23" t="n">
        <v>0.1304115535929776</v>
      </c>
      <c r="AU23" s="2">
        <f>(AQ23&lt;AU$1)*1</f>
        <v/>
      </c>
      <c r="AV23" s="2">
        <f>(AS23&lt;AV$1)*1</f>
        <v/>
      </c>
    </row>
    <row r="24">
      <c r="A24" t="inlineStr">
        <is>
          <t>lowess2dt20wnc</t>
        </is>
      </c>
      <c r="B24" t="inlineStr">
        <is>
          <t>42/3_ST_Fits</t>
        </is>
      </c>
      <c r="C24" t="inlineStr">
        <is>
          <t>c</t>
        </is>
      </c>
      <c r="D24" t="n">
        <v>48.18333333333333</v>
      </c>
      <c r="E24" t="n">
        <v>114.85</v>
      </c>
      <c r="F24" t="n">
        <v>0.0056096806349577</v>
      </c>
      <c r="G24" t="n">
        <v>-126.980012006055</v>
      </c>
      <c r="H24" t="n">
        <v>0.06423611125578201</v>
      </c>
      <c r="I24" t="n">
        <v>-0.3398148146454862</v>
      </c>
      <c r="J24" t="n">
        <v>-0.1694968012616549</v>
      </c>
      <c r="K24" t="n">
        <v>-3.104166666519105</v>
      </c>
      <c r="L24" t="n">
        <v>-3.534722222050497</v>
      </c>
      <c r="M24" t="n">
        <v>1.262500000143575</v>
      </c>
      <c r="N24" t="n">
        <v>-0.2680555553868089</v>
      </c>
      <c r="O24" t="n">
        <v>3.400797635349729</v>
      </c>
      <c r="P24" t="n">
        <v>0.0613145441942542</v>
      </c>
      <c r="Q24" s="1" t="n">
        <v>-4.323888932575456e-05</v>
      </c>
      <c r="R24" t="n">
        <v>0.0046002181371052</v>
      </c>
      <c r="S24" t="n">
        <v>0.0056096807674125</v>
      </c>
      <c r="T24" t="n">
        <v>-265.5268137910312</v>
      </c>
      <c r="U24" t="n">
        <v>0.0208333334780478</v>
      </c>
      <c r="V24" t="n">
        <v>-0.498148147980487</v>
      </c>
      <c r="W24" t="n">
        <v>-0.4110274214921902</v>
      </c>
      <c r="X24" t="n">
        <v>-2.933333333185927</v>
      </c>
      <c r="Y24" t="n">
        <v>-3.706944444273866</v>
      </c>
      <c r="Z24" t="n">
        <v>1.2277777779214</v>
      </c>
      <c r="AA24" t="n">
        <v>0.0958333335004454</v>
      </c>
      <c r="AB24" t="n">
        <v>2.536693376034654</v>
      </c>
      <c r="AC24" t="n">
        <v>0.0046002176304657</v>
      </c>
      <c r="AD24" t="n">
        <v>3.650042017048037</v>
      </c>
      <c r="AE24" t="n">
        <v>3.243110926052698</v>
      </c>
      <c r="AF24" t="n">
        <v>4.665701501281479</v>
      </c>
      <c r="AG24" t="n">
        <v>3.825650139552749</v>
      </c>
      <c r="AH24" t="n">
        <v>-0.1293994655530541</v>
      </c>
      <c r="AI24" t="n">
        <v>22.735</v>
      </c>
      <c r="AJ24" t="n">
        <v>22.53166666666667</v>
      </c>
      <c r="AK24" s="1" t="n">
        <v>6.930704234704977e-05</v>
      </c>
      <c r="AL24" t="n">
        <v>0.0013952995879733</v>
      </c>
      <c r="AM24" t="n">
        <v>11.65148333333334</v>
      </c>
      <c r="AN24" t="n">
        <v>-29.76187707720244</v>
      </c>
      <c r="AO24" t="n">
        <v>0.1020374340308943</v>
      </c>
      <c r="AP24" t="n">
        <v>0.1228424287236267</v>
      </c>
      <c r="AQ24" t="n">
        <v>0.1251504934712898</v>
      </c>
      <c r="AR24" t="n">
        <v>0.1566038688885237</v>
      </c>
      <c r="AS24" t="n">
        <v>0.1633711272951165</v>
      </c>
      <c r="AU24">
        <f>(AQ24&lt;AU$1)*1</f>
        <v/>
      </c>
      <c r="AV24">
        <f>(AS24&lt;AV$1)*1</f>
        <v/>
      </c>
    </row>
    <row r="25">
      <c r="A25" t="inlineStr">
        <is>
          <t>lowess2dt30wnc</t>
        </is>
      </c>
      <c r="B25" t="inlineStr">
        <is>
          <t>42/3_ST_Fits</t>
        </is>
      </c>
      <c r="C25" t="inlineStr">
        <is>
          <t>c</t>
        </is>
      </c>
      <c r="D25" t="n">
        <v>19.11666666666667</v>
      </c>
      <c r="E25" t="n">
        <v>62.15</v>
      </c>
      <c r="F25" t="n">
        <v>0.0061552237829675</v>
      </c>
      <c r="G25" t="n">
        <v>1.470059052719223</v>
      </c>
      <c r="H25" t="n">
        <v>0.09398148162610161</v>
      </c>
      <c r="I25" t="n">
        <v>0.2416666668355383</v>
      </c>
      <c r="J25" t="n">
        <v>-0.2723864097241086</v>
      </c>
      <c r="K25" t="n">
        <v>-2.930555555408171</v>
      </c>
      <c r="L25" t="n">
        <v>-2.430555555384869</v>
      </c>
      <c r="M25" t="n">
        <v>0.9791666668104844</v>
      </c>
      <c r="N25" t="n">
        <v>0.8527777779454785</v>
      </c>
      <c r="O25" t="n">
        <v>3.215252975582773</v>
      </c>
      <c r="P25" t="n">
        <v>0.0684267868335621</v>
      </c>
      <c r="Q25" t="n">
        <v>-0.0002251161267412</v>
      </c>
      <c r="R25" t="n">
        <v>0.0046335332592328</v>
      </c>
      <c r="S25" t="n">
        <v>0.0061552239154223</v>
      </c>
      <c r="T25" t="n">
        <v>-124.7298218684002</v>
      </c>
      <c r="U25" t="n">
        <v>-0.2087962961514007</v>
      </c>
      <c r="V25" t="n">
        <v>0.0465277779449492</v>
      </c>
      <c r="W25" t="n">
        <v>-0.4307959400111706</v>
      </c>
      <c r="X25" t="n">
        <v>-2.759722222074993</v>
      </c>
      <c r="Y25" t="n">
        <v>-2.6027777776082</v>
      </c>
      <c r="Z25" t="n">
        <v>0.9625000001438214</v>
      </c>
      <c r="AA25" t="n">
        <v>0.7736111112776219</v>
      </c>
      <c r="AB25" t="n">
        <v>2.54746260679827</v>
      </c>
      <c r="AC25" t="n">
        <v>0.0046335327525932</v>
      </c>
      <c r="AD25" t="n">
        <v>3.372325937748103</v>
      </c>
      <c r="AE25" t="n">
        <v>3.207842373333193</v>
      </c>
      <c r="AF25" t="n">
        <v>5.213410084689675</v>
      </c>
      <c r="AG25" t="n">
        <v>4.148053138215788</v>
      </c>
      <c r="AH25" t="n">
        <v>0.6670240627322566</v>
      </c>
      <c r="AI25" t="n">
        <v>19.30166666666666</v>
      </c>
      <c r="AJ25" t="n">
        <v>19.26166666666667</v>
      </c>
      <c r="AK25" t="n">
        <v>0.00711568736184</v>
      </c>
      <c r="AL25" t="n">
        <v>0.0324545783090632</v>
      </c>
      <c r="AM25" t="n">
        <v>8.476966666666666</v>
      </c>
      <c r="AN25" t="n">
        <v>153.415534428419</v>
      </c>
      <c r="AO25" t="n">
        <v>0.0889233591784462</v>
      </c>
      <c r="AP25" t="n">
        <v>0.1090383014491143</v>
      </c>
      <c r="AQ25" t="n">
        <v>0.1117034830661226</v>
      </c>
      <c r="AR25" t="n">
        <v>0.1511388105358016</v>
      </c>
      <c r="AS25" t="n">
        <v>0.1589578301125357</v>
      </c>
      <c r="AU25">
        <f>(AQ25&lt;AU$1)*1</f>
        <v/>
      </c>
      <c r="AV25">
        <f>(AS25&lt;AV$1)*1</f>
        <v/>
      </c>
    </row>
    <row r="26">
      <c r="A26" t="inlineStr">
        <is>
          <t>min_month_proj</t>
        </is>
      </c>
      <c r="B26" t="inlineStr">
        <is>
          <t>42/3_ST_Fits</t>
        </is>
      </c>
      <c r="C26" t="inlineStr">
        <is>
          <t>c</t>
        </is>
      </c>
      <c r="D26" t="n">
        <v>35.86666666666667</v>
      </c>
      <c r="E26" t="n">
        <v>156.3166666666667</v>
      </c>
      <c r="F26" t="n">
        <v>0.1988599087930576</v>
      </c>
      <c r="G26" t="n">
        <v>-50.79403025162748</v>
      </c>
      <c r="H26" t="n">
        <v>-7.551851851700272</v>
      </c>
      <c r="I26" t="n">
        <v>-9.436111110933391</v>
      </c>
      <c r="J26" t="n">
        <v>-8.989965994486541</v>
      </c>
      <c r="K26" t="n">
        <v>-9.620833333179876</v>
      </c>
      <c r="L26" t="n">
        <v>-11.5791666664874</v>
      </c>
      <c r="M26" t="n">
        <v>-8.034722222070206</v>
      </c>
      <c r="N26" t="n">
        <v>-11.07499999982119</v>
      </c>
      <c r="O26" t="n">
        <v>10.0388213923298</v>
      </c>
      <c r="P26" t="n">
        <v>0.1521070647530876</v>
      </c>
      <c r="Q26" t="n">
        <v>0.202268795628345</v>
      </c>
      <c r="R26" t="n">
        <v>0.1802364632545296</v>
      </c>
      <c r="S26" t="n">
        <v>0.1988599089255124</v>
      </c>
      <c r="T26" t="n">
        <v>-68.44340281070076</v>
      </c>
      <c r="U26" t="n">
        <v>-7.588657407255796</v>
      </c>
      <c r="V26" t="n">
        <v>-10.21435185167532</v>
      </c>
      <c r="W26" t="n">
        <v>-9.554816595275614</v>
      </c>
      <c r="X26" t="n">
        <v>-9.865277777624099</v>
      </c>
      <c r="Y26" t="n">
        <v>-12.50277777759916</v>
      </c>
      <c r="Z26" t="n">
        <v>-7.665277777626094</v>
      </c>
      <c r="AA26" t="n">
        <v>-11.10972222204487</v>
      </c>
      <c r="AB26" t="n">
        <v>9.554816595275614</v>
      </c>
      <c r="AC26" t="n">
        <v>0.18023646274789</v>
      </c>
      <c r="AD26" t="n">
        <v>1.330378393783324</v>
      </c>
      <c r="AE26" t="n">
        <v>1.238238205913007</v>
      </c>
      <c r="AF26" t="n">
        <v>1.191897734380149</v>
      </c>
      <c r="AG26" t="n">
        <v>1.464570397102583</v>
      </c>
      <c r="AH26" t="n">
        <v>-0.5465459538813356</v>
      </c>
      <c r="AI26" t="n">
        <v>17.84</v>
      </c>
      <c r="AJ26" t="n">
        <v>18.21</v>
      </c>
      <c r="AK26" t="n">
        <v>0.012701758004225</v>
      </c>
      <c r="AL26" t="n">
        <v>0.0254917798508133</v>
      </c>
      <c r="AM26" t="n">
        <v>12.94448333333333</v>
      </c>
      <c r="AN26" t="n">
        <v>-120.7866558077752</v>
      </c>
      <c r="AO26" t="n">
        <v>0.2254322856447328</v>
      </c>
      <c r="AP26" t="n">
        <v>0.2272766696387736</v>
      </c>
      <c r="AQ26" t="n">
        <v>0.2203152951831327</v>
      </c>
      <c r="AR26" t="n">
        <v>0.2410553215802904</v>
      </c>
      <c r="AS26" t="n">
        <v>0.2358913233755373</v>
      </c>
      <c r="AU26">
        <f>(AQ26&lt;AU$1)*1</f>
        <v/>
      </c>
      <c r="AV26">
        <f>(AS26&lt;AV$1)*1</f>
        <v/>
      </c>
    </row>
    <row r="27">
      <c r="A27" t="inlineStr">
        <is>
          <t>opt_clim_norm</t>
        </is>
      </c>
      <c r="B27" t="inlineStr">
        <is>
          <t>42/3_ST_Fits</t>
        </is>
      </c>
      <c r="C27" t="inlineStr">
        <is>
          <t>c</t>
        </is>
      </c>
      <c r="D27" t="n">
        <v>46.83333333333334</v>
      </c>
      <c r="E27" t="n">
        <v>92.66666666666669</v>
      </c>
      <c r="F27" t="n">
        <v>-0.0234339032874505</v>
      </c>
      <c r="G27" t="n">
        <v>-428508.0984147697</v>
      </c>
      <c r="H27" t="n">
        <v>1.260532407550984</v>
      </c>
      <c r="I27" t="n">
        <v>1.213541666834036</v>
      </c>
      <c r="J27" t="n">
        <v>1.417579820032036</v>
      </c>
      <c r="K27" t="n">
        <v>-1.934722222075732</v>
      </c>
      <c r="L27" t="n">
        <v>-1.618055555385968</v>
      </c>
      <c r="M27" t="n">
        <v>1.752777777920918</v>
      </c>
      <c r="N27" t="n">
        <v>1.854166666833089</v>
      </c>
      <c r="O27" t="n">
        <v>4.240440407353424</v>
      </c>
      <c r="P27" t="n">
        <v>0.0461554451462123</v>
      </c>
      <c r="Q27" t="n">
        <v>-0.0142569204277087</v>
      </c>
      <c r="R27" t="n">
        <v>-0.0207488670144919</v>
      </c>
      <c r="S27" t="n">
        <v>-0.0219849243268821</v>
      </c>
      <c r="T27" t="n">
        <v>-369612.2234234039</v>
      </c>
      <c r="U27" t="n">
        <v>1.122569444588144</v>
      </c>
      <c r="V27" t="n">
        <v>0.9725694446083784</v>
      </c>
      <c r="W27" t="n">
        <v>1.175653490185408</v>
      </c>
      <c r="X27" t="n">
        <v>-1.763888888742554</v>
      </c>
      <c r="Y27" t="n">
        <v>-1.963888888722439</v>
      </c>
      <c r="Z27" t="n">
        <v>1.320833333476867</v>
      </c>
      <c r="AA27" t="n">
        <v>1.129166666830308</v>
      </c>
      <c r="AB27" t="n">
        <v>3.351768162410081</v>
      </c>
      <c r="AC27" t="n">
        <v>-0.0171987327706667</v>
      </c>
      <c r="AD27" t="n">
        <v>3.445423590940679</v>
      </c>
      <c r="AE27" t="n">
        <v>3.50832133479072</v>
      </c>
      <c r="AF27" t="n">
        <v>3.815066369395839</v>
      </c>
      <c r="AG27" t="n">
        <v>3.438638869233368</v>
      </c>
      <c r="AH27" t="n">
        <v>-1878.559688721928</v>
      </c>
      <c r="AI27" t="n">
        <v>26.9</v>
      </c>
      <c r="AJ27" t="n">
        <v>26.525</v>
      </c>
      <c r="AK27" s="1" t="n">
        <v>1.934523072791696e-11</v>
      </c>
      <c r="AL27" s="1" t="n">
        <v>5.803671194843842e-08</v>
      </c>
      <c r="AM27" t="n">
        <v>16.21565</v>
      </c>
      <c r="AN27" t="n">
        <v>-432007.3664652209</v>
      </c>
      <c r="AO27" t="n">
        <v>0.0860490081017961</v>
      </c>
      <c r="AP27" t="n">
        <v>0.1082078965488764</v>
      </c>
      <c r="AQ27" t="n">
        <v>0.1092457594446393</v>
      </c>
      <c r="AR27" t="n">
        <v>0.1433895652172614</v>
      </c>
      <c r="AS27" t="n">
        <v>0.147716330107369</v>
      </c>
      <c r="AU27">
        <f>(AQ27&lt;AU$1)*1</f>
        <v/>
      </c>
      <c r="AV27">
        <f>(AS27&lt;AV$1)*1</f>
        <v/>
      </c>
    </row>
    <row r="28">
      <c r="A28" t="inlineStr">
        <is>
          <t>cubic_spline</t>
        </is>
      </c>
      <c r="B28" t="inlineStr">
        <is>
          <t>42/4_GAM_AR1</t>
        </is>
      </c>
      <c r="C28" t="inlineStr">
        <is>
          <t>c</t>
        </is>
      </c>
      <c r="D28" t="n">
        <v>4.683333333333334</v>
      </c>
      <c r="E28" t="n">
        <v>31.2</v>
      </c>
      <c r="F28" t="n">
        <v>0.0050411989882916</v>
      </c>
      <c r="G28" t="n">
        <v>80.59155026747483</v>
      </c>
      <c r="H28" t="n">
        <v>0.9368055556994098</v>
      </c>
      <c r="I28" t="n">
        <v>-1.019675925755454</v>
      </c>
      <c r="J28" t="n">
        <v>-0.2177556045728576</v>
      </c>
      <c r="K28" t="n">
        <v>-0.4458333331882196</v>
      </c>
      <c r="L28" t="n">
        <v>-1.999999999829174</v>
      </c>
      <c r="M28" t="n">
        <v>0.950000000143848</v>
      </c>
      <c r="N28" t="n">
        <v>-1.423611110940813</v>
      </c>
      <c r="O28" t="n">
        <v>3.592504126657088</v>
      </c>
      <c r="P28" t="n">
        <v>0.076522303138127</v>
      </c>
      <c r="Q28" t="n">
        <v>-0.0008561467870306</v>
      </c>
      <c r="R28" t="n">
        <v>0.0225909810082557</v>
      </c>
      <c r="S28" t="n">
        <v>0.0050411991207463</v>
      </c>
      <c r="T28" t="n">
        <v>4.430828660330635</v>
      </c>
      <c r="U28" t="n">
        <v>0.9504629631068068</v>
      </c>
      <c r="V28" t="n">
        <v>-1.389120370201859</v>
      </c>
      <c r="W28" t="n">
        <v>-0.3762998573906951</v>
      </c>
      <c r="X28" t="n">
        <v>-0.2749999998550417</v>
      </c>
      <c r="Y28" t="n">
        <v>-2.172222222052998</v>
      </c>
      <c r="Z28" t="n">
        <v>2.054166666809503</v>
      </c>
      <c r="AA28" t="n">
        <v>-1.054166666498463</v>
      </c>
      <c r="AB28" t="n">
        <v>2.514227207932387</v>
      </c>
      <c r="AC28" t="n">
        <v>0.0225909805016162</v>
      </c>
      <c r="AD28" t="n">
        <v>3.381039264472891</v>
      </c>
      <c r="AE28" t="n">
        <v>2.702428788109105</v>
      </c>
      <c r="AF28" t="n">
        <v>3.778900966218357</v>
      </c>
      <c r="AG28" t="n">
        <v>3.429342007102721</v>
      </c>
      <c r="AH28" t="n">
        <v>0.9056224387298608</v>
      </c>
      <c r="AI28" t="n">
        <v>16.42666666666667</v>
      </c>
      <c r="AJ28" t="n">
        <v>16.405</v>
      </c>
      <c r="AK28" t="n">
        <v>0.1445129563413148</v>
      </c>
      <c r="AL28" t="n">
        <v>0.2992262192574786</v>
      </c>
      <c r="AM28" t="n">
        <v>9.396316666666667</v>
      </c>
      <c r="AN28" t="n">
        <v>190.1807121332708</v>
      </c>
      <c r="AO28" t="n">
        <v>0.09526220367192249</v>
      </c>
      <c r="AP28" t="n">
        <v>0.0979441138442375</v>
      </c>
      <c r="AQ28" t="n">
        <v>0.0996686517632988</v>
      </c>
      <c r="AR28" t="n">
        <v>0.1439059681990177</v>
      </c>
      <c r="AS28" t="n">
        <v>0.1503646398548689</v>
      </c>
      <c r="AU28">
        <f>(AQ28&lt;AU$1)*1</f>
        <v/>
      </c>
      <c r="AV28">
        <f>(AS28&lt;AV$1)*1</f>
        <v/>
      </c>
    </row>
    <row r="29">
      <c r="A29" t="inlineStr">
        <is>
          <t>GAM_AR0</t>
        </is>
      </c>
      <c r="B29" t="inlineStr">
        <is>
          <t>42/4_GAM_AR1</t>
        </is>
      </c>
      <c r="C29" t="inlineStr">
        <is>
          <t>c</t>
        </is>
      </c>
      <c r="D29" t="n">
        <v>19.76666666666667</v>
      </c>
      <c r="E29" t="n">
        <v>71.55</v>
      </c>
      <c r="F29" t="n">
        <v>0.0071998491753735</v>
      </c>
      <c r="G29" t="n">
        <v>77.31369559331671</v>
      </c>
      <c r="H29" t="n">
        <v>0.272222222366679</v>
      </c>
      <c r="I29" t="n">
        <v>-0.7268518516815941</v>
      </c>
      <c r="J29" t="n">
        <v>-0.3236176052262993</v>
      </c>
      <c r="K29" t="n">
        <v>-0.7333333331879544</v>
      </c>
      <c r="L29" t="n">
        <v>-1.381944444274078</v>
      </c>
      <c r="M29" t="n">
        <v>-0.1499999998551516</v>
      </c>
      <c r="N29" t="n">
        <v>-1.180555555385376</v>
      </c>
      <c r="O29" t="n">
        <v>2.935927597409448</v>
      </c>
      <c r="P29" t="n">
        <v>0.0442627692694936</v>
      </c>
      <c r="Q29" t="n">
        <v>-0.0044669900319752</v>
      </c>
      <c r="R29" t="n">
        <v>0.01906908094816</v>
      </c>
      <c r="S29" t="n">
        <v>0.0071998493078283</v>
      </c>
      <c r="T29" t="n">
        <v>-119.1165416193866</v>
      </c>
      <c r="U29" t="n">
        <v>0.4937500001442572</v>
      </c>
      <c r="V29" t="n">
        <v>-1.077546296128067</v>
      </c>
      <c r="W29" t="n">
        <v>-0.3811609685019716</v>
      </c>
      <c r="X29" t="n">
        <v>-0.5624999998547764</v>
      </c>
      <c r="Y29" t="n">
        <v>-1.554166666498001</v>
      </c>
      <c r="Z29" t="n">
        <v>1.49583333347667</v>
      </c>
      <c r="AA29" t="n">
        <v>-0.8194444442764506</v>
      </c>
      <c r="AB29" t="n">
        <v>2.940206552666482</v>
      </c>
      <c r="AC29" t="n">
        <v>0.0190690804415205</v>
      </c>
      <c r="AD29" t="n">
        <v>4.756374876900569</v>
      </c>
      <c r="AE29" t="n">
        <v>2.638504340391648</v>
      </c>
      <c r="AF29" t="n">
        <v>5.889973097945576</v>
      </c>
      <c r="AG29" t="n">
        <v>4.90923605686765</v>
      </c>
      <c r="AH29" t="n">
        <v>1.003066685574365</v>
      </c>
      <c r="AI29" t="n">
        <v>14.79666666666666</v>
      </c>
      <c r="AJ29" t="n">
        <v>14.73</v>
      </c>
      <c r="AK29" s="1" t="n">
        <v>0.0143634971496862</v>
      </c>
      <c r="AL29" s="1" t="n">
        <v>0.0349053184183269</v>
      </c>
      <c r="AM29" t="n">
        <v>5.801566666666667</v>
      </c>
      <c r="AN29" t="n">
        <v>211.6470706561909</v>
      </c>
      <c r="AO29" t="n">
        <v>0.0699372947598018</v>
      </c>
      <c r="AP29" t="n">
        <v>0.07386526129435871</v>
      </c>
      <c r="AQ29" t="n">
        <v>0.0769420374437652</v>
      </c>
      <c r="AR29" t="n">
        <v>0.1223748858124173</v>
      </c>
      <c r="AS29" t="n">
        <v>0.1308879568414956</v>
      </c>
      <c r="AU29">
        <f>(AQ29&lt;AU$1)*1</f>
        <v/>
      </c>
      <c r="AV29">
        <f>(AS29&lt;AV$1)*1</f>
        <v/>
      </c>
    </row>
    <row r="30" customFormat="1" s="2">
      <c r="A30" t="inlineStr">
        <is>
          <t>GAM_AR1</t>
        </is>
      </c>
      <c r="B30" t="inlineStr">
        <is>
          <t>42/4_GAM_AR1</t>
        </is>
      </c>
      <c r="C30" t="inlineStr">
        <is>
          <t>c</t>
        </is>
      </c>
      <c r="D30" t="n">
        <v>15.81666666666667</v>
      </c>
      <c r="E30" t="n">
        <v>45.7</v>
      </c>
      <c r="F30" t="n">
        <v>0.0017833467910487</v>
      </c>
      <c r="G30" t="n">
        <v>119.2064374892525</v>
      </c>
      <c r="H30" t="n">
        <v>0.5560185186627525</v>
      </c>
      <c r="I30" t="n">
        <v>-0.4150462961265576</v>
      </c>
      <c r="J30" t="n">
        <v>0.0208574259150272</v>
      </c>
      <c r="K30" t="n">
        <v>-0.4930555554103686</v>
      </c>
      <c r="L30" t="n">
        <v>-0.8944444442746469</v>
      </c>
      <c r="M30" t="n">
        <v>0.3180555557000047</v>
      </c>
      <c r="N30" t="n">
        <v>-0.6416666664971066</v>
      </c>
      <c r="O30" t="n">
        <v>2.798091525795044</v>
      </c>
      <c r="P30" t="n">
        <v>0.0492015871428882</v>
      </c>
      <c r="Q30" t="n">
        <v>-0.0127742444504401</v>
      </c>
      <c r="R30" t="n">
        <v>0.0220322742667002</v>
      </c>
      <c r="S30" t="n">
        <v>0.0017833469235035</v>
      </c>
      <c r="T30" t="n">
        <v>23.13528651378364</v>
      </c>
      <c r="U30" t="n">
        <v>0.7268518519959305</v>
      </c>
      <c r="V30" t="n">
        <v>-0.6643518516840244</v>
      </c>
      <c r="W30" t="n">
        <v>-0.1121741451400221</v>
      </c>
      <c r="X30" t="n">
        <v>-0.3222222220771906</v>
      </c>
      <c r="Y30" t="n">
        <v>-1.066666666498471</v>
      </c>
      <c r="Z30" t="n">
        <v>1.697222222365417</v>
      </c>
      <c r="AA30" t="n">
        <v>-0.4416666664990468</v>
      </c>
      <c r="AB30" t="n">
        <v>3.106387108217188</v>
      </c>
      <c r="AC30" t="n">
        <v>0.0220322737600607</v>
      </c>
      <c r="AD30" t="n">
        <v>4.351269834255096</v>
      </c>
      <c r="AE30" t="n">
        <v>2.583664302697858</v>
      </c>
      <c r="AF30" t="n">
        <v>5.332737335710331</v>
      </c>
      <c r="AG30" t="n">
        <v>5.272082946359024</v>
      </c>
      <c r="AH30" t="n">
        <v>1.045265191061986</v>
      </c>
      <c r="AI30" t="n">
        <v>16.47333333333333</v>
      </c>
      <c r="AJ30" t="n">
        <v>16.35666666666667</v>
      </c>
      <c r="AK30" s="1" t="n">
        <v>0.0061019476548339</v>
      </c>
      <c r="AL30" s="1" t="n">
        <v>0.0739346424126051</v>
      </c>
      <c r="AM30" t="n">
        <v>7.325516666666667</v>
      </c>
      <c r="AN30" t="n">
        <v>220.5509553140789</v>
      </c>
      <c r="AO30" t="n">
        <v>0.0631935283648437</v>
      </c>
      <c r="AP30" t="n">
        <v>0.0636608867893305</v>
      </c>
      <c r="AQ30" t="n">
        <v>0.06509429607667271</v>
      </c>
      <c r="AR30" t="n">
        <v>0.1100568175616179</v>
      </c>
      <c r="AS30" t="n">
        <v>0.1183644999950749</v>
      </c>
      <c r="AU30" s="2">
        <f>(AQ30&lt;AU$1)*1</f>
        <v/>
      </c>
      <c r="AV30" s="2">
        <f>(AS30&lt;AV$1)*1</f>
        <v/>
      </c>
    </row>
    <row r="31" customFormat="1" s="2">
      <c r="A31" t="inlineStr">
        <is>
          <t>Kal_flexLin</t>
        </is>
      </c>
      <c r="B31" t="inlineStr">
        <is>
          <t>42/5_Kalman</t>
        </is>
      </c>
      <c r="C31" t="inlineStr">
        <is>
          <t>c</t>
        </is>
      </c>
      <c r="D31" t="n">
        <v>6.333333333333333</v>
      </c>
      <c r="E31" t="n">
        <v>17.88333333333333</v>
      </c>
      <c r="F31" t="n">
        <v>0.0068125751785133</v>
      </c>
      <c r="G31" t="n">
        <v>97.97241511328129</v>
      </c>
      <c r="H31" t="n">
        <v>0.6708333334774452</v>
      </c>
      <c r="I31" t="n">
        <v>-0.5956018516819059</v>
      </c>
      <c r="J31" t="n">
        <v>-0.2480945133490962</v>
      </c>
      <c r="K31" t="n">
        <v>-0.9930555554099292</v>
      </c>
      <c r="L31" t="n">
        <v>-1.479166666496447</v>
      </c>
      <c r="M31" t="n">
        <v>0.9611111112549564</v>
      </c>
      <c r="N31" t="n">
        <v>-0.8861111109414271</v>
      </c>
      <c r="O31" t="n">
        <v>2.612525514389259</v>
      </c>
      <c r="P31" t="n">
        <v>0.051991935918797</v>
      </c>
      <c r="Q31" t="n">
        <v>-0.0010974405359243</v>
      </c>
      <c r="R31" t="n">
        <v>0.0167442542388138</v>
      </c>
      <c r="S31" t="n">
        <v>0.006812575310968</v>
      </c>
      <c r="T31" t="n">
        <v>-79.48401039894874</v>
      </c>
      <c r="U31" t="n">
        <v>0.6965277779218683</v>
      </c>
      <c r="V31" t="n">
        <v>-0.962962962794864</v>
      </c>
      <c r="W31" t="n">
        <v>-0.3083547006957718</v>
      </c>
      <c r="X31" t="n">
        <v>-0.8222222220767511</v>
      </c>
      <c r="Y31" t="n">
        <v>-1.651388888720157</v>
      </c>
      <c r="Z31" t="n">
        <v>2.184722222364962</v>
      </c>
      <c r="AA31" t="n">
        <v>-0.5180555553878624</v>
      </c>
      <c r="AB31" t="n">
        <v>2.908105413065284</v>
      </c>
      <c r="AC31" t="n">
        <v>0.0167442537321743</v>
      </c>
      <c r="AD31" t="n">
        <v>4.381555570934001</v>
      </c>
      <c r="AE31" t="n">
        <v>2.966564792304982</v>
      </c>
      <c r="AF31" t="n">
        <v>6.007792308962914</v>
      </c>
      <c r="AG31" t="n">
        <v>5.273384702175528</v>
      </c>
      <c r="AH31" t="n">
        <v>1.400914942007755</v>
      </c>
      <c r="AI31" t="n">
        <v>15.795</v>
      </c>
      <c r="AJ31" t="n">
        <v>15.65833333333333</v>
      </c>
      <c r="AK31" t="n">
        <v>0.3926278133467703</v>
      </c>
      <c r="AL31" t="n">
        <v>0.4463643282249909</v>
      </c>
      <c r="AM31" t="n">
        <v>5.0439</v>
      </c>
      <c r="AN31" t="n">
        <v>322.2104366617837</v>
      </c>
      <c r="AO31" t="n">
        <v>0.0578463336836187</v>
      </c>
      <c r="AP31" t="n">
        <v>0.06965912315842331</v>
      </c>
      <c r="AQ31" t="n">
        <v>0.0726707083061016</v>
      </c>
      <c r="AR31" t="n">
        <v>0.119831121806341</v>
      </c>
      <c r="AS31" t="n">
        <v>0.1291051170982665</v>
      </c>
      <c r="AU31" s="2">
        <f>(AQ31&lt;AU$1)*1</f>
        <v/>
      </c>
      <c r="AV31" s="2">
        <f>(AS31&lt;AV$1)*1</f>
        <v/>
      </c>
    </row>
    <row r="32">
      <c r="A32" t="inlineStr">
        <is>
          <t>Kal_flexLin_ocn</t>
        </is>
      </c>
      <c r="B32" t="inlineStr">
        <is>
          <t>42/5_Kalman</t>
        </is>
      </c>
      <c r="C32" t="inlineStr">
        <is>
          <t>c</t>
        </is>
      </c>
      <c r="D32" t="n">
        <v>54.5</v>
      </c>
      <c r="E32" t="n">
        <v>137.5666666666667</v>
      </c>
      <c r="F32" t="n">
        <v>0.0192705359069428</v>
      </c>
      <c r="G32" t="n">
        <v>65.03736610873372</v>
      </c>
      <c r="H32" t="n">
        <v>0.0127314816262102</v>
      </c>
      <c r="I32" t="n">
        <v>-1.71828703686607</v>
      </c>
      <c r="J32" t="n">
        <v>-1.07483313352513</v>
      </c>
      <c r="K32" t="n">
        <v>-1.497222222076126</v>
      </c>
      <c r="L32" t="n">
        <v>-2.695833333162007</v>
      </c>
      <c r="M32" t="n">
        <v>0.0986111112557599</v>
      </c>
      <c r="N32" t="n">
        <v>-2.152777777606949</v>
      </c>
      <c r="O32" t="n">
        <v>3.169531789209688</v>
      </c>
      <c r="P32" t="n">
        <v>0.047893879324258</v>
      </c>
      <c r="Q32" t="n">
        <v>0.0400566913456011</v>
      </c>
      <c r="R32" t="n">
        <v>0.0390741636858</v>
      </c>
      <c r="S32" t="n">
        <v>0.0192705360393975</v>
      </c>
      <c r="T32" t="n">
        <v>-165.4454443268288</v>
      </c>
      <c r="U32" t="n">
        <v>0.2300925927371218</v>
      </c>
      <c r="V32" t="n">
        <v>-1.841898147979256</v>
      </c>
      <c r="W32" t="n">
        <v>-1.186520655110967</v>
      </c>
      <c r="X32" t="n">
        <v>-1.326388888742948</v>
      </c>
      <c r="Y32" t="n">
        <v>-2.868055555385733</v>
      </c>
      <c r="Z32" t="n">
        <v>1.729166666809836</v>
      </c>
      <c r="AA32" t="n">
        <v>-1.251388888720536</v>
      </c>
      <c r="AB32" t="n">
        <v>3.286841168035504</v>
      </c>
      <c r="AC32" t="n">
        <v>0.0390741631791605</v>
      </c>
      <c r="AD32" t="n">
        <v>4.187951832880594</v>
      </c>
      <c r="AE32" t="n">
        <v>2.061067831141329</v>
      </c>
      <c r="AF32" t="n">
        <v>6.438946205608276</v>
      </c>
      <c r="AG32" t="n">
        <v>4.801846179413931</v>
      </c>
      <c r="AH32" t="n">
        <v>0.272141864235265</v>
      </c>
      <c r="AI32" t="n">
        <v>15.70833333333333</v>
      </c>
      <c r="AJ32" t="n">
        <v>15.75833333333333</v>
      </c>
      <c r="AK32" t="n">
        <v>0.0010469288909282</v>
      </c>
      <c r="AL32" t="n">
        <v>0.0019722339398761</v>
      </c>
      <c r="AM32" t="n">
        <v>5.77855</v>
      </c>
      <c r="AN32" t="n">
        <v>62.59262877411096</v>
      </c>
      <c r="AO32" t="n">
        <v>0.089690041446954</v>
      </c>
      <c r="AP32" t="n">
        <v>0.0767573208434255</v>
      </c>
      <c r="AQ32" t="n">
        <v>0.08150152840749481</v>
      </c>
      <c r="AR32" t="n">
        <v>0.1273256323341458</v>
      </c>
      <c r="AS32" t="n">
        <v>0.137917265337686</v>
      </c>
      <c r="AU32">
        <f>(AQ32&lt;AU$1)*1</f>
        <v/>
      </c>
      <c r="AV32">
        <f>(AS32&lt;AV$1)*1</f>
        <v/>
      </c>
    </row>
    <row r="33">
      <c r="A33" t="inlineStr">
        <is>
          <t>Kalman_RW</t>
        </is>
      </c>
      <c r="B33" t="inlineStr">
        <is>
          <t>42/5_Kalman</t>
        </is>
      </c>
      <c r="C33" t="inlineStr">
        <is>
          <t>c</t>
        </is>
      </c>
      <c r="D33" t="n">
        <v>4.95</v>
      </c>
      <c r="E33" t="n">
        <v>17.25</v>
      </c>
      <c r="F33" t="n">
        <v>-0.0399895380508396</v>
      </c>
      <c r="G33" t="n">
        <v>83.02164785197871</v>
      </c>
      <c r="H33" t="n">
        <v>3.24120370384548</v>
      </c>
      <c r="I33" t="n">
        <v>2.277083333500665</v>
      </c>
      <c r="J33" t="n">
        <v>2.432504474852625</v>
      </c>
      <c r="K33" t="n">
        <v>1.486111111254494</v>
      </c>
      <c r="L33" t="n">
        <v>0.8930555557236403</v>
      </c>
      <c r="M33" t="n">
        <v>4.386111111251834</v>
      </c>
      <c r="N33" t="n">
        <v>3.21388888905489</v>
      </c>
      <c r="O33" t="n">
        <v>3.528959948992436</v>
      </c>
      <c r="P33" t="n">
        <v>0.0539387215698528</v>
      </c>
      <c r="Q33" t="n">
        <v>-0.0235028932752844</v>
      </c>
      <c r="R33" t="n">
        <v>-0.0285971860913489</v>
      </c>
      <c r="S33" t="n">
        <v>-0.0399895379183849</v>
      </c>
      <c r="T33" t="n">
        <v>-48.09978850314219</v>
      </c>
      <c r="U33" t="n">
        <v>3.182407407549237</v>
      </c>
      <c r="V33" t="n">
        <v>1.923611111276591</v>
      </c>
      <c r="W33" t="n">
        <v>2.332496438904131</v>
      </c>
      <c r="X33" t="n">
        <v>1.656944444587672</v>
      </c>
      <c r="Y33" t="n">
        <v>0.7208333334998921</v>
      </c>
      <c r="Z33" t="n">
        <v>4.691666666807115</v>
      </c>
      <c r="AA33" t="n">
        <v>2.980555555720086</v>
      </c>
      <c r="AB33" t="n">
        <v>3.072346866168938</v>
      </c>
      <c r="AC33" t="n">
        <v>-0.0285971865979885</v>
      </c>
      <c r="AD33" t="n">
        <v>4.247904960162368</v>
      </c>
      <c r="AE33" t="n">
        <v>4.369477163245661</v>
      </c>
      <c r="AF33" t="n">
        <v>3.720559751531641</v>
      </c>
      <c r="AG33" t="n">
        <v>4.319779417723237</v>
      </c>
      <c r="AH33" t="n">
        <v>1.298885116113372</v>
      </c>
      <c r="AI33" t="n">
        <v>16.80666666666666</v>
      </c>
      <c r="AJ33" t="n">
        <v>16.735</v>
      </c>
      <c r="AK33" t="n">
        <v>0.3007243230314617</v>
      </c>
      <c r="AL33" t="n">
        <v>0.3787439298062071</v>
      </c>
      <c r="AM33" t="n">
        <v>6.6464</v>
      </c>
      <c r="AN33" t="n">
        <v>298.7435767060755</v>
      </c>
      <c r="AO33" t="n">
        <v>0.0635672039715403</v>
      </c>
      <c r="AP33" t="n">
        <v>0.0784348839706587</v>
      </c>
      <c r="AQ33" t="n">
        <v>0.07868053968007099</v>
      </c>
      <c r="AR33" t="n">
        <v>0.1196792915172382</v>
      </c>
      <c r="AS33" t="n">
        <v>0.1265248927631731</v>
      </c>
      <c r="AU33">
        <f>(AQ33&lt;AU$1)*1</f>
        <v/>
      </c>
      <c r="AV33">
        <f>(AS33&lt;AV$1)*1</f>
        <v/>
      </c>
    </row>
    <row r="34">
      <c r="A34" t="inlineStr">
        <is>
          <t>Kalman_RW_ocn</t>
        </is>
      </c>
      <c r="B34" t="inlineStr">
        <is>
          <t>42/5_Kalman</t>
        </is>
      </c>
      <c r="C34" t="inlineStr">
        <is>
          <t>c</t>
        </is>
      </c>
      <c r="D34" t="n">
        <v>37.76666666666667</v>
      </c>
      <c r="E34" t="n">
        <v>125.8666666666667</v>
      </c>
      <c r="F34" t="n">
        <v>0.0226667101806283</v>
      </c>
      <c r="G34" t="n">
        <v>51.17981030979364</v>
      </c>
      <c r="H34" t="n">
        <v>0.448148148292445</v>
      </c>
      <c r="I34" t="n">
        <v>-1.912037036866049</v>
      </c>
      <c r="J34" t="n">
        <v>-0.942898642476716</v>
      </c>
      <c r="K34" t="n">
        <v>-1.197222222076422</v>
      </c>
      <c r="L34" t="n">
        <v>-3.076388888717361</v>
      </c>
      <c r="M34" t="n">
        <v>0.7527777779217899</v>
      </c>
      <c r="N34" t="n">
        <v>-2.324999999829159</v>
      </c>
      <c r="O34" t="n">
        <v>3.827186707551909</v>
      </c>
      <c r="P34" t="n">
        <v>0.0510892059843416</v>
      </c>
      <c r="Q34" t="n">
        <v>0.036048101998274</v>
      </c>
      <c r="R34" t="n">
        <v>0.06379713363910509</v>
      </c>
      <c r="S34" t="n">
        <v>0.0226667103130831</v>
      </c>
      <c r="T34" t="n">
        <v>-124.2472227354107</v>
      </c>
      <c r="U34" t="n">
        <v>0.470370370514647</v>
      </c>
      <c r="V34" t="n">
        <v>-2.275231481312181</v>
      </c>
      <c r="W34" t="n">
        <v>-1.116283831749302</v>
      </c>
      <c r="X34" t="n">
        <v>-1.026388888743244</v>
      </c>
      <c r="Y34" t="n">
        <v>-3.248611110940919</v>
      </c>
      <c r="Z34" t="n">
        <v>1.911111111254066</v>
      </c>
      <c r="AA34" t="n">
        <v>-1.687499999831228</v>
      </c>
      <c r="AB34" t="n">
        <v>3.282505341825271</v>
      </c>
      <c r="AC34" t="n">
        <v>0.0637971331324656</v>
      </c>
      <c r="AD34" t="n">
        <v>4.309893591240846</v>
      </c>
      <c r="AE34" t="n">
        <v>1.918677656781416</v>
      </c>
      <c r="AF34" t="n">
        <v>5.841612366771705</v>
      </c>
      <c r="AG34" t="n">
        <v>4.85839399802659</v>
      </c>
      <c r="AH34" t="n">
        <v>0.5608687480782893</v>
      </c>
      <c r="AI34" t="n">
        <v>16.85</v>
      </c>
      <c r="AJ34" t="n">
        <v>16.73</v>
      </c>
      <c r="AK34" t="n">
        <v>0.0053809897692323</v>
      </c>
      <c r="AL34" t="n">
        <v>0.0170172508744106</v>
      </c>
      <c r="AM34" t="n">
        <v>8.111600000000001</v>
      </c>
      <c r="AN34" t="n">
        <v>128.9998120580065</v>
      </c>
      <c r="AO34" t="n">
        <v>0.0871446484913294</v>
      </c>
      <c r="AP34" t="n">
        <v>0.0869161918810812</v>
      </c>
      <c r="AQ34" t="n">
        <v>0.09268879689866159</v>
      </c>
      <c r="AR34" t="n">
        <v>0.131632173522548</v>
      </c>
      <c r="AS34" t="n">
        <v>0.1425041669499442</v>
      </c>
      <c r="AU34">
        <f>(AQ34&lt;AU$1)*1</f>
        <v/>
      </c>
      <c r="AV34">
        <f>(AS34&lt;AV$1)*1</f>
        <v/>
      </c>
    </row>
    <row r="35">
      <c r="A35" t="inlineStr">
        <is>
          <t>removeGreensfx</t>
        </is>
      </c>
      <c r="B35" t="inlineStr">
        <is>
          <t>42/6_Remove_IV</t>
        </is>
      </c>
      <c r="C35" t="inlineStr">
        <is>
          <t>c</t>
        </is>
      </c>
      <c r="D35" t="n">
        <v>7.466666666666667</v>
      </c>
      <c r="E35" t="n">
        <v>30.21666666666667</v>
      </c>
      <c r="F35" t="n">
        <v>-0.0286833238822442</v>
      </c>
      <c r="G35" t="n">
        <v>67.37942378852468</v>
      </c>
      <c r="H35" t="n">
        <v>2.071064814957652</v>
      </c>
      <c r="I35" t="n">
        <v>2.104398148315614</v>
      </c>
      <c r="J35" t="n">
        <v>1.919800953451683</v>
      </c>
      <c r="K35" t="n">
        <v>-0.4263888887437777</v>
      </c>
      <c r="L35" t="n">
        <v>-0.7736111109415333</v>
      </c>
      <c r="M35" t="n">
        <v>3.584722222363685</v>
      </c>
      <c r="N35" t="n">
        <v>3.783333333498733</v>
      </c>
      <c r="O35" t="n">
        <v>3.402887807662065</v>
      </c>
      <c r="P35" t="n">
        <v>0.0599999999999999</v>
      </c>
      <c r="Q35" t="n">
        <v>-0.0237972013200773</v>
      </c>
      <c r="R35" t="n">
        <v>-0.0221275161206721</v>
      </c>
      <c r="S35" t="n">
        <v>-0.0286833237497894</v>
      </c>
      <c r="T35" t="n">
        <v>-41.10855430509559</v>
      </c>
      <c r="U35" t="n">
        <v>2.058796296439144</v>
      </c>
      <c r="V35" t="n">
        <v>1.924768518684006</v>
      </c>
      <c r="W35" t="n">
        <v>1.780119302152604</v>
      </c>
      <c r="X35" t="n">
        <v>-0.2555555554105997</v>
      </c>
      <c r="Y35" t="n">
        <v>-0.9458333331652132</v>
      </c>
      <c r="Z35" t="n">
        <v>3.01527777791974</v>
      </c>
      <c r="AA35" t="n">
        <v>2.81527777794247</v>
      </c>
      <c r="AB35" t="n">
        <v>2.778954772136221</v>
      </c>
      <c r="AC35" t="n">
        <v>-0.0221275166273117</v>
      </c>
      <c r="AD35" t="n">
        <v>3.733626530033611</v>
      </c>
      <c r="AE35" t="n">
        <v>3.327567478088449</v>
      </c>
      <c r="AF35" t="n">
        <v>4.059162395295344</v>
      </c>
      <c r="AG35" t="n">
        <v>4.015920768603388</v>
      </c>
      <c r="AH35" t="n">
        <v>0.793277231461856</v>
      </c>
      <c r="AI35" t="n">
        <v>26.12</v>
      </c>
      <c r="AJ35" t="n">
        <v>25.96666666666667</v>
      </c>
      <c r="AK35" t="n">
        <v>0.1044995200194537</v>
      </c>
      <c r="AL35" t="n">
        <v>0.17693962334243</v>
      </c>
      <c r="AM35" t="n">
        <v>18.77056666666666</v>
      </c>
      <c r="AN35" t="n">
        <v>87.26049546080417</v>
      </c>
      <c r="AO35" t="n">
        <v>0.08904270691681181</v>
      </c>
      <c r="AP35" t="n">
        <v>0.090828661877827</v>
      </c>
      <c r="AQ35" t="n">
        <v>0.0914461366295468</v>
      </c>
      <c r="AR35" t="n">
        <v>0.1301110451345551</v>
      </c>
      <c r="AS35" t="n">
        <v>0.1368097247396671</v>
      </c>
      <c r="AU35">
        <f>(AQ35&lt;AU$1)*1</f>
        <v/>
      </c>
      <c r="AV35">
        <f>(AS35&lt;AV$1)*1</f>
        <v/>
      </c>
    </row>
    <row r="36">
      <c r="A36" t="inlineStr">
        <is>
          <t>removeMEI_cons</t>
        </is>
      </c>
      <c r="B36" t="inlineStr">
        <is>
          <t>42/6_Remove_IV</t>
        </is>
      </c>
      <c r="C36" t="inlineStr">
        <is>
          <t>c</t>
        </is>
      </c>
      <c r="D36" t="n">
        <v>38.73333333333333</v>
      </c>
      <c r="E36" t="n">
        <v>68.26666666666667</v>
      </c>
      <c r="F36" t="n">
        <v>-0.0053427319764483</v>
      </c>
      <c r="G36" t="n">
        <v>-396.1605349401455</v>
      </c>
      <c r="H36" t="n">
        <v>-0.5699933860981469</v>
      </c>
      <c r="I36" t="n">
        <v>1.428260582178845</v>
      </c>
      <c r="J36" t="n">
        <v>0.45466611226942</v>
      </c>
      <c r="K36" t="n">
        <v>-6.083333333183089</v>
      </c>
      <c r="L36" t="n">
        <v>-5.147222222049421</v>
      </c>
      <c r="M36" t="n">
        <v>-0.8708333331878483</v>
      </c>
      <c r="N36" t="n">
        <v>3.987500000166104</v>
      </c>
      <c r="O36" t="n">
        <v>3.926886917830024</v>
      </c>
      <c r="P36" t="n">
        <v>0.0618996069364753</v>
      </c>
      <c r="Q36" t="n">
        <v>0.0044904408968037</v>
      </c>
      <c r="R36" t="n">
        <v>-0.036590795699093</v>
      </c>
      <c r="S36" t="n">
        <v>-0.0053427318439936</v>
      </c>
      <c r="T36" t="n">
        <v>-727.5605885533337</v>
      </c>
      <c r="U36" t="n">
        <v>-0.5277314813362811</v>
      </c>
      <c r="V36" t="n">
        <v>0.6575892858809164</v>
      </c>
      <c r="W36" t="n">
        <v>0.1006825313636934</v>
      </c>
      <c r="X36" t="n">
        <v>-5.912499999849911</v>
      </c>
      <c r="Y36" t="n">
        <v>-5.613888888716557</v>
      </c>
      <c r="Z36" t="n">
        <v>-0.09583333318854161</v>
      </c>
      <c r="AA36" t="n">
        <v>1.891666666832149</v>
      </c>
      <c r="AB36" t="n">
        <v>2.478706798600911</v>
      </c>
      <c r="AC36" t="n">
        <v>-0.0365907962057326</v>
      </c>
      <c r="AD36" t="n">
        <v>3.474023584864869</v>
      </c>
      <c r="AE36" t="n">
        <v>3.461406697425065</v>
      </c>
      <c r="AF36" t="n">
        <v>3.292537148808857</v>
      </c>
      <c r="AG36" t="n">
        <v>3.42357418409668</v>
      </c>
      <c r="AH36" t="n">
        <v>-3.89195757691962</v>
      </c>
      <c r="AI36" t="n">
        <v>49.12666666666667</v>
      </c>
      <c r="AJ36" t="n">
        <v>48.69</v>
      </c>
      <c r="AK36" s="1" t="n">
        <v>1.551769336231695e-12</v>
      </c>
      <c r="AL36" s="1" t="n">
        <v>8.601253148078538e-07</v>
      </c>
      <c r="AM36" t="n">
        <v>44.88458333333333</v>
      </c>
      <c r="AN36" t="n">
        <v>-428.1153334611582</v>
      </c>
      <c r="AO36" t="n">
        <v>0.1276073795481244</v>
      </c>
      <c r="AP36" t="n">
        <v>0.1294196678054361</v>
      </c>
      <c r="AQ36" t="n">
        <v>0.1282447362896257</v>
      </c>
      <c r="AR36" t="n">
        <v>0.1575238294102195</v>
      </c>
      <c r="AS36" t="n">
        <v>0.1608776763735107</v>
      </c>
      <c r="AU36">
        <f>(AQ36&lt;AU$1)*1</f>
        <v/>
      </c>
      <c r="AV36">
        <f>(AS36&lt;AV$1)*1</f>
        <v/>
      </c>
    </row>
    <row r="37">
      <c r="A37" t="inlineStr">
        <is>
          <t>removeMEI_volc_cons</t>
        </is>
      </c>
      <c r="B37" t="inlineStr">
        <is>
          <t>42/6_Remove_IV</t>
        </is>
      </c>
      <c r="C37" t="inlineStr">
        <is>
          <t>c</t>
        </is>
      </c>
      <c r="D37" t="n">
        <v>20.55</v>
      </c>
      <c r="E37" t="n">
        <v>57.76666666666667</v>
      </c>
      <c r="F37" t="n">
        <v>-0.0100408235391218</v>
      </c>
      <c r="G37" t="n">
        <v>9.173155615141461</v>
      </c>
      <c r="H37" t="n">
        <v>0.4848644181336866</v>
      </c>
      <c r="I37" t="n">
        <v>2.235195105987456</v>
      </c>
      <c r="J37" t="n">
        <v>0.8147836033534778</v>
      </c>
      <c r="K37" t="n">
        <v>-4.852777777628652</v>
      </c>
      <c r="L37" t="n">
        <v>-3.841666666495</v>
      </c>
      <c r="M37" t="n">
        <v>2.129166666809438</v>
      </c>
      <c r="N37" t="n">
        <v>5.195833333498437</v>
      </c>
      <c r="O37" t="n">
        <v>3.912806204471861</v>
      </c>
      <c r="P37" t="n">
        <v>0.06909738545193141</v>
      </c>
      <c r="Q37" t="n">
        <v>0.003308421183321</v>
      </c>
      <c r="R37" t="n">
        <v>-0.0312557980682296</v>
      </c>
      <c r="S37" t="n">
        <v>-0.0100408234066671</v>
      </c>
      <c r="T37" t="n">
        <v>-56.39369114385401</v>
      </c>
      <c r="U37" t="n">
        <v>0.4616104498797386</v>
      </c>
      <c r="V37" t="n">
        <v>1.589477513393316</v>
      </c>
      <c r="W37" t="n">
        <v>0.5370726921283231</v>
      </c>
      <c r="X37" t="n">
        <v>-4.681944444295474</v>
      </c>
      <c r="Y37" t="n">
        <v>-4.113888888717907</v>
      </c>
      <c r="Z37" t="n">
        <v>2.483333333475775</v>
      </c>
      <c r="AA37" t="n">
        <v>3.625000000163952</v>
      </c>
      <c r="AB37" t="n">
        <v>2.209968669462372</v>
      </c>
      <c r="AC37" t="n">
        <v>-0.0312557985748691</v>
      </c>
      <c r="AD37" t="n">
        <v>3.264933832067926</v>
      </c>
      <c r="AE37" t="n">
        <v>2.934749940146799</v>
      </c>
      <c r="AF37" t="n">
        <v>3.060071034610218</v>
      </c>
      <c r="AG37" t="n">
        <v>3.05091489287786</v>
      </c>
      <c r="AH37" t="n">
        <v>0.0172470932383962</v>
      </c>
      <c r="AI37" t="n">
        <v>45.42333333333333</v>
      </c>
      <c r="AJ37" t="n">
        <v>44.90166666666666</v>
      </c>
      <c r="AK37" t="n">
        <v>0.0007949482347046</v>
      </c>
      <c r="AL37" t="n">
        <v>0.0101560345002837</v>
      </c>
      <c r="AM37" t="n">
        <v>41.09863333333333</v>
      </c>
      <c r="AN37" t="n">
        <v>2.052404095369153</v>
      </c>
      <c r="AO37" t="n">
        <v>0.1287881760529105</v>
      </c>
      <c r="AP37" t="n">
        <v>0.1267896715563447</v>
      </c>
      <c r="AQ37" t="n">
        <v>0.1276420795158129</v>
      </c>
      <c r="AR37" t="n">
        <v>0.1544728749722709</v>
      </c>
      <c r="AS37" t="n">
        <v>0.1594904175210633</v>
      </c>
      <c r="AU37">
        <f>(AQ37&lt;AU$1)*1</f>
        <v/>
      </c>
      <c r="AV37">
        <f>(AS37&lt;AV$1)*1</f>
        <v/>
      </c>
    </row>
    <row r="38">
      <c r="A38" t="inlineStr">
        <is>
          <t>removeMEI_volc_refit</t>
        </is>
      </c>
      <c r="B38" t="inlineStr">
        <is>
          <t>42/6_Remove_IV</t>
        </is>
      </c>
      <c r="C38" t="inlineStr">
        <is>
          <t>c</t>
        </is>
      </c>
      <c r="D38" t="n">
        <v>2.8</v>
      </c>
      <c r="E38" t="n">
        <v>9.083333333333334</v>
      </c>
      <c r="F38" t="n">
        <v>0.00874353883856</v>
      </c>
      <c r="G38" t="n">
        <v>50.03211492114034</v>
      </c>
      <c r="H38" t="n">
        <v>-0.5925462961510207</v>
      </c>
      <c r="I38" t="n">
        <v>0.2344675927621232</v>
      </c>
      <c r="J38" t="n">
        <v>-0.2562961383878702</v>
      </c>
      <c r="K38" t="n">
        <v>-6.105555555405268</v>
      </c>
      <c r="L38" t="n">
        <v>-5.712499999825908</v>
      </c>
      <c r="M38" t="n">
        <v>0.2583333334778406</v>
      </c>
      <c r="N38" t="n">
        <v>1.255555555724231</v>
      </c>
      <c r="O38" t="n">
        <v>3.799501417341804</v>
      </c>
      <c r="P38" t="n">
        <v>0.1168410085001831</v>
      </c>
      <c r="Q38" t="n">
        <v>0.0010493154088285</v>
      </c>
      <c r="R38" t="n">
        <v>0.001633916201523</v>
      </c>
      <c r="S38" t="n">
        <v>0.0087435389710147</v>
      </c>
      <c r="T38" t="n">
        <v>15.2596246500772</v>
      </c>
      <c r="U38" t="n">
        <v>-0.919513888743315</v>
      </c>
      <c r="V38" t="n">
        <v>-0.2993055553880459</v>
      </c>
      <c r="W38" t="n">
        <v>-0.6530226137998754</v>
      </c>
      <c r="X38" t="n">
        <v>-6.470833333182713</v>
      </c>
      <c r="Y38" t="n">
        <v>-5.970833333160658</v>
      </c>
      <c r="Z38" t="n">
        <v>-0.6166666665213595</v>
      </c>
      <c r="AA38" t="n">
        <v>0.0319444446116299</v>
      </c>
      <c r="AB38" t="n">
        <v>2.73243195459604</v>
      </c>
      <c r="AC38" t="n">
        <v>0.0016339156948835</v>
      </c>
      <c r="AD38" t="n">
        <v>2.268186824478721</v>
      </c>
      <c r="AE38" t="n">
        <v>2.161618379474492</v>
      </c>
      <c r="AF38" t="n">
        <v>2.298451773867856</v>
      </c>
      <c r="AG38" t="n">
        <v>2.742921848405826</v>
      </c>
      <c r="AH38" t="n">
        <v>0.5384991646882564</v>
      </c>
      <c r="AI38" t="n">
        <v>41.65666666666667</v>
      </c>
      <c r="AJ38" t="n">
        <v>41.28833333333333</v>
      </c>
      <c r="AK38" t="n">
        <v>0.3366863882388731</v>
      </c>
      <c r="AL38" t="n">
        <v>0.558907590008315</v>
      </c>
      <c r="AM38" t="n">
        <v>36.84753333333333</v>
      </c>
      <c r="AN38" t="n">
        <v>54.92691479820216</v>
      </c>
      <c r="AO38" t="n">
        <v>0.1452926761325836</v>
      </c>
      <c r="AP38" t="n">
        <v>0.1396519831133958</v>
      </c>
      <c r="AQ38" t="n">
        <v>0.1332646630269126</v>
      </c>
      <c r="AR38" t="n">
        <v>0.1691045950893106</v>
      </c>
      <c r="AS38" t="n">
        <v>0.1683052091230428</v>
      </c>
      <c r="AU38">
        <f>(AQ38&lt;AU$1)*1</f>
        <v/>
      </c>
      <c r="AV38">
        <f>(AS38&lt;AV$1)*1</f>
        <v/>
      </c>
    </row>
    <row r="39">
      <c r="A39" t="inlineStr">
        <is>
          <t>cons_hArrh_CO2forc</t>
        </is>
      </c>
      <c r="B39" t="inlineStr">
        <is>
          <t>43/0_Linear</t>
        </is>
      </c>
      <c r="C39" t="inlineStr">
        <is>
          <t>c</t>
        </is>
      </c>
      <c r="D39" t="n">
        <v>74.71666666666667</v>
      </c>
      <c r="E39" t="n">
        <v>139.9833333333333</v>
      </c>
      <c r="F39" t="n">
        <v>0.0461830793426653</v>
      </c>
      <c r="G39" t="n">
        <v>-11.43834637652226</v>
      </c>
      <c r="H39" t="n">
        <v>-5.676388888739011</v>
      </c>
      <c r="I39" t="n">
        <v>2.227777777943933</v>
      </c>
      <c r="J39" t="n">
        <v>0.2052174678454229</v>
      </c>
      <c r="K39" t="n">
        <v>-5.676388888739011</v>
      </c>
      <c r="L39" t="n">
        <v>2.227777777943933</v>
      </c>
      <c r="M39" t="n">
        <v>-5.676388888739011</v>
      </c>
      <c r="N39" t="n">
        <v>2.227777777943933</v>
      </c>
      <c r="O39" t="n">
        <v>13.2822424205066</v>
      </c>
      <c r="P39" t="n">
        <v>0.2050066267760517</v>
      </c>
      <c r="Q39" t="n">
        <v>0.1108988513594831</v>
      </c>
      <c r="R39" t="n">
        <v>-0.0881378883856553</v>
      </c>
      <c r="S39" t="n">
        <v>0.04618307947512</v>
      </c>
      <c r="T39" t="n">
        <v>-9.74184824219172</v>
      </c>
      <c r="U39" t="n">
        <v>-5.505555555405833</v>
      </c>
      <c r="V39" t="n">
        <v>2.055555555720912</v>
      </c>
      <c r="W39" t="n">
        <v>0.1979700855979112</v>
      </c>
      <c r="X39" t="n">
        <v>-5.505555555405833</v>
      </c>
      <c r="Y39" t="n">
        <v>2.055555555720912</v>
      </c>
      <c r="Z39" t="n">
        <v>-5.505555555405833</v>
      </c>
      <c r="AA39" t="n">
        <v>2.055555555720912</v>
      </c>
      <c r="AB39" t="n">
        <v>1.965491452978485</v>
      </c>
      <c r="AC39" t="n">
        <v>-0.08813788889229481</v>
      </c>
      <c r="AD39" t="n">
        <v>1.0464299361128</v>
      </c>
      <c r="AE39" t="n">
        <v>0.8327842902218232</v>
      </c>
      <c r="AF39" t="n">
        <v>1.037429097063065</v>
      </c>
      <c r="AG39" t="n">
        <v>0.8331363194121164</v>
      </c>
      <c r="AH39" t="n">
        <v>-10.49030189733051</v>
      </c>
      <c r="AI39" t="n">
        <v>10.73333333333333</v>
      </c>
      <c r="AJ39" t="n">
        <v>10.81666666666667</v>
      </c>
      <c r="AK39" t="n">
        <v>0</v>
      </c>
      <c r="AL39" s="1" t="n">
        <v>5.080537998736794e-36</v>
      </c>
      <c r="AM39" t="n">
        <v>1.606816666666667</v>
      </c>
      <c r="AN39" t="n">
        <v>-2349.827625002034</v>
      </c>
      <c r="AO39" t="n">
        <v>0.1835034838786402</v>
      </c>
      <c r="AP39" t="n">
        <v>0.1732811797747694</v>
      </c>
      <c r="AQ39" t="n">
        <v>0.1398549559388647</v>
      </c>
      <c r="AR39" t="n">
        <v>0.1540389636755055</v>
      </c>
      <c r="AS39" t="n">
        <v>0.1098618771630592</v>
      </c>
      <c r="AU39">
        <f>(AQ39&lt;AU$1)*1</f>
        <v/>
      </c>
      <c r="AV39">
        <f>(AS39&lt;AV$1)*1</f>
        <v/>
      </c>
    </row>
    <row r="40">
      <c r="A40" t="inlineStr">
        <is>
          <t>OLS_refit_CO2forc</t>
        </is>
      </c>
      <c r="B40" t="inlineStr">
        <is>
          <t>43/0_Linear</t>
        </is>
      </c>
      <c r="C40" t="inlineStr">
        <is>
          <t>c</t>
        </is>
      </c>
      <c r="D40" t="n">
        <v>183.05</v>
      </c>
      <c r="E40" t="n">
        <v>206.4166666666666</v>
      </c>
      <c r="F40" t="n">
        <v>-0.1889275687534624</v>
      </c>
      <c r="G40" t="n">
        <v>-2393.953475896117</v>
      </c>
      <c r="H40" t="n">
        <v>9.765277777913612</v>
      </c>
      <c r="I40" t="n">
        <v>14.79027777791885</v>
      </c>
      <c r="J40" t="n">
        <v>13.27299026216766</v>
      </c>
      <c r="K40" t="n">
        <v>9.765277777913612</v>
      </c>
      <c r="L40" t="n">
        <v>13.95694444458552</v>
      </c>
      <c r="M40" t="n">
        <v>9.765277777913612</v>
      </c>
      <c r="N40" t="n">
        <v>13.95694444458552</v>
      </c>
      <c r="O40" t="n">
        <v>14.6370802708797</v>
      </c>
      <c r="P40" t="n">
        <v>0.0230870984639789</v>
      </c>
      <c r="Q40" t="n">
        <v>-0.07463864824435359</v>
      </c>
      <c r="R40" t="n">
        <v>-0.2030368454890744</v>
      </c>
      <c r="S40" t="n">
        <v>-0.1889275686210077</v>
      </c>
      <c r="T40" t="n">
        <v>-2364.621239970801</v>
      </c>
      <c r="U40" t="n">
        <v>9.93611111124679</v>
      </c>
      <c r="V40" t="n">
        <v>13.37916666680007</v>
      </c>
      <c r="W40" t="n">
        <v>12.94455128216611</v>
      </c>
      <c r="X40" t="n">
        <v>9.93611111124679</v>
      </c>
      <c r="Y40" t="n">
        <v>11.87916666680007</v>
      </c>
      <c r="Z40" t="n">
        <v>9.93611111124679</v>
      </c>
      <c r="AA40" t="n">
        <v>11.87916666680007</v>
      </c>
      <c r="AB40" t="n">
        <v>12.94455128216611</v>
      </c>
      <c r="AC40" t="n">
        <v>-0.2030368459957139</v>
      </c>
      <c r="AD40" t="n">
        <v>0.0001758404288236</v>
      </c>
      <c r="AE40" t="n">
        <v>0.019972507434245</v>
      </c>
      <c r="AF40" t="n">
        <v>0.0139602211248577</v>
      </c>
      <c r="AG40" t="n">
        <v>0.0010524801673031</v>
      </c>
      <c r="AH40" t="n">
        <v>-20.20410598476463</v>
      </c>
      <c r="AI40" t="n">
        <v>10.76666666666667</v>
      </c>
      <c r="AJ40" t="n">
        <v>10.7</v>
      </c>
      <c r="AK40" t="n">
        <v>0</v>
      </c>
      <c r="AL40" s="1" t="n">
        <v>4.064577272592429e-36</v>
      </c>
      <c r="AM40" t="n">
        <v>2.039383333333333</v>
      </c>
      <c r="AN40" t="n">
        <v>-4525.719740587276</v>
      </c>
      <c r="AO40" t="n">
        <v>0.1404137984144002</v>
      </c>
      <c r="AP40" t="n">
        <v>0.2009397953454867</v>
      </c>
      <c r="AQ40" t="n">
        <v>0.2139623254053789</v>
      </c>
      <c r="AR40" t="n">
        <v>0.2010994611566896</v>
      </c>
      <c r="AS40" t="n">
        <v>0.2151197178015301</v>
      </c>
      <c r="AU40">
        <f>(AQ40&lt;AU$1)*1</f>
        <v/>
      </c>
      <c r="AV40">
        <f>(AS40&lt;AV$1)*1</f>
        <v/>
      </c>
    </row>
    <row r="41">
      <c r="A41" t="inlineStr">
        <is>
          <t>FaIR_all</t>
        </is>
      </c>
      <c r="B41" t="inlineStr">
        <is>
          <t>43/1_ERF_FaIR</t>
        </is>
      </c>
      <c r="C41" t="inlineStr">
        <is>
          <t>c</t>
        </is>
      </c>
      <c r="D41" t="n">
        <v>158.7</v>
      </c>
      <c r="E41" t="n">
        <v>159.5833333333333</v>
      </c>
      <c r="F41" t="n">
        <v>-0.1772755192748643</v>
      </c>
      <c r="G41" t="n">
        <v>-1495957.386834508</v>
      </c>
      <c r="H41" t="n">
        <v>6.668055555694228</v>
      </c>
      <c r="I41" t="n">
        <v>12.35393518534224</v>
      </c>
      <c r="J41" t="n">
        <v>10.55484922112747</v>
      </c>
      <c r="K41" t="n">
        <v>4.791666666807044</v>
      </c>
      <c r="L41" t="n">
        <v>11.63333333349089</v>
      </c>
      <c r="M41" t="n">
        <v>8.286111111248317</v>
      </c>
      <c r="N41" t="n">
        <v>12.77083333348986</v>
      </c>
      <c r="O41" t="n">
        <v>12.30732349785289</v>
      </c>
      <c r="P41" t="n">
        <v>0.0055825589563909</v>
      </c>
      <c r="Q41" t="n">
        <v>-0.1756662490859194</v>
      </c>
      <c r="R41" t="n">
        <v>-0.2067030814693242</v>
      </c>
      <c r="S41" t="n">
        <v>-0.1772755191424096</v>
      </c>
      <c r="T41" t="n">
        <v>-1806008.931952792</v>
      </c>
      <c r="U41" t="n">
        <v>6.915277777916226</v>
      </c>
      <c r="V41" t="n">
        <v>12.16990740754911</v>
      </c>
      <c r="W41" t="n">
        <v>10.19445334770822</v>
      </c>
      <c r="X41" t="n">
        <v>4.962500000140222</v>
      </c>
      <c r="Y41" t="n">
        <v>10.35972222236466</v>
      </c>
      <c r="Z41" t="n">
        <v>9.027777777914306</v>
      </c>
      <c r="AA41" t="n">
        <v>12.00972222236317</v>
      </c>
      <c r="AB41" t="n">
        <v>10.19445334770822</v>
      </c>
      <c r="AC41" t="n">
        <v>-0.2067030819759638</v>
      </c>
      <c r="AD41" t="n">
        <v>6.204581647203848</v>
      </c>
      <c r="AE41" s="1" t="n">
        <v>2.26345790818181e-38</v>
      </c>
      <c r="AF41" t="n">
        <v>3.271495026335976e-07</v>
      </c>
      <c r="AG41" s="1" t="n">
        <v>4.985854783250774e-37</v>
      </c>
      <c r="AH41" t="n">
        <v>-16150.30217167126</v>
      </c>
      <c r="AI41" t="n">
        <v>15.12333333333333</v>
      </c>
      <c r="AJ41" t="n">
        <v>14.87166666666667</v>
      </c>
      <c r="AK41" s="1" t="n">
        <v>2.613452663882533e-86</v>
      </c>
      <c r="AL41" s="1" t="n">
        <v>2.712094960795765e-64</v>
      </c>
      <c r="AM41" t="n">
        <v>6.6791</v>
      </c>
      <c r="AN41" t="n">
        <v>-2584048.347467401</v>
      </c>
      <c r="AO41" t="n">
        <v>0.2095290592563437</v>
      </c>
      <c r="AP41" t="n">
        <v>0.2147876680724122</v>
      </c>
      <c r="AQ41" t="n">
        <v>0.2195849007502098</v>
      </c>
      <c r="AR41" t="n">
        <v>0.2408151449236403</v>
      </c>
      <c r="AS41" t="n">
        <v>0.2505034744515741</v>
      </c>
      <c r="AU41">
        <f>(AQ41&lt;AU$1)*1</f>
        <v/>
      </c>
      <c r="AV41">
        <f>(AS41&lt;AV$1)*1</f>
        <v/>
      </c>
    </row>
    <row r="42">
      <c r="A42" t="inlineStr">
        <is>
          <t>FaIR_all_unB</t>
        </is>
      </c>
      <c r="B42" t="inlineStr">
        <is>
          <t>43/1_ERF_FaIR</t>
        </is>
      </c>
      <c r="C42" t="inlineStr">
        <is>
          <t>c</t>
        </is>
      </c>
      <c r="D42" t="n">
        <v>1</v>
      </c>
      <c r="E42" t="n">
        <v>6.233333333333333</v>
      </c>
      <c r="F42" t="n">
        <v>0.0071324807251356</v>
      </c>
      <c r="G42" t="n">
        <v>37.77880428600342</v>
      </c>
      <c r="H42" t="n">
        <v>-1.598148148001985</v>
      </c>
      <c r="I42" t="n">
        <v>1.449305555724046</v>
      </c>
      <c r="J42" t="n">
        <v>0.0101556238606351</v>
      </c>
      <c r="K42" t="n">
        <v>-4.222222222073678</v>
      </c>
      <c r="L42" t="n">
        <v>-1.159722222052377</v>
      </c>
      <c r="M42" t="n">
        <v>-0.2069444442995404</v>
      </c>
      <c r="N42" t="n">
        <v>3.344444444611304</v>
      </c>
      <c r="O42" t="n">
        <v>4.508822259332542</v>
      </c>
      <c r="P42" t="n">
        <v>0.0917821322593378</v>
      </c>
      <c r="Q42" t="n">
        <v>-0.0039506055725224</v>
      </c>
      <c r="R42" t="n">
        <v>-0.0222950814693243</v>
      </c>
      <c r="S42" t="n">
        <v>0.0071324808575903</v>
      </c>
      <c r="T42" t="n">
        <v>-98.37341289682794</v>
      </c>
      <c r="U42" t="n">
        <v>-1.567361110964977</v>
      </c>
      <c r="V42" t="n">
        <v>0.8363425927590633</v>
      </c>
      <c r="W42" t="n">
        <v>-0.1787482192152065</v>
      </c>
      <c r="X42" t="n">
        <v>-4.0513888887405</v>
      </c>
      <c r="Y42" t="n">
        <v>-1.331944444276011</v>
      </c>
      <c r="Z42" t="n">
        <v>0.370833333477708</v>
      </c>
      <c r="AA42" t="n">
        <v>2.393055555720624</v>
      </c>
      <c r="AB42" t="n">
        <v>4.100026709374741</v>
      </c>
      <c r="AC42" t="n">
        <v>-0.0222950819759638</v>
      </c>
      <c r="AD42" t="n">
        <v>2.080987163527434</v>
      </c>
      <c r="AE42" t="n">
        <v>2.357712537899621</v>
      </c>
      <c r="AF42" t="n">
        <v>2.82889145462131</v>
      </c>
      <c r="AG42" t="n">
        <v>3.081813299996365</v>
      </c>
      <c r="AH42" t="n">
        <v>0.6893076996081291</v>
      </c>
      <c r="AI42" t="n">
        <v>18.54833333333334</v>
      </c>
      <c r="AJ42" t="n">
        <v>18.03</v>
      </c>
      <c r="AK42" t="n">
        <v>0.6122666502329545</v>
      </c>
      <c r="AL42" t="n">
        <v>0.6801473617726838</v>
      </c>
      <c r="AM42" t="n">
        <v>6.7623</v>
      </c>
      <c r="AN42" t="n">
        <v>110.2892319373007</v>
      </c>
      <c r="AO42" t="n">
        <v>0.1072435248832777</v>
      </c>
      <c r="AP42" t="n">
        <v>0.1214825292093739</v>
      </c>
      <c r="AQ42" t="n">
        <v>0.1238593413848013</v>
      </c>
      <c r="AR42" t="n">
        <v>0.1631447106729695</v>
      </c>
      <c r="AS42" t="n">
        <v>0.1728455914531176</v>
      </c>
      <c r="AU42">
        <f>(AQ42&lt;AU$1)*1</f>
        <v/>
      </c>
      <c r="AV42">
        <f>(AS42&lt;AV$1)*1</f>
        <v/>
      </c>
    </row>
    <row r="43">
      <c r="A43" t="inlineStr">
        <is>
          <t>FaIR_anthro</t>
        </is>
      </c>
      <c r="B43" t="inlineStr">
        <is>
          <t>43/1_ERF_FaIR</t>
        </is>
      </c>
      <c r="C43" t="inlineStr">
        <is>
          <t>c</t>
        </is>
      </c>
      <c r="D43" t="n">
        <v>27.96666666666667</v>
      </c>
      <c r="E43" t="n">
        <v>114.2166666666667</v>
      </c>
      <c r="F43" t="n">
        <v>-0.08676819567654109</v>
      </c>
      <c r="G43" t="n">
        <v>63.11000959102598</v>
      </c>
      <c r="H43" t="n">
        <v>2.043055555698436</v>
      </c>
      <c r="I43" t="n">
        <v>8.537500000161655</v>
      </c>
      <c r="J43" t="n">
        <v>5.53078437781463</v>
      </c>
      <c r="K43" t="n">
        <v>2.043055555698436</v>
      </c>
      <c r="L43" t="n">
        <v>8.537500000161655</v>
      </c>
      <c r="M43" t="n">
        <v>2.043055555698436</v>
      </c>
      <c r="N43" t="n">
        <v>8.537500000161655</v>
      </c>
      <c r="O43" t="n">
        <v>7.587532828828483</v>
      </c>
      <c r="P43" t="n">
        <v>0.0954698690326031</v>
      </c>
      <c r="Q43" t="n">
        <v>-0.1478627171007145</v>
      </c>
      <c r="R43" t="n">
        <v>-0.1155100147075707</v>
      </c>
      <c r="S43" t="n">
        <v>-0.08676819554408639</v>
      </c>
      <c r="T43" t="n">
        <v>67.73701742309775</v>
      </c>
      <c r="U43" t="n">
        <v>2.213888889031614</v>
      </c>
      <c r="V43" t="n">
        <v>8.365277777937385</v>
      </c>
      <c r="W43" t="n">
        <v>5.393465099866017</v>
      </c>
      <c r="X43" t="n">
        <v>2.213888889031614</v>
      </c>
      <c r="Y43" t="n">
        <v>8.365277777937385</v>
      </c>
      <c r="Z43" t="n">
        <v>2.213888889031614</v>
      </c>
      <c r="AA43" t="n">
        <v>8.365277777937385</v>
      </c>
      <c r="AB43" t="n">
        <v>5.393465099866017</v>
      </c>
      <c r="AC43" t="n">
        <v>-0.1155100152142102</v>
      </c>
      <c r="AD43" t="n">
        <v>2.834185409118755</v>
      </c>
      <c r="AE43" t="n">
        <v>2.166290658629969</v>
      </c>
      <c r="AF43" t="n">
        <v>2.814942146587619</v>
      </c>
      <c r="AG43" t="n">
        <v>1.904343537488338</v>
      </c>
      <c r="AH43" t="n">
        <v>-1.174552299349128</v>
      </c>
      <c r="AI43" t="n">
        <v>13.05</v>
      </c>
      <c r="AJ43" t="n">
        <v>12.95</v>
      </c>
      <c r="AK43" t="n">
        <v>0.08663928031537479</v>
      </c>
      <c r="AL43" t="n">
        <v>0.08669356471308701</v>
      </c>
      <c r="AM43" t="n">
        <v>2.162533333333334</v>
      </c>
      <c r="AN43" t="n">
        <v>-187.9283678958605</v>
      </c>
      <c r="AO43" t="n">
        <v>0.1781937611401098</v>
      </c>
      <c r="AP43" t="n">
        <v>0.1173149944286103</v>
      </c>
      <c r="AQ43" t="n">
        <v>0.1206322329115385</v>
      </c>
      <c r="AR43" t="n">
        <v>0.1067305474800672</v>
      </c>
      <c r="AS43" t="n">
        <v>0.110182226016784</v>
      </c>
      <c r="AU43">
        <f>(AQ43&lt;AU$1)*1</f>
        <v/>
      </c>
      <c r="AV43">
        <f>(AS43&lt;AV$1)*1</f>
        <v/>
      </c>
    </row>
    <row r="44" customFormat="1" s="2">
      <c r="A44" t="inlineStr">
        <is>
          <t>FaIR_anthro_unB</t>
        </is>
      </c>
      <c r="B44" t="inlineStr">
        <is>
          <t>43/1_ERF_FaIR</t>
        </is>
      </c>
      <c r="C44" t="inlineStr">
        <is>
          <t>c</t>
        </is>
      </c>
      <c r="D44" t="n">
        <v>4.45</v>
      </c>
      <c r="E44" t="n">
        <v>40.03333333333333</v>
      </c>
      <c r="F44" t="n">
        <v>0.0168418043234588</v>
      </c>
      <c r="G44" t="n">
        <v>91.53985819813568</v>
      </c>
      <c r="H44" t="n">
        <v>-3.281944444296744</v>
      </c>
      <c r="I44" t="n">
        <v>0.7152777779454595</v>
      </c>
      <c r="J44" t="n">
        <v>-0.9442142346755312</v>
      </c>
      <c r="K44" t="n">
        <v>-3.281944444296744</v>
      </c>
      <c r="L44" t="n">
        <v>0.6138888890566628</v>
      </c>
      <c r="M44" t="n">
        <v>-3.281944444296744</v>
      </c>
      <c r="N44" t="n">
        <v>0.6486111112788497</v>
      </c>
      <c r="O44" t="n">
        <v>4.408235544665174</v>
      </c>
      <c r="P44" t="n">
        <v>0.0954698690326031</v>
      </c>
      <c r="Q44" t="n">
        <v>-0.0442527171007145</v>
      </c>
      <c r="R44" t="n">
        <v>-0.0119000147075706</v>
      </c>
      <c r="S44" t="n">
        <v>0.0168418044559135</v>
      </c>
      <c r="T44" t="n">
        <v>102.0120092349942</v>
      </c>
      <c r="U44" t="n">
        <v>-3.111111110963566</v>
      </c>
      <c r="V44" t="n">
        <v>0.5430555557222874</v>
      </c>
      <c r="W44" t="n">
        <v>-1.028472222061182</v>
      </c>
      <c r="X44" t="n">
        <v>-3.111111110963566</v>
      </c>
      <c r="Y44" t="n">
        <v>0.4416666668334907</v>
      </c>
      <c r="Z44" t="n">
        <v>-3.111111110963566</v>
      </c>
      <c r="AA44" t="n">
        <v>0.6444444446110841</v>
      </c>
      <c r="AB44" t="n">
        <v>2.088514957188439</v>
      </c>
      <c r="AC44" t="n">
        <v>-0.0119000152142101</v>
      </c>
      <c r="AD44" t="n">
        <v>2.762626656155499</v>
      </c>
      <c r="AE44" t="n">
        <v>3.179809911055174</v>
      </c>
      <c r="AF44" t="n">
        <v>2.90156589034687</v>
      </c>
      <c r="AG44" t="n">
        <v>3.227789456770376</v>
      </c>
      <c r="AH44" t="n">
        <v>0.6403405582056577</v>
      </c>
      <c r="AI44" t="n">
        <v>13.33333333333333</v>
      </c>
      <c r="AJ44" t="n">
        <v>13.33333333333333</v>
      </c>
      <c r="AK44" t="n">
        <v>0.3556656884885957</v>
      </c>
      <c r="AL44" t="n">
        <v>0.3556656884885957</v>
      </c>
      <c r="AM44" t="n">
        <v>2.162533333333334</v>
      </c>
      <c r="AN44" t="n">
        <v>102.4544893129052</v>
      </c>
      <c r="AO44" t="n">
        <v>0.1088482263137458</v>
      </c>
      <c r="AP44" t="n">
        <v>0.0807324873250663</v>
      </c>
      <c r="AQ44" t="n">
        <v>0.08454738673507781</v>
      </c>
      <c r="AR44" t="n">
        <v>0.064392052186192</v>
      </c>
      <c r="AS44" t="n">
        <v>0.06882040318819151</v>
      </c>
      <c r="AU44">
        <f>(AQ44&lt;AU$1)*1</f>
        <v/>
      </c>
      <c r="AV44">
        <f>(AS44&lt;AV$1)*1</f>
        <v/>
      </c>
    </row>
    <row r="45" customFormat="1" s="2">
      <c r="A45" t="inlineStr">
        <is>
          <t>FaIR_comb_unB</t>
        </is>
      </c>
      <c r="B45" t="inlineStr">
        <is>
          <t>43/1_ERF_FaIR</t>
        </is>
      </c>
      <c r="C45" t="inlineStr">
        <is>
          <t>c</t>
        </is>
      </c>
      <c r="D45" t="n">
        <v>0.0166666666666666</v>
      </c>
      <c r="E45" t="n">
        <v>0.35</v>
      </c>
      <c r="F45" t="n">
        <v>0.0130139697150284</v>
      </c>
      <c r="G45" t="n">
        <v>109.8855502275107</v>
      </c>
      <c r="H45" t="n">
        <v>-2.333101851704983</v>
      </c>
      <c r="I45" t="n">
        <v>1.038194444612636</v>
      </c>
      <c r="J45" t="n">
        <v>-0.5280078908652055</v>
      </c>
      <c r="K45" t="n">
        <v>-3.195833333185681</v>
      </c>
      <c r="L45" t="n">
        <v>0.1375000001686582</v>
      </c>
      <c r="M45" t="n">
        <v>-2.59722222207511</v>
      </c>
      <c r="N45" t="n">
        <v>1.498611111278531</v>
      </c>
      <c r="O45" t="n">
        <v>3.654958591639637</v>
      </c>
      <c r="P45" t="n">
        <v>0.07879284941669761</v>
      </c>
      <c r="Q45" t="n">
        <v>-0.0146200817435333</v>
      </c>
      <c r="R45" t="n">
        <v>-0.0123041730641228</v>
      </c>
      <c r="S45" t="n">
        <v>0.0130139698474832</v>
      </c>
      <c r="T45" t="n">
        <v>80.15573641953669</v>
      </c>
      <c r="U45" t="n">
        <v>-2.162268518371805</v>
      </c>
      <c r="V45" t="n">
        <v>0.7884259260924459</v>
      </c>
      <c r="W45" t="n">
        <v>-0.5703881764784722</v>
      </c>
      <c r="X45" t="n">
        <v>-3.024999999852503</v>
      </c>
      <c r="Y45" t="n">
        <v>-0.0347222220549535</v>
      </c>
      <c r="Z45" t="n">
        <v>-1.463888888742811</v>
      </c>
      <c r="AA45" t="n">
        <v>1.427777777943713</v>
      </c>
      <c r="AB45" t="n">
        <v>3.050516381720385</v>
      </c>
      <c r="AC45" t="n">
        <v>-0.0123041735707624</v>
      </c>
      <c r="AD45" t="n">
        <v>2.759052826646458</v>
      </c>
      <c r="AE45" t="n">
        <v>3.05704843567947</v>
      </c>
      <c r="AF45" t="n">
        <v>3.501619953518836</v>
      </c>
      <c r="AG45" t="n">
        <v>3.87170200761497</v>
      </c>
      <c r="AH45" t="n">
        <v>1.21076112567061</v>
      </c>
      <c r="AI45" t="n">
        <v>15.175</v>
      </c>
      <c r="AJ45" t="n">
        <v>15.09166666666667</v>
      </c>
      <c r="AK45" t="n">
        <v>0.8385783385344091</v>
      </c>
      <c r="AL45" t="n">
        <v>0.8582644834419864</v>
      </c>
      <c r="AM45" t="n">
        <v>3.563433333333334</v>
      </c>
      <c r="AN45" t="n">
        <v>188.8787356046151</v>
      </c>
      <c r="AO45" t="n">
        <v>0.07017488184121121</v>
      </c>
      <c r="AP45" t="n">
        <v>0.0662230606812293</v>
      </c>
      <c r="AQ45" t="n">
        <v>0.067730132140066</v>
      </c>
      <c r="AR45" t="n">
        <v>0.086609837925147</v>
      </c>
      <c r="AS45" t="n">
        <v>0.093498568125927</v>
      </c>
      <c r="AU45" s="2">
        <f>(AQ45&lt;AU$1)*1</f>
        <v/>
      </c>
      <c r="AV45" s="2">
        <f>(AS45&lt;AV$1)*1</f>
        <v/>
      </c>
    </row>
    <row r="46">
      <c r="A46" t="inlineStr">
        <is>
          <t>FaIR_nonat</t>
        </is>
      </c>
      <c r="B46" t="inlineStr">
        <is>
          <t>43/1_ERF_FaIR</t>
        </is>
      </c>
      <c r="C46" t="inlineStr">
        <is>
          <t>c</t>
        </is>
      </c>
      <c r="D46" t="n">
        <v>1.416666666666667</v>
      </c>
      <c r="E46" t="n">
        <v>100.2666666666667</v>
      </c>
      <c r="F46" t="n">
        <v>-0.0948491760839234</v>
      </c>
      <c r="G46" t="n">
        <v>62.21489109778468</v>
      </c>
      <c r="H46" t="n">
        <v>2.559722222364633</v>
      </c>
      <c r="I46" t="n">
        <v>9.039120370531524</v>
      </c>
      <c r="J46" t="n">
        <v>5.975109458597245</v>
      </c>
      <c r="K46" t="n">
        <v>2.559722222364633</v>
      </c>
      <c r="L46" t="n">
        <v>8.648611111272414</v>
      </c>
      <c r="M46" t="n">
        <v>2.559722222364633</v>
      </c>
      <c r="N46" t="n">
        <v>9.256944444605187</v>
      </c>
      <c r="O46" t="n">
        <v>7.819712355773796</v>
      </c>
      <c r="P46" t="n">
        <v>0.1125698367352184</v>
      </c>
      <c r="Q46" t="n">
        <v>-0.1437409649188435</v>
      </c>
      <c r="R46" t="n">
        <v>-0.1218488760718436</v>
      </c>
      <c r="S46" t="n">
        <v>-0.0948491759514687</v>
      </c>
      <c r="T46" t="n">
        <v>64.82279955028527</v>
      </c>
      <c r="U46" t="n">
        <v>2.730555555697811</v>
      </c>
      <c r="V46" t="n">
        <v>8.800462963122197</v>
      </c>
      <c r="W46" t="n">
        <v>5.865918803568608</v>
      </c>
      <c r="X46" t="n">
        <v>2.730555555697811</v>
      </c>
      <c r="Y46" t="n">
        <v>8.476388889048424</v>
      </c>
      <c r="Z46" t="n">
        <v>2.730555555697811</v>
      </c>
      <c r="AA46" t="n">
        <v>9.116666666825608</v>
      </c>
      <c r="AB46" t="n">
        <v>5.865918803568608</v>
      </c>
      <c r="AC46" t="n">
        <v>-0.1218488765784831</v>
      </c>
      <c r="AD46" t="n">
        <v>2.630290289597368</v>
      </c>
      <c r="AE46" t="n">
        <v>1.978727223897124</v>
      </c>
      <c r="AF46" t="n">
        <v>2.534107291768142</v>
      </c>
      <c r="AG46" t="n">
        <v>1.829514781013196</v>
      </c>
      <c r="AH46" t="n">
        <v>0.09682090179307359</v>
      </c>
      <c r="AI46" t="n">
        <v>13.68333333333333</v>
      </c>
      <c r="AJ46" t="n">
        <v>13.51666666666667</v>
      </c>
      <c r="AK46" t="n">
        <v>0.2287584483041278</v>
      </c>
      <c r="AL46" t="n">
        <v>0.2321945934582725</v>
      </c>
      <c r="AM46" t="n">
        <v>2.801483333333333</v>
      </c>
      <c r="AN46" t="n">
        <v>15.49134428689179</v>
      </c>
      <c r="AO46" t="n">
        <v>0.1689664619898319</v>
      </c>
      <c r="AP46" t="n">
        <v>0.1219233760158435</v>
      </c>
      <c r="AQ46" t="n">
        <v>0.126004076185667</v>
      </c>
      <c r="AR46" t="n">
        <v>0.113146341744867</v>
      </c>
      <c r="AS46" t="n">
        <v>0.117161737699565</v>
      </c>
      <c r="AU46">
        <f>(AQ46&lt;AU$1)*1</f>
        <v/>
      </c>
      <c r="AV46">
        <f>(AS46&lt;AV$1)*1</f>
        <v/>
      </c>
    </row>
    <row r="47" customFormat="1" s="2">
      <c r="A47" t="inlineStr">
        <is>
          <t>FaIR_nonat_unB</t>
        </is>
      </c>
      <c r="B47" t="inlineStr">
        <is>
          <t>43/1_ERF_FaIR</t>
        </is>
      </c>
      <c r="C47" t="inlineStr">
        <is>
          <t>c</t>
        </is>
      </c>
      <c r="D47" t="n">
        <v>0</v>
      </c>
      <c r="E47" t="n">
        <v>11.06666666666667</v>
      </c>
      <c r="F47" t="n">
        <v>0.016309691317929</v>
      </c>
      <c r="G47" t="n">
        <v>95.31024608509588</v>
      </c>
      <c r="H47" t="n">
        <v>-3.130555555407981</v>
      </c>
      <c r="I47" t="n">
        <v>0.9523148149822976</v>
      </c>
      <c r="J47" t="n">
        <v>-0.8425728205342529</v>
      </c>
      <c r="K47" t="n">
        <v>-3.130555555407981</v>
      </c>
      <c r="L47" t="n">
        <v>0.8305555557231021</v>
      </c>
      <c r="M47" t="n">
        <v>-3.130555555407981</v>
      </c>
      <c r="N47" t="n">
        <v>1.081944444611758</v>
      </c>
      <c r="O47" t="n">
        <v>4.324562797397319</v>
      </c>
      <c r="P47" t="n">
        <v>0.0901576865548307</v>
      </c>
      <c r="Q47" t="n">
        <v>-0.0273350001387872</v>
      </c>
      <c r="R47" t="n">
        <v>-0.0106906520734488</v>
      </c>
      <c r="S47" t="n">
        <v>0.0163096914503837</v>
      </c>
      <c r="T47" t="n">
        <v>105.8917976842579</v>
      </c>
      <c r="U47" t="n">
        <v>-2.959722222074803</v>
      </c>
      <c r="V47" t="n">
        <v>0.7800925927591025</v>
      </c>
      <c r="W47" t="n">
        <v>-0.9392628203519212</v>
      </c>
      <c r="X47" t="n">
        <v>-2.959722222074803</v>
      </c>
      <c r="Y47" t="n">
        <v>0.6583333334999527</v>
      </c>
      <c r="Z47" t="n">
        <v>-2.959722222074803</v>
      </c>
      <c r="AA47" t="n">
        <v>0.9277777779441522</v>
      </c>
      <c r="AB47" t="n">
        <v>2.097881054065322</v>
      </c>
      <c r="AC47" t="n">
        <v>-0.0106906525800883</v>
      </c>
      <c r="AD47" t="n">
        <v>2.836061578592286</v>
      </c>
      <c r="AE47" t="n">
        <v>3.247503476993794</v>
      </c>
      <c r="AF47" t="n">
        <v>3.13627990359223</v>
      </c>
      <c r="AG47" t="n">
        <v>3.364950112017025</v>
      </c>
      <c r="AH47" t="n">
        <v>0.9819839475895576</v>
      </c>
      <c r="AI47" t="n">
        <v>13.58333333333333</v>
      </c>
      <c r="AJ47" t="n">
        <v>13.6</v>
      </c>
      <c r="AK47" t="n">
        <v>0.7055257081047527</v>
      </c>
      <c r="AL47" t="n">
        <v>0.7123850905817875</v>
      </c>
      <c r="AM47" t="n">
        <v>2.802</v>
      </c>
      <c r="AN47" t="n">
        <v>157.1174316143292</v>
      </c>
      <c r="AO47" t="n">
        <v>0.0896497103633441</v>
      </c>
      <c r="AP47" t="n">
        <v>0.07832049845915411</v>
      </c>
      <c r="AQ47" t="n">
        <v>0.0824067975267045</v>
      </c>
      <c r="AR47" t="n">
        <v>0.0638129383521371</v>
      </c>
      <c r="AS47" t="n">
        <v>0.0681364855784186</v>
      </c>
      <c r="AU47">
        <f>(AQ47&lt;AU$1)*1</f>
        <v/>
      </c>
      <c r="AV47">
        <f>(AS47&lt;AV$1)*1</f>
        <v/>
      </c>
    </row>
    <row r="48">
      <c r="A48" t="inlineStr">
        <is>
          <t>EBMKF_ta</t>
        </is>
      </c>
      <c r="B48" t="inlineStr">
        <is>
          <t>43/2_Kalman</t>
        </is>
      </c>
      <c r="C48" t="inlineStr">
        <is>
          <t>c</t>
        </is>
      </c>
      <c r="D48" t="n">
        <v>74.11666666666666</v>
      </c>
      <c r="E48" t="n">
        <v>156.3166666666667</v>
      </c>
      <c r="F48" t="n">
        <v>0.0468152762546394</v>
      </c>
      <c r="G48" t="n">
        <v>-188.2931079609087</v>
      </c>
      <c r="H48" t="n">
        <v>-4.546527777631237</v>
      </c>
      <c r="I48" t="n">
        <v>-1.907638888717429</v>
      </c>
      <c r="J48" t="n">
        <v>-2.680694074280036</v>
      </c>
      <c r="K48" t="n">
        <v>-4.919444444297714</v>
      </c>
      <c r="L48" t="n">
        <v>-2.487499999828576</v>
      </c>
      <c r="M48" t="n">
        <v>-4.919444444297714</v>
      </c>
      <c r="N48" t="n">
        <v>-2.027777777606768</v>
      </c>
      <c r="O48" t="n">
        <v>5.582067941174897</v>
      </c>
      <c r="P48" t="n">
        <v>0.0353859582783195</v>
      </c>
      <c r="Q48" t="n">
        <v>0.0018861005029656</v>
      </c>
      <c r="R48" t="n">
        <v>0.0137203940768092</v>
      </c>
      <c r="S48" t="n">
        <v>0.0468152763870942</v>
      </c>
      <c r="T48" t="n">
        <v>-308.5475900415868</v>
      </c>
      <c r="U48" t="n">
        <v>-5.220138888739431</v>
      </c>
      <c r="V48" t="n">
        <v>-2.441666666497205</v>
      </c>
      <c r="W48" t="n">
        <v>-2.979433760523923</v>
      </c>
      <c r="X48" t="n">
        <v>-5.426388888739242</v>
      </c>
      <c r="Y48" t="n">
        <v>-2.659722222052566</v>
      </c>
      <c r="Z48" t="n">
        <v>-5.137499999850616</v>
      </c>
      <c r="AA48" t="n">
        <v>-2.223611110941844</v>
      </c>
      <c r="AB48" t="n">
        <v>4.082852563996948</v>
      </c>
      <c r="AC48" t="n">
        <v>0.0137203935701696</v>
      </c>
      <c r="AD48" t="n">
        <v>2.003818055679222</v>
      </c>
      <c r="AE48" t="n">
        <v>2.222559612307173</v>
      </c>
      <c r="AF48" t="n">
        <v>2.802688971217058</v>
      </c>
      <c r="AG48" t="n">
        <v>4.670445810554453</v>
      </c>
      <c r="AH48" t="n">
        <v>-0.338952807254826</v>
      </c>
      <c r="AI48" t="n">
        <v>13.32333333333333</v>
      </c>
      <c r="AJ48" t="n">
        <v>13.15666666666667</v>
      </c>
      <c r="AK48" s="1" t="n">
        <v>0.0007267031892773</v>
      </c>
      <c r="AL48" s="1" t="n">
        <v>0.0008944737668538999</v>
      </c>
      <c r="AM48" t="n">
        <v>0.7138333333333333</v>
      </c>
      <c r="AN48" t="n">
        <v>-77.95914566860998</v>
      </c>
      <c r="AO48" t="n">
        <v>0.0732370803723382</v>
      </c>
      <c r="AP48" t="n">
        <v>0.09237790910364301</v>
      </c>
      <c r="AQ48" t="n">
        <v>0.0907899440715296</v>
      </c>
      <c r="AR48" t="n">
        <v>0.1047621302427041</v>
      </c>
      <c r="AS48" t="n">
        <v>0.1092126628597672</v>
      </c>
      <c r="AU48">
        <f>(AQ48&lt;AU$1)*1</f>
        <v/>
      </c>
      <c r="AV48">
        <f>(AS48&lt;AV$1)*1</f>
        <v/>
      </c>
    </row>
    <row r="49">
      <c r="A49" t="inlineStr">
        <is>
          <t>EBMKF_ta2</t>
        </is>
      </c>
      <c r="B49" t="inlineStr">
        <is>
          <t>43/2_Kalman</t>
        </is>
      </c>
      <c r="C49" t="inlineStr">
        <is>
          <t>c</t>
        </is>
      </c>
      <c r="D49" t="n">
        <v>41.26666666666667</v>
      </c>
      <c r="E49" t="n">
        <v>96.26666666666668</v>
      </c>
      <c r="F49" t="n">
        <v>-0.0021894298283531</v>
      </c>
      <c r="G49" t="n">
        <v>-47.51686151428262</v>
      </c>
      <c r="H49" t="n">
        <v>-1.586805555409402</v>
      </c>
      <c r="I49" t="n">
        <v>2.283796296463834</v>
      </c>
      <c r="J49" t="n">
        <v>1.163765362881597</v>
      </c>
      <c r="K49" t="n">
        <v>-2.058333333186749</v>
      </c>
      <c r="L49" t="n">
        <v>1.85972222238964</v>
      </c>
      <c r="M49" t="n">
        <v>-1.82638888874252</v>
      </c>
      <c r="N49" t="n">
        <v>2.238888889055965</v>
      </c>
      <c r="O49" t="n">
        <v>5.828884814377601</v>
      </c>
      <c r="P49" t="n">
        <v>0.0337905942160185</v>
      </c>
      <c r="Q49" t="n">
        <v>0.0051144451521322</v>
      </c>
      <c r="R49" t="n">
        <v>-0.0534756605571179</v>
      </c>
      <c r="S49" t="n">
        <v>-0.0021894296958984</v>
      </c>
      <c r="T49" t="n">
        <v>-189.7271525003577</v>
      </c>
      <c r="U49" t="n">
        <v>-1.415972222076224</v>
      </c>
      <c r="V49" t="n">
        <v>1.870138889054431</v>
      </c>
      <c r="W49" t="n">
        <v>0.9373041312090424</v>
      </c>
      <c r="X49" t="n">
        <v>-1.887499999853572</v>
      </c>
      <c r="Y49" t="n">
        <v>1.68750000016571</v>
      </c>
      <c r="Z49" t="n">
        <v>-0.9444444442988774</v>
      </c>
      <c r="AA49" t="n">
        <v>2.052777777943152</v>
      </c>
      <c r="AB49" t="n">
        <v>2.712731481511902</v>
      </c>
      <c r="AC49" t="n">
        <v>-0.0534756610637575</v>
      </c>
      <c r="AD49" t="n">
        <v>3.694070943017784</v>
      </c>
      <c r="AE49" t="n">
        <v>6.338888657030509</v>
      </c>
      <c r="AF49" t="n">
        <v>7.576732489667005</v>
      </c>
      <c r="AG49" t="n">
        <v>5.302868024831054</v>
      </c>
      <c r="AH49" t="n">
        <v>0.877660092405021</v>
      </c>
      <c r="AI49" t="n">
        <v>13.68</v>
      </c>
      <c r="AJ49" t="n">
        <v>13.58</v>
      </c>
      <c r="AK49" s="1" t="n">
        <v>0.0074577900267309</v>
      </c>
      <c r="AL49" s="1" t="n">
        <v>0.0102469488469083</v>
      </c>
      <c r="AM49" t="n">
        <v>1.892716666666666</v>
      </c>
      <c r="AN49" t="n">
        <v>201.8618212531548</v>
      </c>
      <c r="AO49" t="n">
        <v>0.0538000017241663</v>
      </c>
      <c r="AP49" t="n">
        <v>0.0721857671419515</v>
      </c>
      <c r="AQ49" t="n">
        <v>0.0733411007085344</v>
      </c>
      <c r="AR49" t="n">
        <v>0.0884227809916223</v>
      </c>
      <c r="AS49" t="n">
        <v>0.0944092201824188</v>
      </c>
      <c r="AU49">
        <f>(AQ49&lt;AU$1)*1</f>
        <v/>
      </c>
      <c r="AV49">
        <f>(AS49&lt;AV$1)*1</f>
        <v/>
      </c>
      <c r="AX49" t="inlineStr">
        <is>
          <t>(failed SSP cutoff)</t>
        </is>
      </c>
    </row>
    <row r="50" customFormat="1" s="2">
      <c r="A50" t="inlineStr">
        <is>
          <t>EBMKF_ta4</t>
        </is>
      </c>
      <c r="B50" t="inlineStr">
        <is>
          <t>43/2_Kalman</t>
        </is>
      </c>
      <c r="C50" t="inlineStr">
        <is>
          <t>c</t>
        </is>
      </c>
      <c r="D50" t="n">
        <v>10.2</v>
      </c>
      <c r="E50" t="n">
        <v>27.91666666666667</v>
      </c>
      <c r="F50" t="n">
        <v>0.0199646470750428</v>
      </c>
      <c r="G50" t="n">
        <v>81.56803693554319</v>
      </c>
      <c r="H50" t="n">
        <v>-0.5562499998547727</v>
      </c>
      <c r="I50" t="n">
        <v>-0.985185185014854</v>
      </c>
      <c r="J50" t="n">
        <v>-1.029596213808302</v>
      </c>
      <c r="K50" t="n">
        <v>-1.509722222076125</v>
      </c>
      <c r="L50" t="n">
        <v>-1.398611110940942</v>
      </c>
      <c r="M50" t="n">
        <v>-1.059722222076535</v>
      </c>
      <c r="N50" t="n">
        <v>-1.343055555385437</v>
      </c>
      <c r="O50" t="n">
        <v>2.55221059319714</v>
      </c>
      <c r="P50" t="n">
        <v>0.0474850811360507</v>
      </c>
      <c r="Q50" t="n">
        <v>0.0137073378145931</v>
      </c>
      <c r="R50" t="n">
        <v>0.0190411152562327</v>
      </c>
      <c r="S50" t="n">
        <v>0.0199646472074976</v>
      </c>
      <c r="T50" t="n">
        <v>-198.0070286526467</v>
      </c>
      <c r="U50" t="n">
        <v>-0.3854166665215947</v>
      </c>
      <c r="V50" t="n">
        <v>-1.143518518350223</v>
      </c>
      <c r="W50" t="n">
        <v>-1.127457264796952</v>
      </c>
      <c r="X50" t="n">
        <v>-1.338888888742948</v>
      </c>
      <c r="Y50" t="n">
        <v>-1.570833333164652</v>
      </c>
      <c r="Z50" t="n">
        <v>0.3305555556999858</v>
      </c>
      <c r="AA50" t="n">
        <v>-0.8388888887208699</v>
      </c>
      <c r="AB50" t="n">
        <v>2.805804843244034</v>
      </c>
      <c r="AC50" t="n">
        <v>0.0190411147495932</v>
      </c>
      <c r="AD50" t="n">
        <v>5.096471580717642</v>
      </c>
      <c r="AE50" t="n">
        <v>3.091528947089729</v>
      </c>
      <c r="AF50" t="n">
        <v>8.281516927312422</v>
      </c>
      <c r="AG50" t="n">
        <v>6.584518708529817</v>
      </c>
      <c r="AH50" t="n">
        <v>1.440240201485163</v>
      </c>
      <c r="AI50" t="n">
        <v>15.15333333333333</v>
      </c>
      <c r="AJ50" t="n">
        <v>15.10333333333333</v>
      </c>
      <c r="AK50" t="n">
        <v>0.1487945266543485</v>
      </c>
      <c r="AL50" t="n">
        <v>0.242332247295652</v>
      </c>
      <c r="AM50" t="n">
        <v>3.870483333333333</v>
      </c>
      <c r="AN50" t="n">
        <v>331.2552463415875</v>
      </c>
      <c r="AO50" t="n">
        <v>0.0462883457921954</v>
      </c>
      <c r="AP50" t="n">
        <v>0.0577097965336336</v>
      </c>
      <c r="AQ50" t="n">
        <v>0.0596906444290588</v>
      </c>
      <c r="AR50" t="n">
        <v>0.0987201687392477</v>
      </c>
      <c r="AS50" t="n">
        <v>0.1070047479279411</v>
      </c>
      <c r="AU50" s="2">
        <f>(AQ50&lt;AU$1)*1</f>
        <v/>
      </c>
      <c r="AV50" s="2">
        <f>(AS50&lt;AV$1)*1</f>
        <v/>
      </c>
    </row>
    <row r="51" customFormat="1" s="2">
      <c r="A51" t="inlineStr">
        <is>
          <t>GWI_anthro</t>
        </is>
      </c>
      <c r="B51" t="inlineStr">
        <is>
          <t>43/3_Human_Induced</t>
        </is>
      </c>
      <c r="C51" t="inlineStr">
        <is>
          <t>c</t>
        </is>
      </c>
      <c r="D51" t="n">
        <v>13.38333333333333</v>
      </c>
      <c r="E51" t="n">
        <v>47.56666666666667</v>
      </c>
      <c r="F51" t="n">
        <v>-0.0139214342797147</v>
      </c>
      <c r="G51" t="n">
        <v>51.58637992259287</v>
      </c>
      <c r="H51" t="n">
        <v>0.648611111255237</v>
      </c>
      <c r="I51" t="n">
        <v>-0.4874999998315919</v>
      </c>
      <c r="J51" t="n">
        <v>0.2865792773661033</v>
      </c>
      <c r="K51" t="n">
        <v>0.648611111255237</v>
      </c>
      <c r="L51" t="n">
        <v>-0.4874999998315919</v>
      </c>
      <c r="M51" t="n">
        <v>0.648611111255237</v>
      </c>
      <c r="N51" t="n">
        <v>-0.4874999998315919</v>
      </c>
      <c r="O51" t="n">
        <v>4.193012367724859</v>
      </c>
      <c r="P51" t="n">
        <v>0.0768038251953039</v>
      </c>
      <c r="Q51" t="n">
        <v>0.0109133837327022</v>
      </c>
      <c r="R51" t="n">
        <v>0.0125762250953722</v>
      </c>
      <c r="S51" t="n">
        <v>-0.01392143414726</v>
      </c>
      <c r="T51" t="n">
        <v>136.9789839277918</v>
      </c>
      <c r="U51" t="n">
        <v>0.8194444445884149</v>
      </c>
      <c r="V51" t="n">
        <v>-0.6597222220544002</v>
      </c>
      <c r="W51" t="n">
        <v>0.0266559830659167</v>
      </c>
      <c r="X51" t="n">
        <v>0.8194444445884149</v>
      </c>
      <c r="Y51" t="n">
        <v>-0.6597222220544002</v>
      </c>
      <c r="Z51" t="n">
        <v>0.8194444445884149</v>
      </c>
      <c r="AA51" t="n">
        <v>-0.6597222220544002</v>
      </c>
      <c r="AB51" t="n">
        <v>1.276762820522677</v>
      </c>
      <c r="AC51" t="n">
        <v>0.0125762245887326</v>
      </c>
      <c r="AD51" t="n">
        <v>5.464082153475207</v>
      </c>
      <c r="AE51" t="n">
        <v>6.312208089112251</v>
      </c>
      <c r="AF51" t="n">
        <v>4.203376615074755</v>
      </c>
      <c r="AG51" t="n">
        <v>4.985960757261848</v>
      </c>
      <c r="AH51" t="n">
        <v>0.5304332622307109</v>
      </c>
      <c r="AI51" t="n">
        <v>13.03333333333333</v>
      </c>
      <c r="AJ51" t="n">
        <v>13.01666666666667</v>
      </c>
      <c r="AK51" t="n">
        <v>0.2513750571886726</v>
      </c>
      <c r="AL51" t="n">
        <v>0.2777959726055853</v>
      </c>
      <c r="AM51" t="n">
        <v>2.421</v>
      </c>
      <c r="AN51" t="n">
        <v>74.26065671229952</v>
      </c>
      <c r="AO51" t="n">
        <v>0.1172365129919741</v>
      </c>
      <c r="AP51" t="n">
        <v>0.0926813288516006</v>
      </c>
      <c r="AQ51" t="n">
        <v>0.091585887730313</v>
      </c>
      <c r="AR51" t="n">
        <v>0.0584913708984996</v>
      </c>
      <c r="AS51" t="n">
        <v>0.0416307367041556</v>
      </c>
      <c r="AU51">
        <f>(AQ51&lt;AU$1)*1</f>
        <v/>
      </c>
      <c r="AV51">
        <f>(AS51&lt;AV$1)*1</f>
        <v/>
      </c>
    </row>
    <row r="52" customFormat="1" s="2">
      <c r="A52" t="inlineStr">
        <is>
          <t>GWI_anthro_AR6</t>
        </is>
      </c>
      <c r="B52" t="inlineStr">
        <is>
          <t>43/3_Human_Induced</t>
        </is>
      </c>
      <c r="C52" t="inlineStr">
        <is>
          <t>c</t>
        </is>
      </c>
      <c r="D52" t="n">
        <v>18.08333333333333</v>
      </c>
      <c r="E52" t="n">
        <v>66.28333333333333</v>
      </c>
      <c r="F52" t="n">
        <v>-0.0184129565337587</v>
      </c>
      <c r="G52" t="n">
        <v>25.22414406264071</v>
      </c>
      <c r="H52" t="n">
        <v>1.359722222365716</v>
      </c>
      <c r="I52" t="n">
        <v>0.0222222223901856</v>
      </c>
      <c r="J52" t="n">
        <v>0.7648676556535473</v>
      </c>
      <c r="K52" t="n">
        <v>1.359722222365716</v>
      </c>
      <c r="L52" t="n">
        <v>0.0222222223901856</v>
      </c>
      <c r="M52" t="n">
        <v>1.359722222365716</v>
      </c>
      <c r="N52" t="n">
        <v>0.0222222223901856</v>
      </c>
      <c r="O52" t="n">
        <v>4.291996228575253</v>
      </c>
      <c r="P52" t="n">
        <v>0.07000454012164919</v>
      </c>
      <c r="Q52" t="n">
        <v>0.0212017190865607</v>
      </c>
      <c r="R52" t="n">
        <v>0.0173968832098592</v>
      </c>
      <c r="S52" t="n">
        <v>-0.0184129564013039</v>
      </c>
      <c r="T52" t="n">
        <v>135.2643533474759</v>
      </c>
      <c r="U52" t="n">
        <v>1.530555555698894</v>
      </c>
      <c r="V52" t="n">
        <v>-0.1499999998326378</v>
      </c>
      <c r="W52" t="n">
        <v>0.5102564104154633</v>
      </c>
      <c r="X52" t="n">
        <v>1.530555555698894</v>
      </c>
      <c r="Y52" t="n">
        <v>-0.1499999998326378</v>
      </c>
      <c r="Z52" t="n">
        <v>1.530555555698894</v>
      </c>
      <c r="AA52" t="n">
        <v>-0.1499999998326378</v>
      </c>
      <c r="AB52" t="n">
        <v>1.198290598321745</v>
      </c>
      <c r="AC52" t="n">
        <v>0.0173968827032196</v>
      </c>
      <c r="AD52" t="n">
        <v>5.358351283383862</v>
      </c>
      <c r="AE52" t="n">
        <v>6.663197081793126</v>
      </c>
      <c r="AF52" t="n">
        <v>3.646067679252318</v>
      </c>
      <c r="AG52" t="n">
        <v>4.630098926059334</v>
      </c>
      <c r="AH52" t="n">
        <v>0.3655433250708755</v>
      </c>
      <c r="AI52" t="n">
        <v>13.01666666666667</v>
      </c>
      <c r="AJ52" t="n">
        <v>13</v>
      </c>
      <c r="AK52" t="n">
        <v>0.148781906603883</v>
      </c>
      <c r="AL52" t="n">
        <v>0.1832558479998899</v>
      </c>
      <c r="AM52" t="n">
        <v>2.058316666666667</v>
      </c>
      <c r="AN52" t="n">
        <v>51.17606550992257</v>
      </c>
      <c r="AO52" t="n">
        <v>0.1234848798540351</v>
      </c>
      <c r="AP52" t="n">
        <v>0.0934161901668054</v>
      </c>
      <c r="AQ52" t="n">
        <v>0.094147651613989</v>
      </c>
      <c r="AR52" t="n">
        <v>0.0572154931958016</v>
      </c>
      <c r="AS52" t="n">
        <v>0.0449506548150938</v>
      </c>
      <c r="AU52">
        <f>(AQ52&lt;AU$1)*1</f>
        <v/>
      </c>
      <c r="AV52">
        <f>(AS52&lt;AV$1)*1</f>
        <v/>
      </c>
    </row>
    <row r="53" customFormat="1" s="2">
      <c r="A53" t="inlineStr">
        <is>
          <t>GWI_anthro_CGWL</t>
        </is>
      </c>
      <c r="B53" t="inlineStr">
        <is>
          <t>43/3_Human_Induced</t>
        </is>
      </c>
      <c r="C53" t="inlineStr">
        <is>
          <t>c</t>
        </is>
      </c>
      <c r="D53" t="n">
        <v>12.71666666666667</v>
      </c>
      <c r="E53" t="n">
        <v>46.58333333333334</v>
      </c>
      <c r="F53" t="n">
        <v>-0.0122313007726798</v>
      </c>
      <c r="G53" t="n">
        <v>54.81862721142161</v>
      </c>
      <c r="H53" t="n">
        <v>0.3930555556999214</v>
      </c>
      <c r="I53" t="n">
        <v>-0.3888888887205439</v>
      </c>
      <c r="J53" t="n">
        <v>0.2161539850658335</v>
      </c>
      <c r="K53" t="n">
        <v>0.3930555556999214</v>
      </c>
      <c r="L53" t="n">
        <v>-0.3888888887205439</v>
      </c>
      <c r="M53" t="n">
        <v>0.3930555556999214</v>
      </c>
      <c r="N53" t="n">
        <v>-0.3888888887205439</v>
      </c>
      <c r="O53" t="n">
        <v>4.138906906648071</v>
      </c>
      <c r="P53" t="n">
        <v>0.0803962692541063</v>
      </c>
      <c r="Q53" t="n">
        <v>0.0122468572200919</v>
      </c>
      <c r="R53" t="n">
        <v>0.0108520741196995</v>
      </c>
      <c r="S53" t="n">
        <v>-0.012231300640225</v>
      </c>
      <c r="T53" t="n">
        <v>138.1850464678896</v>
      </c>
      <c r="U53" t="n">
        <v>0.5638888890330994</v>
      </c>
      <c r="V53" t="n">
        <v>-0.5611111109433599</v>
      </c>
      <c r="W53" t="n">
        <v>-0.0105235041135138</v>
      </c>
      <c r="X53" t="n">
        <v>0.5638888890330994</v>
      </c>
      <c r="Y53" t="n">
        <v>-0.5611111109433599</v>
      </c>
      <c r="Z53" t="n">
        <v>0.5638888890330994</v>
      </c>
      <c r="AA53" t="n">
        <v>-0.5611111109433599</v>
      </c>
      <c r="AB53" t="n">
        <v>1.27889957265941</v>
      </c>
      <c r="AC53" t="n">
        <v>0.01085207361306</v>
      </c>
      <c r="AD53" t="n">
        <v>5.44471764687865</v>
      </c>
      <c r="AE53" t="n">
        <v>6.318713243784122</v>
      </c>
      <c r="AF53" t="n">
        <v>4.374701082816654</v>
      </c>
      <c r="AG53" t="n">
        <v>4.972621056312087</v>
      </c>
      <c r="AH53" t="n">
        <v>0.534854081885255</v>
      </c>
      <c r="AI53" t="n">
        <v>13.03333333333333</v>
      </c>
      <c r="AJ53" t="n">
        <v>13.01666666666667</v>
      </c>
      <c r="AK53" t="n">
        <v>0.2550042009773354</v>
      </c>
      <c r="AL53" t="n">
        <v>0.2782183499471069</v>
      </c>
      <c r="AM53" t="n">
        <v>2.66815</v>
      </c>
      <c r="AN53" t="n">
        <v>74.87957146393569</v>
      </c>
      <c r="AO53" t="n">
        <v>0.1186462351365881</v>
      </c>
      <c r="AP53" t="n">
        <v>0.0916773263883994</v>
      </c>
      <c r="AQ53" t="n">
        <v>0.09132672047106449</v>
      </c>
      <c r="AR53" t="n">
        <v>0.0571446536759635</v>
      </c>
      <c r="AS53" t="n">
        <v>0.0412146854618852</v>
      </c>
      <c r="AU53">
        <f>(AQ53&lt;AU$1)*1</f>
        <v/>
      </c>
      <c r="AV53">
        <f>(AS53&lt;AV$1)*1</f>
        <v/>
      </c>
    </row>
    <row r="54" customFormat="1" s="2">
      <c r="A54" t="inlineStr">
        <is>
          <t>GWI_anthro_SR15</t>
        </is>
      </c>
      <c r="B54" t="inlineStr">
        <is>
          <t>43/3_Human_Induced</t>
        </is>
      </c>
      <c r="C54" t="inlineStr">
        <is>
          <t>c</t>
        </is>
      </c>
      <c r="D54" t="n">
        <v>12.1</v>
      </c>
      <c r="E54" t="n">
        <v>43.91666666666666</v>
      </c>
      <c r="F54" t="n">
        <v>-0.009063926243457201</v>
      </c>
      <c r="G54" t="n">
        <v>51.6742151638767</v>
      </c>
      <c r="H54" t="n">
        <v>0.4666666668109542</v>
      </c>
      <c r="I54" t="n">
        <v>-0.9486111109423064</v>
      </c>
      <c r="J54" t="n">
        <v>-0.0116849583980574</v>
      </c>
      <c r="K54" t="n">
        <v>0.4666666668109542</v>
      </c>
      <c r="L54" t="n">
        <v>-0.9486111109423064</v>
      </c>
      <c r="M54" t="n">
        <v>0.4666666668109542</v>
      </c>
      <c r="N54" t="n">
        <v>-0.9486111109423064</v>
      </c>
      <c r="O54" t="n">
        <v>4.166820370700711</v>
      </c>
      <c r="P54" t="n">
        <v>0.07615239246392121</v>
      </c>
      <c r="Q54" t="n">
        <v>0.0145615206289174</v>
      </c>
      <c r="R54" t="n">
        <v>0.019840592723963</v>
      </c>
      <c r="S54" t="n">
        <v>-0.009063926111002501</v>
      </c>
      <c r="T54" t="n">
        <v>136.1862863329738</v>
      </c>
      <c r="U54" t="n">
        <v>0.6375000001441322</v>
      </c>
      <c r="V54" t="n">
        <v>-1.120833333165077</v>
      </c>
      <c r="W54" t="n">
        <v>-0.2779914528314025</v>
      </c>
      <c r="X54" t="n">
        <v>0.6375000001441322</v>
      </c>
      <c r="Y54" t="n">
        <v>-1.120833333165077</v>
      </c>
      <c r="Z54" t="n">
        <v>0.6375000001441322</v>
      </c>
      <c r="AA54" t="n">
        <v>-1.120833333165077</v>
      </c>
      <c r="AB54" t="n">
        <v>1.284401709374299</v>
      </c>
      <c r="AC54" t="n">
        <v>0.0198405922173234</v>
      </c>
      <c r="AD54" t="n">
        <v>5.497003714142307</v>
      </c>
      <c r="AE54" t="n">
        <v>6.15011984247276</v>
      </c>
      <c r="AF54" t="n">
        <v>4.498489558613413</v>
      </c>
      <c r="AG54" t="n">
        <v>5.113488073367191</v>
      </c>
      <c r="AH54" t="n">
        <v>0.5542850665862336</v>
      </c>
      <c r="AI54" t="n">
        <v>13.01666666666667</v>
      </c>
      <c r="AJ54" t="n">
        <v>13</v>
      </c>
      <c r="AK54" t="n">
        <v>0.2720252233671595</v>
      </c>
      <c r="AL54" t="n">
        <v>0.3002346927676436</v>
      </c>
      <c r="AM54" t="n">
        <v>2.3324</v>
      </c>
      <c r="AN54" t="n">
        <v>77.5999093220727</v>
      </c>
      <c r="AO54" t="n">
        <v>0.1161321925890671</v>
      </c>
      <c r="AP54" t="n">
        <v>0.09261466616568401</v>
      </c>
      <c r="AQ54" t="n">
        <v>0.09212590072598879</v>
      </c>
      <c r="AR54" t="n">
        <v>0.0584039790165921</v>
      </c>
      <c r="AS54" t="n">
        <v>0.0430024656595301</v>
      </c>
      <c r="AU54">
        <f>(AQ54&lt;AU$1)*1</f>
        <v/>
      </c>
      <c r="AV54">
        <f>(AS54&lt;AV$1)*1</f>
        <v/>
      </c>
    </row>
    <row r="55">
      <c r="A55" t="inlineStr">
        <is>
          <t>GWI_tot</t>
        </is>
      </c>
      <c r="B55" t="inlineStr">
        <is>
          <t>43/3_Human_Induced</t>
        </is>
      </c>
      <c r="C55" t="inlineStr">
        <is>
          <t>c</t>
        </is>
      </c>
      <c r="D55" t="n">
        <v>13.06666666666667</v>
      </c>
      <c r="E55" t="n">
        <v>42.16666666666666</v>
      </c>
      <c r="F55" t="n">
        <v>-0.0053550055495914</v>
      </c>
      <c r="G55" t="n">
        <v>98.28926261151643</v>
      </c>
      <c r="H55" t="n">
        <v>1.163194444588084</v>
      </c>
      <c r="I55" t="n">
        <v>0.1086805557248062</v>
      </c>
      <c r="J55" t="n">
        <v>0.6060019168410949</v>
      </c>
      <c r="K55" t="n">
        <v>-0.6972222220768913</v>
      </c>
      <c r="L55" t="n">
        <v>-1.248611110941806</v>
      </c>
      <c r="M55" t="n">
        <v>2.200000000142696</v>
      </c>
      <c r="N55" t="n">
        <v>0.4652777779471458</v>
      </c>
      <c r="O55" t="n">
        <v>3.795325643256068</v>
      </c>
      <c r="P55" t="n">
        <v>0.0570444796179587</v>
      </c>
      <c r="Q55" t="n">
        <v>0.0123668523213831</v>
      </c>
      <c r="R55" t="n">
        <v>0.0021526268433739</v>
      </c>
      <c r="S55" t="n">
        <v>-0.0053550054171367</v>
      </c>
      <c r="T55" t="n">
        <v>61.11952426084291</v>
      </c>
      <c r="U55" t="n">
        <v>1.089120370514077</v>
      </c>
      <c r="V55" t="n">
        <v>-0.405208333165721</v>
      </c>
      <c r="W55" t="n">
        <v>0.2465188748037519</v>
      </c>
      <c r="X55" t="n">
        <v>-0.5263888887437134</v>
      </c>
      <c r="Y55" t="n">
        <v>-1.420833333164796</v>
      </c>
      <c r="Z55" t="n">
        <v>2.651388889031174</v>
      </c>
      <c r="AA55" t="n">
        <v>0.6069444446111372</v>
      </c>
      <c r="AB55" t="n">
        <v>2.887900641018434</v>
      </c>
      <c r="AC55" t="n">
        <v>0.0021526263367343</v>
      </c>
      <c r="AD55" t="n">
        <v>4.544086180592956</v>
      </c>
      <c r="AE55" t="n">
        <v>4.19942011741588</v>
      </c>
      <c r="AF55" t="n">
        <v>5.022257491085839</v>
      </c>
      <c r="AG55" t="n">
        <v>5.915764975102351</v>
      </c>
      <c r="AH55" t="n">
        <v>0.8979058490636375</v>
      </c>
      <c r="AI55" t="n">
        <v>15.72833333333333</v>
      </c>
      <c r="AJ55" t="n">
        <v>15.45833333333333</v>
      </c>
      <c r="AK55" t="n">
        <v>0.1232565246363648</v>
      </c>
      <c r="AL55" t="n">
        <v>0.1847841719028806</v>
      </c>
      <c r="AM55" t="n">
        <v>3.5106</v>
      </c>
      <c r="AN55" t="n">
        <v>125.7068188689092</v>
      </c>
      <c r="AO55" t="n">
        <v>0.0829375011268315</v>
      </c>
      <c r="AP55" t="n">
        <v>0.0787724934499516</v>
      </c>
      <c r="AQ55" t="n">
        <v>0.07984670539943579</v>
      </c>
      <c r="AR55" t="n">
        <v>0.1025305271870709</v>
      </c>
      <c r="AS55" t="n">
        <v>0.1087200193363702</v>
      </c>
      <c r="AU55">
        <f>(AQ55&lt;AU$1)*1</f>
        <v/>
      </c>
      <c r="AV55">
        <f>(AS55&lt;AV$1)*1</f>
        <v/>
      </c>
    </row>
    <row r="56" s="3">
      <c r="A56" t="inlineStr">
        <is>
          <t>GWI_tot_AR6</t>
        </is>
      </c>
      <c r="B56" t="inlineStr">
        <is>
          <t>43/3_Human_Induced</t>
        </is>
      </c>
      <c r="C56" t="inlineStr">
        <is>
          <t>c</t>
        </is>
      </c>
      <c r="D56" t="n">
        <v>29.55</v>
      </c>
      <c r="E56" t="n">
        <v>69.75</v>
      </c>
      <c r="F56" t="n">
        <v>-0.0084628144572118</v>
      </c>
      <c r="G56" t="n">
        <v>92.4542517322364</v>
      </c>
      <c r="H56" t="n">
        <v>1.111111111254812</v>
      </c>
      <c r="I56" t="n">
        <v>0.355555555724618</v>
      </c>
      <c r="J56" t="n">
        <v>0.5018158926024017</v>
      </c>
      <c r="K56" t="n">
        <v>0.6972222223663</v>
      </c>
      <c r="L56" t="n">
        <v>0.1777777779465168</v>
      </c>
      <c r="M56" t="n">
        <v>0.995833333477136</v>
      </c>
      <c r="N56" t="n">
        <v>0.1777777779465168</v>
      </c>
      <c r="O56" t="n">
        <v>3.162174557740004</v>
      </c>
      <c r="P56" t="n">
        <v>0.0463125283495331</v>
      </c>
      <c r="Q56" t="n">
        <v>0.0217242998372482</v>
      </c>
      <c r="R56" t="n">
        <v>0.0063125386610321</v>
      </c>
      <c r="S56" t="n">
        <v>-0.0084628143247571</v>
      </c>
      <c r="T56" t="n">
        <v>26.22183092689131</v>
      </c>
      <c r="U56" t="n">
        <v>1.28194444458799</v>
      </c>
      <c r="V56" t="n">
        <v>0.0055555557227762</v>
      </c>
      <c r="W56" t="n">
        <v>0.4033653847743084</v>
      </c>
      <c r="X56" t="n">
        <v>0.868055555699478</v>
      </c>
      <c r="Y56" t="n">
        <v>0.0055555557227762</v>
      </c>
      <c r="Z56" t="n">
        <v>1.695833333476503</v>
      </c>
      <c r="AA56" t="n">
        <v>0.0055555557227762</v>
      </c>
      <c r="AB56" t="n">
        <v>2.539583333331342</v>
      </c>
      <c r="AC56" t="n">
        <v>0.0063125381543925</v>
      </c>
      <c r="AD56" t="n">
        <v>5.114900380716906</v>
      </c>
      <c r="AE56" t="n">
        <v>4.749425313583539</v>
      </c>
      <c r="AF56" t="n">
        <v>4.871321791292888</v>
      </c>
      <c r="AG56" t="n">
        <v>5.744485715964363</v>
      </c>
      <c r="AH56" t="n">
        <v>0.2517025795017652</v>
      </c>
      <c r="AI56" t="n">
        <v>13.52666666666667</v>
      </c>
      <c r="AJ56" t="n">
        <v>13.52666666666667</v>
      </c>
      <c r="AK56" t="n">
        <v>0.001431372937478</v>
      </c>
      <c r="AL56" t="n">
        <v>0.0182459337639553</v>
      </c>
      <c r="AM56" t="n">
        <v>1.609216666666666</v>
      </c>
      <c r="AN56" t="n">
        <v>35.23836113024713</v>
      </c>
      <c r="AO56" t="n">
        <v>0.08049555477816139</v>
      </c>
      <c r="AP56" t="n">
        <v>0.065224428971398</v>
      </c>
      <c r="AQ56" t="n">
        <v>0.0659458989870234</v>
      </c>
      <c r="AR56" t="n">
        <v>0.0878494060131688</v>
      </c>
      <c r="AS56" t="n">
        <v>0.09505893931076061</v>
      </c>
      <c r="AU56">
        <f>(AQ56&lt;AU$1)*1</f>
        <v/>
      </c>
      <c r="AV56">
        <f>(AS56&lt;AV$1)*1</f>
        <v/>
      </c>
      <c r="AX56" t="inlineStr">
        <is>
          <t>(failed SSP cutoff)</t>
        </is>
      </c>
    </row>
    <row r="57" customFormat="1" s="2">
      <c r="A57" t="inlineStr">
        <is>
          <t>GWI_tot_CGWL</t>
        </is>
      </c>
      <c r="B57" t="inlineStr">
        <is>
          <t>43/3_Human_Induced</t>
        </is>
      </c>
      <c r="C57" t="inlineStr">
        <is>
          <t>c</t>
        </is>
      </c>
      <c r="D57" t="n">
        <v>8.949999999999999</v>
      </c>
      <c r="E57" t="n">
        <v>32.11666666666667</v>
      </c>
      <c r="F57" t="n">
        <v>-0.0025674978086449</v>
      </c>
      <c r="G57" t="n">
        <v>127.7390886802742</v>
      </c>
      <c r="H57" t="n">
        <v>-0.188194444299548</v>
      </c>
      <c r="I57" t="n">
        <v>0.0402777779474717</v>
      </c>
      <c r="J57" t="n">
        <v>-0.0260532290155648</v>
      </c>
      <c r="K57" t="n">
        <v>-0.4611111109659646</v>
      </c>
      <c r="L57" t="n">
        <v>0.0402777779474717</v>
      </c>
      <c r="M57" t="n">
        <v>-0.288888888743899</v>
      </c>
      <c r="N57" t="n">
        <v>0.0402777779474717</v>
      </c>
      <c r="O57" t="n">
        <v>3.267993451187947</v>
      </c>
      <c r="P57" t="n">
        <v>0.0604578533630251</v>
      </c>
      <c r="Q57" t="n">
        <v>0.0159005738955649</v>
      </c>
      <c r="R57" t="n">
        <v>-0.0006919077121284</v>
      </c>
      <c r="S57" t="n">
        <v>-0.0025674976761902</v>
      </c>
      <c r="T57" t="n">
        <v>54.48856727014368</v>
      </c>
      <c r="U57" t="n">
        <v>-0.0173611109663701</v>
      </c>
      <c r="V57" t="n">
        <v>-0.1680555553906061</v>
      </c>
      <c r="W57" t="n">
        <v>-0.1753561251963115</v>
      </c>
      <c r="X57" t="n">
        <v>-0.2902777776327866</v>
      </c>
      <c r="Y57" t="n">
        <v>-0.3347222220572728</v>
      </c>
      <c r="Z57" t="n">
        <v>0.2555555557000464</v>
      </c>
      <c r="AA57" t="n">
        <v>-0.3347222220572728</v>
      </c>
      <c r="AB57" t="n">
        <v>2.623682336158953</v>
      </c>
      <c r="AC57" t="n">
        <v>-0.000691908218768</v>
      </c>
      <c r="AD57" t="n">
        <v>4.679078712290991</v>
      </c>
      <c r="AE57" t="n">
        <v>4.325284112774065</v>
      </c>
      <c r="AF57" t="n">
        <v>5.196809441512326</v>
      </c>
      <c r="AG57" t="n">
        <v>6.366668086764109</v>
      </c>
      <c r="AH57" t="n">
        <v>1.061198146703721</v>
      </c>
      <c r="AI57" t="n">
        <v>13.41</v>
      </c>
      <c r="AJ57" t="n">
        <v>13.36</v>
      </c>
      <c r="AK57" t="n">
        <v>0.1458484455812008</v>
      </c>
      <c r="AL57" t="n">
        <v>0.1803881943815716</v>
      </c>
      <c r="AM57" t="n">
        <v>2.544</v>
      </c>
      <c r="AN57" t="n">
        <v>148.5677405385209</v>
      </c>
      <c r="AO57" t="n">
        <v>0.0771554228373502</v>
      </c>
      <c r="AP57" t="n">
        <v>0.0600690648661056</v>
      </c>
      <c r="AQ57" t="n">
        <v>0.0557494336403855</v>
      </c>
      <c r="AR57" t="n">
        <v>0.08125833578435269</v>
      </c>
      <c r="AS57" t="n">
        <v>0.0847309637587972</v>
      </c>
      <c r="AU57" s="2">
        <f>(AQ57&lt;AU$1)*1</f>
        <v/>
      </c>
      <c r="AV57" s="2">
        <f>(AS57&lt;AV$1)*1</f>
        <v/>
      </c>
    </row>
    <row r="58" customFormat="1" s="2">
      <c r="A58" t="inlineStr">
        <is>
          <t>GWI_tot_SR15</t>
        </is>
      </c>
      <c r="B58" t="inlineStr">
        <is>
          <t>43/3_Human_Induced</t>
        </is>
      </c>
      <c r="C58" t="inlineStr">
        <is>
          <t>c</t>
        </is>
      </c>
      <c r="D58" t="n">
        <v>13.78333333333333</v>
      </c>
      <c r="E58" t="n">
        <v>43.88333333333333</v>
      </c>
      <c r="F58" t="n">
        <v>-0.0061958376879506</v>
      </c>
      <c r="G58" t="n">
        <v>94.40465975378773</v>
      </c>
      <c r="H58" t="n">
        <v>0.7722222223662395</v>
      </c>
      <c r="I58" t="n">
        <v>0.07013888905780349</v>
      </c>
      <c r="J58" t="n">
        <v>0.1061161255490767</v>
      </c>
      <c r="K58" t="n">
        <v>-0.7263888887435125</v>
      </c>
      <c r="L58" t="n">
        <v>-1.10138888871974</v>
      </c>
      <c r="M58" t="n">
        <v>0.9125000001438937</v>
      </c>
      <c r="N58" t="n">
        <v>0.2513888890567992</v>
      </c>
      <c r="O58" t="n">
        <v>3.378010449251712</v>
      </c>
      <c r="P58" t="n">
        <v>0.0546627795099639</v>
      </c>
      <c r="Q58" t="n">
        <v>0.0100435245329139</v>
      </c>
      <c r="R58" t="n">
        <v>0.0030329614834805</v>
      </c>
      <c r="S58" t="n">
        <v>-0.0061958375554959</v>
      </c>
      <c r="T58" t="n">
        <v>22.6412599718314</v>
      </c>
      <c r="U58" t="n">
        <v>0.5784722223664137</v>
      </c>
      <c r="V58" t="n">
        <v>-0.4569444442767993</v>
      </c>
      <c r="W58" t="n">
        <v>-0.07735042719078231</v>
      </c>
      <c r="X58" t="n">
        <v>-0.5555555554103345</v>
      </c>
      <c r="Y58" t="n">
        <v>-1.273611110942723</v>
      </c>
      <c r="Z58" t="n">
        <v>1.712500000143162</v>
      </c>
      <c r="AA58" t="n">
        <v>0.3597222223891246</v>
      </c>
      <c r="AB58" t="n">
        <v>2.614423076905095</v>
      </c>
      <c r="AC58" t="n">
        <v>0.003032960976841</v>
      </c>
      <c r="AD58" t="n">
        <v>4.471323200694092</v>
      </c>
      <c r="AE58" t="n">
        <v>3.759290477105625</v>
      </c>
      <c r="AF58" t="n">
        <v>5.270136735609425</v>
      </c>
      <c r="AG58" t="n">
        <v>5.839866150549019</v>
      </c>
      <c r="AH58" t="n">
        <v>0.9017636576914622</v>
      </c>
      <c r="AI58" t="n">
        <v>14.41666666666667</v>
      </c>
      <c r="AJ58" t="n">
        <v>14.36</v>
      </c>
      <c r="AK58" t="n">
        <v>0.1257894101504647</v>
      </c>
      <c r="AL58" t="n">
        <v>0.1662027640254688</v>
      </c>
      <c r="AM58" t="n">
        <v>2.242583333333334</v>
      </c>
      <c r="AN58" t="n">
        <v>126.2469120768047</v>
      </c>
      <c r="AO58" t="n">
        <v>0.07618589942661461</v>
      </c>
      <c r="AP58" t="n">
        <v>0.07300647234789211</v>
      </c>
      <c r="AQ58" t="n">
        <v>0.0726857401848461</v>
      </c>
      <c r="AR58" t="n">
        <v>0.1036188237697775</v>
      </c>
      <c r="AS58" t="n">
        <v>0.1100112619639585</v>
      </c>
      <c r="AU58" s="2">
        <f>(AQ58&lt;AU$1)*1</f>
        <v/>
      </c>
      <c r="AV58" s="2">
        <f>(AS58&lt;AV$1)*1</f>
        <v/>
      </c>
    </row>
    <row r="59">
      <c r="A59" t="inlineStr">
        <is>
          <t>CGWL10y_pUKCP</t>
        </is>
      </c>
      <c r="B59" t="inlineStr">
        <is>
          <t>44/44_EarthModel_CGWL</t>
        </is>
      </c>
      <c r="C59" t="inlineStr">
        <is>
          <t>c</t>
        </is>
      </c>
      <c r="D59" t="n">
        <v>0.6333333333333333</v>
      </c>
      <c r="E59" t="n">
        <v>23.6</v>
      </c>
      <c r="F59" t="n">
        <v>0.0905884178166978</v>
      </c>
      <c r="G59" t="n">
        <v>42.26034467174712</v>
      </c>
      <c r="H59" t="n">
        <v>-0.5097222220770277</v>
      </c>
      <c r="I59" t="n">
        <v>-4.309722222050482</v>
      </c>
      <c r="J59" t="n">
        <v>-3.204979106380604</v>
      </c>
      <c r="K59" t="n">
        <v>-0.6513888887435655</v>
      </c>
      <c r="L59" t="n">
        <v>-4.309722222050482</v>
      </c>
      <c r="M59" t="n">
        <v>-0.6513888887435655</v>
      </c>
      <c r="N59" t="n">
        <v>-4.309722222050482</v>
      </c>
      <c r="O59" t="n">
        <v>5.869055122414012</v>
      </c>
      <c r="P59" t="n">
        <v>0.1372373436132203</v>
      </c>
      <c r="Q59" t="n">
        <v>-0.0027381626965999</v>
      </c>
      <c r="R59" t="n">
        <v>0.181677637523056</v>
      </c>
      <c r="S59" t="n">
        <v>0.09058841792385219</v>
      </c>
      <c r="T59" t="n">
        <v>43.01856374171533</v>
      </c>
      <c r="U59" t="n">
        <v>-0.3388888887438497</v>
      </c>
      <c r="V59" t="n">
        <v>-4.481944444273116</v>
      </c>
      <c r="W59" t="n">
        <v>-3.456196581036353</v>
      </c>
      <c r="X59" t="n">
        <v>-0.4805555554103876</v>
      </c>
      <c r="Y59" t="n">
        <v>-4.481944444273116</v>
      </c>
      <c r="Z59" t="n">
        <v>-0.1972222220773119</v>
      </c>
      <c r="AA59" t="n">
        <v>-4.481944444273116</v>
      </c>
      <c r="AB59" t="n">
        <v>3.476175213525525</v>
      </c>
      <c r="AC59" t="n">
        <v>0.1816776369422928</v>
      </c>
      <c r="AD59" t="n">
        <v>1.939896842212288</v>
      </c>
      <c r="AE59" t="n">
        <v>1.307389372093924</v>
      </c>
      <c r="AF59" t="n">
        <v>1.913814236133882</v>
      </c>
      <c r="AG59" t="n">
        <v>1.36889604217484</v>
      </c>
      <c r="AH59" t="n">
        <v>0.5027720418510422</v>
      </c>
      <c r="AI59" t="n">
        <v>13.12333333333333</v>
      </c>
      <c r="AJ59" t="n">
        <v>13.15666666666667</v>
      </c>
      <c r="AK59" t="n">
        <v>0.2594672211557593</v>
      </c>
      <c r="AL59" t="n">
        <v>0.2841950885371636</v>
      </c>
      <c r="AM59" t="n">
        <v>1.579283333333333</v>
      </c>
      <c r="AN59" t="n">
        <v>115.1347975838887</v>
      </c>
      <c r="AO59" t="n">
        <v>0.1066157602186293</v>
      </c>
      <c r="AP59" t="n">
        <v>0.1427217343106854</v>
      </c>
      <c r="AQ59" t="n">
        <v>0.1659924292756991</v>
      </c>
      <c r="AR59" t="n">
        <v>0.142549666381448</v>
      </c>
      <c r="AS59" t="n">
        <v>0.1663283078605533</v>
      </c>
      <c r="AU59">
        <f>(AQ59&lt;AU$1)*1</f>
        <v/>
      </c>
      <c r="AV59">
        <f>(AS59&lt;AV$1)*1</f>
        <v/>
      </c>
    </row>
    <row r="60" customFormat="1" s="2">
      <c r="A60" t="inlineStr">
        <is>
          <t>CGWL10y_sfUKCP</t>
        </is>
      </c>
      <c r="B60" t="inlineStr">
        <is>
          <t>44/44_EarthModel_CGWL</t>
        </is>
      </c>
      <c r="C60" t="inlineStr">
        <is>
          <t>c</t>
        </is>
      </c>
      <c r="D60" t="n">
        <v>6.083333333333333</v>
      </c>
      <c r="E60" t="n">
        <v>15.78333333333333</v>
      </c>
      <c r="F60" t="n">
        <v>0.0373658505662549</v>
      </c>
      <c r="G60" t="n">
        <v>96.30739924846824</v>
      </c>
      <c r="H60" t="n">
        <v>-0.7252314813361106</v>
      </c>
      <c r="I60" t="n">
        <v>-2.363078703532606</v>
      </c>
      <c r="J60" t="n">
        <v>-1.869239797462894</v>
      </c>
      <c r="K60" t="n">
        <v>-1.626388888742702</v>
      </c>
      <c r="L60" t="n">
        <v>-3.519444444273161</v>
      </c>
      <c r="M60" t="n">
        <v>-1.270833333187469</v>
      </c>
      <c r="N60" t="n">
        <v>-2.755555555384967</v>
      </c>
      <c r="O60" t="n">
        <v>3.570005114072551</v>
      </c>
      <c r="P60" t="n">
        <v>0.0536027516970749</v>
      </c>
      <c r="Q60" t="n">
        <v>0.0006487249084611</v>
      </c>
      <c r="R60" t="n">
        <v>0.0579171063808293</v>
      </c>
      <c r="S60" t="n">
        <v>0.0373658506734093</v>
      </c>
      <c r="T60" t="n">
        <v>-42.87835814892448</v>
      </c>
      <c r="U60" t="n">
        <v>-0.5543981480029326</v>
      </c>
      <c r="V60" t="n">
        <v>-2.771296296126557</v>
      </c>
      <c r="W60" t="n">
        <v>-1.989512108101709</v>
      </c>
      <c r="X60" t="n">
        <v>-1.455555555409524</v>
      </c>
      <c r="Y60" t="n">
        <v>-3.691666666496091</v>
      </c>
      <c r="Z60" t="n">
        <v>0.159722222366789</v>
      </c>
      <c r="AA60" t="n">
        <v>-2.24166666649741</v>
      </c>
      <c r="AB60" t="n">
        <v>3.42512464379815</v>
      </c>
      <c r="AC60" t="n">
        <v>0.0579171058000661</v>
      </c>
      <c r="AD60" t="n">
        <v>3.989406130312527</v>
      </c>
      <c r="AE60" t="n">
        <v>2.09264248580152</v>
      </c>
      <c r="AF60" t="n">
        <v>5.7600424704314</v>
      </c>
      <c r="AG60" t="n">
        <v>4.379928089543289</v>
      </c>
      <c r="AH60" t="n">
        <v>0.7964895152270731</v>
      </c>
      <c r="AI60" t="n">
        <v>16.35166666666667</v>
      </c>
      <c r="AJ60" t="n">
        <v>16.35166666666667</v>
      </c>
      <c r="AK60" t="n">
        <v>0.1267194031239894</v>
      </c>
      <c r="AL60" t="n">
        <v>0.238700500220355</v>
      </c>
      <c r="AM60" t="n">
        <v>6.641266666666667</v>
      </c>
      <c r="AN60" t="n">
        <v>175.2276933499561</v>
      </c>
      <c r="AO60" t="n">
        <v>0.0669210981025401</v>
      </c>
      <c r="AP60" t="n">
        <v>0.0715003255212214</v>
      </c>
      <c r="AQ60" t="n">
        <v>0.0765155258791821</v>
      </c>
      <c r="AR60" t="n">
        <v>0.1155200684832635</v>
      </c>
      <c r="AS60" t="n">
        <v>0.1258994980123982</v>
      </c>
      <c r="AU60" s="2">
        <f>(AQ60&lt;AU$1)*1</f>
        <v/>
      </c>
      <c r="AV60" s="2">
        <f>(AS60&lt;AV$1)*1</f>
        <v/>
      </c>
    </row>
    <row r="61">
      <c r="A61" t="inlineStr">
        <is>
          <t>CGWL10y_sUKCP</t>
        </is>
      </c>
      <c r="B61" t="inlineStr">
        <is>
          <t>44/44_EarthModel_CGWL</t>
        </is>
      </c>
      <c r="C61" t="inlineStr">
        <is>
          <t>c</t>
        </is>
      </c>
      <c r="D61" t="n">
        <v>6.016666666666667</v>
      </c>
      <c r="E61" t="n">
        <v>19.06666666666666</v>
      </c>
      <c r="F61" t="n">
        <v>0.0417533018615807</v>
      </c>
      <c r="G61" t="n">
        <v>85.4953299184581</v>
      </c>
      <c r="H61" t="n">
        <v>-0.6923611109657638</v>
      </c>
      <c r="I61" t="n">
        <v>-2.550694444273131</v>
      </c>
      <c r="J61" t="n">
        <v>-2.001081904044585</v>
      </c>
      <c r="K61" t="n">
        <v>-1.440277777631745</v>
      </c>
      <c r="L61" t="n">
        <v>-3.48055555538427</v>
      </c>
      <c r="M61" t="n">
        <v>-1.087499999854288</v>
      </c>
      <c r="N61" t="n">
        <v>-2.731944444273836</v>
      </c>
      <c r="O61" t="n">
        <v>3.8074426919159</v>
      </c>
      <c r="P61" t="n">
        <v>0.0551451026837369</v>
      </c>
      <c r="Q61" t="n">
        <v>0.0019271878652728</v>
      </c>
      <c r="R61" t="n">
        <v>0.0658887958679443</v>
      </c>
      <c r="S61" t="n">
        <v>0.0417533019687352</v>
      </c>
      <c r="T61" t="n">
        <v>-80.83693749086919</v>
      </c>
      <c r="U61" t="n">
        <v>-0.5215277776325858</v>
      </c>
      <c r="V61" t="n">
        <v>-2.974305555385623</v>
      </c>
      <c r="W61" t="n">
        <v>-2.146661324625891</v>
      </c>
      <c r="X61" t="n">
        <v>-1.269444444298567</v>
      </c>
      <c r="Y61" t="n">
        <v>-3.65277777760723</v>
      </c>
      <c r="Z61" t="n">
        <v>0.2263888890333949</v>
      </c>
      <c r="AA61" t="n">
        <v>-2.477777777608291</v>
      </c>
      <c r="AB61" t="n">
        <v>3.516105769148932</v>
      </c>
      <c r="AC61" t="n">
        <v>0.0658887952871811</v>
      </c>
      <c r="AD61" t="n">
        <v>4.160045485138158</v>
      </c>
      <c r="AE61" t="n">
        <v>1.95211621729736</v>
      </c>
      <c r="AF61" t="n">
        <v>5.619943622198924</v>
      </c>
      <c r="AG61" t="n">
        <v>3.890521164211297</v>
      </c>
      <c r="AH61" t="n">
        <v>0.6115072507164022</v>
      </c>
      <c r="AI61" t="n">
        <v>14.6</v>
      </c>
      <c r="AJ61" t="n">
        <v>14.6</v>
      </c>
      <c r="AK61" t="n">
        <v>0.09850659881374101</v>
      </c>
      <c r="AL61" t="n">
        <v>0.1843839357353119</v>
      </c>
      <c r="AM61" t="n">
        <v>3.526066666666666</v>
      </c>
      <c r="AN61" t="n">
        <v>134.5315951576085</v>
      </c>
      <c r="AO61" t="n">
        <v>0.0720839375876039</v>
      </c>
      <c r="AP61" t="n">
        <v>0.07734483760844819</v>
      </c>
      <c r="AQ61" t="n">
        <v>0.0835303863032085</v>
      </c>
      <c r="AR61" t="n">
        <v>0.1187805905469977</v>
      </c>
      <c r="AS61" t="n">
        <v>0.1301487421524572</v>
      </c>
      <c r="AU61">
        <f>(AQ61&lt;AU$1)*1</f>
        <v/>
      </c>
      <c r="AV61">
        <f>(AS61&lt;AV$1)*1</f>
        <v/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6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activeCellId="1" sqref="A2:AS1048576 B1:AS1"/>
    </sheetView>
  </sheetViews>
  <sheetFormatPr baseColWidth="10" defaultRowHeight="16"/>
  <sheetData>
    <row r="1">
      <c r="A1" t="inlineStr">
        <is>
          <t>method_name</t>
        </is>
      </c>
      <c r="B1" t="inlineStr">
        <is>
          <t>method_class</t>
        </is>
      </c>
      <c r="C1" t="inlineStr">
        <is>
          <t>c/r</t>
        </is>
      </c>
      <c r="D1" t="inlineStr">
        <is>
          <t>#q&lt;0.1</t>
        </is>
      </c>
      <c r="E1" t="inlineStr">
        <is>
          <t>#q&lt;0.5</t>
        </is>
      </c>
      <c r="F1" t="inlineStr">
        <is>
          <t>100bias</t>
        </is>
      </c>
      <c r="G1" t="inlineStr">
        <is>
          <t>100log-l</t>
        </is>
      </c>
      <c r="H1" t="inlineStr">
        <is>
          <t>Edyrs15</t>
        </is>
      </c>
      <c r="I1" t="inlineStr">
        <is>
          <t>Edyrs20</t>
        </is>
      </c>
      <c r="J1" t="inlineStr">
        <is>
          <t>EdyrsA</t>
        </is>
      </c>
      <c r="K1" t="inlineStr">
        <is>
          <t>Fdyrs15</t>
        </is>
      </c>
      <c r="L1" t="inlineStr">
        <is>
          <t>Fdyrs20</t>
        </is>
      </c>
      <c r="M1" t="inlineStr">
        <is>
          <t>Mdyrs15</t>
        </is>
      </c>
      <c r="N1" t="inlineStr">
        <is>
          <t>Mdyrs20</t>
        </is>
      </c>
      <c r="O1" t="inlineStr">
        <is>
          <t>RMSyrsA</t>
        </is>
      </c>
      <c r="P1" t="inlineStr">
        <is>
          <t>avg_unc.(1se)</t>
        </is>
      </c>
      <c r="Q1" t="inlineStr">
        <is>
          <t>bias</t>
        </is>
      </c>
      <c r="R1" t="inlineStr">
        <is>
          <t>bias50</t>
        </is>
      </c>
      <c r="S1" t="inlineStr">
        <is>
          <t>e100bias</t>
        </is>
      </c>
      <c r="T1" t="inlineStr">
        <is>
          <t>e100log-l</t>
        </is>
      </c>
      <c r="U1" t="inlineStr">
        <is>
          <t>eEdyrs15</t>
        </is>
      </c>
      <c r="V1" t="inlineStr">
        <is>
          <t>eEdyrs20</t>
        </is>
      </c>
      <c r="W1" t="inlineStr">
        <is>
          <t>eEdyrsA</t>
        </is>
      </c>
      <c r="X1" t="inlineStr">
        <is>
          <t>eFdyrs15</t>
        </is>
      </c>
      <c r="Y1" t="inlineStr">
        <is>
          <t>eFdyrs20</t>
        </is>
      </c>
      <c r="Z1" t="inlineStr">
        <is>
          <t>eMdyrs15</t>
        </is>
      </c>
      <c r="AA1" t="inlineStr">
        <is>
          <t>eMdyrs20</t>
        </is>
      </c>
      <c r="AB1" t="inlineStr">
        <is>
          <t>eRMSyrsA</t>
        </is>
      </c>
      <c r="AC1" t="inlineStr">
        <is>
          <t>ebias50</t>
        </is>
      </c>
      <c r="AD1" t="inlineStr">
        <is>
          <t>el15</t>
        </is>
      </c>
      <c r="AE1" t="inlineStr">
        <is>
          <t>el20</t>
        </is>
      </c>
      <c r="AF1" t="inlineStr">
        <is>
          <t>l15</t>
        </is>
      </c>
      <c r="AG1" t="inlineStr">
        <is>
          <t>l20</t>
        </is>
      </c>
      <c r="AH1" t="inlineStr">
        <is>
          <t>log-likeli</t>
        </is>
      </c>
      <c r="AI1" t="inlineStr">
        <is>
          <t>ncEdyrs</t>
        </is>
      </c>
      <c r="AJ1" t="inlineStr">
        <is>
          <t>nceEdyrs</t>
        </is>
      </c>
      <c r="AK1" t="inlineStr">
        <is>
          <t>q_min</t>
        </is>
      </c>
      <c r="AL1" t="inlineStr">
        <is>
          <t>q_small5</t>
        </is>
      </c>
      <c r="AM1" t="inlineStr">
        <is>
          <t>smooth_r</t>
        </is>
      </c>
      <c r="AN1" t="inlineStr">
        <is>
          <t>tlog-l</t>
        </is>
      </c>
      <c r="AO1" t="inlineStr">
        <is>
          <t>RMS</t>
        </is>
      </c>
      <c r="AP1" t="inlineStr">
        <is>
          <t>100RMS</t>
        </is>
      </c>
      <c r="AQ1" t="inlineStr">
        <is>
          <t>75RMS</t>
        </is>
      </c>
      <c r="AR1" t="inlineStr">
        <is>
          <t>e100RMS</t>
        </is>
      </c>
      <c r="AS1" t="inlineStr">
        <is>
          <t>e75RMS</t>
        </is>
      </c>
      <c r="AU1" t="n">
        <v>0.06</v>
      </c>
    </row>
    <row r="2">
      <c r="A2" t="inlineStr">
        <is>
          <t>lag10y</t>
        </is>
      </c>
      <c r="B2" t="inlineStr">
        <is>
          <t>42/1_Run_Means</t>
        </is>
      </c>
      <c r="C2" t="inlineStr">
        <is>
          <t>c</t>
        </is>
      </c>
      <c r="D2" t="n">
        <v>73.16666666666667</v>
      </c>
      <c r="E2" t="n">
        <v>138.7166666666667</v>
      </c>
      <c r="F2" t="n">
        <v>-0.07686218929511519</v>
      </c>
      <c r="G2" t="n">
        <v>-177.6347968445972</v>
      </c>
      <c r="H2" t="n">
        <v>4.609722222362231</v>
      </c>
      <c r="I2" t="n">
        <v>4.181944444607609</v>
      </c>
      <c r="J2" t="n">
        <v>4.416335978995732</v>
      </c>
      <c r="K2" t="n">
        <v>4.609722222362231</v>
      </c>
      <c r="L2" t="n">
        <v>4.166666666829845</v>
      </c>
      <c r="M2" t="n">
        <v>4.609722222362231</v>
      </c>
      <c r="N2" t="n">
        <v>4.197222222385373</v>
      </c>
      <c r="O2" t="n">
        <v>4.605021948088811</v>
      </c>
      <c r="P2" t="n">
        <v>0.0332412192117243</v>
      </c>
      <c r="Q2" t="n">
        <v>-0.0413404157991179</v>
      </c>
      <c r="R2" t="n">
        <v>-0.0586769087115923</v>
      </c>
      <c r="S2" t="n">
        <v>-0.0768621891405846</v>
      </c>
      <c r="T2" t="n">
        <v>-276.5365184718718</v>
      </c>
      <c r="U2" t="n">
        <v>4.647222222361817</v>
      </c>
      <c r="V2" t="n">
        <v>4.131944444607905</v>
      </c>
      <c r="W2" t="n">
        <v>4.474572649729227</v>
      </c>
      <c r="X2" t="n">
        <v>4.647222222361817</v>
      </c>
      <c r="Y2" t="n">
        <v>4.116666666830141</v>
      </c>
      <c r="Z2" t="n">
        <v>4.647222222361817</v>
      </c>
      <c r="AA2" t="n">
        <v>4.147222222385668</v>
      </c>
      <c r="AB2" t="n">
        <v>4.474572649729227</v>
      </c>
      <c r="AC2" t="n">
        <v>-0.0586769082645574</v>
      </c>
      <c r="AD2" t="n">
        <v>1.148717349502174</v>
      </c>
      <c r="AE2" t="n">
        <v>3.173086851776381</v>
      </c>
      <c r="AF2" t="n">
        <v>0.7807112353521073</v>
      </c>
      <c r="AG2" t="n">
        <v>1.765432864325708</v>
      </c>
      <c r="AH2" t="n">
        <v>0.0104020851690933</v>
      </c>
      <c r="AI2" t="n">
        <v>13.53333333333333</v>
      </c>
      <c r="AJ2" t="n">
        <v>13.48333333333333</v>
      </c>
      <c r="AK2" s="1" t="n">
        <v>1.128382463731083e-05</v>
      </c>
      <c r="AL2" t="n">
        <v>0.000103834665079</v>
      </c>
      <c r="AM2" t="n">
        <v>3.142016666666667</v>
      </c>
      <c r="AN2" t="n">
        <v>2.392479588891461</v>
      </c>
      <c r="AO2" t="n">
        <v>0.0650929618213251</v>
      </c>
      <c r="AP2" t="n">
        <v>0.0845855311625838</v>
      </c>
      <c r="AQ2" t="n">
        <v>0.0811496300364552</v>
      </c>
      <c r="AR2" t="n">
        <v>0.09237571691385919</v>
      </c>
      <c r="AS2" t="n">
        <v>0.08959776632435509</v>
      </c>
      <c r="AU2">
        <f>(AQ2&lt;AU$1)*1</f>
        <v/>
      </c>
    </row>
    <row r="3">
      <c r="A3" t="inlineStr">
        <is>
          <t>lag5y</t>
        </is>
      </c>
      <c r="B3" t="inlineStr">
        <is>
          <t>42/1_Run_Means</t>
        </is>
      </c>
      <c r="C3" t="inlineStr">
        <is>
          <t>c</t>
        </is>
      </c>
      <c r="D3" t="n">
        <v>35.03333333333333</v>
      </c>
      <c r="E3" t="n">
        <v>102.4166666666667</v>
      </c>
      <c r="F3" t="n">
        <v>-0.0306502832196376</v>
      </c>
      <c r="G3" t="n">
        <v>26.04159838714195</v>
      </c>
      <c r="H3" t="n">
        <v>2.171527777919982</v>
      </c>
      <c r="I3" t="n">
        <v>1.392361111276822</v>
      </c>
      <c r="J3" t="n">
        <v>1.960087886811732</v>
      </c>
      <c r="K3" t="n">
        <v>1.920833333475764</v>
      </c>
      <c r="L3" t="n">
        <v>0.8250000001662178</v>
      </c>
      <c r="M3" t="n">
        <v>2.4222222223642</v>
      </c>
      <c r="N3" t="n">
        <v>1.901388889054139</v>
      </c>
      <c r="O3" t="n">
        <v>2.624131540562996</v>
      </c>
      <c r="P3" t="n">
        <v>0.039799390661246</v>
      </c>
      <c r="Q3" t="n">
        <v>-0.0184435044174934</v>
      </c>
      <c r="R3" t="n">
        <v>-0.0231333256761232</v>
      </c>
      <c r="S3" t="n">
        <v>-0.030650283065107</v>
      </c>
      <c r="T3" t="n">
        <v>-78.56822854381599</v>
      </c>
      <c r="U3" t="n">
        <v>2.209027777919569</v>
      </c>
      <c r="V3" t="n">
        <v>1.342361111277118</v>
      </c>
      <c r="W3" t="n">
        <v>2.003855057138412</v>
      </c>
      <c r="X3" t="n">
        <v>1.958333333475351</v>
      </c>
      <c r="Y3" t="n">
        <v>0.7750000001665133</v>
      </c>
      <c r="Z3" t="n">
        <v>2.459722222363788</v>
      </c>
      <c r="AA3" t="n">
        <v>1.640277777943516</v>
      </c>
      <c r="AB3" t="n">
        <v>2.060692663944097</v>
      </c>
      <c r="AC3" t="n">
        <v>-0.0231333252290884</v>
      </c>
      <c r="AD3" t="n">
        <v>4.091503850877869</v>
      </c>
      <c r="AE3" t="n">
        <v>4.767765558011799</v>
      </c>
      <c r="AF3" t="n">
        <v>4.553440312209978</v>
      </c>
      <c r="AG3" t="n">
        <v>5.058189318699268</v>
      </c>
      <c r="AH3" t="n">
        <v>0.6228787390123759</v>
      </c>
      <c r="AI3" t="n">
        <v>16.15333333333333</v>
      </c>
      <c r="AJ3" t="n">
        <v>16.17</v>
      </c>
      <c r="AK3" s="1" t="n">
        <v>2.038042323910186e-05</v>
      </c>
      <c r="AL3" t="n">
        <v>0.0006938765087143</v>
      </c>
      <c r="AM3" t="n">
        <v>6.4542</v>
      </c>
      <c r="AN3" t="n">
        <v>143.2621099728464</v>
      </c>
      <c r="AO3" t="n">
        <v>0.0589020853963733</v>
      </c>
      <c r="AP3" t="n">
        <v>0.0561079774297386</v>
      </c>
      <c r="AQ3" t="n">
        <v>0.0538478115023448</v>
      </c>
      <c r="AR3" t="n">
        <v>0.0679672520778226</v>
      </c>
      <c r="AS3" t="n">
        <v>0.0664556749142227</v>
      </c>
      <c r="AU3">
        <f>(AQ3&lt;AU$1)*1</f>
        <v/>
      </c>
    </row>
    <row r="4">
      <c r="A4" t="inlineStr">
        <is>
          <t>offset11y</t>
        </is>
      </c>
      <c r="B4" t="inlineStr">
        <is>
          <t>42/1_Run_Means</t>
        </is>
      </c>
      <c r="C4" t="inlineStr">
        <is>
          <t>c</t>
        </is>
      </c>
      <c r="D4" t="n">
        <v>119.0666666666667</v>
      </c>
      <c r="E4" t="n">
        <v>174.7166666666667</v>
      </c>
      <c r="F4" t="n">
        <v>0.0238055070462049</v>
      </c>
      <c r="G4" t="n">
        <v>108.5683725469413</v>
      </c>
      <c r="H4" t="n">
        <v>-0.159722222077869</v>
      </c>
      <c r="I4" t="n">
        <v>-1.294444444276299</v>
      </c>
      <c r="J4" t="n">
        <v>-1.175463598739162</v>
      </c>
      <c r="K4" t="n">
        <v>-0.159722222077869</v>
      </c>
      <c r="L4" t="n">
        <v>-1.294444444276299</v>
      </c>
      <c r="M4" t="n">
        <v>-0.159722222077869</v>
      </c>
      <c r="N4" t="n">
        <v>-1.294444444276299</v>
      </c>
      <c r="O4" t="n">
        <v>2.565080350482551</v>
      </c>
      <c r="P4" t="n">
        <v>0.0323881384920465</v>
      </c>
      <c r="Q4" t="n">
        <v>0.0640589935152345</v>
      </c>
      <c r="R4" t="n">
        <v>0.0436738013724484</v>
      </c>
      <c r="S4" t="n">
        <v>0.0238055072007355</v>
      </c>
      <c r="T4" t="n">
        <v>29.28274174234663</v>
      </c>
      <c r="U4" t="n">
        <v>-0.122222222078282</v>
      </c>
      <c r="V4" t="n">
        <v>-1.344444444276004</v>
      </c>
      <c r="W4" t="n">
        <v>-1.162713675054122</v>
      </c>
      <c r="X4" t="n">
        <v>-0.122222222078282</v>
      </c>
      <c r="Y4" t="n">
        <v>-1.344444444276004</v>
      </c>
      <c r="Z4" t="n">
        <v>-0.122222222078282</v>
      </c>
      <c r="AA4" t="n">
        <v>-1.344444444276004</v>
      </c>
      <c r="AB4" t="n">
        <v>1.623397435795806</v>
      </c>
      <c r="AC4" t="n">
        <v>0.0436738018194833</v>
      </c>
      <c r="AD4" t="n">
        <v>7.557741838866099</v>
      </c>
      <c r="AE4" t="n">
        <v>6.192135347197349</v>
      </c>
      <c r="AF4" t="n">
        <v>10.00322430876527</v>
      </c>
      <c r="AG4" t="n">
        <v>8.712738796357819</v>
      </c>
      <c r="AH4" t="n">
        <v>-0.9122718501076972</v>
      </c>
      <c r="AI4" t="n">
        <v>13.28333333333333</v>
      </c>
      <c r="AJ4" t="n">
        <v>13.28333333333333</v>
      </c>
      <c r="AK4" s="1" t="n">
        <v>6.255636111858202e-06</v>
      </c>
      <c r="AL4" t="n">
        <v>0.0001126707363748</v>
      </c>
      <c r="AM4" t="n">
        <v>2.876416666666667</v>
      </c>
      <c r="AN4" t="n">
        <v>-209.8225255247704</v>
      </c>
      <c r="AO4" t="n">
        <v>0.0830958589384645</v>
      </c>
      <c r="AP4" t="n">
        <v>0.0427940675731857</v>
      </c>
      <c r="AQ4" t="n">
        <v>0.0460841247640568</v>
      </c>
      <c r="AR4" t="n">
        <v>0.0558959961959779</v>
      </c>
      <c r="AS4" t="n">
        <v>0.0590347972019097</v>
      </c>
      <c r="AU4">
        <f>(AQ4&lt;AU$1)*1</f>
        <v/>
      </c>
    </row>
    <row r="5">
      <c r="A5" t="inlineStr">
        <is>
          <t>raw1y</t>
        </is>
      </c>
      <c r="B5" t="inlineStr">
        <is>
          <t>42/1_Run_Means</t>
        </is>
      </c>
      <c r="C5" t="inlineStr">
        <is>
          <t>c</t>
        </is>
      </c>
      <c r="D5" t="n">
        <v>0</v>
      </c>
      <c r="E5" t="n">
        <v>0.3</v>
      </c>
      <c r="F5" t="n">
        <v>0.0044334664388938</v>
      </c>
      <c r="G5" t="n">
        <v>90.3108866031626</v>
      </c>
      <c r="H5" t="n">
        <v>-0.2620138887444537</v>
      </c>
      <c r="I5" t="n">
        <v>0.405277777944386</v>
      </c>
      <c r="J5" t="n">
        <v>0.0907427123114984</v>
      </c>
      <c r="K5" t="n">
        <v>-3.272222222075042</v>
      </c>
      <c r="L5" t="n">
        <v>-3.848611110940632</v>
      </c>
      <c r="M5" t="n">
        <v>-1.013888888743778</v>
      </c>
      <c r="N5" t="n">
        <v>1.169444444610364</v>
      </c>
      <c r="O5" t="n">
        <v>2.139951079557445</v>
      </c>
      <c r="P5" t="n">
        <v>0.1068781933131833</v>
      </c>
      <c r="Q5" s="1" t="n">
        <v>-3.753773355181678e-05</v>
      </c>
      <c r="R5" t="n">
        <v>0.0044543023407459</v>
      </c>
      <c r="S5" t="n">
        <v>0.0044334665934244</v>
      </c>
      <c r="T5" t="n">
        <v>83.42692117984772</v>
      </c>
      <c r="U5" t="n">
        <v>-0.2245138887448668</v>
      </c>
      <c r="V5" t="n">
        <v>0.3552777779446815</v>
      </c>
      <c r="W5" t="n">
        <v>0.1249624798096787</v>
      </c>
      <c r="X5" t="n">
        <v>-3.234722222075455</v>
      </c>
      <c r="Y5" t="n">
        <v>-3.898611110940336</v>
      </c>
      <c r="Z5" t="n">
        <v>-0.3333333331892314</v>
      </c>
      <c r="AA5" t="n">
        <v>1.02916666683296</v>
      </c>
      <c r="AB5" t="n">
        <v>1.32629464285108</v>
      </c>
      <c r="AC5" t="n">
        <v>0.0044543027877807</v>
      </c>
      <c r="AD5" t="n">
        <v>3.042135639792504</v>
      </c>
      <c r="AE5" t="n">
        <v>2.965472012484358</v>
      </c>
      <c r="AF5" t="n">
        <v>3.180126702822686</v>
      </c>
      <c r="AG5" t="n">
        <v>2.924690245085792</v>
      </c>
      <c r="AH5" t="n">
        <v>0.9042618164155798</v>
      </c>
      <c r="AI5" t="n">
        <v>37.02</v>
      </c>
      <c r="AJ5" t="n">
        <v>37.05333333333333</v>
      </c>
      <c r="AK5" t="n">
        <v>0.7850552350007353</v>
      </c>
      <c r="AL5" t="n">
        <v>0.9504957075832152</v>
      </c>
      <c r="AM5" t="n">
        <v>34.90943333333333</v>
      </c>
      <c r="AN5" t="n">
        <v>207.9802177755833</v>
      </c>
      <c r="AO5" t="n">
        <v>0.0969976677494591</v>
      </c>
      <c r="AP5" t="n">
        <v>0.0879238103883363</v>
      </c>
      <c r="AQ5" t="n">
        <v>0.0853405202521229</v>
      </c>
      <c r="AR5" t="n">
        <v>0.0958697553543796</v>
      </c>
      <c r="AS5" t="n">
        <v>0.0936228790656941</v>
      </c>
      <c r="AU5">
        <f>(AQ5&lt;AU$1)*1</f>
        <v/>
      </c>
    </row>
    <row r="6">
      <c r="A6" t="inlineStr">
        <is>
          <t>Bayes_seq_CP</t>
        </is>
      </c>
      <c r="B6" t="inlineStr">
        <is>
          <t>42/2_LT_Fits</t>
        </is>
      </c>
      <c r="C6" t="inlineStr">
        <is>
          <t>c</t>
        </is>
      </c>
      <c r="D6" t="n">
        <v>79.63333333333334</v>
      </c>
      <c r="E6" t="n">
        <v>133.6</v>
      </c>
      <c r="F6" t="n">
        <v>-0.0114879120514127</v>
      </c>
      <c r="G6" t="n">
        <v>-50.84089550152255</v>
      </c>
      <c r="H6" t="n">
        <v>2.166666666808874</v>
      </c>
      <c r="I6" t="n">
        <v>0.1194444446113038</v>
      </c>
      <c r="J6" t="n">
        <v>0.6271939867292643</v>
      </c>
      <c r="K6" t="n">
        <v>2.156944444586661</v>
      </c>
      <c r="L6" t="n">
        <v>0.1194444446113038</v>
      </c>
      <c r="M6" t="n">
        <v>2.176388889031087</v>
      </c>
      <c r="N6" t="n">
        <v>0.1194444446113038</v>
      </c>
      <c r="O6" t="n">
        <v>2.929502499282715</v>
      </c>
      <c r="P6" t="n">
        <v>0.0269361823383084</v>
      </c>
      <c r="Q6" t="n">
        <v>-0.0230467677245562</v>
      </c>
      <c r="R6" t="n">
        <v>0.032567847323656</v>
      </c>
      <c r="S6" t="n">
        <v>-0.0114879118968822</v>
      </c>
      <c r="T6" t="n">
        <v>-158.9773548388731</v>
      </c>
      <c r="U6" t="n">
        <v>2.204166666808461</v>
      </c>
      <c r="V6" t="n">
        <v>0.0694444446115995</v>
      </c>
      <c r="W6" t="n">
        <v>0.6708689460269077</v>
      </c>
      <c r="X6" t="n">
        <v>2.194444444586247</v>
      </c>
      <c r="Y6" t="n">
        <v>0.0694444446115995</v>
      </c>
      <c r="Z6" t="n">
        <v>2.213888889030674</v>
      </c>
      <c r="AA6" t="n">
        <v>0.0694444446115995</v>
      </c>
      <c r="AB6" t="n">
        <v>1.579736467267131</v>
      </c>
      <c r="AC6" t="n">
        <v>0.0325678477706909</v>
      </c>
      <c r="AD6" t="n">
        <v>5.387255009335508</v>
      </c>
      <c r="AE6" t="n">
        <v>7.845292455582209</v>
      </c>
      <c r="AF6" t="n">
        <v>4.26966396884597</v>
      </c>
      <c r="AG6" t="n">
        <v>11.28182332903311</v>
      </c>
      <c r="AH6" t="n">
        <v>-0.9969985672806244</v>
      </c>
      <c r="AI6" t="n">
        <v>13.30333333333334</v>
      </c>
      <c r="AJ6" t="n">
        <v>13.30333333333334</v>
      </c>
      <c r="AK6" s="1" t="n">
        <v>3.723974967314874e-07</v>
      </c>
      <c r="AL6" s="1" t="n">
        <v>1.100916986363236e-05</v>
      </c>
      <c r="AM6" t="n">
        <v>2.7521</v>
      </c>
      <c r="AN6" t="n">
        <v>-190.4267263505993</v>
      </c>
      <c r="AO6" t="n">
        <v>0.0655659155336743</v>
      </c>
      <c r="AP6" t="n">
        <v>0.0604550892749238</v>
      </c>
      <c r="AQ6" t="n">
        <v>0.0582110189698936</v>
      </c>
      <c r="AR6" t="n">
        <v>0.0697327999726816</v>
      </c>
      <c r="AS6" t="n">
        <v>0.0679334727096679</v>
      </c>
      <c r="AU6">
        <f>(AQ6&lt;AU$1)*1</f>
        <v/>
      </c>
    </row>
    <row r="7">
      <c r="A7" t="inlineStr">
        <is>
          <t>butterworth</t>
        </is>
      </c>
      <c r="B7" t="inlineStr">
        <is>
          <t>42/2_LT_Fits</t>
        </is>
      </c>
      <c r="C7" t="inlineStr">
        <is>
          <t>c</t>
        </is>
      </c>
      <c r="D7" t="n">
        <v>0.5</v>
      </c>
      <c r="E7" t="n">
        <v>0.7166666666666667</v>
      </c>
      <c r="F7" t="n">
        <v>-0.021263124130692</v>
      </c>
      <c r="G7" t="n">
        <v>82.27094230747277</v>
      </c>
      <c r="H7" t="n">
        <v>1.643287037179732</v>
      </c>
      <c r="I7" t="n">
        <v>1.042592592758634</v>
      </c>
      <c r="J7" t="n">
        <v>1.270052189484785</v>
      </c>
      <c r="K7" t="n">
        <v>0.8444444445878806</v>
      </c>
      <c r="L7" t="n">
        <v>0.1388888890557534</v>
      </c>
      <c r="M7" t="n">
        <v>2.420833333475302</v>
      </c>
      <c r="N7" t="n">
        <v>1.373611111276849</v>
      </c>
      <c r="O7" t="n">
        <v>2.107872919239725</v>
      </c>
      <c r="P7" t="n">
        <v>0.1308163167395603</v>
      </c>
      <c r="Q7" t="n">
        <v>-0.0251918188947147</v>
      </c>
      <c r="R7" t="n">
        <v>-0.0161890288447721</v>
      </c>
      <c r="S7" t="n">
        <v>-0.0212631239761614</v>
      </c>
      <c r="T7" t="n">
        <v>74.79031051755975</v>
      </c>
      <c r="U7" t="n">
        <v>1.680787037179319</v>
      </c>
      <c r="V7" t="n">
        <v>0.9925925927589296</v>
      </c>
      <c r="W7" t="n">
        <v>1.292040598449399</v>
      </c>
      <c r="X7" t="n">
        <v>0.8819444445874676</v>
      </c>
      <c r="Y7" t="n">
        <v>0.0888888890560489</v>
      </c>
      <c r="Z7" t="n">
        <v>2.12361111125299</v>
      </c>
      <c r="AA7" t="n">
        <v>1.105555555721783</v>
      </c>
      <c r="AB7" t="n">
        <v>1.628810541383928</v>
      </c>
      <c r="AC7" t="n">
        <v>-0.0161890283977373</v>
      </c>
      <c r="AD7" t="n">
        <v>2.187183454048854</v>
      </c>
      <c r="AE7" t="n">
        <v>2.476561662431719</v>
      </c>
      <c r="AF7" t="n">
        <v>2.222975491781217</v>
      </c>
      <c r="AG7" t="n">
        <v>2.54347212141579</v>
      </c>
      <c r="AH7" t="n">
        <v>0.9654679624674242</v>
      </c>
      <c r="AI7" t="n">
        <v>21.36833333333333</v>
      </c>
      <c r="AJ7" t="n">
        <v>21.40166666666666</v>
      </c>
      <c r="AK7" t="n">
        <v>0.6245672007445544</v>
      </c>
      <c r="AL7" t="n">
        <v>0.9832154964014896</v>
      </c>
      <c r="AM7" t="n">
        <v>14.57865</v>
      </c>
      <c r="AN7" t="n">
        <v>136.1309827079068</v>
      </c>
      <c r="AO7" t="n">
        <v>0.0590521860926186</v>
      </c>
      <c r="AP7" t="n">
        <v>0.0533002252730051</v>
      </c>
      <c r="AQ7" t="n">
        <v>0.0519291168612405</v>
      </c>
      <c r="AR7" t="n">
        <v>0.0671989044699228</v>
      </c>
      <c r="AS7" t="n">
        <v>0.06637100150133</v>
      </c>
      <c r="AU7">
        <f>(AQ7&lt;AU$1)*1</f>
        <v/>
      </c>
    </row>
    <row r="8">
      <c r="A8" t="inlineStr">
        <is>
          <t>hinge75meet</t>
        </is>
      </c>
      <c r="B8" t="inlineStr">
        <is>
          <t>42/2_LT_Fits</t>
        </is>
      </c>
      <c r="C8" t="inlineStr">
        <is>
          <t>c</t>
        </is>
      </c>
      <c r="D8" t="n">
        <v>10.18333333333333</v>
      </c>
      <c r="E8" t="n">
        <v>43.86666666666667</v>
      </c>
      <c r="F8" t="n">
        <v>-0.0150638018342507</v>
      </c>
      <c r="G8" t="n">
        <v>87.41670655741724</v>
      </c>
      <c r="H8" t="n">
        <v>2.922222222363761</v>
      </c>
      <c r="I8" t="n">
        <v>1.658333333498786</v>
      </c>
      <c r="J8" t="n">
        <v>1.310709198368951</v>
      </c>
      <c r="K8" t="n">
        <v>2.922222222363761</v>
      </c>
      <c r="L8" t="n">
        <v>1.658333333498786</v>
      </c>
      <c r="M8" t="n">
        <v>2.922222222363761</v>
      </c>
      <c r="N8" t="n">
        <v>1.658333333498786</v>
      </c>
      <c r="O8" t="n">
        <v>3.117112600482515</v>
      </c>
      <c r="P8" t="n">
        <v>0.0546717060456869</v>
      </c>
      <c r="Q8" t="n">
        <v>-0.00843340345864</v>
      </c>
      <c r="R8" t="n">
        <v>0.0210676870893306</v>
      </c>
      <c r="S8" t="n">
        <v>-0.0150638016797201</v>
      </c>
      <c r="T8" t="n">
        <v>82.93684232568494</v>
      </c>
      <c r="U8" t="n">
        <v>2.959722222363348</v>
      </c>
      <c r="V8" t="n">
        <v>1.608333333499081</v>
      </c>
      <c r="W8" t="n">
        <v>1.349038461695783</v>
      </c>
      <c r="X8" t="n">
        <v>2.959722222363348</v>
      </c>
      <c r="Y8" t="n">
        <v>1.608333333499081</v>
      </c>
      <c r="Z8" t="n">
        <v>2.959722222363348</v>
      </c>
      <c r="AA8" t="n">
        <v>1.608333333499081</v>
      </c>
      <c r="AB8" t="n">
        <v>1.640064102668466</v>
      </c>
      <c r="AC8" t="n">
        <v>0.0210676875363654</v>
      </c>
      <c r="AD8" t="n">
        <v>3.803619442231048</v>
      </c>
      <c r="AE8" t="n">
        <v>6.157313592839751</v>
      </c>
      <c r="AF8" t="n">
        <v>4.01786982384438</v>
      </c>
      <c r="AG8" t="n">
        <v>6.359798653614336</v>
      </c>
      <c r="AH8" t="n">
        <v>1.193232446729518</v>
      </c>
      <c r="AI8" t="n">
        <v>13.01666666666667</v>
      </c>
      <c r="AJ8" t="n">
        <v>13</v>
      </c>
      <c r="AK8" t="n">
        <v>0.0376432987364143</v>
      </c>
      <c r="AL8" t="n">
        <v>0.07389350995260199</v>
      </c>
      <c r="AM8" t="n">
        <v>2.13485</v>
      </c>
      <c r="AN8" t="n">
        <v>184.9510292430752</v>
      </c>
      <c r="AO8" t="n">
        <v>0.0588033044211263</v>
      </c>
      <c r="AP8" t="n">
        <v>0.0638852685637423</v>
      </c>
      <c r="AQ8" t="n">
        <v>0.0702887554848835</v>
      </c>
      <c r="AR8" t="n">
        <v>0.0637243694953621</v>
      </c>
      <c r="AS8" t="n">
        <v>0.0699707676150195</v>
      </c>
      <c r="AU8">
        <f>(AQ8&lt;AU$1)*1</f>
        <v/>
      </c>
    </row>
    <row r="9">
      <c r="A9" t="inlineStr">
        <is>
          <t>OLS_hinge75</t>
        </is>
      </c>
      <c r="B9" t="inlineStr">
        <is>
          <t>42/2_LT_Fits</t>
        </is>
      </c>
      <c r="C9" t="inlineStr">
        <is>
          <t>c</t>
        </is>
      </c>
      <c r="D9" t="n">
        <v>36.75</v>
      </c>
      <c r="E9" t="n">
        <v>84.18333333333334</v>
      </c>
      <c r="F9" t="n">
        <v>0.0007974857465688</v>
      </c>
      <c r="G9" t="n">
        <v>-103.6056988702051</v>
      </c>
      <c r="H9" t="n">
        <v>2.080555555697852</v>
      </c>
      <c r="I9" t="n">
        <v>0.3069444446111447</v>
      </c>
      <c r="J9" t="n">
        <v>0.330453805614</v>
      </c>
      <c r="K9" t="n">
        <v>2.080555555697852</v>
      </c>
      <c r="L9" t="n">
        <v>0.3069444446111447</v>
      </c>
      <c r="M9" t="n">
        <v>2.080555555697852</v>
      </c>
      <c r="N9" t="n">
        <v>0.3069444446111447</v>
      </c>
      <c r="O9" t="n">
        <v>2.95092317335687</v>
      </c>
      <c r="P9" t="n">
        <v>0.0311824432912957</v>
      </c>
      <c r="Q9" t="n">
        <v>-0.0019627988835225</v>
      </c>
      <c r="R9" t="n">
        <v>0.0451462041609719</v>
      </c>
      <c r="S9" t="n">
        <v>0.0007974859010993</v>
      </c>
      <c r="T9" t="n">
        <v>-163.7680904420056</v>
      </c>
      <c r="U9" t="n">
        <v>2.118055555697439</v>
      </c>
      <c r="V9" t="n">
        <v>0.2569444446114403</v>
      </c>
      <c r="W9" t="n">
        <v>0.3685897437476552</v>
      </c>
      <c r="X9" t="n">
        <v>2.118055555697439</v>
      </c>
      <c r="Y9" t="n">
        <v>0.2569444446114403</v>
      </c>
      <c r="Z9" t="n">
        <v>2.118055555697439</v>
      </c>
      <c r="AA9" t="n">
        <v>0.2569444446114403</v>
      </c>
      <c r="AB9" t="n">
        <v>1.358974358994505</v>
      </c>
      <c r="AC9" t="n">
        <v>0.0451462046080068</v>
      </c>
      <c r="AD9" t="n">
        <v>5.35550966441028</v>
      </c>
      <c r="AE9" t="n">
        <v>9.180786569949969</v>
      </c>
      <c r="AF9" t="n">
        <v>5.228013309982706</v>
      </c>
      <c r="AG9" t="n">
        <v>10.56918414457399</v>
      </c>
      <c r="AH9" t="n">
        <v>-0.0972922956781006</v>
      </c>
      <c r="AI9" t="n">
        <v>13.01666666666667</v>
      </c>
      <c r="AJ9" t="n">
        <v>13</v>
      </c>
      <c r="AK9" s="1" t="n">
        <v>8.729828592907665e-07</v>
      </c>
      <c r="AL9" t="n">
        <v>0.0001156017108958</v>
      </c>
      <c r="AM9" t="n">
        <v>2.535566666666667</v>
      </c>
      <c r="AN9" t="n">
        <v>-15.0803058301056</v>
      </c>
      <c r="AO9" t="n">
        <v>0.0614478622270352</v>
      </c>
      <c r="AP9" t="n">
        <v>0.0625526860551839</v>
      </c>
      <c r="AQ9" t="n">
        <v>0.0685210094854468</v>
      </c>
      <c r="AR9" t="n">
        <v>0.06785544992588829</v>
      </c>
      <c r="AS9" t="n">
        <v>0.0735010606057009</v>
      </c>
      <c r="AU9">
        <f>(AQ9&lt;AU$1)*1</f>
        <v/>
      </c>
    </row>
    <row r="10">
      <c r="A10" t="inlineStr">
        <is>
          <t>OLS_refit</t>
        </is>
      </c>
      <c r="B10" t="inlineStr">
        <is>
          <t>42/2_LT_Fits</t>
        </is>
      </c>
      <c r="C10" t="inlineStr">
        <is>
          <t>c</t>
        </is>
      </c>
      <c r="D10" t="n">
        <v>121.4833333333333</v>
      </c>
      <c r="E10" t="n">
        <v>133.9333333333333</v>
      </c>
      <c r="F10" t="n">
        <v>-0.2799497630780556</v>
      </c>
      <c r="G10" t="n">
        <v>-3553.414644838182</v>
      </c>
      <c r="H10" t="n">
        <v>16.88750000012885</v>
      </c>
      <c r="I10" t="n">
        <v>17.33472222237346</v>
      </c>
      <c r="J10" t="n">
        <v>16.25762871402876</v>
      </c>
      <c r="K10" t="n">
        <v>16.88750000012885</v>
      </c>
      <c r="L10" t="n">
        <v>17.33472222237346</v>
      </c>
      <c r="M10" t="n">
        <v>16.88750000012885</v>
      </c>
      <c r="N10" t="n">
        <v>17.33472222237346</v>
      </c>
      <c r="O10" t="n">
        <v>16.38377715043006</v>
      </c>
      <c r="P10" t="n">
        <v>0.0294742132313247</v>
      </c>
      <c r="Q10" t="n">
        <v>-0.1826538647354392</v>
      </c>
      <c r="R10" t="n">
        <v>-0.2718590748577037</v>
      </c>
      <c r="S10" t="n">
        <v>-0.2799497629235251</v>
      </c>
      <c r="T10" t="n">
        <v>-3579.560411535379</v>
      </c>
      <c r="U10" t="n">
        <v>16.92500000012843</v>
      </c>
      <c r="V10" t="n">
        <v>17.28472222237376</v>
      </c>
      <c r="W10" t="n">
        <v>16.2314102565574</v>
      </c>
      <c r="X10" t="n">
        <v>16.92500000012843</v>
      </c>
      <c r="Y10" t="n">
        <v>17.28472222237376</v>
      </c>
      <c r="Z10" t="n">
        <v>16.92500000012843</v>
      </c>
      <c r="AA10" t="n">
        <v>17.28472222237376</v>
      </c>
      <c r="AB10" t="n">
        <v>16.2314102565574</v>
      </c>
      <c r="AC10" t="n">
        <v>-0.2718590744106688</v>
      </c>
      <c r="AD10" s="1" t="n">
        <v>3.972541771000724e-15</v>
      </c>
      <c r="AE10" s="1" t="n">
        <v>8.22116285154437e-13</v>
      </c>
      <c r="AF10" s="1" t="n">
        <v>8.059607048295858e-20</v>
      </c>
      <c r="AG10" s="1" t="n">
        <v>1.033756608555628e-14</v>
      </c>
      <c r="AH10" t="n">
        <v>-26.59190481259854</v>
      </c>
      <c r="AI10" t="n">
        <v>12.93333333333333</v>
      </c>
      <c r="AJ10" t="n">
        <v>12.98333333333333</v>
      </c>
      <c r="AK10" s="1" t="n">
        <v>1.512897235282513e-25</v>
      </c>
      <c r="AL10" s="1" t="n">
        <v>4.700922176519079e-25</v>
      </c>
      <c r="AM10" t="n">
        <v>0.8382166666666666</v>
      </c>
      <c r="AN10" t="n">
        <v>-3722.866673763796</v>
      </c>
      <c r="AO10" t="n">
        <v>0.2362987508307838</v>
      </c>
      <c r="AP10" t="n">
        <v>0.2878219033250787</v>
      </c>
      <c r="AQ10" t="n">
        <v>0.3035056169440565</v>
      </c>
      <c r="AR10" t="n">
        <v>0.2881577717520439</v>
      </c>
      <c r="AS10" t="n">
        <v>0.3038334018875587</v>
      </c>
      <c r="AU10">
        <f>(AQ10&lt;AU$1)*1</f>
        <v/>
      </c>
    </row>
    <row r="11">
      <c r="A11" t="inlineStr">
        <is>
          <t>quartic</t>
        </is>
      </c>
      <c r="B11" t="inlineStr">
        <is>
          <t>42/2_LT_Fits</t>
        </is>
      </c>
      <c r="C11" t="inlineStr">
        <is>
          <t>c</t>
        </is>
      </c>
      <c r="D11" t="n">
        <v>59.68333333333333</v>
      </c>
      <c r="E11" t="n">
        <v>107.7666666666667</v>
      </c>
      <c r="F11" t="n">
        <v>0.07339404434458401</v>
      </c>
      <c r="G11" t="n">
        <v>-53.50682934649524</v>
      </c>
      <c r="H11" t="n">
        <v>-3.454166666519348</v>
      </c>
      <c r="I11" t="n">
        <v>-5.608333333161242</v>
      </c>
      <c r="J11" t="n">
        <v>-4.644113756449857</v>
      </c>
      <c r="K11" t="n">
        <v>-3.465277777630448</v>
      </c>
      <c r="L11" t="n">
        <v>-5.608333333161242</v>
      </c>
      <c r="M11" t="n">
        <v>-3.465277777630448</v>
      </c>
      <c r="N11" t="n">
        <v>-5.608333333161242</v>
      </c>
      <c r="O11" t="n">
        <v>5.520791028092177</v>
      </c>
      <c r="P11" t="n">
        <v>0.0440771622737393</v>
      </c>
      <c r="Q11" t="n">
        <v>0.0205141042659747</v>
      </c>
      <c r="R11" t="n">
        <v>0.0952106774793601</v>
      </c>
      <c r="S11" t="n">
        <v>0.0733940444991146</v>
      </c>
      <c r="T11" t="n">
        <v>-109.6968875895908</v>
      </c>
      <c r="U11" t="n">
        <v>-3.41666666651976</v>
      </c>
      <c r="V11" t="n">
        <v>-5.658333333160946</v>
      </c>
      <c r="W11" t="n">
        <v>-4.607745726333702</v>
      </c>
      <c r="X11" t="n">
        <v>-3.427777777630861</v>
      </c>
      <c r="Y11" t="n">
        <v>-5.658333333160946</v>
      </c>
      <c r="Z11" t="n">
        <v>-3.427777777630861</v>
      </c>
      <c r="AA11" t="n">
        <v>-5.658333333160946</v>
      </c>
      <c r="AB11" t="n">
        <v>4.607745726333702</v>
      </c>
      <c r="AC11" t="n">
        <v>0.095210677926395</v>
      </c>
      <c r="AD11" t="n">
        <v>3.106422727398043</v>
      </c>
      <c r="AE11" t="n">
        <v>1.493102830593585</v>
      </c>
      <c r="AF11" t="n">
        <v>2.360650682365865</v>
      </c>
      <c r="AG11" t="n">
        <v>0.8425483773907108</v>
      </c>
      <c r="AH11" t="n">
        <v>-0.220175869575018</v>
      </c>
      <c r="AI11" t="n">
        <v>13.18666666666667</v>
      </c>
      <c r="AJ11" t="n">
        <v>13.15333333333333</v>
      </c>
      <c r="AK11" t="n">
        <v>0.0010365110986754</v>
      </c>
      <c r="AL11" t="n">
        <v>0.0027925540468809</v>
      </c>
      <c r="AM11" t="n">
        <v>3.298716666666667</v>
      </c>
      <c r="AN11" t="n">
        <v>-30.82462174050253</v>
      </c>
      <c r="AO11" t="n">
        <v>0.0891438091136743</v>
      </c>
      <c r="AP11" t="n">
        <v>0.0877748320632341</v>
      </c>
      <c r="AQ11" t="n">
        <v>0.0972389308601562</v>
      </c>
      <c r="AR11" t="n">
        <v>0.0957041060002813</v>
      </c>
      <c r="AS11" t="n">
        <v>0.1054550894713323</v>
      </c>
      <c r="AU11">
        <f>(AQ11&lt;AU$1)*1</f>
        <v/>
      </c>
    </row>
    <row r="12">
      <c r="A12" t="inlineStr">
        <is>
          <t>TheilSen_h7075</t>
        </is>
      </c>
      <c r="B12" t="inlineStr">
        <is>
          <t>42/2_LT_Fits</t>
        </is>
      </c>
      <c r="C12" t="inlineStr">
        <is>
          <t>c</t>
        </is>
      </c>
      <c r="D12" t="n">
        <v>59.75</v>
      </c>
      <c r="E12" t="n">
        <v>110</v>
      </c>
      <c r="F12" t="n">
        <v>-0.0328946890556297</v>
      </c>
      <c r="G12" t="n">
        <v>-242.2103408786423</v>
      </c>
      <c r="H12" t="n">
        <v>2.694444444586176</v>
      </c>
      <c r="I12" t="n">
        <v>2.809722222386639</v>
      </c>
      <c r="J12" t="n">
        <v>2.085771520305596</v>
      </c>
      <c r="K12" t="n">
        <v>2.694444444586176</v>
      </c>
      <c r="L12" t="n">
        <v>2.809722222386639</v>
      </c>
      <c r="M12" t="n">
        <v>2.694444444586176</v>
      </c>
      <c r="N12" t="n">
        <v>2.809722222386639</v>
      </c>
      <c r="O12" t="n">
        <v>3.91897848092718</v>
      </c>
      <c r="P12" t="n">
        <v>0.0324081107690789</v>
      </c>
      <c r="Q12" t="n">
        <v>-0.0251813743279618</v>
      </c>
      <c r="R12" t="n">
        <v>0.0112865540557687</v>
      </c>
      <c r="S12" t="n">
        <v>-0.0328946889010991</v>
      </c>
      <c r="T12" t="n">
        <v>-283.4363707962131</v>
      </c>
      <c r="U12" t="n">
        <v>2.731944444585762</v>
      </c>
      <c r="V12" t="n">
        <v>2.759722222386934</v>
      </c>
      <c r="W12" t="n">
        <v>2.1290598292164</v>
      </c>
      <c r="X12" t="n">
        <v>2.731944444585762</v>
      </c>
      <c r="Y12" t="n">
        <v>2.759722222386934</v>
      </c>
      <c r="Z12" t="n">
        <v>2.731944444585762</v>
      </c>
      <c r="AA12" t="n">
        <v>2.759722222386934</v>
      </c>
      <c r="AB12" t="n">
        <v>2.40598290609188</v>
      </c>
      <c r="AC12" t="n">
        <v>0.0112865545028035</v>
      </c>
      <c r="AD12" t="n">
        <v>4.093017647616122</v>
      </c>
      <c r="AE12" t="n">
        <v>3.909135633701351</v>
      </c>
      <c r="AF12" t="n">
        <v>3.460076825255451</v>
      </c>
      <c r="AG12" t="n">
        <v>4.835129960517105</v>
      </c>
      <c r="AH12" t="n">
        <v>-0.9817128907744048</v>
      </c>
      <c r="AI12" t="n">
        <v>13.01666666666667</v>
      </c>
      <c r="AJ12" t="n">
        <v>13</v>
      </c>
      <c r="AK12" t="n">
        <v>0.0031445852827199</v>
      </c>
      <c r="AL12" t="n">
        <v>0.0057562359382847</v>
      </c>
      <c r="AM12" t="n">
        <v>3.05105</v>
      </c>
      <c r="AN12" t="n">
        <v>-152.1654980700328</v>
      </c>
      <c r="AO12" t="n">
        <v>0.07584491967642649</v>
      </c>
      <c r="AP12" t="n">
        <v>0.0846378974961656</v>
      </c>
      <c r="AQ12" t="n">
        <v>0.0848298029041069</v>
      </c>
      <c r="AR12" t="n">
        <v>0.08602460718648761</v>
      </c>
      <c r="AS12" t="n">
        <v>0.087262175962059</v>
      </c>
      <c r="AU12">
        <f>(AQ12&lt;AU$1)*1</f>
        <v/>
      </c>
    </row>
    <row r="13">
      <c r="A13" t="inlineStr">
        <is>
          <t>etrend15y</t>
        </is>
      </c>
      <c r="B13" t="inlineStr">
        <is>
          <t>42/3_ST_Fits</t>
        </is>
      </c>
      <c r="C13" t="inlineStr">
        <is>
          <t>c</t>
        </is>
      </c>
      <c r="D13" t="n">
        <v>7.866666666666666</v>
      </c>
      <c r="E13" t="n">
        <v>48.58333333333334</v>
      </c>
      <c r="F13" t="n">
        <v>0.0064196704052112</v>
      </c>
      <c r="G13" t="n">
        <v>129.91161899844</v>
      </c>
      <c r="H13" t="n">
        <v>0.043750000144165</v>
      </c>
      <c r="I13" t="n">
        <v>-0.3437499998327072</v>
      </c>
      <c r="J13" t="n">
        <v>-0.1518953074619914</v>
      </c>
      <c r="K13" t="n">
        <v>-0.4027777776332072</v>
      </c>
      <c r="L13" t="n">
        <v>-0.7805555553878624</v>
      </c>
      <c r="M13" t="n">
        <v>0.3638888890327621</v>
      </c>
      <c r="N13" t="n">
        <v>-0.2236111109439283</v>
      </c>
      <c r="O13" t="n">
        <v>2.046233580407083</v>
      </c>
      <c r="P13" t="n">
        <v>0.04704713628026</v>
      </c>
      <c r="Q13" t="n">
        <v>-0.0005798597885488</v>
      </c>
      <c r="R13" t="n">
        <v>0.009254319955905199</v>
      </c>
      <c r="S13" t="n">
        <v>0.0064196705597418</v>
      </c>
      <c r="T13" t="n">
        <v>73.27366708589915</v>
      </c>
      <c r="U13" t="n">
        <v>0.0812500001437519</v>
      </c>
      <c r="V13" t="n">
        <v>-0.3937499998324117</v>
      </c>
      <c r="W13" t="n">
        <v>-0.1056801992705414</v>
      </c>
      <c r="X13" t="n">
        <v>-0.3652777776336203</v>
      </c>
      <c r="Y13" t="n">
        <v>-0.8305555553875669</v>
      </c>
      <c r="Z13" t="n">
        <v>0.2763888890324627</v>
      </c>
      <c r="AA13" t="n">
        <v>-0.3249999998324787</v>
      </c>
      <c r="AB13" t="n">
        <v>1.308173076906471</v>
      </c>
      <c r="AC13" t="n">
        <v>0.0092543204029401</v>
      </c>
      <c r="AD13" t="n">
        <v>5.082366928417856</v>
      </c>
      <c r="AE13" t="n">
        <v>5.073576660810151</v>
      </c>
      <c r="AF13" t="n">
        <v>6.351420972339167</v>
      </c>
      <c r="AG13" t="n">
        <v>6.019621852050209</v>
      </c>
      <c r="AH13" t="n">
        <v>1.294851986896934</v>
      </c>
      <c r="AI13" t="n">
        <v>16.11666666666667</v>
      </c>
      <c r="AJ13" t="n">
        <v>16.15</v>
      </c>
      <c r="AK13" t="n">
        <v>0.1020354706863696</v>
      </c>
      <c r="AL13" t="n">
        <v>0.2005769598444559</v>
      </c>
      <c r="AM13" t="n">
        <v>6.3449</v>
      </c>
      <c r="AN13" t="n">
        <v>292.6365490387071</v>
      </c>
      <c r="AO13" t="n">
        <v>0.056900479946633</v>
      </c>
      <c r="AP13" t="n">
        <v>0.0514978316863925</v>
      </c>
      <c r="AQ13" t="n">
        <v>0.0482109716942936</v>
      </c>
      <c r="AR13" t="n">
        <v>0.0680013081113784</v>
      </c>
      <c r="AS13" t="n">
        <v>0.0656516945921968</v>
      </c>
      <c r="AU13">
        <f>(AQ13&lt;AU$1)*1</f>
        <v/>
      </c>
    </row>
    <row r="14">
      <c r="A14" t="inlineStr">
        <is>
          <t>etrend30y</t>
        </is>
      </c>
      <c r="B14" t="inlineStr">
        <is>
          <t>42/3_ST_Fits</t>
        </is>
      </c>
      <c r="C14" t="inlineStr">
        <is>
          <t>c</t>
        </is>
      </c>
      <c r="D14" t="n">
        <v>6.9</v>
      </c>
      <c r="E14" t="n">
        <v>47.31666666666667</v>
      </c>
      <c r="F14" t="n">
        <v>0.0069074298700977</v>
      </c>
      <c r="G14" t="n">
        <v>154.1359141820373</v>
      </c>
      <c r="H14" t="n">
        <v>0.4833333334771055</v>
      </c>
      <c r="I14" t="n">
        <v>-0.8284722220544798</v>
      </c>
      <c r="J14" t="n">
        <v>-0.4962269788772796</v>
      </c>
      <c r="K14" t="n">
        <v>0.4833333334771055</v>
      </c>
      <c r="L14" t="n">
        <v>-0.9222222220543926</v>
      </c>
      <c r="M14" t="n">
        <v>0.4833333334771055</v>
      </c>
      <c r="N14" t="n">
        <v>-0.7972222220545063</v>
      </c>
      <c r="O14" t="n">
        <v>2.166033056590891</v>
      </c>
      <c r="P14" t="n">
        <v>0.0356927588492621</v>
      </c>
      <c r="Q14" t="n">
        <v>-0.0049327707180407</v>
      </c>
      <c r="R14" t="n">
        <v>0.0238444675537205</v>
      </c>
      <c r="S14" t="n">
        <v>0.0069074300246284</v>
      </c>
      <c r="T14" t="n">
        <v>88.44376956646168</v>
      </c>
      <c r="U14" t="n">
        <v>0.5208333334766925</v>
      </c>
      <c r="V14" t="n">
        <v>-0.8784722220541842</v>
      </c>
      <c r="W14" t="n">
        <v>-0.4674145297548983</v>
      </c>
      <c r="X14" t="n">
        <v>0.5208333334766925</v>
      </c>
      <c r="Y14" t="n">
        <v>-0.972222222054097</v>
      </c>
      <c r="Z14" t="n">
        <v>0.5208333334766925</v>
      </c>
      <c r="AA14" t="n">
        <v>-0.8069444442764734</v>
      </c>
      <c r="AB14" t="n">
        <v>1.432692307659863</v>
      </c>
      <c r="AC14" t="n">
        <v>0.0238444680007554</v>
      </c>
      <c r="AD14" t="n">
        <v>6.925087256643963</v>
      </c>
      <c r="AE14" t="n">
        <v>5.650146278650767</v>
      </c>
      <c r="AF14" t="n">
        <v>8.029665514845021</v>
      </c>
      <c r="AG14" t="n">
        <v>8.020023455703164</v>
      </c>
      <c r="AH14" t="n">
        <v>1.579440228883381</v>
      </c>
      <c r="AI14" t="n">
        <v>13.71666666666667</v>
      </c>
      <c r="AJ14" t="n">
        <v>13.73333333333333</v>
      </c>
      <c r="AK14" t="n">
        <v>0.1254461730610107</v>
      </c>
      <c r="AL14" t="n">
        <v>0.1799030095162942</v>
      </c>
      <c r="AM14" t="n">
        <v>3.298633333333333</v>
      </c>
      <c r="AN14" t="n">
        <v>333.2618882943934</v>
      </c>
      <c r="AO14" t="n">
        <v>0.0454600907535618</v>
      </c>
      <c r="AP14" t="n">
        <v>0.0407066367959219</v>
      </c>
      <c r="AQ14" t="n">
        <v>0.0412316377057433</v>
      </c>
      <c r="AR14" t="n">
        <v>0.0553582984403181</v>
      </c>
      <c r="AS14" t="n">
        <v>0.0562953771629466</v>
      </c>
      <c r="AU14">
        <f>(AQ14&lt;AU$1)*1</f>
        <v/>
      </c>
    </row>
    <row r="15">
      <c r="A15" t="inlineStr">
        <is>
          <t>etrend30y_3CS</t>
        </is>
      </c>
      <c r="B15" t="inlineStr">
        <is>
          <t>42/3_ST_Fits</t>
        </is>
      </c>
      <c r="C15" t="inlineStr">
        <is>
          <t>c</t>
        </is>
      </c>
      <c r="D15" t="n">
        <v>18.36666666666667</v>
      </c>
      <c r="E15" t="n">
        <v>75.5</v>
      </c>
      <c r="F15" t="n">
        <v>-0.0137651561872506</v>
      </c>
      <c r="G15" t="n">
        <v>87.39320948276158</v>
      </c>
      <c r="H15" t="n">
        <v>0.4833333334771055</v>
      </c>
      <c r="I15" t="n">
        <v>-0.8284722220544798</v>
      </c>
      <c r="J15" t="n">
        <v>-0.2123232090362744</v>
      </c>
      <c r="K15" t="n">
        <v>0.4833333334771055</v>
      </c>
      <c r="L15" t="n">
        <v>-0.9222222220543926</v>
      </c>
      <c r="M15" t="n">
        <v>0.4833333334771055</v>
      </c>
      <c r="N15" t="n">
        <v>-0.7972222220545063</v>
      </c>
      <c r="O15" t="n">
        <v>2.240897941362869</v>
      </c>
      <c r="P15" t="n">
        <v>0.0356927588492621</v>
      </c>
      <c r="Q15" t="n">
        <v>-0.0137504614534026</v>
      </c>
      <c r="R15" t="n">
        <v>0.0238444675537205</v>
      </c>
      <c r="S15" t="n">
        <v>-0.01376515603272</v>
      </c>
      <c r="T15" t="n">
        <v>37.09318288951881</v>
      </c>
      <c r="U15" t="n">
        <v>0.5208333334766925</v>
      </c>
      <c r="V15" t="n">
        <v>-0.8784722220541842</v>
      </c>
      <c r="W15" t="n">
        <v>-0.1811965810372163</v>
      </c>
      <c r="X15" t="n">
        <v>0.5208333334766925</v>
      </c>
      <c r="Y15" t="n">
        <v>-0.972222222054097</v>
      </c>
      <c r="Z15" t="n">
        <v>0.5208333334766925</v>
      </c>
      <c r="AA15" t="n">
        <v>-0.8069444442764734</v>
      </c>
      <c r="AB15" t="n">
        <v>1.198575498553891</v>
      </c>
      <c r="AC15" t="n">
        <v>0.0238444680007554</v>
      </c>
      <c r="AD15" t="n">
        <v>6.925087256643963</v>
      </c>
      <c r="AE15" t="n">
        <v>5.650146278650767</v>
      </c>
      <c r="AF15" t="n">
        <v>8.029665514845021</v>
      </c>
      <c r="AG15" t="n">
        <v>8.020023455703164</v>
      </c>
      <c r="AH15" t="n">
        <v>1.263124092867856</v>
      </c>
      <c r="AI15" t="n">
        <v>13.81666666666667</v>
      </c>
      <c r="AJ15" t="n">
        <v>13.83333333333333</v>
      </c>
      <c r="AK15" t="n">
        <v>0.0466270984779702</v>
      </c>
      <c r="AL15" t="n">
        <v>0.0669600729692008</v>
      </c>
      <c r="AM15" t="n">
        <v>3.500766666666666</v>
      </c>
      <c r="AN15" t="n">
        <v>266.5191835951177</v>
      </c>
      <c r="AO15" t="n">
        <v>0.0549618088122317</v>
      </c>
      <c r="AP15" t="n">
        <v>0.0624023527682962</v>
      </c>
      <c r="AQ15" t="n">
        <v>0.0412316377057433</v>
      </c>
      <c r="AR15" t="n">
        <v>0.06847978821237501</v>
      </c>
      <c r="AS15" t="n">
        <v>0.0562953771629466</v>
      </c>
      <c r="AU15">
        <f>(AQ15&lt;AU$1)*1</f>
        <v/>
      </c>
    </row>
    <row r="16">
      <c r="A16" t="inlineStr">
        <is>
          <t>lowess1dg20wnc</t>
        </is>
      </c>
      <c r="B16" t="inlineStr">
        <is>
          <t>42/3_ST_Fits</t>
        </is>
      </c>
      <c r="C16" t="inlineStr">
        <is>
          <t>c</t>
        </is>
      </c>
      <c r="D16" t="n">
        <v>5.966666666666667</v>
      </c>
      <c r="E16" t="n">
        <v>42.98333333333333</v>
      </c>
      <c r="F16" t="n">
        <v>0.0003877793969931</v>
      </c>
      <c r="G16" t="n">
        <v>130.1032055085015</v>
      </c>
      <c r="H16" t="n">
        <v>0.8805555556989437</v>
      </c>
      <c r="I16" t="n">
        <v>-1.15972222205418</v>
      </c>
      <c r="J16" t="n">
        <v>-0.4043383698018986</v>
      </c>
      <c r="K16" t="n">
        <v>0.8805555556989437</v>
      </c>
      <c r="L16" t="n">
        <v>-1.15972222205418</v>
      </c>
      <c r="M16" t="n">
        <v>0.8805555556989437</v>
      </c>
      <c r="N16" t="n">
        <v>-1.15972222205418</v>
      </c>
      <c r="O16" t="n">
        <v>2.382504958578595</v>
      </c>
      <c r="P16" t="n">
        <v>0.0488995397912134</v>
      </c>
      <c r="Q16" t="n">
        <v>-0.0068826969013847</v>
      </c>
      <c r="R16" t="n">
        <v>0.0352543109158674</v>
      </c>
      <c r="S16" t="n">
        <v>0.0003877795515237</v>
      </c>
      <c r="T16" t="n">
        <v>60.26093514468288</v>
      </c>
      <c r="U16" t="n">
        <v>0.9180555556985308</v>
      </c>
      <c r="V16" t="n">
        <v>-1.209722222053885</v>
      </c>
      <c r="W16" t="n">
        <v>-0.3845085468494898</v>
      </c>
      <c r="X16" t="n">
        <v>0.9180555556985308</v>
      </c>
      <c r="Y16" t="n">
        <v>-1.209722222053885</v>
      </c>
      <c r="Z16" t="n">
        <v>0.9180555556985308</v>
      </c>
      <c r="AA16" t="n">
        <v>-1.209722222053885</v>
      </c>
      <c r="AB16" t="n">
        <v>1.262286324738064</v>
      </c>
      <c r="AC16" t="n">
        <v>0.0352543113629023</v>
      </c>
      <c r="AD16" t="n">
        <v>7.425410322360799</v>
      </c>
      <c r="AE16" t="n">
        <v>6.586598137634167</v>
      </c>
      <c r="AF16" t="n">
        <v>8.155777613809157</v>
      </c>
      <c r="AG16" t="n">
        <v>8.698712452528671</v>
      </c>
      <c r="AH16" t="n">
        <v>1.398024538258359</v>
      </c>
      <c r="AI16" t="n">
        <v>13.1</v>
      </c>
      <c r="AJ16" t="n">
        <v>13.08333333333333</v>
      </c>
      <c r="AK16" t="n">
        <v>0.1038901546877241</v>
      </c>
      <c r="AL16" t="n">
        <v>0.1519077268688727</v>
      </c>
      <c r="AM16" t="n">
        <v>2.874266666666666</v>
      </c>
      <c r="AN16" t="n">
        <v>321.5456437994226</v>
      </c>
      <c r="AO16" t="n">
        <v>0.0497366190189937</v>
      </c>
      <c r="AP16" t="n">
        <v>0.0451037337905175</v>
      </c>
      <c r="AQ16" t="n">
        <v>0.0420835855099892</v>
      </c>
      <c r="AR16" t="n">
        <v>0.0560760614962518</v>
      </c>
      <c r="AS16" t="n">
        <v>0.0550669779920034</v>
      </c>
      <c r="AU16">
        <f>(AQ16&lt;AU$1)*1</f>
        <v/>
      </c>
    </row>
    <row r="17">
      <c r="A17" t="inlineStr">
        <is>
          <t>lowess1dt10wnc</t>
        </is>
      </c>
      <c r="B17" t="inlineStr">
        <is>
          <t>42/3_ST_Fits</t>
        </is>
      </c>
      <c r="C17" t="inlineStr">
        <is>
          <t>c</t>
        </is>
      </c>
      <c r="D17" t="n">
        <v>102.5833333333333</v>
      </c>
      <c r="E17" t="n">
        <v>165.6666666666667</v>
      </c>
      <c r="F17" t="n">
        <v>0.0053933801695152</v>
      </c>
      <c r="G17" t="n">
        <v>-319.7057254903023</v>
      </c>
      <c r="H17" t="n">
        <v>0.0886574075515227</v>
      </c>
      <c r="I17" t="n">
        <v>0.3641203705370079</v>
      </c>
      <c r="J17" t="n">
        <v>0.0018789005830602</v>
      </c>
      <c r="K17" t="n">
        <v>-1.136111110965874</v>
      </c>
      <c r="L17" t="n">
        <v>-1.580555555387158</v>
      </c>
      <c r="M17" t="n">
        <v>-0.2305555554111644</v>
      </c>
      <c r="N17" t="n">
        <v>0.9166666668328086</v>
      </c>
      <c r="O17" t="n">
        <v>2.13656198074023</v>
      </c>
      <c r="P17" t="n">
        <v>0.037815392233699</v>
      </c>
      <c r="Q17" t="n">
        <v>-0.0001074989461778</v>
      </c>
      <c r="R17" t="n">
        <v>0.0046894111732641</v>
      </c>
      <c r="S17" t="n">
        <v>0.0053933803240458</v>
      </c>
      <c r="T17" t="n">
        <v>-526.5432817728386</v>
      </c>
      <c r="U17" t="n">
        <v>0.1261574075511096</v>
      </c>
      <c r="V17" t="n">
        <v>0.3141203705373035</v>
      </c>
      <c r="W17" t="n">
        <v>0.0477350428947085</v>
      </c>
      <c r="X17" t="n">
        <v>-1.098611110966287</v>
      </c>
      <c r="Y17" t="n">
        <v>-1.630555555386862</v>
      </c>
      <c r="Z17" t="n">
        <v>0.0222222223660006</v>
      </c>
      <c r="AA17" t="n">
        <v>1.00833333349965</v>
      </c>
      <c r="AB17" t="n">
        <v>1.383351139579165</v>
      </c>
      <c r="AC17" t="n">
        <v>0.004689411620299</v>
      </c>
      <c r="AD17" t="n">
        <v>4.379607671816413</v>
      </c>
      <c r="AE17" t="n">
        <v>3.790191539667227</v>
      </c>
      <c r="AF17" t="n">
        <v>5.731433777137502</v>
      </c>
      <c r="AG17" t="n">
        <v>4.979973892624262</v>
      </c>
      <c r="AH17" t="n">
        <v>-1.793113304382707</v>
      </c>
      <c r="AI17" t="n">
        <v>21.04833333333334</v>
      </c>
      <c r="AJ17" t="n">
        <v>21.04833333333334</v>
      </c>
      <c r="AK17" s="1" t="n">
        <v>1.1576561201772e-10</v>
      </c>
      <c r="AL17" s="1" t="n">
        <v>1.930904806394313e-07</v>
      </c>
      <c r="AM17" t="n">
        <v>11.46938333333333</v>
      </c>
      <c r="AN17" t="n">
        <v>-412.4160600080225</v>
      </c>
      <c r="AO17" t="n">
        <v>0.0800567997308793</v>
      </c>
      <c r="AP17" t="n">
        <v>0.069690584045728</v>
      </c>
      <c r="AQ17" t="n">
        <v>0.0663098838651132</v>
      </c>
      <c r="AR17" t="n">
        <v>0.07973214956046749</v>
      </c>
      <c r="AS17" t="n">
        <v>0.0769400401290264</v>
      </c>
      <c r="AU17">
        <f>(AQ17&lt;AU$1)*1</f>
        <v/>
      </c>
    </row>
    <row r="18">
      <c r="A18" t="inlineStr">
        <is>
          <t>lowess1dt20wAR</t>
        </is>
      </c>
      <c r="B18" t="inlineStr">
        <is>
          <t>42/3_ST_Fits</t>
        </is>
      </c>
      <c r="C18" t="inlineStr">
        <is>
          <t>c</t>
        </is>
      </c>
      <c r="D18" t="n">
        <v>72.26666666666667</v>
      </c>
      <c r="E18" t="n">
        <v>138.3666666666667</v>
      </c>
      <c r="F18" t="n">
        <v>0.0065107325050565</v>
      </c>
      <c r="G18" t="n">
        <v>-105.8002265509967</v>
      </c>
      <c r="H18" t="n">
        <v>0.0106481482923376</v>
      </c>
      <c r="I18" t="n">
        <v>-0.2842592590920313</v>
      </c>
      <c r="J18" t="n">
        <v>-0.1666533118033357</v>
      </c>
      <c r="K18" t="n">
        <v>-0.305555555411081</v>
      </c>
      <c r="L18" t="n">
        <v>-0.6249999998324559</v>
      </c>
      <c r="M18" t="n">
        <v>0.3097222223661409</v>
      </c>
      <c r="N18" t="n">
        <v>-0.1097222220551505</v>
      </c>
      <c r="O18" t="n">
        <v>2.055857247202693</v>
      </c>
      <c r="P18" t="n">
        <v>0.0359962218023788</v>
      </c>
      <c r="Q18" s="1" t="n">
        <v>-8.646361286504866e-05</v>
      </c>
      <c r="R18" t="n">
        <v>0.0090582498908042</v>
      </c>
      <c r="S18" t="n">
        <v>0.0065107326595871</v>
      </c>
      <c r="T18" t="n">
        <v>-430.7648618033272</v>
      </c>
      <c r="U18" t="n">
        <v>0.0481481482919245</v>
      </c>
      <c r="V18" t="n">
        <v>-0.3342592590917358</v>
      </c>
      <c r="W18" t="n">
        <v>-0.1208511394414676</v>
      </c>
      <c r="X18" t="n">
        <v>-0.2680555554114941</v>
      </c>
      <c r="Y18" t="n">
        <v>-0.6749999998321603</v>
      </c>
      <c r="Z18" t="n">
        <v>0.1680555556992203</v>
      </c>
      <c r="AA18" t="n">
        <v>-0.2027777776103751</v>
      </c>
      <c r="AB18" t="n">
        <v>1.285042735026142</v>
      </c>
      <c r="AC18" t="n">
        <v>0.009058250337839101</v>
      </c>
      <c r="AD18" t="n">
        <v>6.158329296207642</v>
      </c>
      <c r="AE18" t="n">
        <v>5.886599403076199</v>
      </c>
      <c r="AF18" t="n">
        <v>9.193682948324517</v>
      </c>
      <c r="AG18" t="n">
        <v>7.590580806806792</v>
      </c>
      <c r="AH18" t="n">
        <v>-0.1998219344537117</v>
      </c>
      <c r="AI18" t="n">
        <v>15.49333333333333</v>
      </c>
      <c r="AJ18" t="n">
        <v>15.54333333333333</v>
      </c>
      <c r="AK18" s="1" t="n">
        <v>3.20331893104942e-06</v>
      </c>
      <c r="AL18" t="n">
        <v>0.0002680180009237</v>
      </c>
      <c r="AM18" t="n">
        <v>6.220833333333333</v>
      </c>
      <c r="AN18" t="n">
        <v>-45.95904492435371</v>
      </c>
      <c r="AO18" t="n">
        <v>0.0561778148621801</v>
      </c>
      <c r="AP18" t="n">
        <v>0.0498397988400463</v>
      </c>
      <c r="AQ18" t="n">
        <v>0.0469709526471286</v>
      </c>
      <c r="AR18" t="n">
        <v>0.0661267384483802</v>
      </c>
      <c r="AS18" t="n">
        <v>0.0641123271107836</v>
      </c>
      <c r="AU18">
        <f>(AQ18&lt;AU$1)*1</f>
        <v/>
      </c>
    </row>
    <row r="19">
      <c r="A19" t="inlineStr">
        <is>
          <t>lowess1dt20wARMA</t>
        </is>
      </c>
      <c r="B19" t="inlineStr">
        <is>
          <t>42/3_ST_Fits</t>
        </is>
      </c>
      <c r="C19" t="inlineStr">
        <is>
          <t>c</t>
        </is>
      </c>
      <c r="D19" t="n">
        <v>61.41666666666666</v>
      </c>
      <c r="E19" t="n">
        <v>130.5</v>
      </c>
      <c r="F19" t="n">
        <v>0.0065107325050565</v>
      </c>
      <c r="G19" t="n">
        <v>-41.40496652595193</v>
      </c>
      <c r="H19" t="n">
        <v>0.009259259403430999</v>
      </c>
      <c r="I19" t="n">
        <v>-0.2828703702031248</v>
      </c>
      <c r="J19" t="n">
        <v>-0.1668173838424062</v>
      </c>
      <c r="K19" t="n">
        <v>-0.3069444442999876</v>
      </c>
      <c r="L19" t="n">
        <v>-0.6236111109435494</v>
      </c>
      <c r="M19" t="n">
        <v>0.3083333334772343</v>
      </c>
      <c r="N19" t="n">
        <v>-0.108333333166244</v>
      </c>
      <c r="O19" t="n">
        <v>2.055008123171959</v>
      </c>
      <c r="P19" t="n">
        <v>0.0311396186973367</v>
      </c>
      <c r="Q19" t="n">
        <v>-0.0015307627020493</v>
      </c>
      <c r="R19" t="n">
        <v>0.0090582498908042</v>
      </c>
      <c r="S19" t="n">
        <v>0.0065107326595871</v>
      </c>
      <c r="T19" t="n">
        <v>-303.7676510538562</v>
      </c>
      <c r="U19" t="n">
        <v>0.0467592594030179</v>
      </c>
      <c r="V19" t="n">
        <v>-0.3328703702028292</v>
      </c>
      <c r="W19" t="n">
        <v>-0.1209935895839148</v>
      </c>
      <c r="X19" t="n">
        <v>-0.2694444443004007</v>
      </c>
      <c r="Y19" t="n">
        <v>-0.6736111109432538</v>
      </c>
      <c r="Z19" t="n">
        <v>0.1666666668103137</v>
      </c>
      <c r="AA19" t="n">
        <v>-0.2013888887214686</v>
      </c>
      <c r="AB19" t="n">
        <v>1.284722222205624</v>
      </c>
      <c r="AC19" t="n">
        <v>0.009058250337839101</v>
      </c>
      <c r="AD19" t="n">
        <v>6.115586406090221</v>
      </c>
      <c r="AE19" t="n">
        <v>5.831572791314984</v>
      </c>
      <c r="AF19" t="n">
        <v>8.957671547932678</v>
      </c>
      <c r="AG19" t="n">
        <v>7.432217014345557</v>
      </c>
      <c r="AH19" t="n">
        <v>0.1548364601176228</v>
      </c>
      <c r="AI19" t="n">
        <v>15.49333333333333</v>
      </c>
      <c r="AJ19" t="n">
        <v>15.54333333333333</v>
      </c>
      <c r="AK19" s="1" t="n">
        <v>3.46875478018269e-05</v>
      </c>
      <c r="AL19" t="n">
        <v>0.0011078807686277</v>
      </c>
      <c r="AM19" t="n">
        <v>6.044683333333333</v>
      </c>
      <c r="AN19" t="n">
        <v>33.28983892528893</v>
      </c>
      <c r="AO19" t="n">
        <v>0.0565870634592514</v>
      </c>
      <c r="AP19" t="n">
        <v>0.0498397988400463</v>
      </c>
      <c r="AQ19" t="n">
        <v>0.0469709526471286</v>
      </c>
      <c r="AR19" t="n">
        <v>0.0661267384483802</v>
      </c>
      <c r="AS19" t="n">
        <v>0.0641123271107836</v>
      </c>
      <c r="AU19">
        <f>(AQ19&lt;AU$1)*1</f>
        <v/>
      </c>
    </row>
    <row r="20">
      <c r="A20" t="inlineStr">
        <is>
          <t>lowess1dt20wnc</t>
        </is>
      </c>
      <c r="B20" t="inlineStr">
        <is>
          <t>42/3_ST_Fits</t>
        </is>
      </c>
      <c r="C20" t="inlineStr">
        <is>
          <t>c</t>
        </is>
      </c>
      <c r="D20" t="n">
        <v>24.41666666666667</v>
      </c>
      <c r="E20" t="n">
        <v>76.68333333333334</v>
      </c>
      <c r="F20" t="n">
        <v>0.0065107325050565</v>
      </c>
      <c r="G20" t="n">
        <v>80.40216879526552</v>
      </c>
      <c r="H20" t="n">
        <v>0.0157407408849166</v>
      </c>
      <c r="I20" t="n">
        <v>-0.2865740739068075</v>
      </c>
      <c r="J20" t="n">
        <v>-0.166071428408951</v>
      </c>
      <c r="K20" t="n">
        <v>-0.2999999998555381</v>
      </c>
      <c r="L20" t="n">
        <v>-0.6263888887213095</v>
      </c>
      <c r="M20" t="n">
        <v>0.3152777779216838</v>
      </c>
      <c r="N20" t="n">
        <v>-0.1124999998328879</v>
      </c>
      <c r="O20" t="n">
        <v>2.052173068691114</v>
      </c>
      <c r="P20" t="n">
        <v>0.0460930922465189</v>
      </c>
      <c r="Q20" s="1" t="n">
        <v>-8.646361286504866e-05</v>
      </c>
      <c r="R20" t="n">
        <v>0.0090582498908042</v>
      </c>
      <c r="S20" t="n">
        <v>0.0065107326595871</v>
      </c>
      <c r="T20" t="n">
        <v>-56.30291419494521</v>
      </c>
      <c r="U20" t="n">
        <v>0.0532407408845036</v>
      </c>
      <c r="V20" t="n">
        <v>-0.3365740739065119</v>
      </c>
      <c r="W20" t="n">
        <v>-0.1200854699257923</v>
      </c>
      <c r="X20" t="n">
        <v>-0.2624999998559512</v>
      </c>
      <c r="Y20" t="n">
        <v>-0.6763888887210139</v>
      </c>
      <c r="Z20" t="n">
        <v>0.1722222223658794</v>
      </c>
      <c r="AA20" t="n">
        <v>-0.2041666664992286</v>
      </c>
      <c r="AB20" t="n">
        <v>1.282834757818157</v>
      </c>
      <c r="AC20" t="n">
        <v>0.009058250337839101</v>
      </c>
      <c r="AD20" t="n">
        <v>5.811453841010111</v>
      </c>
      <c r="AE20" t="n">
        <v>5.677726264578209</v>
      </c>
      <c r="AF20" t="n">
        <v>8.037641373206332</v>
      </c>
      <c r="AG20" t="n">
        <v>7.000528193240972</v>
      </c>
      <c r="AH20" t="n">
        <v>1.071726215792601</v>
      </c>
      <c r="AI20" t="n">
        <v>15.49333333333333</v>
      </c>
      <c r="AJ20" t="n">
        <v>15.54333333333333</v>
      </c>
      <c r="AK20" t="n">
        <v>0.0054760098800893</v>
      </c>
      <c r="AL20" t="n">
        <v>0.0300254707604677</v>
      </c>
      <c r="AM20" t="n">
        <v>6.220833333333333</v>
      </c>
      <c r="AN20" t="n">
        <v>246.4970296322982</v>
      </c>
      <c r="AO20" t="n">
        <v>0.0561778148621801</v>
      </c>
      <c r="AP20" t="n">
        <v>0.0498397988400463</v>
      </c>
      <c r="AQ20" t="n">
        <v>0.0469709526471286</v>
      </c>
      <c r="AR20" t="n">
        <v>0.0661267384483802</v>
      </c>
      <c r="AS20" t="n">
        <v>0.0641123271107836</v>
      </c>
      <c r="AU20">
        <f>(AQ20&lt;AU$1)*1</f>
        <v/>
      </c>
    </row>
    <row r="21">
      <c r="A21" t="inlineStr">
        <is>
          <t>lowess1dt26wnc</t>
        </is>
      </c>
      <c r="B21" t="inlineStr">
        <is>
          <t>42/3_ST_Fits</t>
        </is>
      </c>
      <c r="C21" t="inlineStr">
        <is>
          <t>c</t>
        </is>
      </c>
      <c r="D21" t="n">
        <v>8.416666666666666</v>
      </c>
      <c r="E21" t="n">
        <v>37.61666666666667</v>
      </c>
      <c r="F21" t="n">
        <v>0.006984379545406</v>
      </c>
      <c r="G21" t="n">
        <v>129.992640736855</v>
      </c>
      <c r="H21" t="n">
        <v>-0.1083333331890533</v>
      </c>
      <c r="I21" t="n">
        <v>-0.4965277776103373</v>
      </c>
      <c r="J21" t="n">
        <v>-0.2095505187631368</v>
      </c>
      <c r="K21" t="n">
        <v>-0.1972222220778614</v>
      </c>
      <c r="L21" t="n">
        <v>-0.5708333331658272</v>
      </c>
      <c r="M21" t="n">
        <v>-0.0194444443002453</v>
      </c>
      <c r="N21" t="n">
        <v>-0.4222222220548474</v>
      </c>
      <c r="O21" t="n">
        <v>2.003298627371427</v>
      </c>
      <c r="P21" t="n">
        <v>0.0480953215752751</v>
      </c>
      <c r="Q21" t="n">
        <v>-0.0001859323821667</v>
      </c>
      <c r="R21" t="n">
        <v>0.0126879568894703</v>
      </c>
      <c r="S21" t="n">
        <v>0.0069843796999366</v>
      </c>
      <c r="T21" t="n">
        <v>15.47807373028792</v>
      </c>
      <c r="U21" t="n">
        <v>-0.0708333331894664</v>
      </c>
      <c r="V21" t="n">
        <v>-0.5465277776100417</v>
      </c>
      <c r="W21" t="n">
        <v>-0.1620904556807816</v>
      </c>
      <c r="X21" t="n">
        <v>-0.1597222220782744</v>
      </c>
      <c r="Y21" t="n">
        <v>-0.6208333331655316</v>
      </c>
      <c r="Z21" t="n">
        <v>-0.0708333331894664</v>
      </c>
      <c r="AA21" t="n">
        <v>-0.4722222220545518</v>
      </c>
      <c r="AB21" t="n">
        <v>1.373379629618491</v>
      </c>
      <c r="AC21" t="n">
        <v>0.0126879573365052</v>
      </c>
      <c r="AD21" t="n">
        <v>6.091816461404093</v>
      </c>
      <c r="AE21" t="n">
        <v>6.301810767787335</v>
      </c>
      <c r="AF21" t="n">
        <v>8.660867277125918</v>
      </c>
      <c r="AG21" t="n">
        <v>7.913876676993071</v>
      </c>
      <c r="AH21" t="n">
        <v>1.40930119285846</v>
      </c>
      <c r="AI21" t="n">
        <v>14.52333333333333</v>
      </c>
      <c r="AJ21" t="n">
        <v>14.59</v>
      </c>
      <c r="AK21" t="n">
        <v>0.0583011145967575</v>
      </c>
      <c r="AL21" t="n">
        <v>0.1216528251834539</v>
      </c>
      <c r="AM21" t="n">
        <v>4.967866666666667</v>
      </c>
      <c r="AN21" t="n">
        <v>324.1392743574458</v>
      </c>
      <c r="AO21" t="n">
        <v>0.0495934897302109</v>
      </c>
      <c r="AP21" t="n">
        <v>0.0427778318723999</v>
      </c>
      <c r="AQ21" t="n">
        <v>0.0408915974260344</v>
      </c>
      <c r="AR21" t="n">
        <v>0.0608017528772463</v>
      </c>
      <c r="AS21" t="n">
        <v>0.0595617574227815</v>
      </c>
      <c r="AU21">
        <f>(AQ21&lt;AU$1)*1</f>
        <v/>
      </c>
    </row>
    <row r="22">
      <c r="A22" t="inlineStr">
        <is>
          <t>lowess1dt30wnc</t>
        </is>
      </c>
      <c r="B22" t="inlineStr">
        <is>
          <t>42/3_ST_Fits</t>
        </is>
      </c>
      <c r="C22" t="inlineStr">
        <is>
          <t>c</t>
        </is>
      </c>
      <c r="D22" t="n">
        <v>5.283333333333333</v>
      </c>
      <c r="E22" t="n">
        <v>23.3</v>
      </c>
      <c r="F22" t="n">
        <v>0.0071276686920059</v>
      </c>
      <c r="G22" t="n">
        <v>144.9469397840903</v>
      </c>
      <c r="H22" t="n">
        <v>-0.0499999998557768</v>
      </c>
      <c r="I22" t="n">
        <v>-0.5743055553880481</v>
      </c>
      <c r="J22" t="n">
        <v>-0.2738241502242626</v>
      </c>
      <c r="K22" t="n">
        <v>-0.11249999985572</v>
      </c>
      <c r="L22" t="n">
        <v>-0.6916666664990544</v>
      </c>
      <c r="M22" t="n">
        <v>0.0125000001441662</v>
      </c>
      <c r="N22" t="n">
        <v>-0.5249999998325393</v>
      </c>
      <c r="O22" t="n">
        <v>2.043558027313121</v>
      </c>
      <c r="P22" t="n">
        <v>0.049055576509659</v>
      </c>
      <c r="Q22" t="n">
        <v>-0.0003720118878329</v>
      </c>
      <c r="R22" t="n">
        <v>0.0154354694485663</v>
      </c>
      <c r="S22" t="n">
        <v>0.0071276688465365</v>
      </c>
      <c r="T22" t="n">
        <v>43.13247342368742</v>
      </c>
      <c r="U22" t="n">
        <v>-0.0124999998561899</v>
      </c>
      <c r="V22" t="n">
        <v>-0.6243055553877526</v>
      </c>
      <c r="W22" t="n">
        <v>-0.2294159542562414</v>
      </c>
      <c r="X22" t="n">
        <v>-0.07499999985613311</v>
      </c>
      <c r="Y22" t="n">
        <v>-0.7416666664987588</v>
      </c>
      <c r="Z22" t="n">
        <v>-0.0236111109672871</v>
      </c>
      <c r="AA22" t="n">
        <v>-0.5277777776100644</v>
      </c>
      <c r="AB22" t="n">
        <v>1.402599715083214</v>
      </c>
      <c r="AC22" t="n">
        <v>0.0154354698956012</v>
      </c>
      <c r="AD22" t="n">
        <v>6.342995323966606</v>
      </c>
      <c r="AE22" t="n">
        <v>6.343950107549555</v>
      </c>
      <c r="AF22" t="n">
        <v>8.976234613293943</v>
      </c>
      <c r="AG22" t="n">
        <v>8.176955215795791</v>
      </c>
      <c r="AH22" t="n">
        <v>1.515061116844748</v>
      </c>
      <c r="AI22" t="n">
        <v>14.10666666666667</v>
      </c>
      <c r="AJ22" t="n">
        <v>14.15666666666667</v>
      </c>
      <c r="AK22" t="n">
        <v>0.1262475045966605</v>
      </c>
      <c r="AL22" t="n">
        <v>0.2076216417843715</v>
      </c>
      <c r="AM22" t="n">
        <v>4.406683333333334</v>
      </c>
      <c r="AN22" t="n">
        <v>348.464056874292</v>
      </c>
      <c r="AO22" t="n">
        <v>0.0466975238375453</v>
      </c>
      <c r="AP22" t="n">
        <v>0.0400965938575108</v>
      </c>
      <c r="AQ22" t="n">
        <v>0.0390650818972864</v>
      </c>
      <c r="AR22" t="n">
        <v>0.0581379432325532</v>
      </c>
      <c r="AS22" t="n">
        <v>0.0575464363743422</v>
      </c>
      <c r="AU22">
        <f>(AQ22&lt;AU$1)*1</f>
        <v/>
      </c>
    </row>
    <row r="23">
      <c r="A23" t="inlineStr">
        <is>
          <t>lowess1dt36wnc</t>
        </is>
      </c>
      <c r="B23" t="inlineStr">
        <is>
          <t>42/3_ST_Fits</t>
        </is>
      </c>
      <c r="C23" t="inlineStr">
        <is>
          <t>c</t>
        </is>
      </c>
      <c r="D23" t="n">
        <v>3.4</v>
      </c>
      <c r="E23" t="n">
        <v>15.45</v>
      </c>
      <c r="F23" t="n">
        <v>0.0070163885862738</v>
      </c>
      <c r="G23" t="n">
        <v>155.9488315767681</v>
      </c>
      <c r="H23" t="n">
        <v>0.2333333334773215</v>
      </c>
      <c r="I23" t="n">
        <v>-0.7465277776101099</v>
      </c>
      <c r="J23" t="n">
        <v>-0.4217535356537631</v>
      </c>
      <c r="K23" t="n">
        <v>0.1875000001440298</v>
      </c>
      <c r="L23" t="n">
        <v>-0.7999999998322816</v>
      </c>
      <c r="M23" t="n">
        <v>0.2791666668106131</v>
      </c>
      <c r="N23" t="n">
        <v>-0.7999999998322816</v>
      </c>
      <c r="O23" t="n">
        <v>2.080356074802871</v>
      </c>
      <c r="P23" t="n">
        <v>0.0501556157390869</v>
      </c>
      <c r="Q23" t="n">
        <v>-0.0008793886825804</v>
      </c>
      <c r="R23" t="n">
        <v>0.0198359531164168</v>
      </c>
      <c r="S23" t="n">
        <v>0.0070163887408044</v>
      </c>
      <c r="T23" t="n">
        <v>70.04359540963277</v>
      </c>
      <c r="U23" t="n">
        <v>0.2708333334769084</v>
      </c>
      <c r="V23" t="n">
        <v>-0.7965277776098143</v>
      </c>
      <c r="W23" t="n">
        <v>-0.382870370210731</v>
      </c>
      <c r="X23" t="n">
        <v>0.2250000001436168</v>
      </c>
      <c r="Y23" t="n">
        <v>-0.849999999831986</v>
      </c>
      <c r="Z23" t="n">
        <v>0.261111111254695</v>
      </c>
      <c r="AA23" t="n">
        <v>-0.7694444442765037</v>
      </c>
      <c r="AB23" t="n">
        <v>1.434437321904883</v>
      </c>
      <c r="AC23" t="n">
        <v>0.0198359535634517</v>
      </c>
      <c r="AD23" t="n">
        <v>6.727107606927062</v>
      </c>
      <c r="AE23" t="n">
        <v>6.104514295891397</v>
      </c>
      <c r="AF23" t="n">
        <v>8.788939262661632</v>
      </c>
      <c r="AG23" t="n">
        <v>8.534721586641622</v>
      </c>
      <c r="AH23" t="n">
        <v>1.590143789649026</v>
      </c>
      <c r="AI23" t="n">
        <v>13.75666666666667</v>
      </c>
      <c r="AJ23" t="n">
        <v>13.77333333333333</v>
      </c>
      <c r="AK23" t="n">
        <v>0.2038349579921536</v>
      </c>
      <c r="AL23" t="n">
        <v>0.3271616798707895</v>
      </c>
      <c r="AM23" t="n">
        <v>3.790483333333333</v>
      </c>
      <c r="AN23" t="n">
        <v>365.7330716192761</v>
      </c>
      <c r="AO23" t="n">
        <v>0.0443115276156888</v>
      </c>
      <c r="AP23" t="n">
        <v>0.0379800385844291</v>
      </c>
      <c r="AQ23" t="n">
        <v>0.0381782744423047</v>
      </c>
      <c r="AR23" t="n">
        <v>0.055077127330681</v>
      </c>
      <c r="AS23" t="n">
        <v>0.0555365005520787</v>
      </c>
      <c r="AU23">
        <f>(AQ23&lt;AU$1)*1</f>
        <v/>
      </c>
    </row>
    <row r="24">
      <c r="A24" t="inlineStr">
        <is>
          <t>lowess2dt20wnc</t>
        </is>
      </c>
      <c r="B24" t="inlineStr">
        <is>
          <t>42/3_ST_Fits</t>
        </is>
      </c>
      <c r="C24" t="inlineStr">
        <is>
          <t>c</t>
        </is>
      </c>
      <c r="D24" t="n">
        <v>37.98333333333333</v>
      </c>
      <c r="E24" t="n">
        <v>104.85</v>
      </c>
      <c r="F24" t="n">
        <v>0.0055546271911373</v>
      </c>
      <c r="G24" t="n">
        <v>1.805277919451833</v>
      </c>
      <c r="H24" t="n">
        <v>-0.0145833331891241</v>
      </c>
      <c r="I24" t="n">
        <v>0.4104166668332923</v>
      </c>
      <c r="J24" t="n">
        <v>-0.0074623099039083</v>
      </c>
      <c r="K24" t="n">
        <v>-1.440277777632275</v>
      </c>
      <c r="L24" t="n">
        <v>-1.624999999831516</v>
      </c>
      <c r="M24" t="n">
        <v>-0.4930555554109143</v>
      </c>
      <c r="N24" t="n">
        <v>1.409722222387927</v>
      </c>
      <c r="O24" t="n">
        <v>2.164200196394115</v>
      </c>
      <c r="P24" t="n">
        <v>0.0583134458996582</v>
      </c>
      <c r="Q24" s="1" t="n">
        <v>-9.82900243059907e-05</v>
      </c>
      <c r="R24" t="n">
        <v>0.0037475863099098</v>
      </c>
      <c r="S24" t="n">
        <v>0.0055546273456679</v>
      </c>
      <c r="T24" t="n">
        <v>-68.94077281623036</v>
      </c>
      <c r="U24" t="n">
        <v>0.0229166668104627</v>
      </c>
      <c r="V24" t="n">
        <v>0.360416666833588</v>
      </c>
      <c r="W24" t="n">
        <v>0.0398504275101692</v>
      </c>
      <c r="X24" t="n">
        <v>-1.402777777632688</v>
      </c>
      <c r="Y24" t="n">
        <v>-1.674999999831221</v>
      </c>
      <c r="Z24" t="n">
        <v>-0.0333333331894815</v>
      </c>
      <c r="AA24" t="n">
        <v>1.165277777943955</v>
      </c>
      <c r="AB24" t="n">
        <v>1.302297008530355</v>
      </c>
      <c r="AC24" t="n">
        <v>0.0037475867569446</v>
      </c>
      <c r="AD24" t="n">
        <v>3.990136858762099</v>
      </c>
      <c r="AE24" t="n">
        <v>3.65237971556485</v>
      </c>
      <c r="AF24" t="n">
        <v>4.881665731538583</v>
      </c>
      <c r="AG24" t="n">
        <v>4.229997268740335</v>
      </c>
      <c r="AH24" t="n">
        <v>0.430816730109638</v>
      </c>
      <c r="AI24" t="n">
        <v>21.045</v>
      </c>
      <c r="AJ24" t="n">
        <v>21.06166666666667</v>
      </c>
      <c r="AK24" t="n">
        <v>0.0004979646837433</v>
      </c>
      <c r="AL24" t="n">
        <v>0.0057209105296013</v>
      </c>
      <c r="AM24" t="n">
        <v>11.86643333333333</v>
      </c>
      <c r="AN24" t="n">
        <v>99.08784792521676</v>
      </c>
      <c r="AO24" t="n">
        <v>0.081339436790063</v>
      </c>
      <c r="AP24" t="n">
        <v>0.0734284678708181</v>
      </c>
      <c r="AQ24" t="n">
        <v>0.0690975858680085</v>
      </c>
      <c r="AR24" t="n">
        <v>0.0830374885822026</v>
      </c>
      <c r="AS24" t="n">
        <v>0.07941209318902689</v>
      </c>
      <c r="AU24">
        <f>(AQ24&lt;AU$1)*1</f>
        <v/>
      </c>
    </row>
    <row r="25">
      <c r="A25" t="inlineStr">
        <is>
          <t>lowess2dt30wnc</t>
        </is>
      </c>
      <c r="B25" t="inlineStr">
        <is>
          <t>42/3_ST_Fits</t>
        </is>
      </c>
      <c r="C25" t="inlineStr">
        <is>
          <t>c</t>
        </is>
      </c>
      <c r="D25" t="n">
        <v>7.616666666666666</v>
      </c>
      <c r="E25" t="n">
        <v>43.16666666666666</v>
      </c>
      <c r="F25" t="n">
        <v>0.0061412160484878</v>
      </c>
      <c r="G25" t="n">
        <v>96.67043351921684</v>
      </c>
      <c r="H25" t="n">
        <v>-0.0243055554113337</v>
      </c>
      <c r="I25" t="n">
        <v>0.106250000166891</v>
      </c>
      <c r="J25" t="n">
        <v>0.007870158553615701</v>
      </c>
      <c r="K25" t="n">
        <v>-0.8486111109661313</v>
      </c>
      <c r="L25" t="n">
        <v>-0.7583333331656529</v>
      </c>
      <c r="M25" t="n">
        <v>0.08194444458857029</v>
      </c>
      <c r="N25" t="n">
        <v>0.6986111112774628</v>
      </c>
      <c r="O25" t="n">
        <v>2.086807636200529</v>
      </c>
      <c r="P25" t="n">
        <v>0.06446821867436781</v>
      </c>
      <c r="Q25" t="n">
        <v>-0.0002641058971968</v>
      </c>
      <c r="R25" t="n">
        <v>0.0044666815300782</v>
      </c>
      <c r="S25" t="n">
        <v>0.0061412162030184</v>
      </c>
      <c r="T25" t="n">
        <v>32.00958279816703</v>
      </c>
      <c r="U25" t="n">
        <v>0.0131944445882532</v>
      </c>
      <c r="V25" t="n">
        <v>0.0562500001671866</v>
      </c>
      <c r="W25" t="n">
        <v>0.0444195158292397</v>
      </c>
      <c r="X25" t="n">
        <v>-0.8111111109665444</v>
      </c>
      <c r="Y25" t="n">
        <v>-0.8083333331653573</v>
      </c>
      <c r="Z25" t="n">
        <v>0.1138888890325991</v>
      </c>
      <c r="AA25" t="n">
        <v>0.4875000001668013</v>
      </c>
      <c r="AB25" t="n">
        <v>1.269273504256868</v>
      </c>
      <c r="AC25" t="n">
        <v>0.0044666819771131</v>
      </c>
      <c r="AD25" t="n">
        <v>4.752488089767833</v>
      </c>
      <c r="AE25" t="n">
        <v>4.775436986047729</v>
      </c>
      <c r="AF25" t="n">
        <v>6.151086746273842</v>
      </c>
      <c r="AG25" t="n">
        <v>5.554570262484888</v>
      </c>
      <c r="AH25" t="n">
        <v>1.081001915402544</v>
      </c>
      <c r="AI25" t="n">
        <v>17.74666666666667</v>
      </c>
      <c r="AJ25" t="n">
        <v>17.78</v>
      </c>
      <c r="AK25" t="n">
        <v>0.0437656174501175</v>
      </c>
      <c r="AL25" t="n">
        <v>0.1307031167565239</v>
      </c>
      <c r="AM25" t="n">
        <v>8.647583333333333</v>
      </c>
      <c r="AN25" t="n">
        <v>248.630440542585</v>
      </c>
      <c r="AO25" t="n">
        <v>0.06857794470186521</v>
      </c>
      <c r="AP25" t="n">
        <v>0.0608235091484006</v>
      </c>
      <c r="AQ25" t="n">
        <v>0.0562937382413001</v>
      </c>
      <c r="AR25" t="n">
        <v>0.0750587025286666</v>
      </c>
      <c r="AS25" t="n">
        <v>0.07150231506710911</v>
      </c>
      <c r="AU25">
        <f>(AQ25&lt;AU$1)*1</f>
        <v/>
      </c>
    </row>
    <row r="26">
      <c r="A26" t="inlineStr">
        <is>
          <t>min_month_proj</t>
        </is>
      </c>
      <c r="B26" t="inlineStr">
        <is>
          <t>42/3_ST_Fits</t>
        </is>
      </c>
      <c r="C26" t="inlineStr">
        <is>
          <t>c</t>
        </is>
      </c>
      <c r="D26" t="n">
        <v>27.7</v>
      </c>
      <c r="E26" t="n">
        <v>154.8166666666667</v>
      </c>
      <c r="F26" t="n">
        <v>0.1780923681181205</v>
      </c>
      <c r="G26" t="n">
        <v>-15.56003456755514</v>
      </c>
      <c r="H26" t="n">
        <v>-8.906944444292151</v>
      </c>
      <c r="I26" t="n">
        <v>-9.423379629454072</v>
      </c>
      <c r="J26" t="n">
        <v>-9.358495497390878</v>
      </c>
      <c r="K26" t="n">
        <v>-9.261111110958492</v>
      </c>
      <c r="L26" t="n">
        <v>-10.40138888871243</v>
      </c>
      <c r="M26" t="n">
        <v>-9.261111110958492</v>
      </c>
      <c r="N26" t="n">
        <v>-10.40138888871243</v>
      </c>
      <c r="O26" t="n">
        <v>10.0073332623343</v>
      </c>
      <c r="P26" t="n">
        <v>0.1476184203949815</v>
      </c>
      <c r="Q26" t="n">
        <v>0.1937765530408067</v>
      </c>
      <c r="R26" t="n">
        <v>0.1553545700328656</v>
      </c>
      <c r="S26" t="n">
        <v>0.178092368272651</v>
      </c>
      <c r="T26" t="n">
        <v>-21.32430587529258</v>
      </c>
      <c r="U26" t="n">
        <v>-8.869444444292563</v>
      </c>
      <c r="V26" t="n">
        <v>-9.473379629453776</v>
      </c>
      <c r="W26" t="n">
        <v>-9.341898147982704</v>
      </c>
      <c r="X26" t="n">
        <v>-9.223611110958904</v>
      </c>
      <c r="Y26" t="n">
        <v>-10.45138888871214</v>
      </c>
      <c r="Z26" t="n">
        <v>-9.223611110958904</v>
      </c>
      <c r="AA26" t="n">
        <v>-10.23472222204567</v>
      </c>
      <c r="AB26" t="n">
        <v>9.341898147982704</v>
      </c>
      <c r="AC26" t="n">
        <v>0.1553545704799005</v>
      </c>
      <c r="AD26" t="n">
        <v>1.390237059751378</v>
      </c>
      <c r="AE26" t="n">
        <v>1.567292927325611</v>
      </c>
      <c r="AF26" t="n">
        <v>1.37184074205787</v>
      </c>
      <c r="AG26" t="n">
        <v>1.399226323030378</v>
      </c>
      <c r="AH26" t="n">
        <v>-0.386266811498631</v>
      </c>
      <c r="AI26" t="n">
        <v>16.2</v>
      </c>
      <c r="AJ26" t="n">
        <v>16.28333333333333</v>
      </c>
      <c r="AK26" t="n">
        <v>0.0360873684732746</v>
      </c>
      <c r="AL26" t="n">
        <v>0.0426391690081872</v>
      </c>
      <c r="AM26" t="n">
        <v>12.87476666666667</v>
      </c>
      <c r="AN26" t="n">
        <v>-85.36496534119746</v>
      </c>
      <c r="AO26" t="n">
        <v>0.2137685447716166</v>
      </c>
      <c r="AP26" t="n">
        <v>0.1977633730719216</v>
      </c>
      <c r="AQ26" t="n">
        <v>0.1858073444059676</v>
      </c>
      <c r="AR26" t="n">
        <v>0.2052529551339325</v>
      </c>
      <c r="AS26" t="n">
        <v>0.1937340647196555</v>
      </c>
      <c r="AU26">
        <f>(AQ26&lt;AU$1)*1</f>
        <v/>
      </c>
    </row>
    <row r="27">
      <c r="A27" t="inlineStr">
        <is>
          <t>opt_clim_norm</t>
        </is>
      </c>
      <c r="B27" t="inlineStr">
        <is>
          <t>42/3_ST_Fits</t>
        </is>
      </c>
      <c r="C27" t="inlineStr">
        <is>
          <t>c</t>
        </is>
      </c>
      <c r="D27" t="n">
        <v>41.1</v>
      </c>
      <c r="E27" t="n">
        <v>82.93333333333334</v>
      </c>
      <c r="F27" t="n">
        <v>-0.0164630732213673</v>
      </c>
      <c r="G27" t="n">
        <v>-48642.92280330019</v>
      </c>
      <c r="H27" t="n">
        <v>0.505671296440027</v>
      </c>
      <c r="I27" t="n">
        <v>1.298541666832461</v>
      </c>
      <c r="J27" t="n">
        <v>0.7903217212649516</v>
      </c>
      <c r="K27" t="n">
        <v>-1.577777777632154</v>
      </c>
      <c r="L27" t="n">
        <v>-1.158333333165296</v>
      </c>
      <c r="M27" t="n">
        <v>0.3291666668105525</v>
      </c>
      <c r="N27" t="n">
        <v>2.308333333498202</v>
      </c>
      <c r="O27" t="n">
        <v>2.693967535312267</v>
      </c>
      <c r="P27" t="n">
        <v>0.0455996006514233</v>
      </c>
      <c r="Q27" t="n">
        <v>-0.0115529470408627</v>
      </c>
      <c r="R27" t="n">
        <v>-0.0163453233291243</v>
      </c>
      <c r="S27" t="n">
        <v>-0.0163908088286135</v>
      </c>
      <c r="T27" t="n">
        <v>-61142.76625825479</v>
      </c>
      <c r="U27" t="n">
        <v>0.5431712964396139</v>
      </c>
      <c r="V27" t="n">
        <v>1.248541666832757</v>
      </c>
      <c r="W27" t="n">
        <v>0.7991862537203418</v>
      </c>
      <c r="X27" t="n">
        <v>-1.540277777632567</v>
      </c>
      <c r="Y27" t="n">
        <v>-1.208333333165001</v>
      </c>
      <c r="Z27" t="n">
        <v>0.5625000001432985</v>
      </c>
      <c r="AA27" t="n">
        <v>1.861111111276644</v>
      </c>
      <c r="AB27" t="n">
        <v>1.538196225118263</v>
      </c>
      <c r="AC27" t="n">
        <v>-0.0166730525006347</v>
      </c>
      <c r="AD27" t="n">
        <v>4.958214407042562</v>
      </c>
      <c r="AE27" t="n">
        <v>5.613862071096188</v>
      </c>
      <c r="AF27" t="n">
        <v>4.635001160640069</v>
      </c>
      <c r="AG27" t="n">
        <v>5.418440808962798</v>
      </c>
      <c r="AH27" t="n">
        <v>-230.7121460274116</v>
      </c>
      <c r="AI27" t="n">
        <v>27.04166666666667</v>
      </c>
      <c r="AJ27" t="n">
        <v>26.975</v>
      </c>
      <c r="AK27" s="1" t="n">
        <v>7.22998645168556e-13</v>
      </c>
      <c r="AL27" t="n">
        <v>0.0002296056471843</v>
      </c>
      <c r="AM27" t="n">
        <v>17.30446666666667</v>
      </c>
      <c r="AN27" t="n">
        <v>-53058.00235151954</v>
      </c>
      <c r="AO27" t="n">
        <v>0.072550895707787</v>
      </c>
      <c r="AP27" t="n">
        <v>0.0784173556572817</v>
      </c>
      <c r="AQ27" t="n">
        <v>0.0703721033099773</v>
      </c>
      <c r="AR27" t="n">
        <v>0.0865811142113385</v>
      </c>
      <c r="AS27" t="n">
        <v>0.07916898918774359</v>
      </c>
      <c r="AU27">
        <f>(AQ27&lt;AU$1)*1</f>
        <v/>
      </c>
    </row>
    <row r="28">
      <c r="A28" t="inlineStr">
        <is>
          <t>cubic_spline</t>
        </is>
      </c>
      <c r="B28" t="inlineStr">
        <is>
          <t>42/4_GAM_AR1</t>
        </is>
      </c>
      <c r="C28" t="inlineStr">
        <is>
          <t>c</t>
        </is>
      </c>
      <c r="D28" t="n">
        <v>0.6666666666666666</v>
      </c>
      <c r="E28" t="n">
        <v>7.033333333333333</v>
      </c>
      <c r="F28" t="n">
        <v>0.0039040195107032</v>
      </c>
      <c r="G28" t="n">
        <v>128.5207343486646</v>
      </c>
      <c r="H28" t="n">
        <v>1.204861111254191</v>
      </c>
      <c r="I28" t="n">
        <v>-0.911111110943288</v>
      </c>
      <c r="J28" t="n">
        <v>-0.0084134613765847</v>
      </c>
      <c r="K28" t="n">
        <v>1.027777777921017</v>
      </c>
      <c r="L28" t="n">
        <v>-0.9874999998321072</v>
      </c>
      <c r="M28" t="n">
        <v>1.381944444587365</v>
      </c>
      <c r="N28" t="n">
        <v>-0.873611110943322</v>
      </c>
      <c r="O28" t="n">
        <v>2.65926124514987</v>
      </c>
      <c r="P28" t="n">
        <v>0.0742505672042332</v>
      </c>
      <c r="Q28" t="n">
        <v>-0.0013802091874334</v>
      </c>
      <c r="R28" t="n">
        <v>0.0208422633677204</v>
      </c>
      <c r="S28" t="n">
        <v>0.0039040196652338</v>
      </c>
      <c r="T28" t="n">
        <v>110.5077573531125</v>
      </c>
      <c r="U28" t="n">
        <v>1.242361111253778</v>
      </c>
      <c r="V28" t="n">
        <v>-0.9611111109429924</v>
      </c>
      <c r="W28" t="n">
        <v>0.0411324787917677</v>
      </c>
      <c r="X28" t="n">
        <v>1.065277777920604</v>
      </c>
      <c r="Y28" t="n">
        <v>-1.037499999831812</v>
      </c>
      <c r="Z28" t="n">
        <v>1.419444444586952</v>
      </c>
      <c r="AA28" t="n">
        <v>-0.9236111109430264</v>
      </c>
      <c r="AB28" t="n">
        <v>1.227136752136206</v>
      </c>
      <c r="AC28" t="n">
        <v>0.0208422638147553</v>
      </c>
      <c r="AD28" t="n">
        <v>3.914728058265931</v>
      </c>
      <c r="AE28" t="n">
        <v>4.279275911266399</v>
      </c>
      <c r="AF28" t="n">
        <v>4.428339374803473</v>
      </c>
      <c r="AG28" t="n">
        <v>4.787325300408571</v>
      </c>
      <c r="AH28" t="n">
        <v>1.133912479431505</v>
      </c>
      <c r="AI28" t="n">
        <v>14.785</v>
      </c>
      <c r="AJ28" t="n">
        <v>14.80166666666667</v>
      </c>
      <c r="AK28" t="n">
        <v>0.2723139955876447</v>
      </c>
      <c r="AL28" t="n">
        <v>0.498601213190787</v>
      </c>
      <c r="AM28" t="n">
        <v>9.735133333333334</v>
      </c>
      <c r="AN28" t="n">
        <v>238.1216206806161</v>
      </c>
      <c r="AO28" t="n">
        <v>0.0794213198737964</v>
      </c>
      <c r="AP28" t="n">
        <v>0.055953625724486</v>
      </c>
      <c r="AQ28" t="n">
        <v>0.0511615807472626</v>
      </c>
      <c r="AR28" t="n">
        <v>0.0709583835156101</v>
      </c>
      <c r="AS28" t="n">
        <v>0.06497036030914589</v>
      </c>
      <c r="AU28">
        <f>(AQ28&lt;AU$1)*1</f>
        <v/>
      </c>
    </row>
    <row r="29">
      <c r="A29" t="inlineStr">
        <is>
          <t>GAM_AR0</t>
        </is>
      </c>
      <c r="B29" t="inlineStr">
        <is>
          <t>42/4_GAM_AR1</t>
        </is>
      </c>
      <c r="C29" t="inlineStr">
        <is>
          <t>c</t>
        </is>
      </c>
      <c r="D29" t="n">
        <v>7.5</v>
      </c>
      <c r="E29" t="n">
        <v>33.68333333333333</v>
      </c>
      <c r="F29" t="n">
        <v>0.0070248748271501</v>
      </c>
      <c r="G29" t="n">
        <v>163.3681879976566</v>
      </c>
      <c r="H29" t="n">
        <v>0.4708333334770903</v>
      </c>
      <c r="I29" t="n">
        <v>-0.7034722220546049</v>
      </c>
      <c r="J29" t="n">
        <v>-0.3640313388690191</v>
      </c>
      <c r="K29" t="n">
        <v>0.4263888890326863</v>
      </c>
      <c r="L29" t="n">
        <v>-0.8124999998322816</v>
      </c>
      <c r="M29" t="n">
        <v>0.5152777779214943</v>
      </c>
      <c r="N29" t="n">
        <v>-0.6680555553879686</v>
      </c>
      <c r="O29" t="n">
        <v>2.134244081177565</v>
      </c>
      <c r="P29" t="n">
        <v>0.0426447531353733</v>
      </c>
      <c r="Q29" t="n">
        <v>-0.004578149474827</v>
      </c>
      <c r="R29" s="1" t="n">
        <v>0.019337203646245</v>
      </c>
      <c r="S29" t="n">
        <v>0.0070248749816807</v>
      </c>
      <c r="T29" t="n">
        <v>112.8944161460208</v>
      </c>
      <c r="U29" t="n">
        <v>0.5083333334766773</v>
      </c>
      <c r="V29" t="n">
        <v>-0.7534722220543093</v>
      </c>
      <c r="W29" t="n">
        <v>-0.342816951407329</v>
      </c>
      <c r="X29" t="n">
        <v>0.4638888890322732</v>
      </c>
      <c r="Y29" t="n">
        <v>-0.862499999831986</v>
      </c>
      <c r="Z29" t="n">
        <v>0.5000000001433516</v>
      </c>
      <c r="AA29" t="n">
        <v>-0.6763888887210442</v>
      </c>
      <c r="AB29" t="n">
        <v>1.439661680895197</v>
      </c>
      <c r="AC29" s="1" t="n">
        <v>0.0193372040932799</v>
      </c>
      <c r="AD29" t="n">
        <v>6.387541329413613</v>
      </c>
      <c r="AE29" t="n">
        <v>5.575145311754246</v>
      </c>
      <c r="AF29" t="n">
        <v>7.427833836520624</v>
      </c>
      <c r="AG29" t="n">
        <v>7.31638718813132</v>
      </c>
      <c r="AH29" t="n">
        <v>1.410503961651979</v>
      </c>
      <c r="AI29" t="n">
        <v>13.74</v>
      </c>
      <c r="AJ29" t="n">
        <v>13.79</v>
      </c>
      <c r="AK29" t="n">
        <v>0.0288831338174312</v>
      </c>
      <c r="AL29" t="n">
        <v>0.06635553703458789</v>
      </c>
      <c r="AM29" t="n">
        <v>5.9943</v>
      </c>
      <c r="AN29" t="n">
        <v>297.6163359085677</v>
      </c>
      <c r="AO29" t="n">
        <v>0.056823762963881</v>
      </c>
      <c r="AP29" t="n">
        <v>0.0394239486980685</v>
      </c>
      <c r="AQ29" t="n">
        <v>0.0382908671298332</v>
      </c>
      <c r="AR29" t="n">
        <v>0.0568973766294304</v>
      </c>
      <c r="AS29" t="n">
        <v>0.0553832778742901</v>
      </c>
      <c r="AU29">
        <f>(AQ29&lt;AU$1)*1</f>
        <v/>
      </c>
    </row>
    <row r="30">
      <c r="A30" t="inlineStr">
        <is>
          <t>GAM_AR1</t>
        </is>
      </c>
      <c r="B30" t="inlineStr">
        <is>
          <t>42/4_GAM_AR1</t>
        </is>
      </c>
      <c r="C30" t="inlineStr">
        <is>
          <t>c</t>
        </is>
      </c>
      <c r="D30" t="n">
        <v>11.96666666666667</v>
      </c>
      <c r="E30" t="n">
        <v>30.71666666666667</v>
      </c>
      <c r="F30" t="n">
        <v>0.0024073819600413</v>
      </c>
      <c r="G30" t="n">
        <v>157.3918004616759</v>
      </c>
      <c r="H30" t="n">
        <v>0.4937500001437456</v>
      </c>
      <c r="I30" t="n">
        <v>-0.8937499998322171</v>
      </c>
      <c r="J30" t="n">
        <v>-0.3502626422881202</v>
      </c>
      <c r="K30" t="n">
        <v>0.4750000001437646</v>
      </c>
      <c r="L30" t="n">
        <v>-1.051388888720961</v>
      </c>
      <c r="M30" t="n">
        <v>0.5125000001437267</v>
      </c>
      <c r="N30" t="n">
        <v>-1.018055555387658</v>
      </c>
      <c r="O30" t="n">
        <v>1.964620880880601</v>
      </c>
      <c r="P30" t="n">
        <v>0.0468844180597654</v>
      </c>
      <c r="Q30" t="n">
        <v>-0.0125445941466121</v>
      </c>
      <c r="R30" t="n">
        <v>0.0229918625042299</v>
      </c>
      <c r="S30" t="n">
        <v>0.0024073821145719</v>
      </c>
      <c r="T30" t="n">
        <v>132.5915660703023</v>
      </c>
      <c r="U30" t="n">
        <v>0.5312500001433326</v>
      </c>
      <c r="V30" t="n">
        <v>-0.9437499998319216</v>
      </c>
      <c r="W30" t="n">
        <v>-0.3185630340285814</v>
      </c>
      <c r="X30" t="n">
        <v>0.5125000001433515</v>
      </c>
      <c r="Y30" t="n">
        <v>-1.101388888720665</v>
      </c>
      <c r="Z30" t="n">
        <v>0.5500000001433136</v>
      </c>
      <c r="AA30" t="n">
        <v>-0.8777777776097613</v>
      </c>
      <c r="AB30" t="n">
        <v>1.354852207944817</v>
      </c>
      <c r="AC30" t="n">
        <v>0.0229918629512648</v>
      </c>
      <c r="AD30" t="n">
        <v>5.514506995345694</v>
      </c>
      <c r="AE30" t="n">
        <v>5.40687177562939</v>
      </c>
      <c r="AF30" t="n">
        <v>6.4192387850498</v>
      </c>
      <c r="AG30" t="n">
        <v>6.420086148068912</v>
      </c>
      <c r="AH30" t="n">
        <v>1.225900525386524</v>
      </c>
      <c r="AI30" t="n">
        <v>14.67</v>
      </c>
      <c r="AJ30" t="n">
        <v>14.68666666666667</v>
      </c>
      <c r="AK30" t="n">
        <v>0.0074622871825025</v>
      </c>
      <c r="AL30" t="n">
        <v>0.1179484808714798</v>
      </c>
      <c r="AM30" t="n">
        <v>7.234800000000001</v>
      </c>
      <c r="AN30" t="n">
        <v>258.6650108565567</v>
      </c>
      <c r="AO30" t="n">
        <v>0.0542292969592639</v>
      </c>
      <c r="AP30" t="n">
        <v>0.0397217523891668</v>
      </c>
      <c r="AQ30" t="n">
        <v>0.0372638946969361</v>
      </c>
      <c r="AR30" t="n">
        <v>0.0544869426362691</v>
      </c>
      <c r="AS30" t="n">
        <v>0.0533102408141712</v>
      </c>
      <c r="AU30">
        <f>(AQ30&lt;AU$1)*1</f>
        <v/>
      </c>
    </row>
    <row r="31">
      <c r="A31" t="inlineStr">
        <is>
          <t>Kal_flexLin</t>
        </is>
      </c>
      <c r="B31" t="inlineStr">
        <is>
          <t>42/5_Kalman</t>
        </is>
      </c>
      <c r="C31" t="inlineStr">
        <is>
          <t>c</t>
        </is>
      </c>
      <c r="D31" t="n">
        <v>0</v>
      </c>
      <c r="E31" t="n">
        <v>0.9833333333333332</v>
      </c>
      <c r="F31" t="n">
        <v>0.0066620421097903</v>
      </c>
      <c r="G31" t="n">
        <v>161.7337760565122</v>
      </c>
      <c r="H31" t="n">
        <v>0.154861111255199</v>
      </c>
      <c r="I31" t="n">
        <v>-0.7319444442768069</v>
      </c>
      <c r="J31" t="n">
        <v>-0.3355820104196834</v>
      </c>
      <c r="K31" t="n">
        <v>0.0694444445886081</v>
      </c>
      <c r="L31" t="n">
        <v>-0.8777777776100038</v>
      </c>
      <c r="M31" t="n">
        <v>0.2152777779218126</v>
      </c>
      <c r="N31" t="n">
        <v>-0.7166666664990468</v>
      </c>
      <c r="O31" t="n">
        <v>1.838783526833687</v>
      </c>
      <c r="P31" t="n">
        <v>0.051991935918797</v>
      </c>
      <c r="Q31" t="n">
        <v>-0.0011898532632577</v>
      </c>
      <c r="R31" t="n">
        <v>0.0169324152878843</v>
      </c>
      <c r="S31" t="n">
        <v>0.0066620422643209</v>
      </c>
      <c r="T31" t="n">
        <v>131.6197248820941</v>
      </c>
      <c r="U31" t="n">
        <v>0.192361111254786</v>
      </c>
      <c r="V31" t="n">
        <v>-0.7819444442765113</v>
      </c>
      <c r="W31" t="n">
        <v>-0.2911324784728218</v>
      </c>
      <c r="X31" t="n">
        <v>0.1069444445881951</v>
      </c>
      <c r="Y31" t="n">
        <v>-0.9277777776097084</v>
      </c>
      <c r="Z31" t="n">
        <v>0.1750000001436925</v>
      </c>
      <c r="AA31" t="n">
        <v>-0.6361111109433144</v>
      </c>
      <c r="AB31" t="n">
        <v>1.410986467219913</v>
      </c>
      <c r="AC31" t="n">
        <v>0.0169324157349192</v>
      </c>
      <c r="AD31" t="n">
        <v>5.60238970861683</v>
      </c>
      <c r="AE31" t="n">
        <v>5.183516041836378</v>
      </c>
      <c r="AF31" t="n">
        <v>6.677934607002655</v>
      </c>
      <c r="AG31" t="n">
        <v>6.276591265624009</v>
      </c>
      <c r="AH31" t="n">
        <v>1.677771026357612</v>
      </c>
      <c r="AI31" t="n">
        <v>14.46</v>
      </c>
      <c r="AJ31" t="n">
        <v>14.51</v>
      </c>
      <c r="AK31" t="n">
        <v>0.7934694310428436</v>
      </c>
      <c r="AL31" t="n">
        <v>0.8661093445154773</v>
      </c>
      <c r="AM31" t="n">
        <v>5.151683333333334</v>
      </c>
      <c r="AN31" t="n">
        <v>385.8873360622509</v>
      </c>
      <c r="AO31" t="n">
        <v>0.0448473506739945</v>
      </c>
      <c r="AP31" t="n">
        <v>0.0379001710646125</v>
      </c>
      <c r="AQ31" t="n">
        <v>0.0379335549675268</v>
      </c>
      <c r="AR31" t="n">
        <v>0.0552246527346469</v>
      </c>
      <c r="AS31" t="n">
        <v>0.0556293349262926</v>
      </c>
      <c r="AU31">
        <f>(AQ31&lt;AU$1)*1</f>
        <v/>
      </c>
    </row>
    <row r="32">
      <c r="A32" t="inlineStr">
        <is>
          <t>Kal_flexLin_ocn</t>
        </is>
      </c>
      <c r="B32" t="inlineStr">
        <is>
          <t>42/5_Kalman</t>
        </is>
      </c>
      <c r="C32" t="inlineStr">
        <is>
          <t>c</t>
        </is>
      </c>
      <c r="D32" t="n">
        <v>37.08333333333334</v>
      </c>
      <c r="E32" t="n">
        <v>117.5666666666667</v>
      </c>
      <c r="F32" t="n">
        <v>0.0196867089632297</v>
      </c>
      <c r="G32" t="n">
        <v>150.140026848503</v>
      </c>
      <c r="H32" t="n">
        <v>-0.1972222220778576</v>
      </c>
      <c r="I32" t="n">
        <v>-1.867361110942428</v>
      </c>
      <c r="J32" t="n">
        <v>-1.220393899919059</v>
      </c>
      <c r="K32" t="n">
        <v>-0.2902777776333285</v>
      </c>
      <c r="L32" t="n">
        <v>-1.93611111094236</v>
      </c>
      <c r="M32" t="n">
        <v>-0.1305555554112478</v>
      </c>
      <c r="N32" t="n">
        <v>-1.862499999831319</v>
      </c>
      <c r="O32" t="n">
        <v>2.542753034482192</v>
      </c>
      <c r="P32" t="n">
        <v>0.047893879324258</v>
      </c>
      <c r="Q32" t="n">
        <v>0.0401935648979845</v>
      </c>
      <c r="R32" t="n">
        <v>0.0400145244327698</v>
      </c>
      <c r="S32" t="n">
        <v>0.0196867091177603</v>
      </c>
      <c r="T32" t="n">
        <v>116.3303268134353</v>
      </c>
      <c r="U32" t="n">
        <v>-0.1597222220782707</v>
      </c>
      <c r="V32" t="n">
        <v>-1.917361110942132</v>
      </c>
      <c r="W32" t="n">
        <v>-1.205991808956898</v>
      </c>
      <c r="X32" t="n">
        <v>-0.2527777776337416</v>
      </c>
      <c r="Y32" t="n">
        <v>-1.986111110942064</v>
      </c>
      <c r="Z32" t="n">
        <v>-0.1611111109671583</v>
      </c>
      <c r="AA32" t="n">
        <v>-1.8486111109422</v>
      </c>
      <c r="AB32" t="n">
        <v>1.741942663721142</v>
      </c>
      <c r="AC32" t="n">
        <v>0.0400145248798047</v>
      </c>
      <c r="AD32" t="n">
        <v>5.787198382572365</v>
      </c>
      <c r="AE32" t="n">
        <v>4.720526126658593</v>
      </c>
      <c r="AF32" t="n">
        <v>7.216937909480654</v>
      </c>
      <c r="AG32" t="n">
        <v>5.663516624061072</v>
      </c>
      <c r="AH32" t="n">
        <v>0.641357928718932</v>
      </c>
      <c r="AI32" t="n">
        <v>14.26333333333333</v>
      </c>
      <c r="AJ32" t="n">
        <v>14.24666666666667</v>
      </c>
      <c r="AK32" t="n">
        <v>0.0020232110621524</v>
      </c>
      <c r="AL32" t="n">
        <v>0.0033114324119162</v>
      </c>
      <c r="AM32" t="n">
        <v>5.904433333333333</v>
      </c>
      <c r="AN32" t="n">
        <v>147.5123236053544</v>
      </c>
      <c r="AO32" t="n">
        <v>0.0809717064914796</v>
      </c>
      <c r="AP32" t="n">
        <v>0.0456192693995389</v>
      </c>
      <c r="AQ32" t="n">
        <v>0.0482220157721092</v>
      </c>
      <c r="AR32" t="n">
        <v>0.0599581984991279</v>
      </c>
      <c r="AS32" t="n">
        <v>0.0621993475353597</v>
      </c>
      <c r="AU32">
        <f>(AQ32&lt;AU$1)*1</f>
        <v/>
      </c>
    </row>
    <row r="33">
      <c r="A33" t="inlineStr">
        <is>
          <t>Kalman_RW</t>
        </is>
      </c>
      <c r="B33" t="inlineStr">
        <is>
          <t>42/5_Kalman</t>
        </is>
      </c>
      <c r="C33" t="inlineStr">
        <is>
          <t>c</t>
        </is>
      </c>
      <c r="D33" t="n">
        <v>0.1333333333333333</v>
      </c>
      <c r="E33" t="n">
        <v>2.066666666666667</v>
      </c>
      <c r="F33" t="n">
        <v>-0.0401867381379856</v>
      </c>
      <c r="G33" t="n">
        <v>130.093595673509</v>
      </c>
      <c r="H33" t="n">
        <v>2.643750000141775</v>
      </c>
      <c r="I33" t="n">
        <v>2.14861111127614</v>
      </c>
      <c r="J33" t="n">
        <v>2.382111060396892</v>
      </c>
      <c r="K33" t="n">
        <v>2.423611111253092</v>
      </c>
      <c r="L33" t="n">
        <v>1.773611111276485</v>
      </c>
      <c r="M33" t="n">
        <v>2.863888889030458</v>
      </c>
      <c r="N33" t="n">
        <v>2.459722222386972</v>
      </c>
      <c r="O33" t="n">
        <v>2.865049387509896</v>
      </c>
      <c r="P33" t="n">
        <v>0.0539387215698528</v>
      </c>
      <c r="Q33" t="n">
        <v>-0.0236135670098268</v>
      </c>
      <c r="R33" t="n">
        <v>-0.0279893627358802</v>
      </c>
      <c r="S33" t="n">
        <v>-0.040186737983455</v>
      </c>
      <c r="T33" t="n">
        <v>107.8818673649126</v>
      </c>
      <c r="U33" t="n">
        <v>2.681250000141362</v>
      </c>
      <c r="V33" t="n">
        <v>2.098611111276436</v>
      </c>
      <c r="W33" t="n">
        <v>2.430056980214856</v>
      </c>
      <c r="X33" t="n">
        <v>2.461111111252679</v>
      </c>
      <c r="Y33" t="n">
        <v>1.723611111276781</v>
      </c>
      <c r="Z33" t="n">
        <v>2.901388889030045</v>
      </c>
      <c r="AA33" t="n">
        <v>2.361111111276197</v>
      </c>
      <c r="AB33" t="n">
        <v>2.436680911833416</v>
      </c>
      <c r="AC33" t="n">
        <v>-0.0279893622888453</v>
      </c>
      <c r="AD33" t="n">
        <v>3.879829860926365</v>
      </c>
      <c r="AE33" t="n">
        <v>5.121025755097895</v>
      </c>
      <c r="AF33" t="n">
        <v>4.275750903201836</v>
      </c>
      <c r="AG33" t="n">
        <v>5.235635997641639</v>
      </c>
      <c r="AH33" t="n">
        <v>1.503059113660796</v>
      </c>
      <c r="AI33" t="n">
        <v>15.56</v>
      </c>
      <c r="AJ33" t="n">
        <v>15.59333333333333</v>
      </c>
      <c r="AK33" t="n">
        <v>0.6236176693886842</v>
      </c>
      <c r="AL33" t="n">
        <v>0.7207722794716186</v>
      </c>
      <c r="AM33" t="n">
        <v>6.8002</v>
      </c>
      <c r="AN33" t="n">
        <v>345.7035961419832</v>
      </c>
      <c r="AO33" t="n">
        <v>0.0538114524514141</v>
      </c>
      <c r="AP33" t="n">
        <v>0.0567331107034746</v>
      </c>
      <c r="AQ33" t="n">
        <v>0.0541570239596193</v>
      </c>
      <c r="AR33" t="n">
        <v>0.0678440516952587</v>
      </c>
      <c r="AS33" t="n">
        <v>0.06608350121483141</v>
      </c>
      <c r="AU33">
        <f>(AQ33&lt;AU$1)*1</f>
        <v/>
      </c>
    </row>
    <row r="34">
      <c r="A34" t="inlineStr">
        <is>
          <t>Kalman_RW_ocn</t>
        </is>
      </c>
      <c r="B34" t="inlineStr">
        <is>
          <t>42/5_Kalman</t>
        </is>
      </c>
      <c r="C34" t="inlineStr">
        <is>
          <t>c</t>
        </is>
      </c>
      <c r="D34" t="n">
        <v>23.73333333333333</v>
      </c>
      <c r="E34" t="n">
        <v>109.85</v>
      </c>
      <c r="F34" t="n">
        <v>0.0234939983729945</v>
      </c>
      <c r="G34" t="n">
        <v>117.4257764719172</v>
      </c>
      <c r="H34" t="n">
        <v>0.3030092594031948</v>
      </c>
      <c r="I34" t="n">
        <v>-2.380555555386381</v>
      </c>
      <c r="J34" t="n">
        <v>-1.390849486000427</v>
      </c>
      <c r="K34" t="n">
        <v>0.2416666668106586</v>
      </c>
      <c r="L34" t="n">
        <v>-2.445833333164099</v>
      </c>
      <c r="M34" t="n">
        <v>0.3236111112550247</v>
      </c>
      <c r="N34" t="n">
        <v>-2.445833333164099</v>
      </c>
      <c r="O34" t="n">
        <v>3.282733116054883</v>
      </c>
      <c r="P34" t="n">
        <v>0.0510892059843416</v>
      </c>
      <c r="Q34" t="n">
        <v>0.0363465411680778</v>
      </c>
      <c r="R34" t="n">
        <v>0.0655925386886881</v>
      </c>
      <c r="S34" t="n">
        <v>0.0234939985275251</v>
      </c>
      <c r="T34" t="n">
        <v>91.77710349888967</v>
      </c>
      <c r="U34" t="n">
        <v>0.3405092594027817</v>
      </c>
      <c r="V34" t="n">
        <v>-2.430555555386085</v>
      </c>
      <c r="W34" t="n">
        <v>-1.367307692148309</v>
      </c>
      <c r="X34" t="n">
        <v>0.2791666668102455</v>
      </c>
      <c r="Y34" t="n">
        <v>-2.495833333163803</v>
      </c>
      <c r="Z34" t="n">
        <v>0.3611111112546117</v>
      </c>
      <c r="AA34" t="n">
        <v>-2.416666666497213</v>
      </c>
      <c r="AB34" t="n">
        <v>1.775462962856206</v>
      </c>
      <c r="AC34" t="n">
        <v>0.06559253913572299</v>
      </c>
      <c r="AD34" t="n">
        <v>5.427311990861505</v>
      </c>
      <c r="AE34" t="n">
        <v>3.988911915640888</v>
      </c>
      <c r="AF34" t="n">
        <v>6.502688579515507</v>
      </c>
      <c r="AG34" t="n">
        <v>4.590273334816311</v>
      </c>
      <c r="AH34" t="n">
        <v>0.8485535773830779</v>
      </c>
      <c r="AI34" t="n">
        <v>14.92833333333334</v>
      </c>
      <c r="AJ34" t="n">
        <v>14.91166666666667</v>
      </c>
      <c r="AK34" t="n">
        <v>0.0122455163298945</v>
      </c>
      <c r="AL34" t="n">
        <v>0.037913935789797</v>
      </c>
      <c r="AM34" t="n">
        <v>8.293900000000001</v>
      </c>
      <c r="AN34" t="n">
        <v>195.167322798108</v>
      </c>
      <c r="AO34" t="n">
        <v>0.0784336091492258</v>
      </c>
      <c r="AP34" t="n">
        <v>0.0621612903917459</v>
      </c>
      <c r="AQ34" t="n">
        <v>0.0669967872072684</v>
      </c>
      <c r="AR34" t="n">
        <v>0.0727519755625055</v>
      </c>
      <c r="AS34" t="n">
        <v>0.07706767365786669</v>
      </c>
      <c r="AU34">
        <f>(AQ34&lt;AU$1)*1</f>
        <v/>
      </c>
    </row>
    <row r="35">
      <c r="A35" t="inlineStr">
        <is>
          <t>removeGreensfx</t>
        </is>
      </c>
      <c r="B35" t="inlineStr">
        <is>
          <t>42/6_Remove_IV</t>
        </is>
      </c>
      <c r="C35" t="inlineStr">
        <is>
          <t>c</t>
        </is>
      </c>
      <c r="D35" t="n">
        <v>0.85</v>
      </c>
      <c r="E35" t="n">
        <v>12.4</v>
      </c>
      <c r="F35" t="n">
        <v>-0.0287931984442251</v>
      </c>
      <c r="G35" t="n">
        <v>115.286822585719</v>
      </c>
      <c r="H35" t="n">
        <v>2.133912037179264</v>
      </c>
      <c r="I35" t="n">
        <v>2.052546296461402</v>
      </c>
      <c r="J35" t="n">
        <v>1.893022592923568</v>
      </c>
      <c r="K35" t="n">
        <v>1.198611111254191</v>
      </c>
      <c r="L35" t="n">
        <v>0.2388888890556396</v>
      </c>
      <c r="M35" t="n">
        <v>3.118055555696882</v>
      </c>
      <c r="N35" t="n">
        <v>3.84861111127459</v>
      </c>
      <c r="O35" t="n">
        <v>2.541709877425737</v>
      </c>
      <c r="P35" t="n">
        <v>0.0599999999999999</v>
      </c>
      <c r="Q35" t="n">
        <v>-0.0239571420487128</v>
      </c>
      <c r="R35" t="n">
        <v>-0.0216900687416394</v>
      </c>
      <c r="S35" t="n">
        <v>-0.0287931982896945</v>
      </c>
      <c r="T35" t="n">
        <v>96.8961084727941</v>
      </c>
      <c r="U35" t="n">
        <v>2.171412037178851</v>
      </c>
      <c r="V35" t="n">
        <v>2.002546296461697</v>
      </c>
      <c r="W35" t="n">
        <v>1.933862179645598</v>
      </c>
      <c r="X35" t="n">
        <v>1.236111111253778</v>
      </c>
      <c r="Y35" t="n">
        <v>0.1888888890559353</v>
      </c>
      <c r="Z35" t="n">
        <v>2.983333333474404</v>
      </c>
      <c r="AA35" t="n">
        <v>3.952777777941416</v>
      </c>
      <c r="AB35" t="n">
        <v>1.985913461686168</v>
      </c>
      <c r="AC35" t="n">
        <v>-0.0216900682946045</v>
      </c>
      <c r="AD35" t="n">
        <v>3.822818677226837</v>
      </c>
      <c r="AE35" t="n">
        <v>4.301144490257207</v>
      </c>
      <c r="AF35" t="n">
        <v>4.281848993648087</v>
      </c>
      <c r="AG35" t="n">
        <v>4.63919268049202</v>
      </c>
      <c r="AH35" t="n">
        <v>1.227477604958038</v>
      </c>
      <c r="AI35" t="n">
        <v>25.055</v>
      </c>
      <c r="AJ35" t="n">
        <v>25.005</v>
      </c>
      <c r="AK35" t="n">
        <v>0.2591513419277599</v>
      </c>
      <c r="AL35" t="n">
        <v>0.419711039063474</v>
      </c>
      <c r="AM35" t="n">
        <v>19.28776666666666</v>
      </c>
      <c r="AN35" t="n">
        <v>135.0225365453842</v>
      </c>
      <c r="AO35" t="n">
        <v>0.0692990690117893</v>
      </c>
      <c r="AP35" t="n">
        <v>0.0664624248334432</v>
      </c>
      <c r="AQ35" t="n">
        <v>0.0644677455151053</v>
      </c>
      <c r="AR35" t="n">
        <v>0.0767366343005417</v>
      </c>
      <c r="AS35" t="n">
        <v>0.0752058164981982</v>
      </c>
      <c r="AU35">
        <f>(AQ35&lt;AU$1)*1</f>
        <v/>
      </c>
    </row>
    <row r="36">
      <c r="A36" t="inlineStr">
        <is>
          <t>removeMEI_cons</t>
        </is>
      </c>
      <c r="B36" t="inlineStr">
        <is>
          <t>42/6_Remove_IV</t>
        </is>
      </c>
      <c r="C36" t="inlineStr">
        <is>
          <t>c</t>
        </is>
      </c>
      <c r="D36" t="n">
        <v>36.23333333333333</v>
      </c>
      <c r="E36" t="n">
        <v>65.86666666666666</v>
      </c>
      <c r="F36" t="n">
        <v>0.0028321789058311</v>
      </c>
      <c r="G36" t="n">
        <v>-138.4283327434441</v>
      </c>
      <c r="H36" t="n">
        <v>-0.9671759257808658</v>
      </c>
      <c r="I36" t="n">
        <v>0.8933763229175056</v>
      </c>
      <c r="J36" t="n">
        <v>0.0279065493572222</v>
      </c>
      <c r="K36" t="n">
        <v>-5.124999999851142</v>
      </c>
      <c r="L36" t="n">
        <v>-4.744444444273146</v>
      </c>
      <c r="M36" t="n">
        <v>-3.068055555408565</v>
      </c>
      <c r="N36" t="n">
        <v>3.212500000164058</v>
      </c>
      <c r="O36" t="n">
        <v>2.909940262945872</v>
      </c>
      <c r="P36" t="n">
        <v>0.055532779157955</v>
      </c>
      <c r="Q36" t="n">
        <v>0.0031030923210553</v>
      </c>
      <c r="R36" t="n">
        <v>-0.0254931871008515</v>
      </c>
      <c r="S36" t="n">
        <v>0.0028321790603616</v>
      </c>
      <c r="T36" t="n">
        <v>-195.4237240082807</v>
      </c>
      <c r="U36" t="n">
        <v>-0.9296759257812788</v>
      </c>
      <c r="V36" t="n">
        <v>0.8433763229178012</v>
      </c>
      <c r="W36" t="n">
        <v>0.0585473054784795</v>
      </c>
      <c r="X36" t="n">
        <v>-5.087499999851556</v>
      </c>
      <c r="Y36" t="n">
        <v>-4.794444444272851</v>
      </c>
      <c r="Z36" t="n">
        <v>-2.141666666520905</v>
      </c>
      <c r="AA36" t="n">
        <v>2.065277777943129</v>
      </c>
      <c r="AB36" t="n">
        <v>1.604104047951729</v>
      </c>
      <c r="AC36" t="n">
        <v>-0.0254931866538166</v>
      </c>
      <c r="AD36" t="n">
        <v>4.046660352472375</v>
      </c>
      <c r="AE36" t="n">
        <v>2.888860036384202</v>
      </c>
      <c r="AF36" t="n">
        <v>3.865768215873024</v>
      </c>
      <c r="AG36" t="n">
        <v>3.579639426198824</v>
      </c>
      <c r="AH36" t="n">
        <v>-1.847814720213041</v>
      </c>
      <c r="AI36" t="n">
        <v>47.525</v>
      </c>
      <c r="AJ36" t="n">
        <v>47.55833333333333</v>
      </c>
      <c r="AK36" s="1" t="n">
        <v>1.837831537932611e-08</v>
      </c>
      <c r="AL36" s="1" t="n">
        <v>7.370119632022024e-06</v>
      </c>
      <c r="AM36" t="n">
        <v>45.23728333333334</v>
      </c>
      <c r="AN36" t="n">
        <v>-203.2596192234345</v>
      </c>
      <c r="AO36" t="n">
        <v>0.100755002571299</v>
      </c>
      <c r="AP36" t="n">
        <v>0.09735825891914229</v>
      </c>
      <c r="AQ36" t="n">
        <v>0.09361300783258721</v>
      </c>
      <c r="AR36" t="n">
        <v>0.1045560929053721</v>
      </c>
      <c r="AS36" t="n">
        <v>0.1014816760192466</v>
      </c>
      <c r="AU36">
        <f>(AQ36&lt;AU$1)*1</f>
        <v/>
      </c>
    </row>
    <row r="37">
      <c r="A37" t="inlineStr">
        <is>
          <t>removeMEI_volc_cons</t>
        </is>
      </c>
      <c r="B37" t="inlineStr">
        <is>
          <t>42/6_Remove_IV</t>
        </is>
      </c>
      <c r="C37" t="inlineStr">
        <is>
          <t>c</t>
        </is>
      </c>
      <c r="D37" t="n">
        <v>33.48333333333333</v>
      </c>
      <c r="E37" t="n">
        <v>73.68333333333334</v>
      </c>
      <c r="F37" t="n">
        <v>-0.0329206754219843</v>
      </c>
      <c r="G37" t="n">
        <v>19.67866683231016</v>
      </c>
      <c r="H37" t="n">
        <v>2.631712963104768</v>
      </c>
      <c r="I37" t="n">
        <v>6.703680555716448</v>
      </c>
      <c r="J37" t="n">
        <v>2.9659985320516</v>
      </c>
      <c r="K37" t="n">
        <v>-1.341666666521235</v>
      </c>
      <c r="L37" t="n">
        <v>2.57083333349799</v>
      </c>
      <c r="M37" t="n">
        <v>5.127777777917303</v>
      </c>
      <c r="N37" t="n">
        <v>10.75138888904609</v>
      </c>
      <c r="O37" t="n">
        <v>4.527873337666957</v>
      </c>
      <c r="P37" t="n">
        <v>0.0604623963589263</v>
      </c>
      <c r="Q37" t="n">
        <v>-0.0009861622827178999</v>
      </c>
      <c r="R37" t="n">
        <v>-0.0552861633005142</v>
      </c>
      <c r="S37" t="n">
        <v>-0.0329206752674538</v>
      </c>
      <c r="T37" t="n">
        <v>5.816009831514349</v>
      </c>
      <c r="U37" t="n">
        <v>2.669212963104356</v>
      </c>
      <c r="V37" t="n">
        <v>6.653680555716743</v>
      </c>
      <c r="W37" t="n">
        <v>3.005710470242638</v>
      </c>
      <c r="X37" t="n">
        <v>-1.304166666521648</v>
      </c>
      <c r="Y37" t="n">
        <v>2.520833333498285</v>
      </c>
      <c r="Z37" t="n">
        <v>5.258333333472357</v>
      </c>
      <c r="AA37" t="n">
        <v>10.27777777793566</v>
      </c>
      <c r="AB37" t="n">
        <v>3.005710470242638</v>
      </c>
      <c r="AC37" t="n">
        <v>-0.0552861628534794</v>
      </c>
      <c r="AD37" t="n">
        <v>3.161566529799125</v>
      </c>
      <c r="AE37" t="n">
        <v>2.259440595158773</v>
      </c>
      <c r="AF37" t="n">
        <v>3.247322535905596</v>
      </c>
      <c r="AG37" t="n">
        <v>2.204705823960813</v>
      </c>
      <c r="AH37" t="n">
        <v>-0.1939398552948868</v>
      </c>
      <c r="AI37" t="n">
        <v>39.08833333333334</v>
      </c>
      <c r="AJ37" t="n">
        <v>39.105</v>
      </c>
      <c r="AK37" t="n">
        <v>0.0006966129462803</v>
      </c>
      <c r="AL37" t="n">
        <v>0.0046919171497609</v>
      </c>
      <c r="AM37" t="n">
        <v>36.9774</v>
      </c>
      <c r="AN37" t="n">
        <v>-23.07884278009153</v>
      </c>
      <c r="AO37" t="n">
        <v>0.1248643654389316</v>
      </c>
      <c r="AP37" t="n">
        <v>0.11110537227924</v>
      </c>
      <c r="AQ37" t="n">
        <v>0.1146333910981188</v>
      </c>
      <c r="AR37" t="n">
        <v>0.1157996722557667</v>
      </c>
      <c r="AS37" t="n">
        <v>0.1187445896731929</v>
      </c>
      <c r="AU37">
        <f>(AQ37&lt;AU$1)*1</f>
        <v/>
      </c>
    </row>
    <row r="38">
      <c r="A38" t="inlineStr">
        <is>
          <t>removeMEI_volc_refit</t>
        </is>
      </c>
      <c r="B38" t="inlineStr">
        <is>
          <t>42/6_Remove_IV</t>
        </is>
      </c>
      <c r="C38" t="inlineStr">
        <is>
          <t>c</t>
        </is>
      </c>
      <c r="D38" t="n">
        <v>0.1666666666666666</v>
      </c>
      <c r="E38" t="n">
        <v>0.5166666666666667</v>
      </c>
      <c r="F38" t="n">
        <v>-0.008665173037934199</v>
      </c>
      <c r="G38" t="n">
        <v>79.54579746427937</v>
      </c>
      <c r="H38" t="n">
        <v>0.4539814816252802</v>
      </c>
      <c r="I38" t="n">
        <v>1.318250661541445</v>
      </c>
      <c r="J38" t="n">
        <v>0.8925912572846592</v>
      </c>
      <c r="K38" t="n">
        <v>-2.911111110964267</v>
      </c>
      <c r="L38" t="n">
        <v>-3.323611110941094</v>
      </c>
      <c r="M38" t="n">
        <v>0.4458333334771282</v>
      </c>
      <c r="N38" t="n">
        <v>3.311111111275076</v>
      </c>
      <c r="O38" t="n">
        <v>2.694984185405147</v>
      </c>
      <c r="P38" t="n">
        <v>0.119108302584338</v>
      </c>
      <c r="Q38" t="n">
        <v>-0.0139397523974195</v>
      </c>
      <c r="R38" t="n">
        <v>-0.0084596476896741</v>
      </c>
      <c r="S38" t="n">
        <v>-0.008665172883403601</v>
      </c>
      <c r="T38" t="n">
        <v>75.30872220490436</v>
      </c>
      <c r="U38" t="n">
        <v>0.4914814816248672</v>
      </c>
      <c r="V38" t="n">
        <v>1.268250661541741</v>
      </c>
      <c r="W38" t="n">
        <v>0.935533043504718</v>
      </c>
      <c r="X38" t="n">
        <v>-2.87361111096468</v>
      </c>
      <c r="Y38" t="n">
        <v>-3.373611110940798</v>
      </c>
      <c r="Z38" t="n">
        <v>0.6791666668098741</v>
      </c>
      <c r="AA38" t="n">
        <v>3.093055555719957</v>
      </c>
      <c r="AB38" t="n">
        <v>1.735508368992554</v>
      </c>
      <c r="AC38" t="n">
        <v>-0.008459647242639199</v>
      </c>
      <c r="AD38" t="n">
        <v>2.509838049762477</v>
      </c>
      <c r="AE38" t="n">
        <v>2.58944736420485</v>
      </c>
      <c r="AF38" t="n">
        <v>2.689750818535283</v>
      </c>
      <c r="AG38" t="n">
        <v>2.579719691001</v>
      </c>
      <c r="AH38" t="n">
        <v>0.8355624520920644</v>
      </c>
      <c r="AI38" t="n">
        <v>37.775</v>
      </c>
      <c r="AJ38" t="n">
        <v>37.79166666666666</v>
      </c>
      <c r="AK38" t="n">
        <v>0.755400457280674</v>
      </c>
      <c r="AL38" t="n">
        <v>0.9384175827324164</v>
      </c>
      <c r="AM38" t="n">
        <v>34.88215</v>
      </c>
      <c r="AN38" t="n">
        <v>85.22737011339058</v>
      </c>
      <c r="AO38" t="n">
        <v>0.1030318216035856</v>
      </c>
      <c r="AP38" t="n">
        <v>0.0955238122446684</v>
      </c>
      <c r="AQ38" t="n">
        <v>0.0926072011725962</v>
      </c>
      <c r="AR38" t="n">
        <v>0.1021212091115361</v>
      </c>
      <c r="AS38" t="n">
        <v>0.0997862329414846</v>
      </c>
      <c r="AU38">
        <f>(AQ38&lt;AU$1)*1</f>
        <v/>
      </c>
    </row>
    <row r="39">
      <c r="A39" t="inlineStr">
        <is>
          <t>cons_hArrh_CO2forc</t>
        </is>
      </c>
      <c r="B39" t="inlineStr">
        <is>
          <t>43/0_Linear</t>
        </is>
      </c>
      <c r="C39" t="inlineStr">
        <is>
          <t>c</t>
        </is>
      </c>
      <c r="D39" t="n">
        <v>74.71666666666667</v>
      </c>
      <c r="E39" t="n">
        <v>137.5666666666667</v>
      </c>
      <c r="F39" t="n">
        <v>0.0368268928423632</v>
      </c>
      <c r="G39" t="n">
        <v>-9.120764756982227</v>
      </c>
      <c r="H39" t="n">
        <v>-5.043055555406784</v>
      </c>
      <c r="I39" t="n">
        <v>2.772222222386676</v>
      </c>
      <c r="J39" t="n">
        <v>0.7676243896259026</v>
      </c>
      <c r="K39" t="n">
        <v>-5.043055555406784</v>
      </c>
      <c r="L39" t="n">
        <v>2.772222222386676</v>
      </c>
      <c r="M39" t="n">
        <v>-5.043055555406784</v>
      </c>
      <c r="N39" t="n">
        <v>2.772222222386676</v>
      </c>
      <c r="O39" t="n">
        <v>12.74166861610588</v>
      </c>
      <c r="P39" t="n">
        <v>0.2050066267760517</v>
      </c>
      <c r="Q39" t="n">
        <v>0.1072042264197927</v>
      </c>
      <c r="R39" t="n">
        <v>-0.0963587342439113</v>
      </c>
      <c r="S39" t="n">
        <v>0.0368268929968938</v>
      </c>
      <c r="T39" t="n">
        <v>-9.092418502547188</v>
      </c>
      <c r="U39" t="n">
        <v>-5.005555555407197</v>
      </c>
      <c r="V39" t="n">
        <v>2.722222222386972</v>
      </c>
      <c r="W39" t="n">
        <v>0.7298076924345231</v>
      </c>
      <c r="X39" t="n">
        <v>-5.005555555407197</v>
      </c>
      <c r="Y39" t="n">
        <v>2.722222222386972</v>
      </c>
      <c r="Z39" t="n">
        <v>-5.005555555407197</v>
      </c>
      <c r="AA39" t="n">
        <v>2.722222222386972</v>
      </c>
      <c r="AB39" t="n">
        <v>1.959722222222251</v>
      </c>
      <c r="AC39" t="n">
        <v>-0.0963587337968764</v>
      </c>
      <c r="AD39" t="n">
        <v>1.052837157280213</v>
      </c>
      <c r="AE39" t="n">
        <v>0.8380478555679062</v>
      </c>
      <c r="AF39" t="n">
        <v>1.053828784417948</v>
      </c>
      <c r="AG39" t="n">
        <v>0.8375847185769254</v>
      </c>
      <c r="AH39" t="n">
        <v>-10.47973837450232</v>
      </c>
      <c r="AI39" t="n">
        <v>10.8</v>
      </c>
      <c r="AJ39" t="n">
        <v>10.81666666666667</v>
      </c>
      <c r="AK39" t="n">
        <v>0</v>
      </c>
      <c r="AL39" s="1" t="n">
        <v>5.080537998736794e-36</v>
      </c>
      <c r="AM39" t="n">
        <v>1.716266666666667</v>
      </c>
      <c r="AN39" t="n">
        <v>-2347.461395888518</v>
      </c>
      <c r="AO39" t="n">
        <v>0.1754747777450595</v>
      </c>
      <c r="AP39" t="n">
        <v>0.1507277017515653</v>
      </c>
      <c r="AQ39" t="n">
        <v>0.109354751163703</v>
      </c>
      <c r="AR39" t="n">
        <v>0.1505151397106689</v>
      </c>
      <c r="AS39" t="n">
        <v>0.1091135095166058</v>
      </c>
      <c r="AU39">
        <f>(AQ39&lt;AU$1)*1</f>
        <v/>
      </c>
    </row>
    <row r="40">
      <c r="A40" t="inlineStr">
        <is>
          <t>OLS_refit_CO2forc</t>
        </is>
      </c>
      <c r="B40" t="inlineStr">
        <is>
          <t>43/0_Linear</t>
        </is>
      </c>
      <c r="C40" t="inlineStr">
        <is>
          <t>c</t>
        </is>
      </c>
      <c r="D40" t="n">
        <v>186.3</v>
      </c>
      <c r="E40" t="n">
        <v>208.1</v>
      </c>
      <c r="F40" t="n">
        <v>-0.1887871646202467</v>
      </c>
      <c r="G40" t="n">
        <v>-2452.746767640382</v>
      </c>
      <c r="H40" t="n">
        <v>9.694444444579847</v>
      </c>
      <c r="I40" t="n">
        <v>13.04583333348844</v>
      </c>
      <c r="J40" t="n">
        <v>13.11720848607529</v>
      </c>
      <c r="K40" t="n">
        <v>9.694444444579847</v>
      </c>
      <c r="L40" t="n">
        <v>13.04583333348844</v>
      </c>
      <c r="M40" t="n">
        <v>9.694444444579847</v>
      </c>
      <c r="N40" t="n">
        <v>13.04583333348844</v>
      </c>
      <c r="O40" t="n">
        <v>14.3888989253107</v>
      </c>
      <c r="P40" t="n">
        <v>0.0225884128919938</v>
      </c>
      <c r="Q40" t="n">
        <v>-0.0746172159796241</v>
      </c>
      <c r="R40" t="n">
        <v>-0.1976567677092528</v>
      </c>
      <c r="S40" t="n">
        <v>-0.1887871644657162</v>
      </c>
      <c r="T40" t="n">
        <v>-2510.625529783444</v>
      </c>
      <c r="U40" t="n">
        <v>9.731944444579431</v>
      </c>
      <c r="V40" t="n">
        <v>12.99583333348874</v>
      </c>
      <c r="W40" t="n">
        <v>13.11420940182519</v>
      </c>
      <c r="X40" t="n">
        <v>9.731944444579431</v>
      </c>
      <c r="Y40" t="n">
        <v>12.99583333348874</v>
      </c>
      <c r="Z40" t="n">
        <v>9.731944444579431</v>
      </c>
      <c r="AA40" t="n">
        <v>12.99583333348874</v>
      </c>
      <c r="AB40" t="n">
        <v>13.11420940182519</v>
      </c>
      <c r="AC40" t="n">
        <v>-0.1976567672622179</v>
      </c>
      <c r="AD40" s="1" t="n">
        <v>1.112470523073782e-06</v>
      </c>
      <c r="AE40" s="1" t="n">
        <v>7.129892298851849e-05</v>
      </c>
      <c r="AF40" s="1" t="n">
        <v>1.040318997809433e-09</v>
      </c>
      <c r="AG40" s="1" t="n">
        <v>2.25768670145415e-06</v>
      </c>
      <c r="AH40" t="n">
        <v>-20.47002691416093</v>
      </c>
      <c r="AI40" t="n">
        <v>10.88333333333333</v>
      </c>
      <c r="AJ40" t="n">
        <v>10.83333333333333</v>
      </c>
      <c r="AK40" t="n">
        <v>0</v>
      </c>
      <c r="AL40" s="1" t="n">
        <v>4.82652497821117e-36</v>
      </c>
      <c r="AM40" t="n">
        <v>2.1479</v>
      </c>
      <c r="AN40" t="n">
        <v>-4585.286028772049</v>
      </c>
      <c r="AO40" t="n">
        <v>0.1356815311087801</v>
      </c>
      <c r="AP40" t="n">
        <v>0.1924189670031728</v>
      </c>
      <c r="AQ40" t="n">
        <v>0.2031922644237953</v>
      </c>
      <c r="AR40" t="n">
        <v>0.1924235245302657</v>
      </c>
      <c r="AS40" t="n">
        <v>0.2032618224620324</v>
      </c>
      <c r="AU40">
        <f>(AQ40&lt;AU$1)*1</f>
        <v/>
      </c>
    </row>
    <row r="41">
      <c r="A41" t="inlineStr">
        <is>
          <t>FaIR_all</t>
        </is>
      </c>
      <c r="B41" t="inlineStr">
        <is>
          <t>43/1_ERF_FaIR</t>
        </is>
      </c>
      <c r="C41" t="inlineStr">
        <is>
          <t>c</t>
        </is>
      </c>
      <c r="D41" t="n">
        <v>159.1333333333333</v>
      </c>
      <c r="E41" t="n">
        <v>159.7166666666667</v>
      </c>
      <c r="F41" t="n">
        <v>-0.175554221982764</v>
      </c>
      <c r="G41" t="n">
        <v>-1105634.259451282</v>
      </c>
      <c r="H41" t="n">
        <v>7.918055555692539</v>
      </c>
      <c r="I41" t="n">
        <v>14.69722222237584</v>
      </c>
      <c r="J41" t="n">
        <v>11.87428838534302</v>
      </c>
      <c r="K41" t="n">
        <v>7.918055555692539</v>
      </c>
      <c r="L41" t="n">
        <v>14.44861111126494</v>
      </c>
      <c r="M41" t="n">
        <v>7.918055555692539</v>
      </c>
      <c r="N41" t="n">
        <v>14.94583333348674</v>
      </c>
      <c r="O41" t="n">
        <v>13.70404810848758</v>
      </c>
      <c r="P41" t="n">
        <v>0.0055857189690179</v>
      </c>
      <c r="Q41" t="n">
        <v>-0.1751338334375679</v>
      </c>
      <c r="R41" t="n">
        <v>-0.1990483924510558</v>
      </c>
      <c r="S41" t="n">
        <v>-0.1755542218282334</v>
      </c>
      <c r="T41" t="n">
        <v>-1080573.297086243</v>
      </c>
      <c r="U41" t="n">
        <v>7.955555555692126</v>
      </c>
      <c r="V41" t="n">
        <v>14.64722222237613</v>
      </c>
      <c r="W41" t="n">
        <v>11.92804487191211</v>
      </c>
      <c r="X41" t="n">
        <v>7.955555555692126</v>
      </c>
      <c r="Y41" t="n">
        <v>14.39861111126523</v>
      </c>
      <c r="Z41" t="n">
        <v>7.955555555692126</v>
      </c>
      <c r="AA41" t="n">
        <v>14.89583333348703</v>
      </c>
      <c r="AB41" t="n">
        <v>11.92804487191211</v>
      </c>
      <c r="AC41" t="n">
        <v>-0.199048392004021</v>
      </c>
      <c r="AD41" t="n">
        <v>0</v>
      </c>
      <c r="AE41" t="n">
        <v>0</v>
      </c>
      <c r="AF41" t="n">
        <v>0</v>
      </c>
      <c r="AG41" t="n">
        <v>0</v>
      </c>
      <c r="AH41" t="n">
        <v>-13847.50203266885</v>
      </c>
      <c r="AI41" t="n">
        <v>11.2</v>
      </c>
      <c r="AJ41" t="n">
        <v>11.35</v>
      </c>
      <c r="AK41" s="1" t="n">
        <v>9.178635904799604e-80</v>
      </c>
      <c r="AL41" s="1" t="n">
        <v>1.756636572153073e-66</v>
      </c>
      <c r="AM41" t="n">
        <v>3.780383333333333</v>
      </c>
      <c r="AN41" t="n">
        <v>-2215600.325227017</v>
      </c>
      <c r="AO41" t="n">
        <v>0.192206600244956</v>
      </c>
      <c r="AP41" t="n">
        <v>0.1824343220450849</v>
      </c>
      <c r="AQ41" t="n">
        <v>0.1873653713065095</v>
      </c>
      <c r="AR41" t="n">
        <v>0.1808043383050415</v>
      </c>
      <c r="AS41" t="n">
        <v>0.1859233772185722</v>
      </c>
      <c r="AU41">
        <f>(AQ41&lt;AU$1)*1</f>
        <v/>
      </c>
    </row>
    <row r="42">
      <c r="A42" t="inlineStr">
        <is>
          <t>FaIR_all_unB</t>
        </is>
      </c>
      <c r="B42" t="inlineStr">
        <is>
          <t>43/1_ERF_FaIR</t>
        </is>
      </c>
      <c r="C42" t="inlineStr">
        <is>
          <t>c</t>
        </is>
      </c>
      <c r="D42" t="n">
        <v>0</v>
      </c>
      <c r="E42" t="n">
        <v>0</v>
      </c>
      <c r="F42" t="n">
        <v>0.0088537780172359</v>
      </c>
      <c r="G42" t="n">
        <v>111.7855656273316</v>
      </c>
      <c r="H42" t="n">
        <v>-1.605555555409884</v>
      </c>
      <c r="I42" t="n">
        <v>-0.799999999832312</v>
      </c>
      <c r="J42" t="n">
        <v>-0.2699341166471845</v>
      </c>
      <c r="K42" t="n">
        <v>-1.605555555409884</v>
      </c>
      <c r="L42" t="n">
        <v>-0.799999999832312</v>
      </c>
      <c r="M42" t="n">
        <v>-1.605555555409884</v>
      </c>
      <c r="N42" t="n">
        <v>-0.799999999832312</v>
      </c>
      <c r="O42" t="n">
        <v>3.687377636244427</v>
      </c>
      <c r="P42" t="n">
        <v>0.09263073606742581</v>
      </c>
      <c r="Q42" t="n">
        <v>-0.0034882165945238</v>
      </c>
      <c r="R42" t="n">
        <v>-0.0146403924510559</v>
      </c>
      <c r="S42" t="n">
        <v>0.0088537781717665</v>
      </c>
      <c r="T42" t="n">
        <v>114.7912893754808</v>
      </c>
      <c r="U42" t="n">
        <v>-1.568055555410297</v>
      </c>
      <c r="V42" t="n">
        <v>-0.8499999998320164</v>
      </c>
      <c r="W42" t="n">
        <v>-0.3584757833151946</v>
      </c>
      <c r="X42" t="n">
        <v>-1.568055555410297</v>
      </c>
      <c r="Y42" t="n">
        <v>-0.8499999998320164</v>
      </c>
      <c r="Z42" t="n">
        <v>-1.568055555410297</v>
      </c>
      <c r="AA42" t="n">
        <v>-0.8499999998320164</v>
      </c>
      <c r="AB42" t="n">
        <v>1.089387464364709</v>
      </c>
      <c r="AC42" t="n">
        <v>-0.014640392004021</v>
      </c>
      <c r="AD42" t="n">
        <v>3.380178180648474</v>
      </c>
      <c r="AE42" t="n">
        <v>3.643741073020813</v>
      </c>
      <c r="AF42" t="n">
        <v>3.43912090161</v>
      </c>
      <c r="AG42" t="n">
        <v>3.518144783535595</v>
      </c>
      <c r="AH42" t="n">
        <v>1.143950612356605</v>
      </c>
      <c r="AI42" t="n">
        <v>13.51666666666667</v>
      </c>
      <c r="AJ42" t="n">
        <v>13.65</v>
      </c>
      <c r="AK42" t="n">
        <v>0.904354074361832</v>
      </c>
      <c r="AL42" t="n">
        <v>0.94673086664071</v>
      </c>
      <c r="AM42" t="n">
        <v>3.819083333333333</v>
      </c>
      <c r="AN42" t="n">
        <v>183.0320979770568</v>
      </c>
      <c r="AO42" t="n">
        <v>0.06881694903414851</v>
      </c>
      <c r="AP42" t="n">
        <v>0.0504121650919165</v>
      </c>
      <c r="AQ42" t="n">
        <v>0.0487541914385131</v>
      </c>
      <c r="AR42" t="n">
        <v>0.0441510287096707</v>
      </c>
      <c r="AS42" t="n">
        <v>0.0428799627302754</v>
      </c>
      <c r="AU42">
        <f>(AQ42&lt;AU$1)*1</f>
        <v/>
      </c>
    </row>
    <row r="43">
      <c r="A43" t="inlineStr">
        <is>
          <t>FaIR_anthro</t>
        </is>
      </c>
      <c r="B43" t="inlineStr">
        <is>
          <t>43/1_ERF_FaIR</t>
        </is>
      </c>
      <c r="C43" t="inlineStr">
        <is>
          <t>c</t>
        </is>
      </c>
      <c r="D43" t="n">
        <v>28</v>
      </c>
      <c r="E43" t="n">
        <v>111.9333333333333</v>
      </c>
      <c r="F43" t="n">
        <v>-0.09478429066060209</v>
      </c>
      <c r="G43" t="n">
        <v>70.19295618680236</v>
      </c>
      <c r="H43" t="n">
        <v>3.480555555696572</v>
      </c>
      <c r="I43" t="n">
        <v>8.161111111270664</v>
      </c>
      <c r="J43" t="n">
        <v>6.280486874386484</v>
      </c>
      <c r="K43" t="n">
        <v>3.480555555696572</v>
      </c>
      <c r="L43" t="n">
        <v>8.161111111270664</v>
      </c>
      <c r="M43" t="n">
        <v>3.480555555696572</v>
      </c>
      <c r="N43" t="n">
        <v>8.161111111270664</v>
      </c>
      <c r="O43" t="n">
        <v>8.034552946978467</v>
      </c>
      <c r="P43" t="n">
        <v>0.0967289097902488</v>
      </c>
      <c r="Q43" t="n">
        <v>-0.1528651268743308</v>
      </c>
      <c r="R43" t="n">
        <v>-0.1185684300516875</v>
      </c>
      <c r="S43" t="n">
        <v>-0.0947842905060715</v>
      </c>
      <c r="T43" t="n">
        <v>72.01253311913288</v>
      </c>
      <c r="U43" t="n">
        <v>3.518055555696158</v>
      </c>
      <c r="V43" t="n">
        <v>8.11111111127096</v>
      </c>
      <c r="W43" t="n">
        <v>6.291844729490653</v>
      </c>
      <c r="X43" t="n">
        <v>3.518055555696158</v>
      </c>
      <c r="Y43" t="n">
        <v>8.11111111127096</v>
      </c>
      <c r="Z43" t="n">
        <v>3.518055555696158</v>
      </c>
      <c r="AA43" t="n">
        <v>8.11111111127096</v>
      </c>
      <c r="AB43" t="n">
        <v>6.291844729490653</v>
      </c>
      <c r="AC43" t="n">
        <v>-0.1185684296046526</v>
      </c>
      <c r="AD43" t="n">
        <v>2.600535232309319</v>
      </c>
      <c r="AE43" t="n">
        <v>1.987315006853408</v>
      </c>
      <c r="AF43" t="n">
        <v>2.69585348862292</v>
      </c>
      <c r="AG43" t="n">
        <v>1.943286252385612</v>
      </c>
      <c r="AH43" t="n">
        <v>-1.228598394596253</v>
      </c>
      <c r="AI43" t="n">
        <v>12.6</v>
      </c>
      <c r="AJ43" t="n">
        <v>12.6</v>
      </c>
      <c r="AK43" t="n">
        <v>0.0817225928320118</v>
      </c>
      <c r="AL43" t="n">
        <v>0.0817225928320118</v>
      </c>
      <c r="AM43" t="n">
        <v>2.182016666666667</v>
      </c>
      <c r="AN43" t="n">
        <v>-196.5757431354004</v>
      </c>
      <c r="AO43" t="n">
        <v>0.1749013246748993</v>
      </c>
      <c r="AP43" t="n">
        <v>0.1070811294052175</v>
      </c>
      <c r="AQ43" t="n">
        <v>0.1094503204636701</v>
      </c>
      <c r="AR43" t="n">
        <v>0.1038510635743554</v>
      </c>
      <c r="AS43" t="n">
        <v>0.1066187330733701</v>
      </c>
      <c r="AU43">
        <f>(AQ43&lt;AU$1)*1</f>
        <v/>
      </c>
    </row>
    <row r="44">
      <c r="A44" t="inlineStr">
        <is>
          <t>FaIR_anthro_unB</t>
        </is>
      </c>
      <c r="B44" t="inlineStr">
        <is>
          <t>43/1_ERF_FaIR</t>
        </is>
      </c>
      <c r="C44" t="inlineStr">
        <is>
          <t>c</t>
        </is>
      </c>
      <c r="D44" t="n">
        <v>0.3833333333333333</v>
      </c>
      <c r="E44" t="n">
        <v>30.3</v>
      </c>
      <c r="F44" t="n">
        <v>0.008825709339397801</v>
      </c>
      <c r="G44" t="n">
        <v>107.0171994171299</v>
      </c>
      <c r="H44" t="n">
        <v>-2.040277777631714</v>
      </c>
      <c r="I44" t="n">
        <v>0.3576388890555563</v>
      </c>
      <c r="J44" t="n">
        <v>-0.6700345948709661</v>
      </c>
      <c r="K44" t="n">
        <v>-2.040277777631714</v>
      </c>
      <c r="L44" t="n">
        <v>0.3458333335000134</v>
      </c>
      <c r="M44" t="n">
        <v>-2.040277777631714</v>
      </c>
      <c r="N44" t="n">
        <v>0.3458333335000134</v>
      </c>
      <c r="O44" t="n">
        <v>2.878817453644768</v>
      </c>
      <c r="P44" t="n">
        <v>0.0967289097902488</v>
      </c>
      <c r="Q44" t="n">
        <v>-0.0492551268743308</v>
      </c>
      <c r="R44" t="n">
        <v>-0.0149584300516874</v>
      </c>
      <c r="S44" t="n">
        <v>0.008825709493928399</v>
      </c>
      <c r="T44" t="n">
        <v>109.2704539054846</v>
      </c>
      <c r="U44" t="n">
        <v>-2.002777777632127</v>
      </c>
      <c r="V44" t="n">
        <v>0.3076388890558519</v>
      </c>
      <c r="W44" t="n">
        <v>-0.6667735041127958</v>
      </c>
      <c r="X44" t="n">
        <v>-2.002777777632127</v>
      </c>
      <c r="Y44" t="n">
        <v>0.295833333500309</v>
      </c>
      <c r="Z44" t="n">
        <v>-2.002777777632127</v>
      </c>
      <c r="AA44" t="n">
        <v>0.3194444446113948</v>
      </c>
      <c r="AB44" t="n">
        <v>1.070405982835918</v>
      </c>
      <c r="AC44" t="n">
        <v>-0.0149584296046525</v>
      </c>
      <c r="AD44" t="n">
        <v>3.267613789181202</v>
      </c>
      <c r="AE44" t="n">
        <v>3.46093589509124</v>
      </c>
      <c r="AF44" t="n">
        <v>3.221325020349993</v>
      </c>
      <c r="AG44" t="n">
        <v>3.363316566598852</v>
      </c>
      <c r="AH44" t="n">
        <v>0.7206691810043735</v>
      </c>
      <c r="AI44" t="n">
        <v>13.15</v>
      </c>
      <c r="AJ44" t="n">
        <v>13.1</v>
      </c>
      <c r="AK44" t="n">
        <v>0.3742254635680499</v>
      </c>
      <c r="AL44" t="n">
        <v>0.3742254635680499</v>
      </c>
      <c r="AM44" t="n">
        <v>2.182016666666667</v>
      </c>
      <c r="AN44" t="n">
        <v>115.3070689606998</v>
      </c>
      <c r="AO44" t="n">
        <v>0.0982282743518164</v>
      </c>
      <c r="AP44" t="n">
        <v>0.0505984156274379</v>
      </c>
      <c r="AQ44" t="n">
        <v>0.0481613098220279</v>
      </c>
      <c r="AR44" t="n">
        <v>0.0433459897436505</v>
      </c>
      <c r="AS44" t="n">
        <v>0.0413242478788763</v>
      </c>
      <c r="AU44">
        <f>(AQ44&lt;AU$1)*1</f>
        <v/>
      </c>
    </row>
    <row r="45">
      <c r="A45" t="inlineStr">
        <is>
          <t>FaIR_comb_unB</t>
        </is>
      </c>
      <c r="B45" t="inlineStr">
        <is>
          <t>43/1_ERF_FaIR</t>
        </is>
      </c>
      <c r="C45" t="inlineStr">
        <is>
          <t>c</t>
        </is>
      </c>
      <c r="D45" t="n">
        <v>0</v>
      </c>
      <c r="E45" t="n">
        <v>0</v>
      </c>
      <c r="F45" t="n">
        <v>0.0082590338318829</v>
      </c>
      <c r="G45" t="n">
        <v>123.4401991986209</v>
      </c>
      <c r="H45" t="n">
        <v>-1.69722222207649</v>
      </c>
      <c r="I45" t="n">
        <v>-0.1743055553884308</v>
      </c>
      <c r="J45" t="n">
        <v>-0.6109966420830555</v>
      </c>
      <c r="K45" t="n">
        <v>-1.69722222207649</v>
      </c>
      <c r="L45" t="n">
        <v>-0.1944444442772995</v>
      </c>
      <c r="M45" t="n">
        <v>-1.69722222207649</v>
      </c>
      <c r="N45" t="n">
        <v>-0.1944444442772995</v>
      </c>
      <c r="O45" t="n">
        <v>2.729258273847826</v>
      </c>
      <c r="P45" t="n">
        <v>0.0801018391405826</v>
      </c>
      <c r="Q45" t="n">
        <v>-0.0178989919810201</v>
      </c>
      <c r="R45" t="n">
        <v>-0.0103797863362783</v>
      </c>
      <c r="S45" t="n">
        <v>0.0082590339864135</v>
      </c>
      <c r="T45" t="n">
        <v>127.705873739137</v>
      </c>
      <c r="U45" t="n">
        <v>-1.659722222076903</v>
      </c>
      <c r="V45" t="n">
        <v>-0.2243055553881352</v>
      </c>
      <c r="W45" t="n">
        <v>-0.6155448716341895</v>
      </c>
      <c r="X45" t="n">
        <v>-1.659722222076903</v>
      </c>
      <c r="Y45" t="n">
        <v>-0.2444444442770039</v>
      </c>
      <c r="Z45" t="n">
        <v>-1.659722222076903</v>
      </c>
      <c r="AA45" t="n">
        <v>-0.2041666664992666</v>
      </c>
      <c r="AB45" t="n">
        <v>1.079540598241931</v>
      </c>
      <c r="AC45" t="n">
        <v>-0.0103797858892434</v>
      </c>
      <c r="AD45" t="n">
        <v>3.913093396734418</v>
      </c>
      <c r="AE45" t="n">
        <v>4.250380031435295</v>
      </c>
      <c r="AF45" t="n">
        <v>3.931085814421907</v>
      </c>
      <c r="AG45" t="n">
        <v>4.009840993420213</v>
      </c>
      <c r="AH45" t="n">
        <v>1.289356523404121</v>
      </c>
      <c r="AI45" t="n">
        <v>13.26666666666667</v>
      </c>
      <c r="AJ45" t="n">
        <v>13.21666666666667</v>
      </c>
      <c r="AK45" t="n">
        <v>0.9337180601264584</v>
      </c>
      <c r="AL45" t="n">
        <v>0.9337180601264584</v>
      </c>
      <c r="AM45" t="n">
        <v>2.800116666666667</v>
      </c>
      <c r="AN45" t="n">
        <v>201.1396176510429</v>
      </c>
      <c r="AO45" t="n">
        <v>0.0609055314106091</v>
      </c>
      <c r="AP45" t="n">
        <v>0.0469135028067675</v>
      </c>
      <c r="AQ45" t="n">
        <v>0.0452946848168671</v>
      </c>
      <c r="AR45" t="n">
        <v>0.0394854982929683</v>
      </c>
      <c r="AS45" t="n">
        <v>0.0383181942835372</v>
      </c>
      <c r="AU45">
        <f>(AQ45&lt;AU$1)*1</f>
        <v/>
      </c>
    </row>
    <row r="46">
      <c r="A46" t="inlineStr">
        <is>
          <t>FaIR_nonat</t>
        </is>
      </c>
      <c r="B46" t="inlineStr">
        <is>
          <t>43/1_ERF_FaIR</t>
        </is>
      </c>
      <c r="C46" t="inlineStr">
        <is>
          <t>c</t>
        </is>
      </c>
      <c r="D46" t="n">
        <v>0</v>
      </c>
      <c r="E46" t="n">
        <v>97.83333333333331</v>
      </c>
      <c r="F46" t="n">
        <v>-0.1039035634969976</v>
      </c>
      <c r="G46" t="n">
        <v>66.45861680559392</v>
      </c>
      <c r="H46" t="n">
        <v>4.209722222362594</v>
      </c>
      <c r="I46" t="n">
        <v>8.08055555571517</v>
      </c>
      <c r="J46" t="n">
        <v>6.789811635274079</v>
      </c>
      <c r="K46" t="n">
        <v>4.209722222362594</v>
      </c>
      <c r="L46" t="n">
        <v>8.018055555715227</v>
      </c>
      <c r="M46" t="n">
        <v>4.209722222362594</v>
      </c>
      <c r="N46" t="n">
        <v>8.143055555715113</v>
      </c>
      <c r="O46" t="n">
        <v>8.306116343902678</v>
      </c>
      <c r="P46" t="n">
        <v>0.1143269668927381</v>
      </c>
      <c r="Q46" t="n">
        <v>-0.1493365662296601</v>
      </c>
      <c r="R46" t="n">
        <v>-0.1242660911578257</v>
      </c>
      <c r="S46" t="n">
        <v>-0.103903563342467</v>
      </c>
      <c r="T46" t="n">
        <v>67.93157024650183</v>
      </c>
      <c r="U46" t="n">
        <v>4.247222222362181</v>
      </c>
      <c r="V46" t="n">
        <v>8.030555555715466</v>
      </c>
      <c r="W46" t="n">
        <v>6.768589743736693</v>
      </c>
      <c r="X46" t="n">
        <v>4.247222222362181</v>
      </c>
      <c r="Y46" t="n">
        <v>7.968055555715523</v>
      </c>
      <c r="Z46" t="n">
        <v>4.247222222362181</v>
      </c>
      <c r="AA46" t="n">
        <v>8.093055555715409</v>
      </c>
      <c r="AB46" t="n">
        <v>6.768589743736693</v>
      </c>
      <c r="AC46" t="n">
        <v>-0.1242660907107908</v>
      </c>
      <c r="AD46" t="n">
        <v>2.428473589442411</v>
      </c>
      <c r="AE46" t="n">
        <v>2.153636607327489</v>
      </c>
      <c r="AF46" t="n">
        <v>2.49755703485152</v>
      </c>
      <c r="AG46" t="n">
        <v>2.011203554665981</v>
      </c>
      <c r="AH46" t="n">
        <v>0.1100467590114794</v>
      </c>
      <c r="AI46" t="n">
        <v>12.98333333333333</v>
      </c>
      <c r="AJ46" t="n">
        <v>13.01666666666667</v>
      </c>
      <c r="AK46" t="n">
        <v>0.2388875546500816</v>
      </c>
      <c r="AL46" t="n">
        <v>0.2388875546500816</v>
      </c>
      <c r="AM46" t="n">
        <v>2.81745</v>
      </c>
      <c r="AN46" t="n">
        <v>17.6074814418367</v>
      </c>
      <c r="AO46" t="n">
        <v>0.1661543461392438</v>
      </c>
      <c r="AP46" t="n">
        <v>0.1140494547991495</v>
      </c>
      <c r="AQ46" t="n">
        <v>0.117235828781006</v>
      </c>
      <c r="AR46" t="n">
        <v>0.1113975486903793</v>
      </c>
      <c r="AS46" t="n">
        <v>0.114886641504688</v>
      </c>
      <c r="AU46">
        <f>(AQ46&lt;AU$1)*1</f>
        <v/>
      </c>
    </row>
    <row r="47">
      <c r="A47" t="inlineStr">
        <is>
          <t>FaIR_nonat_unB</t>
        </is>
      </c>
      <c r="B47" t="inlineStr">
        <is>
          <t>43/1_ERF_FaIR</t>
        </is>
      </c>
      <c r="C47" t="inlineStr">
        <is>
          <t>c</t>
        </is>
      </c>
      <c r="D47" t="n">
        <v>0</v>
      </c>
      <c r="E47" t="n">
        <v>3.483333333333333</v>
      </c>
      <c r="F47" t="n">
        <v>0.0072586870479109</v>
      </c>
      <c r="G47" t="n">
        <v>114.3950301382378</v>
      </c>
      <c r="H47" t="n">
        <v>-1.723611110965366</v>
      </c>
      <c r="I47" t="n">
        <v>0.3618055557222268</v>
      </c>
      <c r="J47" t="n">
        <v>-0.5895241909232688</v>
      </c>
      <c r="K47" t="n">
        <v>-1.723611110965366</v>
      </c>
      <c r="L47" t="n">
        <v>0.338888889055579</v>
      </c>
      <c r="M47" t="n">
        <v>-1.723611110965366</v>
      </c>
      <c r="N47" t="n">
        <v>0.3583333335000058</v>
      </c>
      <c r="O47" t="n">
        <v>2.698598412347001</v>
      </c>
      <c r="P47" t="n">
        <v>0.0915590088342028</v>
      </c>
      <c r="Q47" t="n">
        <v>-0.0329292673812785</v>
      </c>
      <c r="R47" t="n">
        <v>-0.0131032004898289</v>
      </c>
      <c r="S47" t="n">
        <v>0.0072586872024415</v>
      </c>
      <c r="T47" t="n">
        <v>117.538506986524</v>
      </c>
      <c r="U47" t="n">
        <v>-1.686111110965779</v>
      </c>
      <c r="V47" t="n">
        <v>0.3118055557225224</v>
      </c>
      <c r="W47" t="n">
        <v>-0.5860309827454651</v>
      </c>
      <c r="X47" t="n">
        <v>-1.686111110965779</v>
      </c>
      <c r="Y47" t="n">
        <v>0.2888888890558746</v>
      </c>
      <c r="Z47" t="n">
        <v>-1.686111110965779</v>
      </c>
      <c r="AA47" t="n">
        <v>0.3347222223891701</v>
      </c>
      <c r="AB47" t="n">
        <v>1.060069444395814</v>
      </c>
      <c r="AC47" t="n">
        <v>-0.013103200042794</v>
      </c>
      <c r="AD47" t="n">
        <v>3.452312834752</v>
      </c>
      <c r="AE47" t="n">
        <v>3.801707921656312</v>
      </c>
      <c r="AF47" t="n">
        <v>3.535421631488829</v>
      </c>
      <c r="AG47" t="n">
        <v>3.597766371663113</v>
      </c>
      <c r="AH47" t="n">
        <v>1.100186291792667</v>
      </c>
      <c r="AI47" t="n">
        <v>13.41666666666667</v>
      </c>
      <c r="AJ47" t="n">
        <v>13.38333333333333</v>
      </c>
      <c r="AK47" t="n">
        <v>0.8317777858553591</v>
      </c>
      <c r="AL47" t="n">
        <v>0.8317777858553591</v>
      </c>
      <c r="AM47" t="n">
        <v>2.8329</v>
      </c>
      <c r="AN47" t="n">
        <v>176.0298066868268</v>
      </c>
      <c r="AO47" t="n">
        <v>0.0765072123281216</v>
      </c>
      <c r="AP47" t="n">
        <v>0.0475786367184066</v>
      </c>
      <c r="AQ47" t="n">
        <v>0.0455226211715823</v>
      </c>
      <c r="AR47" t="n">
        <v>0.0408179119492655</v>
      </c>
      <c r="AS47" t="n">
        <v>0.0390812738306441</v>
      </c>
      <c r="AU47">
        <f>(AQ47&lt;AU$1)*1</f>
        <v/>
      </c>
    </row>
    <row r="48">
      <c r="A48" t="inlineStr">
        <is>
          <t>EBMKF_ta</t>
        </is>
      </c>
      <c r="B48" t="inlineStr">
        <is>
          <t>43/2_Kalman</t>
        </is>
      </c>
      <c r="C48" t="inlineStr">
        <is>
          <t>c</t>
        </is>
      </c>
      <c r="D48" t="n">
        <v>72.2</v>
      </c>
      <c r="E48" t="n">
        <v>157.3833333333333</v>
      </c>
      <c r="F48" t="n">
        <v>0.0474211983784378</v>
      </c>
      <c r="G48" t="n">
        <v>-46.69364147198719</v>
      </c>
      <c r="H48" t="n">
        <v>-5.074999999851196</v>
      </c>
      <c r="I48" t="n">
        <v>-3.302777777607783</v>
      </c>
      <c r="J48" t="n">
        <v>-3.092397995358243</v>
      </c>
      <c r="K48" t="n">
        <v>-5.074999999851196</v>
      </c>
      <c r="L48" t="n">
        <v>-3.302777777607783</v>
      </c>
      <c r="M48" t="n">
        <v>-5.074999999851196</v>
      </c>
      <c r="N48" t="n">
        <v>-3.302777777607783</v>
      </c>
      <c r="O48" t="n">
        <v>4.80815333122498</v>
      </c>
      <c r="P48" t="n">
        <v>0.0353859131861883</v>
      </c>
      <c r="Q48" t="n">
        <v>0.0020896919814014</v>
      </c>
      <c r="R48" t="n">
        <v>0.0201856819964544</v>
      </c>
      <c r="S48" t="n">
        <v>0.0474211985329683</v>
      </c>
      <c r="T48" t="n">
        <v>-39.18737395748645</v>
      </c>
      <c r="U48" t="n">
        <v>-5.037499999851608</v>
      </c>
      <c r="V48" t="n">
        <v>-3.352777777607487</v>
      </c>
      <c r="W48" t="n">
        <v>-3.121794871632043</v>
      </c>
      <c r="X48" t="n">
        <v>-5.037499999851608</v>
      </c>
      <c r="Y48" t="n">
        <v>-3.352777777607487</v>
      </c>
      <c r="Z48" t="n">
        <v>-5.037499999851608</v>
      </c>
      <c r="AA48" t="n">
        <v>-3.352777777607487</v>
      </c>
      <c r="AB48" t="n">
        <v>3.263247863110637</v>
      </c>
      <c r="AC48" t="n">
        <v>0.0201856824434892</v>
      </c>
      <c r="AD48" t="n">
        <v>1.42934520358642</v>
      </c>
      <c r="AE48" t="n">
        <v>3.926788067374908</v>
      </c>
      <c r="AF48" t="n">
        <v>1.513152229850123</v>
      </c>
      <c r="AG48" t="n">
        <v>3.83886548260962</v>
      </c>
      <c r="AH48" t="n">
        <v>0.2764720414972424</v>
      </c>
      <c r="AI48" t="n">
        <v>12.95</v>
      </c>
      <c r="AJ48" t="n">
        <v>12.96666666666667</v>
      </c>
      <c r="AK48" s="1" t="n">
        <v>0.0005814264351293</v>
      </c>
      <c r="AL48" s="1" t="n">
        <v>0.0008075953505362</v>
      </c>
      <c r="AM48" t="n">
        <v>0.6779666666666666</v>
      </c>
      <c r="AN48" t="n">
        <v>63.58856954436578</v>
      </c>
      <c r="AO48" t="n">
        <v>0.0651124285833586</v>
      </c>
      <c r="AP48" t="n">
        <v>0.0752334884578037</v>
      </c>
      <c r="AQ48" t="n">
        <v>0.0709685751175707</v>
      </c>
      <c r="AR48" t="n">
        <v>0.07421416318408521</v>
      </c>
      <c r="AS48" t="n">
        <v>0.07008936333967709</v>
      </c>
      <c r="AU48">
        <f>(AQ48&lt;AU$1)*1</f>
        <v/>
      </c>
    </row>
    <row r="49">
      <c r="A49" t="inlineStr">
        <is>
          <t>EBMKF_ta2</t>
        </is>
      </c>
      <c r="B49" t="inlineStr">
        <is>
          <t>43/2_Kalman</t>
        </is>
      </c>
      <c r="C49" t="inlineStr">
        <is>
          <t>c</t>
        </is>
      </c>
      <c r="D49" t="n">
        <v>31.26666666666667</v>
      </c>
      <c r="E49" t="n">
        <v>83.56666666666666</v>
      </c>
      <c r="F49" t="n">
        <v>-0.0032220958754252</v>
      </c>
      <c r="G49" t="n">
        <v>64.85213105318755</v>
      </c>
      <c r="H49" t="n">
        <v>-1.572222222076565</v>
      </c>
      <c r="I49" t="n">
        <v>1.715277777943197</v>
      </c>
      <c r="J49" t="n">
        <v>1.105106583389698</v>
      </c>
      <c r="K49" t="n">
        <v>-1.572222222076565</v>
      </c>
      <c r="L49" t="n">
        <v>1.715277777943197</v>
      </c>
      <c r="M49" t="n">
        <v>-1.572222222076565</v>
      </c>
      <c r="N49" t="n">
        <v>1.715277777943197</v>
      </c>
      <c r="O49" t="n">
        <v>5.368398827771537</v>
      </c>
      <c r="P49" t="n">
        <v>0.0337905400813441</v>
      </c>
      <c r="Q49" t="n">
        <v>0.00467684995501</v>
      </c>
      <c r="R49" t="n">
        <v>-0.0508848570174243</v>
      </c>
      <c r="S49" t="n">
        <v>-0.0032220957208947</v>
      </c>
      <c r="T49" t="n">
        <v>50.15086661601269</v>
      </c>
      <c r="U49" t="n">
        <v>-1.534722222076979</v>
      </c>
      <c r="V49" t="n">
        <v>1.665277777943493</v>
      </c>
      <c r="W49" t="n">
        <v>1.075908119812876</v>
      </c>
      <c r="X49" t="n">
        <v>-1.534722222076979</v>
      </c>
      <c r="Y49" t="n">
        <v>1.665277777943493</v>
      </c>
      <c r="Z49" t="n">
        <v>-1.534722222076979</v>
      </c>
      <c r="AA49" t="n">
        <v>1.665277777943493</v>
      </c>
      <c r="AB49" t="n">
        <v>1.915865384640288</v>
      </c>
      <c r="AC49" t="n">
        <v>-0.0508848565703894</v>
      </c>
      <c r="AD49" t="n">
        <v>7.480037226552051</v>
      </c>
      <c r="AE49" t="n">
        <v>8.605240783517566</v>
      </c>
      <c r="AF49" t="n">
        <v>7.5095052084722</v>
      </c>
      <c r="AG49" t="n">
        <v>9.074152890239544</v>
      </c>
      <c r="AH49" t="n">
        <v>1.367638032785695</v>
      </c>
      <c r="AI49" t="n">
        <v>12.83333333333333</v>
      </c>
      <c r="AJ49" t="n">
        <v>12.83333333333333</v>
      </c>
      <c r="AK49" s="1" t="n">
        <v>0.0225887013879272</v>
      </c>
      <c r="AL49" s="1" t="n">
        <v>0.0337345557225012</v>
      </c>
      <c r="AM49" t="n">
        <v>1.889883333333333</v>
      </c>
      <c r="AN49" t="n">
        <v>314.5567475407097</v>
      </c>
      <c r="AO49" t="n">
        <v>0.0456753631090631</v>
      </c>
      <c r="AP49" t="n">
        <v>0.0561368989198069</v>
      </c>
      <c r="AQ49" t="n">
        <v>0.0561645346437482</v>
      </c>
      <c r="AR49" t="n">
        <v>0.0584877640317322</v>
      </c>
      <c r="AS49" t="n">
        <v>0.0588014684193403</v>
      </c>
      <c r="AU49">
        <f>(AQ49&lt;AU$1)*1</f>
        <v/>
      </c>
    </row>
    <row r="50">
      <c r="A50" t="inlineStr">
        <is>
          <t>EBMKF_ta4</t>
        </is>
      </c>
      <c r="B50" t="inlineStr">
        <is>
          <t>43/2_Kalman</t>
        </is>
      </c>
      <c r="C50" t="inlineStr">
        <is>
          <t>c</t>
        </is>
      </c>
      <c r="D50" t="n">
        <v>0.55</v>
      </c>
      <c r="E50" t="n">
        <v>5.733333333333333</v>
      </c>
      <c r="F50" t="n">
        <v>0.0127102115890168</v>
      </c>
      <c r="G50" t="n">
        <v>181.1704650587344</v>
      </c>
      <c r="H50" t="n">
        <v>-0.0326388887446607</v>
      </c>
      <c r="I50" t="n">
        <v>-0.7247685183508855</v>
      </c>
      <c r="J50" t="n">
        <v>-0.7236740688237873</v>
      </c>
      <c r="K50" t="n">
        <v>-0.06944444430018459</v>
      </c>
      <c r="L50" t="n">
        <v>-0.843055555387817</v>
      </c>
      <c r="M50" t="n">
        <v>-0.031944444300215</v>
      </c>
      <c r="N50" t="n">
        <v>-0.7152777776101554</v>
      </c>
      <c r="O50" t="n">
        <v>1.702847800973689</v>
      </c>
      <c r="P50" t="n">
        <v>0.0474697372865048</v>
      </c>
      <c r="Q50" t="n">
        <v>0.0108089401744085</v>
      </c>
      <c r="R50" t="n">
        <v>0.0124173794815546</v>
      </c>
      <c r="S50" t="n">
        <v>0.0127102117435474</v>
      </c>
      <c r="T50" t="n">
        <v>130.8385458802114</v>
      </c>
      <c r="U50" t="n">
        <v>0.0048611112549262</v>
      </c>
      <c r="V50" t="n">
        <v>-0.77476851835059</v>
      </c>
      <c r="W50" t="n">
        <v>-0.6851851850250761</v>
      </c>
      <c r="X50" t="n">
        <v>-0.0319444443005977</v>
      </c>
      <c r="Y50" t="n">
        <v>-0.8930555553875213</v>
      </c>
      <c r="Z50" t="n">
        <v>0.0055555556993719</v>
      </c>
      <c r="AA50" t="n">
        <v>-0.6472222220544078</v>
      </c>
      <c r="AB50" t="n">
        <v>1.445121082567099</v>
      </c>
      <c r="AC50" t="n">
        <v>0.0124173799285895</v>
      </c>
      <c r="AD50" t="n">
        <v>7.253875559835847</v>
      </c>
      <c r="AE50" t="n">
        <v>6.558093198328806</v>
      </c>
      <c r="AF50" t="n">
        <v>9.075093683941899</v>
      </c>
      <c r="AG50" t="n">
        <v>8.025583986518566</v>
      </c>
      <c r="AH50" t="n">
        <v>1.874526483743896</v>
      </c>
      <c r="AI50" t="n">
        <v>14.34</v>
      </c>
      <c r="AJ50" t="n">
        <v>14.34</v>
      </c>
      <c r="AK50" t="n">
        <v>0.4515478912890261</v>
      </c>
      <c r="AL50" t="n">
        <v>0.5937848845385933</v>
      </c>
      <c r="AM50" t="n">
        <v>3.9425</v>
      </c>
      <c r="AN50" t="n">
        <v>431.1410912610962</v>
      </c>
      <c r="AO50" t="n">
        <v>0.0352849669050863</v>
      </c>
      <c r="AP50" t="n">
        <v>0.0323055902218898</v>
      </c>
      <c r="AQ50" t="n">
        <v>0.0310116628714617</v>
      </c>
      <c r="AR50" t="n">
        <v>0.0468699555803813</v>
      </c>
      <c r="AS50" t="n">
        <v>0.0467919271942815</v>
      </c>
      <c r="AU50">
        <f>(AQ50&lt;AU$1)*1</f>
        <v/>
      </c>
    </row>
    <row r="51">
      <c r="A51" t="inlineStr">
        <is>
          <t>GWI_anthro</t>
        </is>
      </c>
      <c r="B51" t="inlineStr">
        <is>
          <t>43/3_Human_Induced</t>
        </is>
      </c>
      <c r="C51" t="inlineStr">
        <is>
          <t>c</t>
        </is>
      </c>
      <c r="D51" t="n">
        <v>0.0333333333333333</v>
      </c>
      <c r="E51" t="n">
        <v>3.9</v>
      </c>
      <c r="F51" t="n">
        <v>-0.0076473849915419</v>
      </c>
      <c r="G51" t="n">
        <v>155.1300882845454</v>
      </c>
      <c r="H51" t="n">
        <v>0.5944444445880929</v>
      </c>
      <c r="I51" t="n">
        <v>-0.2763888887216429</v>
      </c>
      <c r="J51" t="n">
        <v>0.0774941495314151</v>
      </c>
      <c r="K51" t="n">
        <v>0.5944444445880929</v>
      </c>
      <c r="L51" t="n">
        <v>-0.2763888887216429</v>
      </c>
      <c r="M51" t="n">
        <v>0.5944444445880929</v>
      </c>
      <c r="N51" t="n">
        <v>-0.2763888887216429</v>
      </c>
      <c r="O51" t="n">
        <v>2.061225902148445</v>
      </c>
      <c r="P51" t="n">
        <v>0.0758742459514163</v>
      </c>
      <c r="Q51" t="n">
        <v>0.0320330625763187</v>
      </c>
      <c r="R51" t="n">
        <v>0.0036930529892401</v>
      </c>
      <c r="S51" t="n">
        <v>-0.0076473848370113</v>
      </c>
      <c r="T51" t="n">
        <v>158.4116961382093</v>
      </c>
      <c r="U51" t="n">
        <v>0.6319444445876797</v>
      </c>
      <c r="V51" t="n">
        <v>-0.3263888887213473</v>
      </c>
      <c r="W51" t="n">
        <v>0.0944444446040594</v>
      </c>
      <c r="X51" t="n">
        <v>0.6319444445876797</v>
      </c>
      <c r="Y51" t="n">
        <v>-0.3263888887213473</v>
      </c>
      <c r="Z51" t="n">
        <v>0.6319444445876797</v>
      </c>
      <c r="AA51" t="n">
        <v>-0.3263888887213473</v>
      </c>
      <c r="AB51" t="n">
        <v>1.057478632488526</v>
      </c>
      <c r="AC51" t="n">
        <v>0.0036930534362749</v>
      </c>
      <c r="AD51" t="n">
        <v>6.242598831526776</v>
      </c>
      <c r="AE51" t="n">
        <v>6.764349762540166</v>
      </c>
      <c r="AF51" t="n">
        <v>6.245740064706316</v>
      </c>
      <c r="AG51" t="n">
        <v>6.440243039824154</v>
      </c>
      <c r="AH51" t="n">
        <v>1.275919497865336</v>
      </c>
      <c r="AI51" t="n">
        <v>13.03333333333333</v>
      </c>
      <c r="AJ51" t="n">
        <v>13.01666666666667</v>
      </c>
      <c r="AK51" t="n">
        <v>0.5759195220565408</v>
      </c>
      <c r="AL51" t="n">
        <v>0.6611650295639027</v>
      </c>
      <c r="AM51" t="n">
        <v>2.5317</v>
      </c>
      <c r="AN51" t="n">
        <v>178.6287297011471</v>
      </c>
      <c r="AO51" t="n">
        <v>0.1102064685245308</v>
      </c>
      <c r="AP51" t="n">
        <v>0.0430070741353098</v>
      </c>
      <c r="AQ51" t="n">
        <v>0.0343321541572341</v>
      </c>
      <c r="AR51" t="n">
        <v>0.0402974639834741</v>
      </c>
      <c r="AS51" t="n">
        <v>0.0307838521329588</v>
      </c>
      <c r="AU51">
        <f>(AQ51&lt;AU$1)*1</f>
        <v/>
      </c>
    </row>
    <row r="52">
      <c r="A52" t="inlineStr">
        <is>
          <t>GWI_anthro_AR6</t>
        </is>
      </c>
      <c r="B52" t="inlineStr">
        <is>
          <t>43/3_Human_Induced</t>
        </is>
      </c>
      <c r="C52" t="inlineStr">
        <is>
          <t>c</t>
        </is>
      </c>
      <c r="D52" t="n">
        <v>0.8333333333333334</v>
      </c>
      <c r="E52" t="n">
        <v>18.76666666666667</v>
      </c>
      <c r="F52" t="n">
        <v>-0.0121795399994688</v>
      </c>
      <c r="G52" t="n">
        <v>154.3720462728038</v>
      </c>
      <c r="H52" t="n">
        <v>1.298611111254161</v>
      </c>
      <c r="I52" t="n">
        <v>0.2472222223889958</v>
      </c>
      <c r="J52" t="n">
        <v>0.5285752443615529</v>
      </c>
      <c r="K52" t="n">
        <v>1.298611111254161</v>
      </c>
      <c r="L52" t="n">
        <v>0.2472222223889958</v>
      </c>
      <c r="M52" t="n">
        <v>1.298611111254161</v>
      </c>
      <c r="N52" t="n">
        <v>0.2472222223889958</v>
      </c>
      <c r="O52" t="n">
        <v>2.198347741320331</v>
      </c>
      <c r="P52" t="n">
        <v>0.06953313234504491</v>
      </c>
      <c r="Q52" t="n">
        <v>0.0418305770563285</v>
      </c>
      <c r="R52" t="n">
        <v>0.0083174008584074</v>
      </c>
      <c r="S52" t="n">
        <v>-0.0121795398449382</v>
      </c>
      <c r="T52" t="n">
        <v>159.6083309948249</v>
      </c>
      <c r="U52" t="n">
        <v>1.336111111253748</v>
      </c>
      <c r="V52" t="n">
        <v>0.1972222223892913</v>
      </c>
      <c r="W52" t="n">
        <v>0.5481837608425039</v>
      </c>
      <c r="X52" t="n">
        <v>1.336111111253748</v>
      </c>
      <c r="Y52" t="n">
        <v>0.1972222223892913</v>
      </c>
      <c r="Z52" t="n">
        <v>1.336111111253748</v>
      </c>
      <c r="AA52" t="n">
        <v>0.1972222223892913</v>
      </c>
      <c r="AB52" t="n">
        <v>1.081730769309612</v>
      </c>
      <c r="AC52" t="n">
        <v>0.0083174013054422</v>
      </c>
      <c r="AD52" t="n">
        <v>6.0295756210392</v>
      </c>
      <c r="AE52" t="n">
        <v>6.915844477012425</v>
      </c>
      <c r="AF52" t="n">
        <v>5.977587617614558</v>
      </c>
      <c r="AG52" t="n">
        <v>6.321369859563532</v>
      </c>
      <c r="AH52" t="n">
        <v>1.209126439418332</v>
      </c>
      <c r="AI52" t="n">
        <v>13.01666666666667</v>
      </c>
      <c r="AJ52" t="n">
        <v>13</v>
      </c>
      <c r="AK52" t="n">
        <v>0.3207359499995728</v>
      </c>
      <c r="AL52" t="n">
        <v>0.4596177759301367</v>
      </c>
      <c r="AM52" t="n">
        <v>2.1463</v>
      </c>
      <c r="AN52" t="n">
        <v>169.2777015185665</v>
      </c>
      <c r="AO52" t="n">
        <v>0.121230027846473</v>
      </c>
      <c r="AP52" t="n">
        <v>0.0430810083029368</v>
      </c>
      <c r="AQ52" t="n">
        <v>0.0392916957492034</v>
      </c>
      <c r="AR52" t="n">
        <v>0.0393412219010316</v>
      </c>
      <c r="AS52" t="n">
        <v>0.0353001800593436</v>
      </c>
      <c r="AU52">
        <f>(AQ52&lt;AU$1)*1</f>
        <v/>
      </c>
    </row>
    <row r="53">
      <c r="A53" t="inlineStr">
        <is>
          <t>GWI_anthro_CGWL</t>
        </is>
      </c>
      <c r="B53" t="inlineStr">
        <is>
          <t>43/3_Human_Induced</t>
        </is>
      </c>
      <c r="C53" t="inlineStr">
        <is>
          <t>c</t>
        </is>
      </c>
      <c r="D53" t="n">
        <v>0.0333333333333333</v>
      </c>
      <c r="E53" t="n">
        <v>3.516666666666667</v>
      </c>
      <c r="F53" t="n">
        <v>-0.0059531107514634</v>
      </c>
      <c r="G53" t="n">
        <v>155.4166887990047</v>
      </c>
      <c r="H53" t="n">
        <v>0.3097222223661333</v>
      </c>
      <c r="I53" t="n">
        <v>-0.1944444442772767</v>
      </c>
      <c r="J53" t="n">
        <v>0.0190806879930251</v>
      </c>
      <c r="K53" t="n">
        <v>0.3097222223661333</v>
      </c>
      <c r="L53" t="n">
        <v>-0.1944444442772767</v>
      </c>
      <c r="M53" t="n">
        <v>0.3097222223661333</v>
      </c>
      <c r="N53" t="n">
        <v>-0.1944444442772767</v>
      </c>
      <c r="O53" t="n">
        <v>2.030397143741403</v>
      </c>
      <c r="P53" t="n">
        <v>0.0797336496185793</v>
      </c>
      <c r="Q53" t="n">
        <v>0.0333837248709886</v>
      </c>
      <c r="R53" t="n">
        <v>0.0019959628852626</v>
      </c>
      <c r="S53" t="n">
        <v>-0.0059531105969328</v>
      </c>
      <c r="T53" t="n">
        <v>158.5688038665901</v>
      </c>
      <c r="U53" t="n">
        <v>0.3472222223657202</v>
      </c>
      <c r="V53" t="n">
        <v>-0.2444444442769812</v>
      </c>
      <c r="W53" t="n">
        <v>0.0511752138348887</v>
      </c>
      <c r="X53" t="n">
        <v>0.3472222223657202</v>
      </c>
      <c r="Y53" t="n">
        <v>-0.2444444442769812</v>
      </c>
      <c r="Z53" t="n">
        <v>0.3472222223657202</v>
      </c>
      <c r="AA53" t="n">
        <v>-0.2444444442769812</v>
      </c>
      <c r="AB53" t="n">
        <v>1.059935897445785</v>
      </c>
      <c r="AC53" t="n">
        <v>0.0019959633322974</v>
      </c>
      <c r="AD53" t="n">
        <v>6.280871587378235</v>
      </c>
      <c r="AE53" t="n">
        <v>6.743672796892939</v>
      </c>
      <c r="AF53" t="n">
        <v>6.31769652641967</v>
      </c>
      <c r="AG53" t="n">
        <v>6.427248006490586</v>
      </c>
      <c r="AH53" t="n">
        <v>1.263569549705748</v>
      </c>
      <c r="AI53" t="n">
        <v>13.03333333333333</v>
      </c>
      <c r="AJ53" t="n">
        <v>13.01666666666667</v>
      </c>
      <c r="AK53" t="n">
        <v>0.6203195810837385</v>
      </c>
      <c r="AL53" t="n">
        <v>0.6701485391035308</v>
      </c>
      <c r="AM53" t="n">
        <v>2.801466666666667</v>
      </c>
      <c r="AN53" t="n">
        <v>176.8997369588047</v>
      </c>
      <c r="AO53" t="n">
        <v>0.112149059594941</v>
      </c>
      <c r="AP53" t="n">
        <v>0.042167754973374</v>
      </c>
      <c r="AQ53" t="n">
        <v>0.0339715241079772</v>
      </c>
      <c r="AR53" t="n">
        <v>0.0395197806171172</v>
      </c>
      <c r="AS53" t="n">
        <v>0.0304607797085554</v>
      </c>
      <c r="AU53">
        <f>(AQ53&lt;AU$1)*1</f>
        <v/>
      </c>
    </row>
    <row r="54">
      <c r="A54" t="inlineStr">
        <is>
          <t>GWI_anthro_SR15</t>
        </is>
      </c>
      <c r="B54" t="inlineStr">
        <is>
          <t>43/3_Human_Induced</t>
        </is>
      </c>
      <c r="C54" t="inlineStr">
        <is>
          <t>c</t>
        </is>
      </c>
      <c r="D54" t="n">
        <v>0.0333333333333333</v>
      </c>
      <c r="E54" t="n">
        <v>3.233333333333333</v>
      </c>
      <c r="F54" t="n">
        <v>-0.0148728458793229</v>
      </c>
      <c r="G54" t="n">
        <v>152.7818950068045</v>
      </c>
      <c r="H54" t="n">
        <v>0.9805555556988224</v>
      </c>
      <c r="I54" t="n">
        <v>-0.0458333331663273</v>
      </c>
      <c r="J54" t="n">
        <v>0.4664390009760557</v>
      </c>
      <c r="K54" t="n">
        <v>0.9805555556988224</v>
      </c>
      <c r="L54" t="n">
        <v>-0.0458333331663273</v>
      </c>
      <c r="M54" t="n">
        <v>0.9805555556988224</v>
      </c>
      <c r="N54" t="n">
        <v>-0.0458333331663273</v>
      </c>
      <c r="O54" t="n">
        <v>2.089181996473886</v>
      </c>
      <c r="P54" t="n">
        <v>0.0752330646647964</v>
      </c>
      <c r="Q54" t="n">
        <v>0.0236187238429304</v>
      </c>
      <c r="R54" t="n">
        <v>-0.0011832467842147</v>
      </c>
      <c r="S54" t="n">
        <v>-0.0148728457247923</v>
      </c>
      <c r="T54" t="n">
        <v>155.8829712240053</v>
      </c>
      <c r="U54" t="n">
        <v>1.018055555698409</v>
      </c>
      <c r="V54" t="n">
        <v>-0.0958333331660317</v>
      </c>
      <c r="W54" t="n">
        <v>0.4811965813559412</v>
      </c>
      <c r="X54" t="n">
        <v>1.018055555698409</v>
      </c>
      <c r="Y54" t="n">
        <v>-0.0958333331660317</v>
      </c>
      <c r="Z54" t="n">
        <v>1.018055555698409</v>
      </c>
      <c r="AA54" t="n">
        <v>-0.0958333331660317</v>
      </c>
      <c r="AB54" t="n">
        <v>1.14145299151614</v>
      </c>
      <c r="AC54" t="n">
        <v>-0.0011832463371799</v>
      </c>
      <c r="AD54" t="n">
        <v>6.046994334782273</v>
      </c>
      <c r="AE54" t="n">
        <v>6.718274672073175</v>
      </c>
      <c r="AF54" t="n">
        <v>6.086967774284607</v>
      </c>
      <c r="AG54" t="n">
        <v>6.36782427247983</v>
      </c>
      <c r="AH54" t="n">
        <v>1.285239837521259</v>
      </c>
      <c r="AI54" t="n">
        <v>13.01666666666667</v>
      </c>
      <c r="AJ54" t="n">
        <v>13</v>
      </c>
      <c r="AK54" t="n">
        <v>0.6136095291403555</v>
      </c>
      <c r="AL54" t="n">
        <v>0.694503341603862</v>
      </c>
      <c r="AM54" t="n">
        <v>2.437316666666667</v>
      </c>
      <c r="AN54" t="n">
        <v>179.9335772529762</v>
      </c>
      <c r="AO54" t="n">
        <v>0.1059422102364052</v>
      </c>
      <c r="AP54" t="n">
        <v>0.0452578918152666</v>
      </c>
      <c r="AQ54" t="n">
        <v>0.035386710834129</v>
      </c>
      <c r="AR54" t="n">
        <v>0.0427458802844394</v>
      </c>
      <c r="AS54" t="n">
        <v>0.0320186018925578</v>
      </c>
      <c r="AU54">
        <f>(AQ54&lt;AU$1)*1</f>
        <v/>
      </c>
    </row>
    <row r="55">
      <c r="A55" t="inlineStr">
        <is>
          <t>GWI_tot</t>
        </is>
      </c>
      <c r="B55" t="inlineStr">
        <is>
          <t>43/3_Human_Induced</t>
        </is>
      </c>
      <c r="C55" t="inlineStr">
        <is>
          <t>c</t>
        </is>
      </c>
      <c r="D55" t="n">
        <v>6.983333333333333</v>
      </c>
      <c r="E55" t="n">
        <v>26.31666666666666</v>
      </c>
      <c r="F55" t="n">
        <v>-0.0057064737436797</v>
      </c>
      <c r="G55" t="n">
        <v>147.0075675641977</v>
      </c>
      <c r="H55" t="n">
        <v>0.2472222223662091</v>
      </c>
      <c r="I55" t="n">
        <v>-0.3083333331660621</v>
      </c>
      <c r="J55" t="n">
        <v>-0.0542048227923817</v>
      </c>
      <c r="K55" t="n">
        <v>0.2472222223662091</v>
      </c>
      <c r="L55" t="n">
        <v>-0.3083333331660621</v>
      </c>
      <c r="M55" t="n">
        <v>0.2472222223662091</v>
      </c>
      <c r="N55" t="n">
        <v>-0.3083333331660621</v>
      </c>
      <c r="O55" t="n">
        <v>2.509922175341555</v>
      </c>
      <c r="P55" t="n">
        <v>0.054845160457821</v>
      </c>
      <c r="Q55" t="n">
        <v>0.0137530671927753</v>
      </c>
      <c r="R55" t="n">
        <v>0.0004755253762163</v>
      </c>
      <c r="S55" t="n">
        <v>-0.0057064735891491</v>
      </c>
      <c r="T55" t="n">
        <v>158.5521310175367</v>
      </c>
      <c r="U55" t="n">
        <v>0.2847222223657961</v>
      </c>
      <c r="V55" t="n">
        <v>-0.3583333331657665</v>
      </c>
      <c r="W55" t="n">
        <v>-0.0425213673615615</v>
      </c>
      <c r="X55" t="n">
        <v>0.2847222223657961</v>
      </c>
      <c r="Y55" t="n">
        <v>-0.3583333331657665</v>
      </c>
      <c r="Z55" t="n">
        <v>0.2847222223657961</v>
      </c>
      <c r="AA55" t="n">
        <v>-0.3583333331657665</v>
      </c>
      <c r="AB55" t="n">
        <v>1.246794871788797</v>
      </c>
      <c r="AC55" t="n">
        <v>0.0004755258232512</v>
      </c>
      <c r="AD55" t="n">
        <v>6.395830511596635</v>
      </c>
      <c r="AE55" t="n">
        <v>7.040534346239416</v>
      </c>
      <c r="AF55" t="n">
        <v>6.156831112706301</v>
      </c>
      <c r="AG55" t="n">
        <v>5.962157769090243</v>
      </c>
      <c r="AH55" t="n">
        <v>1.21723896711832</v>
      </c>
      <c r="AI55" t="n">
        <v>13.01666666666667</v>
      </c>
      <c r="AJ55" t="n">
        <v>13</v>
      </c>
      <c r="AK55" t="n">
        <v>0.2173256682303782</v>
      </c>
      <c r="AL55" t="n">
        <v>0.3073702978379267</v>
      </c>
      <c r="AM55" t="n">
        <v>2.26025</v>
      </c>
      <c r="AN55" t="n">
        <v>170.4134553965648</v>
      </c>
      <c r="AO55" t="n">
        <v>0.0675315210722935</v>
      </c>
      <c r="AP55" t="n">
        <v>0.0486464525054064</v>
      </c>
      <c r="AQ55" t="n">
        <v>0.0424630832316349</v>
      </c>
      <c r="AR55" t="n">
        <v>0.0405929044217263</v>
      </c>
      <c r="AS55" t="n">
        <v>0.0324307821854145</v>
      </c>
      <c r="AU55">
        <f>(AQ55&lt;AU$1)*1</f>
        <v/>
      </c>
    </row>
    <row r="56">
      <c r="A56" t="inlineStr">
        <is>
          <t>GWI_tot_AR6</t>
        </is>
      </c>
      <c r="B56" t="inlineStr">
        <is>
          <t>43/3_Human_Induced</t>
        </is>
      </c>
      <c r="C56" t="inlineStr">
        <is>
          <t>c</t>
        </is>
      </c>
      <c r="D56" t="n">
        <v>22.23333333333333</v>
      </c>
      <c r="E56" t="n">
        <v>58.11666666666667</v>
      </c>
      <c r="F56" t="n">
        <v>-0.0099870531173253</v>
      </c>
      <c r="G56" t="n">
        <v>144.0878485631737</v>
      </c>
      <c r="H56" t="n">
        <v>0.962500000143325</v>
      </c>
      <c r="I56" t="n">
        <v>0.2277777779445538</v>
      </c>
      <c r="J56" t="n">
        <v>0.4205115487980225</v>
      </c>
      <c r="K56" t="n">
        <v>0.962500000143325</v>
      </c>
      <c r="L56" t="n">
        <v>0.2277777779445538</v>
      </c>
      <c r="M56" t="n">
        <v>0.962500000143325</v>
      </c>
      <c r="N56" t="n">
        <v>0.2277777779445538</v>
      </c>
      <c r="O56" t="n">
        <v>2.504526358795496</v>
      </c>
      <c r="P56" t="n">
        <v>0.0455964016871002</v>
      </c>
      <c r="Q56" t="n">
        <v>0.0216635644342639</v>
      </c>
      <c r="R56" t="n">
        <v>0.0050338502716401</v>
      </c>
      <c r="S56" t="n">
        <v>-0.0099870529627947</v>
      </c>
      <c r="T56" t="n">
        <v>162.775993833683</v>
      </c>
      <c r="U56" t="n">
        <v>1.000000000142912</v>
      </c>
      <c r="V56" t="n">
        <v>0.1777777779448494</v>
      </c>
      <c r="W56" t="n">
        <v>0.4323717950306999</v>
      </c>
      <c r="X56" t="n">
        <v>1.000000000142912</v>
      </c>
      <c r="Y56" t="n">
        <v>0.1777777779448494</v>
      </c>
      <c r="Z56" t="n">
        <v>1.000000000142912</v>
      </c>
      <c r="AA56" t="n">
        <v>0.1777777779448494</v>
      </c>
      <c r="AB56" t="n">
        <v>1.182371794902901</v>
      </c>
      <c r="AC56" t="n">
        <v>0.005033850718675</v>
      </c>
      <c r="AD56" t="n">
        <v>6.488250686608387</v>
      </c>
      <c r="AE56" t="n">
        <v>7.521259484317752</v>
      </c>
      <c r="AF56" t="n">
        <v>6.279440480417507</v>
      </c>
      <c r="AG56" t="n">
        <v>5.994030410534623</v>
      </c>
      <c r="AH56" t="n">
        <v>0.5705198858847388</v>
      </c>
      <c r="AI56" t="n">
        <v>13.01666666666667</v>
      </c>
      <c r="AJ56" t="n">
        <v>13</v>
      </c>
      <c r="AK56" t="n">
        <v>0.0017913506017692</v>
      </c>
      <c r="AL56" t="n">
        <v>0.0348685801370742</v>
      </c>
      <c r="AM56" t="n">
        <v>1.48195</v>
      </c>
      <c r="AN56" t="n">
        <v>79.87278402386345</v>
      </c>
      <c r="AO56" t="n">
        <v>0.0731468319375268</v>
      </c>
      <c r="AP56" t="n">
        <v>0.0477047396112953</v>
      </c>
      <c r="AQ56" t="n">
        <v>0.045608566061754</v>
      </c>
      <c r="AR56" t="n">
        <v>0.0383079022923821</v>
      </c>
      <c r="AS56" t="n">
        <v>0.0355351763622289</v>
      </c>
      <c r="AU56">
        <f>(AQ56&lt;AU$1)*1</f>
        <v/>
      </c>
    </row>
    <row r="57">
      <c r="A57" t="inlineStr">
        <is>
          <t>GWI_tot_CGWL</t>
        </is>
      </c>
      <c r="B57" t="inlineStr">
        <is>
          <t>43/3_Human_Induced</t>
        </is>
      </c>
      <c r="C57" t="inlineStr">
        <is>
          <t>c</t>
        </is>
      </c>
      <c r="D57" t="n">
        <v>7.133333333333334</v>
      </c>
      <c r="E57" t="n">
        <v>24.58333333333333</v>
      </c>
      <c r="F57" t="n">
        <v>-0.0037729055326433</v>
      </c>
      <c r="G57" t="n">
        <v>147.1009531792885</v>
      </c>
      <c r="H57" t="n">
        <v>0.0013888890331031</v>
      </c>
      <c r="I57" t="n">
        <v>-0.1666666664995318</v>
      </c>
      <c r="J57" t="n">
        <v>-0.1104039477414603</v>
      </c>
      <c r="K57" t="n">
        <v>0.0013888890331031</v>
      </c>
      <c r="L57" t="n">
        <v>-0.1666666664995318</v>
      </c>
      <c r="M57" t="n">
        <v>0.0013888890331031</v>
      </c>
      <c r="N57" t="n">
        <v>-0.1666666664995318</v>
      </c>
      <c r="O57" t="n">
        <v>2.48937158828686</v>
      </c>
      <c r="P57" t="n">
        <v>0.0592545636127296</v>
      </c>
      <c r="Q57" t="n">
        <v>0.0171819154557152</v>
      </c>
      <c r="R57" t="n">
        <v>-0.001453106723882</v>
      </c>
      <c r="S57" t="n">
        <v>-0.0037729053781127</v>
      </c>
      <c r="T57" t="n">
        <v>158.6437973663983</v>
      </c>
      <c r="U57" t="n">
        <v>0.0388888890326901</v>
      </c>
      <c r="V57" t="n">
        <v>-0.2166666664992362</v>
      </c>
      <c r="W57" t="n">
        <v>-0.0782051280452728</v>
      </c>
      <c r="X57" t="n">
        <v>0.0388888890326901</v>
      </c>
      <c r="Y57" t="n">
        <v>-0.2166666664992362</v>
      </c>
      <c r="Z57" t="n">
        <v>0.0388888890326901</v>
      </c>
      <c r="AA57" t="n">
        <v>-0.2166666664992362</v>
      </c>
      <c r="AB57" t="n">
        <v>1.255982905976797</v>
      </c>
      <c r="AC57" t="n">
        <v>-0.0014531062768471</v>
      </c>
      <c r="AD57" t="n">
        <v>6.341588199694167</v>
      </c>
      <c r="AE57" t="n">
        <v>6.979920353446148</v>
      </c>
      <c r="AF57" t="n">
        <v>6.168864740319914</v>
      </c>
      <c r="AG57" t="n">
        <v>5.983320311026231</v>
      </c>
      <c r="AH57" t="n">
        <v>1.172134369171238</v>
      </c>
      <c r="AI57" t="n">
        <v>13.01666666666667</v>
      </c>
      <c r="AJ57" t="n">
        <v>13</v>
      </c>
      <c r="AK57" t="n">
        <v>0.1724304036182425</v>
      </c>
      <c r="AL57" t="n">
        <v>0.2208699196133115</v>
      </c>
      <c r="AM57" t="n">
        <v>2.530083333333333</v>
      </c>
      <c r="AN57" t="n">
        <v>164.0988116839732</v>
      </c>
      <c r="AO57" t="n">
        <v>0.0729707998374876</v>
      </c>
      <c r="AP57" t="n">
        <v>0.0479624311929398</v>
      </c>
      <c r="AQ57" t="n">
        <v>0.042451083327369</v>
      </c>
      <c r="AR57" t="n">
        <v>0.0397831552111858</v>
      </c>
      <c r="AS57" t="n">
        <v>0.0324165007591717</v>
      </c>
      <c r="AU57">
        <f>(AQ57&lt;AU$1)*1</f>
        <v/>
      </c>
    </row>
    <row r="58">
      <c r="A58" t="inlineStr">
        <is>
          <t>GWI_tot_SR15</t>
        </is>
      </c>
      <c r="B58" t="inlineStr">
        <is>
          <t>43/3_Human_Induced</t>
        </is>
      </c>
      <c r="C58" t="inlineStr">
        <is>
          <t>c</t>
        </is>
      </c>
      <c r="D58" t="n">
        <v>7.183333333333334</v>
      </c>
      <c r="E58" t="n">
        <v>25.78333333333333</v>
      </c>
      <c r="F58" t="n">
        <v>-0.0066957254756631</v>
      </c>
      <c r="G58" t="n">
        <v>146.6451269366391</v>
      </c>
      <c r="H58" t="n">
        <v>0.3430555556994363</v>
      </c>
      <c r="I58" t="n">
        <v>-0.4055555553882186</v>
      </c>
      <c r="J58" t="n">
        <v>0.009368640780992501</v>
      </c>
      <c r="K58" t="n">
        <v>0.3430555556994363</v>
      </c>
      <c r="L58" t="n">
        <v>-0.4055555553882186</v>
      </c>
      <c r="M58" t="n">
        <v>0.3430555556994363</v>
      </c>
      <c r="N58" t="n">
        <v>-0.4055555553882186</v>
      </c>
      <c r="O58" t="n">
        <v>2.50770337959731</v>
      </c>
      <c r="P58" t="n">
        <v>0.0530735192231561</v>
      </c>
      <c r="Q58" t="n">
        <v>0.0112074669993335</v>
      </c>
      <c r="R58" t="n">
        <v>0.0016594255070503</v>
      </c>
      <c r="S58" t="n">
        <v>-0.0066957253211325</v>
      </c>
      <c r="T58" t="n">
        <v>158.2881803112215</v>
      </c>
      <c r="U58" t="n">
        <v>0.3805555556990233</v>
      </c>
      <c r="V58" t="n">
        <v>-0.455555555387923</v>
      </c>
      <c r="W58" t="n">
        <v>0.0179487181084427</v>
      </c>
      <c r="X58" t="n">
        <v>0.3805555556990233</v>
      </c>
      <c r="Y58" t="n">
        <v>-0.455555555387923</v>
      </c>
      <c r="Z58" t="n">
        <v>0.3805555556990233</v>
      </c>
      <c r="AA58" t="n">
        <v>-0.455555555387923</v>
      </c>
      <c r="AB58" t="n">
        <v>1.232905982905266</v>
      </c>
      <c r="AC58" t="n">
        <v>0.0016594259540851</v>
      </c>
      <c r="AD58" t="n">
        <v>6.367371745104697</v>
      </c>
      <c r="AE58" t="n">
        <v>7.002090789210068</v>
      </c>
      <c r="AF58" t="n">
        <v>6.227565135767741</v>
      </c>
      <c r="AG58" t="n">
        <v>5.919810400427552</v>
      </c>
      <c r="AH58" t="n">
        <v>1.247257170605462</v>
      </c>
      <c r="AI58" t="n">
        <v>13.01666666666667</v>
      </c>
      <c r="AJ58" t="n">
        <v>13</v>
      </c>
      <c r="AK58" t="n">
        <v>0.2398269223862068</v>
      </c>
      <c r="AL58" t="n">
        <v>0.2947143900697907</v>
      </c>
      <c r="AM58" t="n">
        <v>1.913433333333333</v>
      </c>
      <c r="AN58" t="n">
        <v>174.6160038847648</v>
      </c>
      <c r="AO58" t="n">
        <v>0.0633479382838264</v>
      </c>
      <c r="AP58" t="n">
        <v>0.0485493962041956</v>
      </c>
      <c r="AQ58" t="n">
        <v>0.0427797035166884</v>
      </c>
      <c r="AR58" t="n">
        <v>0.0406727088501031</v>
      </c>
      <c r="AS58" t="n">
        <v>0.0329724526775364</v>
      </c>
      <c r="AU58">
        <f>(AQ58&lt;AU$1)*1</f>
        <v/>
      </c>
    </row>
    <row r="59">
      <c r="A59" t="inlineStr">
        <is>
          <t>CGWL10y_pUKCP</t>
        </is>
      </c>
      <c r="B59" t="inlineStr">
        <is>
          <t>44/44_EarthModel_CGWL</t>
        </is>
      </c>
      <c r="C59" t="inlineStr">
        <is>
          <t>c</t>
        </is>
      </c>
      <c r="D59" t="n">
        <v>0.6333333333333333</v>
      </c>
      <c r="E59" t="n">
        <v>23.6</v>
      </c>
      <c r="F59" t="n">
        <v>0.085746020352126</v>
      </c>
      <c r="G59" t="n">
        <v>44.68683114541982</v>
      </c>
      <c r="H59" t="n">
        <v>-0.2513888887444674</v>
      </c>
      <c r="I59" t="n">
        <v>-4.174999999829205</v>
      </c>
      <c r="J59" t="n">
        <v>-3.194539835003766</v>
      </c>
      <c r="K59" t="n">
        <v>-0.2513888887444674</v>
      </c>
      <c r="L59" t="n">
        <v>-4.174999999829205</v>
      </c>
      <c r="M59" t="n">
        <v>-0.2513888887444674</v>
      </c>
      <c r="N59" t="n">
        <v>-4.174999999829205</v>
      </c>
      <c r="O59" t="n">
        <v>5.551740341579527</v>
      </c>
      <c r="P59" t="n">
        <v>0.1372373436132203</v>
      </c>
      <c r="Q59" t="n">
        <v>-0.0046537973055454</v>
      </c>
      <c r="R59" t="n">
        <v>0.1783549032404891</v>
      </c>
      <c r="S59" t="n">
        <v>0.0857460203744498</v>
      </c>
      <c r="T59" t="n">
        <v>44.670440334703</v>
      </c>
      <c r="U59" t="n">
        <v>-0.2138888887448805</v>
      </c>
      <c r="V59" t="n">
        <v>-4.224999999828909</v>
      </c>
      <c r="W59" t="n">
        <v>-3.151388888729376</v>
      </c>
      <c r="X59" t="n">
        <v>-0.2138888887448805</v>
      </c>
      <c r="Y59" t="n">
        <v>-4.224999999828909</v>
      </c>
      <c r="Z59" t="n">
        <v>-0.2138888887448805</v>
      </c>
      <c r="AA59" t="n">
        <v>-4.224999999828909</v>
      </c>
      <c r="AB59" t="n">
        <v>3.151388888729376</v>
      </c>
      <c r="AC59" t="n">
        <v>0.1783549033933215</v>
      </c>
      <c r="AD59" t="n">
        <v>1.971782042523296</v>
      </c>
      <c r="AE59" t="n">
        <v>1.364190259233946</v>
      </c>
      <c r="AF59" t="n">
        <v>1.971322440436242</v>
      </c>
      <c r="AG59" t="n">
        <v>1.363657586951552</v>
      </c>
      <c r="AH59" t="n">
        <v>0.5134126556064679</v>
      </c>
      <c r="AI59" t="n">
        <v>13.01666666666667</v>
      </c>
      <c r="AJ59" t="n">
        <v>13</v>
      </c>
      <c r="AK59" t="n">
        <v>0.2594672211557593</v>
      </c>
      <c r="AL59" t="n">
        <v>0.2841950885371636</v>
      </c>
      <c r="AM59" t="n">
        <v>1.6181</v>
      </c>
      <c r="AN59" t="n">
        <v>117.5714981338811</v>
      </c>
      <c r="AO59" t="n">
        <v>0.101296873365052</v>
      </c>
      <c r="AP59" t="n">
        <v>0.132396835692387</v>
      </c>
      <c r="AQ59" t="n">
        <v>0.1554787505195032</v>
      </c>
      <c r="AR59" t="n">
        <v>0.1325102163750087</v>
      </c>
      <c r="AS59" t="n">
        <v>0.1555930350738708</v>
      </c>
      <c r="AU59">
        <f>(AQ59&lt;AU$1)*1</f>
        <v/>
      </c>
    </row>
    <row r="60">
      <c r="A60" t="inlineStr">
        <is>
          <t>CGWL10y_sfUKCP</t>
        </is>
      </c>
      <c r="B60" t="inlineStr">
        <is>
          <t>44/44_EarthModel_CGWL</t>
        </is>
      </c>
      <c r="C60" t="inlineStr">
        <is>
          <t>c</t>
        </is>
      </c>
      <c r="D60" t="n">
        <v>4.516666666666667</v>
      </c>
      <c r="E60" t="n">
        <v>10.03333333333333</v>
      </c>
      <c r="F60" t="n">
        <v>0.037869251377127</v>
      </c>
      <c r="G60" t="n">
        <v>132.9471239878019</v>
      </c>
      <c r="H60" t="n">
        <v>-0.8111111109661958</v>
      </c>
      <c r="I60" t="n">
        <v>-2.542361110941852</v>
      </c>
      <c r="J60" t="n">
        <v>-2.015942968905472</v>
      </c>
      <c r="K60" t="n">
        <v>-0.9194444442994268</v>
      </c>
      <c r="L60" t="n">
        <v>-2.788888888719407</v>
      </c>
      <c r="M60" t="n">
        <v>-0.9194444442994268</v>
      </c>
      <c r="N60" t="n">
        <v>-2.788888888719407</v>
      </c>
      <c r="O60" t="n">
        <v>3.102375072544271</v>
      </c>
      <c r="P60" t="n">
        <v>0.0534091969507491</v>
      </c>
      <c r="Q60" t="n">
        <v>0.0008173418223974</v>
      </c>
      <c r="R60" t="n">
        <v>0.0596972953305284</v>
      </c>
      <c r="S60" t="n">
        <v>0.0378692513994509</v>
      </c>
      <c r="T60" t="n">
        <v>115.1897412654664</v>
      </c>
      <c r="U60" t="n">
        <v>-0.7736111109666088</v>
      </c>
      <c r="V60" t="n">
        <v>-2.592361110941556</v>
      </c>
      <c r="W60" t="n">
        <v>-2.005715811805553</v>
      </c>
      <c r="X60" t="n">
        <v>-0.8819444442998399</v>
      </c>
      <c r="Y60" t="n">
        <v>-2.838888888719111</v>
      </c>
      <c r="Z60" t="n">
        <v>-0.818055555411009</v>
      </c>
      <c r="AA60" t="n">
        <v>-2.702777777608117</v>
      </c>
      <c r="AB60" t="n">
        <v>2.242539173671204</v>
      </c>
      <c r="AC60" t="n">
        <v>0.0596972954833609</v>
      </c>
      <c r="AD60" t="n">
        <v>5.385301022422212</v>
      </c>
      <c r="AE60" t="n">
        <v>3.965604246768185</v>
      </c>
      <c r="AF60" t="n">
        <v>5.977442523525706</v>
      </c>
      <c r="AG60" t="n">
        <v>4.103206222930494</v>
      </c>
      <c r="AH60" t="n">
        <v>0.9636419373435864</v>
      </c>
      <c r="AI60" t="n">
        <v>15.25333333333333</v>
      </c>
      <c r="AJ60" t="n">
        <v>15.28666666666667</v>
      </c>
      <c r="AK60" t="n">
        <v>0.1636574702269751</v>
      </c>
      <c r="AL60" t="n">
        <v>0.2866509277430423</v>
      </c>
      <c r="AM60" t="n">
        <v>6.781016666666667</v>
      </c>
      <c r="AN60" t="n">
        <v>212.001226215589</v>
      </c>
      <c r="AO60" t="n">
        <v>0.0595973189283925</v>
      </c>
      <c r="AP60" t="n">
        <v>0.0532441090718645</v>
      </c>
      <c r="AQ60" t="n">
        <v>0.0578898458935089</v>
      </c>
      <c r="AR60" t="n">
        <v>0.0657783843975116</v>
      </c>
      <c r="AS60" t="n">
        <v>0.0701247961417877</v>
      </c>
      <c r="AU60">
        <f>(AQ60&lt;AU$1)*1</f>
        <v/>
      </c>
    </row>
    <row r="61">
      <c r="A61" t="inlineStr">
        <is>
          <t>CGWL10y_sUKCP</t>
        </is>
      </c>
      <c r="B61" t="inlineStr">
        <is>
          <t>44/44_EarthModel_CGWL</t>
        </is>
      </c>
      <c r="C61" t="inlineStr">
        <is>
          <t>c</t>
        </is>
      </c>
      <c r="D61" t="n">
        <v>4.5</v>
      </c>
      <c r="E61" t="n">
        <v>10.5</v>
      </c>
      <c r="F61" t="n">
        <v>0.042020422772745</v>
      </c>
      <c r="G61" t="n">
        <v>128.2187795944504</v>
      </c>
      <c r="H61" t="n">
        <v>-0.7518518517069892</v>
      </c>
      <c r="I61" t="n">
        <v>-2.798611110941601</v>
      </c>
      <c r="J61" t="n">
        <v>-2.208403286365987</v>
      </c>
      <c r="K61" t="n">
        <v>-0.8361111109661692</v>
      </c>
      <c r="L61" t="n">
        <v>-2.798611110941601</v>
      </c>
      <c r="M61" t="n">
        <v>-0.7958333331884319</v>
      </c>
      <c r="N61" t="n">
        <v>-2.798611110941601</v>
      </c>
      <c r="O61" t="n">
        <v>3.542611731120854</v>
      </c>
      <c r="P61" t="n">
        <v>0.0552430371897802</v>
      </c>
      <c r="Q61" t="n">
        <v>0.0020002188197819</v>
      </c>
      <c r="R61" t="n">
        <v>0.06799862300738301</v>
      </c>
      <c r="S61" t="n">
        <v>0.0420204227950688</v>
      </c>
      <c r="T61" t="n">
        <v>111.1642559554089</v>
      </c>
      <c r="U61" t="n">
        <v>-0.7143518517074022</v>
      </c>
      <c r="V61" t="n">
        <v>-2.848611110941306</v>
      </c>
      <c r="W61" t="n">
        <v>-2.196171652261411</v>
      </c>
      <c r="X61" t="n">
        <v>-0.7986111109665823</v>
      </c>
      <c r="Y61" t="n">
        <v>-2.848611110941306</v>
      </c>
      <c r="Z61" t="n">
        <v>-0.7986111109665823</v>
      </c>
      <c r="AA61" t="n">
        <v>-2.848611110941306</v>
      </c>
      <c r="AB61" t="n">
        <v>2.360381054007773</v>
      </c>
      <c r="AC61" t="n">
        <v>0.0679986231602155</v>
      </c>
      <c r="AD61" t="n">
        <v>5.391774715854794</v>
      </c>
      <c r="AE61" t="n">
        <v>3.777222047770796</v>
      </c>
      <c r="AF61" t="n">
        <v>5.998416649872778</v>
      </c>
      <c r="AG61" t="n">
        <v>3.696942783903884</v>
      </c>
      <c r="AH61" t="n">
        <v>0.806225097525283</v>
      </c>
      <c r="AI61" t="n">
        <v>13.745</v>
      </c>
      <c r="AJ61" t="n">
        <v>13.745</v>
      </c>
      <c r="AK61" t="n">
        <v>0.1240158739682953</v>
      </c>
      <c r="AL61" t="n">
        <v>0.2223848097918846</v>
      </c>
      <c r="AM61" t="n">
        <v>3.649</v>
      </c>
      <c r="AN61" t="n">
        <v>177.3695214555623</v>
      </c>
      <c r="AO61" t="n">
        <v>0.0639587909208101</v>
      </c>
      <c r="AP61" t="n">
        <v>0.0571199042076877</v>
      </c>
      <c r="AQ61" t="n">
        <v>0.06302873405807261</v>
      </c>
      <c r="AR61" t="n">
        <v>0.06892605358734161</v>
      </c>
      <c r="AS61" t="n">
        <v>0.0743150595934652</v>
      </c>
      <c r="AU61">
        <f>(AQ61&lt;AU$1)*1</f>
        <v/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Nicklas</dc:creator>
  <dcterms:created xsi:type="dcterms:W3CDTF">2025-07-05T21:56:38Z</dcterms:created>
  <dcterms:modified xsi:type="dcterms:W3CDTF">2026-10-22T04:58:27Z</dcterms:modified>
  <cp:lastModifiedBy>John Nicklas</cp:lastModifiedBy>
</cp:coreProperties>
</file>