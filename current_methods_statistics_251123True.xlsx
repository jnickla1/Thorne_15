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"/>
    </mc:Choice>
  </mc:AlternateContent>
  <xr:revisionPtr revIDLastSave="0" documentId="8_{07EDF438-1666-B846-B11A-D1746FE64518}" xr6:coauthVersionLast="47" xr6:coauthVersionMax="47" xr10:uidLastSave="{00000000-0000-0000-0000-000000000000}"/>
  <bookViews>
    <workbookView xWindow="3240" yWindow="1780" windowWidth="26840" windowHeight="15940" xr2:uid="{BBEF35F1-9340-1C46-9B6B-907CF59EC8BB}"/>
  </bookViews>
  <sheets>
    <sheet name="current_methods_statistics_25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<sst xmlns="http://schemas.openxmlformats.org/spreadsheetml/2006/main" count="236" uniqueCount="106">
  <si>
    <t>method_name</t>
  </si>
  <si>
    <t>method_class</t>
  </si>
  <si>
    <t>c/r</t>
  </si>
  <si>
    <t>smooth_r</t>
  </si>
  <si>
    <t>avg_unc.(1se)</t>
  </si>
  <si>
    <t>#q&lt;0.5</t>
  </si>
  <si>
    <t>#q&lt;0.1</t>
  </si>
  <si>
    <t>q_min</t>
  </si>
  <si>
    <t>q_small5</t>
  </si>
  <si>
    <t>log-likeli</t>
  </si>
  <si>
    <t>RMS</t>
  </si>
  <si>
    <t>bias</t>
  </si>
  <si>
    <t>tlog-l</t>
  </si>
  <si>
    <t>100log-l</t>
  </si>
  <si>
    <t>l05</t>
  </si>
  <si>
    <t>l10</t>
  </si>
  <si>
    <t>bias50</t>
  </si>
  <si>
    <t>Edyrs2</t>
  </si>
  <si>
    <t>Edyrs6</t>
  </si>
  <si>
    <t>cross_err0.5</t>
  </si>
  <si>
    <t>cross_err1.0</t>
  </si>
  <si>
    <t>#yrs</t>
  </si>
  <si>
    <t>100#q&lt;0.5</t>
  </si>
  <si>
    <t>FaIR_nonat_unB</t>
  </si>
  <si>
    <t>43/1_ERF_FaIR</t>
  </si>
  <si>
    <t>c</t>
  </si>
  <si>
    <t>FaIR_anthro_unB</t>
  </si>
  <si>
    <t>GWI_tot_CGWL</t>
  </si>
  <si>
    <t>43/3_Human_Induced</t>
  </si>
  <si>
    <t>FaIR_nonat</t>
  </si>
  <si>
    <t>FaIR_comb_unB</t>
  </si>
  <si>
    <t>EBMKF_ta2</t>
  </si>
  <si>
    <t>43/2_Kalman</t>
  </si>
  <si>
    <t>FaIR_anthro</t>
  </si>
  <si>
    <t>EBMKF_ta</t>
  </si>
  <si>
    <t>EBMKF_ta4</t>
  </si>
  <si>
    <t>TheilSen_h7075</t>
  </si>
  <si>
    <t>42/2_LT_Fits</t>
  </si>
  <si>
    <t>CGWL10y_for_halfU</t>
  </si>
  <si>
    <t>44/44_EarthModel_CGWL</t>
  </si>
  <si>
    <t>OLS_hinge75</t>
  </si>
  <si>
    <t>CGWL10y_forec</t>
  </si>
  <si>
    <t>GWI_anthro_AR6</t>
  </si>
  <si>
    <t>hinge75meet</t>
  </si>
  <si>
    <t>GWI_anthro_CGWL</t>
  </si>
  <si>
    <t>GWI_anthro</t>
  </si>
  <si>
    <t>CGWL10y_sUKCP</t>
  </si>
  <si>
    <t>GWI_anthro_SR15</t>
  </si>
  <si>
    <t>CGWL10y_sfUKCP</t>
  </si>
  <si>
    <t>Kal_flexLin_ocn</t>
  </si>
  <si>
    <t>42/5_Kalman</t>
  </si>
  <si>
    <t>CGWL_10y_IPCC</t>
  </si>
  <si>
    <t>Kal_flexLin</t>
  </si>
  <si>
    <t>removeGreensfx</t>
  </si>
  <si>
    <t>42/6_Remove_IV</t>
  </si>
  <si>
    <t>Kalman_RW_ocn</t>
  </si>
  <si>
    <t>Kalman_RW</t>
  </si>
  <si>
    <t>removeMEI_volc_cons</t>
  </si>
  <si>
    <t>lowess1dt30wnc</t>
  </si>
  <si>
    <t>42/3_ST_Fits</t>
  </si>
  <si>
    <t>etrend30y</t>
  </si>
  <si>
    <t>lowess1dt26wnc</t>
  </si>
  <si>
    <t>lowess1dt36wnc</t>
  </si>
  <si>
    <t>GWI_tot</t>
  </si>
  <si>
    <t>GWI_tot_SR15</t>
  </si>
  <si>
    <t>etrend15y</t>
  </si>
  <si>
    <t>GWI_tot_AR6</t>
  </si>
  <si>
    <t>lag5y</t>
  </si>
  <si>
    <t>42/1_Run_Means</t>
  </si>
  <si>
    <t>FaIR_all</t>
  </si>
  <si>
    <t>GAM_AR0</t>
  </si>
  <si>
    <t>42/4_GAM_AR1</t>
  </si>
  <si>
    <t>FaIR_all_unB</t>
  </si>
  <si>
    <t>lowess1dt20wARMA</t>
  </si>
  <si>
    <t>lowess1dt20wnc</t>
  </si>
  <si>
    <t>lowess1dt20wAR</t>
  </si>
  <si>
    <t>lfca_TAS</t>
  </si>
  <si>
    <t>etrend30y_3CS</t>
  </si>
  <si>
    <t>GWI_tot_orig</t>
  </si>
  <si>
    <t>GAM_AR1</t>
  </si>
  <si>
    <t>butterworth</t>
  </si>
  <si>
    <t>lag10y</t>
  </si>
  <si>
    <t>lowess2dt30wnc</t>
  </si>
  <si>
    <t>lowess1dg20wnc</t>
  </si>
  <si>
    <t>GWI_anthro_orig</t>
  </si>
  <si>
    <t>cubic_spline</t>
  </si>
  <si>
    <t>Bayes_seq_CP</t>
  </si>
  <si>
    <t>eROF_tot</t>
  </si>
  <si>
    <t>min_month_proj</t>
  </si>
  <si>
    <t>KCC_human</t>
  </si>
  <si>
    <t>lowess2dt20wnc</t>
  </si>
  <si>
    <t>offset11y</t>
  </si>
  <si>
    <t>quartic</t>
  </si>
  <si>
    <t>lowess1dt10wnc</t>
  </si>
  <si>
    <t>opt_clim_norm</t>
  </si>
  <si>
    <t>KCC_all</t>
  </si>
  <si>
    <t>lfca_SST</t>
  </si>
  <si>
    <t>eROF_anthro</t>
  </si>
  <si>
    <t>raw1y</t>
  </si>
  <si>
    <t>removeMEI_volc_refit</t>
  </si>
  <si>
    <t>removeMEI_cons</t>
  </si>
  <si>
    <t>OLS_refit</t>
  </si>
  <si>
    <t>OLS_refit_CO2forc</t>
  </si>
  <si>
    <t>43/0_Linear</t>
  </si>
  <si>
    <t>CGWL10y_pUKCP</t>
  </si>
  <si>
    <t>cons_hArrh_CO2forc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</si>
</sst>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33BD-6B57-CB48-8655-976CEF1C0AA0}">
  <dimension ref="A1:W72"/>
  <sheetViews>
    <sheetView tabSelected="1" topLeftCell="A47" workbookViewId="0">
      <selection activeCell="K55" sqref="K55:K57"/>
    </sheetView>
  </sheetViews>
  <sheetFormatPr baseColWidth="10" defaultRowHeight="16" x14ac:dyDescent="0.2"/>
  <cols>
    <col min="1" max="1" width="16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81</v>
      </c>
      <c r="B2" t="s">
        <v>68</v>
      </c>
      <c r="C2" t="s">
        <v>25</v>
      </c>
      <c r="D2">
        <v>2.831</v>
      </c>
      <c r="E2">
        <v>8.5857326838122305E-2</v>
      </c>
      <c r="F2">
        <v>0</v>
      </c>
      <c r="G2">
        <v>0</v>
      </c>
      <c r="H2">
        <v>0.57103684246248398</v>
      </c>
      <c r="I2">
        <v>0.99982109361094895</v>
      </c>
      <c r="J2">
        <v>1.2226292796999001</v>
      </c>
      <c r="K2">
        <v>6.0869234035618301E-2</v>
      </c>
      <c r="L2">
        <v>-3.26308491112903E-2</v>
      </c>
      <c r="M2">
        <v>189.50753835348499</v>
      </c>
      <c r="N2">
        <v>1.1079639548853999</v>
      </c>
      <c r="O2">
        <v>3.1307065412475801</v>
      </c>
      <c r="P2">
        <v>2.1424846958307802</v>
      </c>
      <c r="Q2">
        <v>-8.8244970926249999E-2</v>
      </c>
      <c r="R2">
        <v>4.3750000000074998</v>
      </c>
      <c r="S2">
        <v>4.5416666666737502</v>
      </c>
      <c r="T2">
        <v>1988.24999999998</v>
      </c>
      <c r="U2">
        <v>2016.0833333333101</v>
      </c>
      <c r="V2">
        <v>166</v>
      </c>
      <c r="W2">
        <v>0</v>
      </c>
    </row>
    <row r="3" spans="1:23" x14ac:dyDescent="0.2">
      <c r="A3" t="s">
        <v>67</v>
      </c>
      <c r="B3" t="s">
        <v>68</v>
      </c>
      <c r="C3" t="s">
        <v>25</v>
      </c>
      <c r="D3">
        <v>6.407</v>
      </c>
      <c r="E3">
        <v>7.0683806162325696E-2</v>
      </c>
      <c r="F3">
        <v>0</v>
      </c>
      <c r="G3">
        <v>0</v>
      </c>
      <c r="H3">
        <v>0.68742679372631998</v>
      </c>
      <c r="I3">
        <v>0.99930259986268499</v>
      </c>
      <c r="J3">
        <v>1.34442019302385</v>
      </c>
      <c r="K3">
        <v>5.6289359122525397E-2</v>
      </c>
      <c r="L3">
        <v>-1.8023557195161199E-2</v>
      </c>
      <c r="M3">
        <v>208.38512991869601</v>
      </c>
      <c r="N3">
        <v>1.3329444128078001</v>
      </c>
      <c r="O3">
        <v>5.5619665565347596</v>
      </c>
      <c r="P3">
        <v>4.9364213070287501</v>
      </c>
      <c r="Q3">
        <v>-4.4835313131249999E-2</v>
      </c>
      <c r="R3">
        <v>3.7916666666745802</v>
      </c>
      <c r="S3">
        <v>2.54861111112002</v>
      </c>
      <c r="T3">
        <v>1985.6666666666499</v>
      </c>
      <c r="U3">
        <v>2014.4166666666399</v>
      </c>
      <c r="V3">
        <v>171</v>
      </c>
      <c r="W3">
        <v>0</v>
      </c>
    </row>
    <row r="4" spans="1:23" x14ac:dyDescent="0.2">
      <c r="A4" t="s">
        <v>91</v>
      </c>
      <c r="B4" t="s">
        <v>68</v>
      </c>
      <c r="C4" t="s">
        <v>25</v>
      </c>
      <c r="D4">
        <v>2.7989999999999999</v>
      </c>
      <c r="E4">
        <v>7.7789234600993698E-2</v>
      </c>
      <c r="F4">
        <v>62</v>
      </c>
      <c r="G4">
        <v>0</v>
      </c>
      <c r="H4">
        <v>0.45865947717727901</v>
      </c>
      <c r="I4">
        <v>0.45865947717727901</v>
      </c>
      <c r="J4">
        <v>0.998702065173669</v>
      </c>
      <c r="K4">
        <v>9.20010542051517E-2</v>
      </c>
      <c r="L4">
        <v>7.44963364775659E-2</v>
      </c>
      <c r="M4">
        <v>154.79882010191801</v>
      </c>
      <c r="N4">
        <v>1.2000438007072101</v>
      </c>
      <c r="O4">
        <v>3.7642488648497299</v>
      </c>
      <c r="P4">
        <v>6.0372231430094798</v>
      </c>
      <c r="Q4">
        <v>1.2823832673295401E-2</v>
      </c>
      <c r="R4">
        <v>1.08333333332097</v>
      </c>
      <c r="S4">
        <v>0.95833333332427595</v>
      </c>
      <c r="T4">
        <v>1983.0833333333201</v>
      </c>
      <c r="U4">
        <v>2009.6666666666499</v>
      </c>
      <c r="V4">
        <v>165</v>
      </c>
      <c r="W4">
        <v>27</v>
      </c>
    </row>
    <row r="5" spans="1:23" x14ac:dyDescent="0.2">
      <c r="A5" t="s">
        <v>98</v>
      </c>
      <c r="B5" t="s">
        <v>68</v>
      </c>
      <c r="C5" t="s">
        <v>25</v>
      </c>
      <c r="D5">
        <v>32.863</v>
      </c>
      <c r="E5">
        <v>0.101077037978216</v>
      </c>
      <c r="F5">
        <v>1</v>
      </c>
      <c r="G5">
        <v>0</v>
      </c>
      <c r="H5">
        <v>0.29097688073424499</v>
      </c>
      <c r="I5">
        <v>0.877778596435278</v>
      </c>
      <c r="J5">
        <v>0.898280122994494</v>
      </c>
      <c r="K5">
        <v>9.7981694123797897E-2</v>
      </c>
      <c r="L5">
        <v>-5.3767237629032301E-3</v>
      </c>
      <c r="M5">
        <v>139.23341906414601</v>
      </c>
      <c r="N5">
        <v>0.92857119504488494</v>
      </c>
      <c r="O5">
        <v>3.0758336591490498</v>
      </c>
      <c r="P5">
        <v>4.3472897463425602</v>
      </c>
      <c r="Q5">
        <v>-8.8910542312500094E-3</v>
      </c>
      <c r="R5">
        <v>3.0520833333305202</v>
      </c>
      <c r="S5">
        <v>3.2569444444382798</v>
      </c>
      <c r="T5">
        <v>1984.24999999998</v>
      </c>
      <c r="U5">
        <v>2010.9166666666499</v>
      </c>
      <c r="V5">
        <v>175</v>
      </c>
      <c r="W5">
        <v>0</v>
      </c>
    </row>
    <row r="6" spans="1:23" x14ac:dyDescent="0.2">
      <c r="A6" t="s">
        <v>86</v>
      </c>
      <c r="B6" t="s">
        <v>37</v>
      </c>
      <c r="C6" t="s">
        <v>25</v>
      </c>
      <c r="D6">
        <v>3.6739999999999999</v>
      </c>
      <c r="E6">
        <v>8.0214539083572595E-2</v>
      </c>
      <c r="F6">
        <v>0</v>
      </c>
      <c r="G6">
        <v>0</v>
      </c>
      <c r="H6">
        <v>0.76994115669071095</v>
      </c>
      <c r="I6">
        <v>0.76994115669071095</v>
      </c>
      <c r="J6">
        <v>1.0995863350173301</v>
      </c>
      <c r="K6">
        <v>7.6378426024506493E-2</v>
      </c>
      <c r="L6">
        <v>-3.1158887275775801E-2</v>
      </c>
      <c r="M6">
        <v>127.55201486201101</v>
      </c>
      <c r="N6">
        <v>1.0475069979323901</v>
      </c>
      <c r="O6">
        <v>2.8625894163587402</v>
      </c>
      <c r="P6">
        <v>4.9195262201258201</v>
      </c>
      <c r="Q6">
        <v>-6.6889793671250003E-2</v>
      </c>
      <c r="R6">
        <v>3.6666666666747001</v>
      </c>
      <c r="S6">
        <v>2.6944444444532398</v>
      </c>
      <c r="T6">
        <v>1989.24999999998</v>
      </c>
      <c r="U6">
        <v>2011.8333333333101</v>
      </c>
      <c r="V6">
        <v>126</v>
      </c>
      <c r="W6">
        <v>0</v>
      </c>
    </row>
    <row r="7" spans="1:23" x14ac:dyDescent="0.2">
      <c r="A7" t="s">
        <v>80</v>
      </c>
      <c r="B7" t="s">
        <v>37</v>
      </c>
      <c r="C7" t="s">
        <v>25</v>
      </c>
      <c r="D7">
        <v>14.526</v>
      </c>
      <c r="E7">
        <v>7.9453262158775101E-2</v>
      </c>
      <c r="F7">
        <v>3</v>
      </c>
      <c r="G7">
        <v>0</v>
      </c>
      <c r="H7">
        <v>0.187599838324985</v>
      </c>
      <c r="I7">
        <v>0.83861564415241097</v>
      </c>
      <c r="J7">
        <v>1.23670748148427</v>
      </c>
      <c r="K7">
        <v>5.5866700845551301E-2</v>
      </c>
      <c r="L7">
        <v>-3.4505187283794897E-2</v>
      </c>
      <c r="M7">
        <v>81.6226937779618</v>
      </c>
      <c r="N7">
        <v>1.23670748148427</v>
      </c>
      <c r="O7">
        <v>2.4287043845065601</v>
      </c>
      <c r="P7">
        <v>4.9141037316353202</v>
      </c>
      <c r="Q7">
        <v>-3.8889901376858098E-2</v>
      </c>
      <c r="R7">
        <v>2.8958333333421198</v>
      </c>
      <c r="S7">
        <v>2.01388888889467</v>
      </c>
      <c r="T7">
        <v>1986.3333333333101</v>
      </c>
      <c r="U7">
        <v>2012.49999999998</v>
      </c>
      <c r="V7">
        <v>76</v>
      </c>
      <c r="W7">
        <v>3</v>
      </c>
    </row>
    <row r="8" spans="1:23" x14ac:dyDescent="0.2">
      <c r="A8" t="s">
        <v>43</v>
      </c>
      <c r="B8" t="s">
        <v>37</v>
      </c>
      <c r="C8" t="s">
        <v>25</v>
      </c>
      <c r="D8">
        <v>3.2509999999999999</v>
      </c>
      <c r="E8">
        <v>4.7375767089607099E-2</v>
      </c>
      <c r="F8">
        <v>1</v>
      </c>
      <c r="G8">
        <v>0</v>
      </c>
      <c r="H8">
        <v>0.12864582433885299</v>
      </c>
      <c r="I8">
        <v>0.70934871302329705</v>
      </c>
      <c r="J8">
        <v>1.89252491677725</v>
      </c>
      <c r="K8">
        <v>3.7215452688157902E-2</v>
      </c>
      <c r="L8">
        <v>4.9175143999388299E-3</v>
      </c>
      <c r="M8">
        <v>151.40199334217999</v>
      </c>
      <c r="N8">
        <v>1.89252491677725</v>
      </c>
      <c r="O8">
        <v>3.2300180245613501</v>
      </c>
      <c r="P8">
        <v>8.2634849306552898</v>
      </c>
      <c r="Q8">
        <v>8.6609621708990305E-3</v>
      </c>
      <c r="R8">
        <v>2.5000000000090901</v>
      </c>
      <c r="S8">
        <v>1.36111111110922</v>
      </c>
      <c r="T8">
        <v>1981.9166666666499</v>
      </c>
      <c r="U8">
        <v>2010.4166666666499</v>
      </c>
      <c r="V8">
        <v>90</v>
      </c>
      <c r="W8">
        <v>1</v>
      </c>
    </row>
    <row r="9" spans="1:23" x14ac:dyDescent="0.2">
      <c r="A9" t="s">
        <v>40</v>
      </c>
      <c r="B9" t="s">
        <v>37</v>
      </c>
      <c r="C9" t="s">
        <v>25</v>
      </c>
      <c r="D9">
        <v>3.7749999999999999</v>
      </c>
      <c r="E9">
        <v>3.70111999559255E-2</v>
      </c>
      <c r="F9">
        <v>2</v>
      </c>
      <c r="G9">
        <v>0</v>
      </c>
      <c r="H9">
        <v>0.33538482313727103</v>
      </c>
      <c r="I9">
        <v>0.76856205203362504</v>
      </c>
      <c r="J9">
        <v>1.9821969218362401</v>
      </c>
      <c r="K9">
        <v>4.30151552583087E-2</v>
      </c>
      <c r="L9">
        <v>7.4312126986821299E-3</v>
      </c>
      <c r="M9">
        <v>158.57575374689901</v>
      </c>
      <c r="N9">
        <v>1.9821969218362401</v>
      </c>
      <c r="O9">
        <v>2.8109964109345702</v>
      </c>
      <c r="P9">
        <v>11.687840711642099</v>
      </c>
      <c r="Q9">
        <v>1.3688358768385599E-2</v>
      </c>
      <c r="R9">
        <v>3.16666666667515</v>
      </c>
      <c r="S9">
        <v>1.68055555555334</v>
      </c>
      <c r="T9">
        <v>1980.4166666666499</v>
      </c>
      <c r="U9">
        <v>2010.99999999998</v>
      </c>
      <c r="V9">
        <v>90</v>
      </c>
      <c r="W9">
        <v>2</v>
      </c>
    </row>
    <row r="10" spans="1:23" x14ac:dyDescent="0.2">
      <c r="A10" t="s">
        <v>101</v>
      </c>
      <c r="B10" t="s">
        <v>37</v>
      </c>
      <c r="C10" t="s">
        <v>25</v>
      </c>
      <c r="D10">
        <v>1.127</v>
      </c>
      <c r="E10">
        <v>0.13829138427719601</v>
      </c>
      <c r="F10">
        <v>0</v>
      </c>
      <c r="G10">
        <v>0</v>
      </c>
      <c r="H10">
        <v>0.70080242485638899</v>
      </c>
      <c r="I10">
        <v>0.70080242485638899</v>
      </c>
      <c r="J10">
        <v>0.56120747996850096</v>
      </c>
      <c r="K10">
        <v>0.13422070373011599</v>
      </c>
      <c r="L10">
        <v>-3.1253101259667501E-2</v>
      </c>
      <c r="M10">
        <v>36.478486197952599</v>
      </c>
      <c r="N10">
        <v>0.56120747996850096</v>
      </c>
      <c r="O10">
        <v>2.80045598674341</v>
      </c>
      <c r="P10">
        <v>0.83165776665468105</v>
      </c>
      <c r="Q10">
        <v>-0.12093426916507299</v>
      </c>
      <c r="R10">
        <v>8.7916666666699204</v>
      </c>
      <c r="S10">
        <v>9.56944444444688</v>
      </c>
      <c r="T10">
        <v>1988.4166666666499</v>
      </c>
      <c r="U10">
        <v>2019.8333333333101</v>
      </c>
      <c r="V10">
        <v>75</v>
      </c>
      <c r="W10">
        <v>0</v>
      </c>
    </row>
    <row r="11" spans="1:23" x14ac:dyDescent="0.2">
      <c r="A11" t="s">
        <v>92</v>
      </c>
      <c r="B11" t="s">
        <v>37</v>
      </c>
      <c r="C11" t="s">
        <v>25</v>
      </c>
      <c r="D11">
        <v>4.0780000000000003</v>
      </c>
      <c r="E11">
        <v>8.9077432836499895E-2</v>
      </c>
      <c r="F11">
        <v>0</v>
      </c>
      <c r="G11">
        <v>0</v>
      </c>
      <c r="H11">
        <v>0.55609930160407794</v>
      </c>
      <c r="I11">
        <v>0.72876303656860697</v>
      </c>
      <c r="J11">
        <v>0.99181221048036095</v>
      </c>
      <c r="K11">
        <v>9.9062298128292606E-2</v>
      </c>
      <c r="L11">
        <v>-6.5065473409585003E-2</v>
      </c>
      <c r="M11">
        <v>64.467793681223398</v>
      </c>
      <c r="N11">
        <v>0.99181221048036095</v>
      </c>
      <c r="O11">
        <v>2.0457027224512498</v>
      </c>
      <c r="P11">
        <v>6.0549479981216798</v>
      </c>
      <c r="Q11">
        <v>-7.6509751836593101E-2</v>
      </c>
      <c r="R11">
        <v>2.6249999999861302</v>
      </c>
      <c r="S11">
        <v>2.3333333333286701</v>
      </c>
      <c r="T11">
        <v>1989.24999999998</v>
      </c>
      <c r="U11">
        <v>2009.74999999998</v>
      </c>
      <c r="V11">
        <v>75</v>
      </c>
      <c r="W11">
        <v>0</v>
      </c>
    </row>
    <row r="12" spans="1:23" x14ac:dyDescent="0.2">
      <c r="A12" t="s">
        <v>36</v>
      </c>
      <c r="B12" t="s">
        <v>37</v>
      </c>
      <c r="C12" t="s">
        <v>25</v>
      </c>
      <c r="D12">
        <v>2.3809999999999998</v>
      </c>
      <c r="E12">
        <v>3.4833955879071198E-2</v>
      </c>
      <c r="F12">
        <v>0</v>
      </c>
      <c r="G12">
        <v>0</v>
      </c>
      <c r="H12">
        <v>0.68208870225324902</v>
      </c>
      <c r="I12">
        <v>0.68208870225324902</v>
      </c>
      <c r="J12">
        <v>2.0480841661109999</v>
      </c>
      <c r="K12">
        <v>3.6571443897569299E-2</v>
      </c>
      <c r="L12">
        <v>4.0366132054184198E-3</v>
      </c>
      <c r="M12">
        <v>163.84673328887999</v>
      </c>
      <c r="N12">
        <v>2.0480841661109999</v>
      </c>
      <c r="O12">
        <v>3.0885106267470599</v>
      </c>
      <c r="P12">
        <v>11.8848613680218</v>
      </c>
      <c r="Q12">
        <v>-1.6556727411770301E-3</v>
      </c>
      <c r="R12">
        <v>3.2500000000084102</v>
      </c>
      <c r="S12">
        <v>1.65277777777566</v>
      </c>
      <c r="T12">
        <v>1981.74999999998</v>
      </c>
      <c r="U12">
        <v>2011.8333333333101</v>
      </c>
      <c r="V12">
        <v>90</v>
      </c>
      <c r="W12">
        <v>0</v>
      </c>
    </row>
    <row r="13" spans="1:23" x14ac:dyDescent="0.2">
      <c r="A13" t="s">
        <v>65</v>
      </c>
      <c r="B13" t="s">
        <v>59</v>
      </c>
      <c r="C13" t="s">
        <v>25</v>
      </c>
      <c r="D13">
        <v>5.859</v>
      </c>
      <c r="E13">
        <v>6.0446935616932103E-2</v>
      </c>
      <c r="F13">
        <v>2</v>
      </c>
      <c r="G13">
        <v>0</v>
      </c>
      <c r="H13">
        <v>0.37128847605116699</v>
      </c>
      <c r="I13">
        <v>0.64924882590654998</v>
      </c>
      <c r="J13">
        <v>1.37259891272528</v>
      </c>
      <c r="K13">
        <v>5.8839838596390401E-2</v>
      </c>
      <c r="L13">
        <v>-6.1284073079471701E-3</v>
      </c>
      <c r="M13">
        <v>207.26243582151801</v>
      </c>
      <c r="N13">
        <v>1.39761610946135</v>
      </c>
      <c r="O13">
        <v>4.3961523378392897</v>
      </c>
      <c r="P13">
        <v>7.0977739061887597</v>
      </c>
      <c r="Q13">
        <v>-1.05343995210424E-2</v>
      </c>
      <c r="R13">
        <v>2.75000000000886</v>
      </c>
      <c r="S13">
        <v>1.8472222222249099</v>
      </c>
      <c r="T13">
        <v>1983.49999999998</v>
      </c>
      <c r="U13">
        <v>2011.4166666666499</v>
      </c>
      <c r="V13">
        <v>161</v>
      </c>
      <c r="W13">
        <v>2</v>
      </c>
    </row>
    <row r="14" spans="1:23" x14ac:dyDescent="0.2">
      <c r="A14" t="s">
        <v>60</v>
      </c>
      <c r="B14" t="s">
        <v>59</v>
      </c>
      <c r="C14" t="s">
        <v>25</v>
      </c>
      <c r="D14">
        <v>3.2330000000000001</v>
      </c>
      <c r="E14">
        <v>6.1171775836991703E-2</v>
      </c>
      <c r="F14">
        <v>0</v>
      </c>
      <c r="G14">
        <v>0</v>
      </c>
      <c r="H14">
        <v>0.89792181575066998</v>
      </c>
      <c r="I14">
        <v>0.89792181575066998</v>
      </c>
      <c r="J14">
        <v>1.43840573776159</v>
      </c>
      <c r="K14">
        <v>5.58930839381893E-2</v>
      </c>
      <c r="L14">
        <v>-1.1138304831716401E-2</v>
      </c>
      <c r="M14">
        <v>195.62318033557699</v>
      </c>
      <c r="N14">
        <v>1.3958479730572699</v>
      </c>
      <c r="O14">
        <v>4.6800618673033902</v>
      </c>
      <c r="P14">
        <v>6.3502198086009898</v>
      </c>
      <c r="Q14">
        <v>-3.8420624902378402E-2</v>
      </c>
      <c r="R14">
        <v>1.9583333333430299</v>
      </c>
      <c r="S14">
        <v>1.0833333333435999</v>
      </c>
      <c r="T14">
        <v>1987.0833333333101</v>
      </c>
      <c r="U14">
        <v>2011.24999999998</v>
      </c>
      <c r="V14">
        <v>146</v>
      </c>
      <c r="W14">
        <v>0</v>
      </c>
    </row>
    <row r="15" spans="1:23" x14ac:dyDescent="0.2">
      <c r="A15" t="s">
        <v>77</v>
      </c>
      <c r="B15" t="s">
        <v>59</v>
      </c>
      <c r="C15" t="s">
        <v>25</v>
      </c>
      <c r="D15">
        <v>3.5920000000000001</v>
      </c>
      <c r="E15">
        <v>7.54260921565717E-2</v>
      </c>
      <c r="F15">
        <v>0</v>
      </c>
      <c r="G15">
        <v>0</v>
      </c>
      <c r="H15">
        <v>0.88704620630617403</v>
      </c>
      <c r="I15">
        <v>0.88704620630617403</v>
      </c>
      <c r="J15">
        <v>1.26402649617091</v>
      </c>
      <c r="K15">
        <v>6.4744947538476594E-2</v>
      </c>
      <c r="L15">
        <v>-2.04653067716754E-2</v>
      </c>
      <c r="M15">
        <v>171.90760347924501</v>
      </c>
      <c r="N15">
        <v>1.1863806097734499</v>
      </c>
      <c r="O15">
        <v>4.1037514829540198</v>
      </c>
      <c r="P15">
        <v>1.22699581469186</v>
      </c>
      <c r="Q15">
        <v>-7.0132431498239001E-2</v>
      </c>
      <c r="R15">
        <v>4.1250000000077298</v>
      </c>
      <c r="S15">
        <v>3.1111111111195302</v>
      </c>
      <c r="T15">
        <v>1986.99999999998</v>
      </c>
      <c r="U15">
        <v>2014.99999999998</v>
      </c>
      <c r="V15">
        <v>146</v>
      </c>
      <c r="W15">
        <v>0</v>
      </c>
    </row>
    <row r="16" spans="1:23" x14ac:dyDescent="0.2">
      <c r="A16" t="s">
        <v>83</v>
      </c>
      <c r="B16" t="s">
        <v>59</v>
      </c>
      <c r="C16" t="s">
        <v>25</v>
      </c>
      <c r="D16">
        <v>2.718</v>
      </c>
      <c r="E16">
        <v>9.5400235812800896E-2</v>
      </c>
      <c r="F16">
        <v>0</v>
      </c>
      <c r="G16">
        <v>0</v>
      </c>
      <c r="H16">
        <v>0.94267704085079196</v>
      </c>
      <c r="I16">
        <v>0.94267704085079196</v>
      </c>
      <c r="J16">
        <v>1.16896539165083</v>
      </c>
      <c r="K16">
        <v>6.4903315636945597E-2</v>
      </c>
      <c r="L16">
        <v>-2.3856265533659299E-2</v>
      </c>
      <c r="M16">
        <v>181.189635705879</v>
      </c>
      <c r="N16">
        <v>1.21639379235573</v>
      </c>
      <c r="O16">
        <v>2.9008466162177</v>
      </c>
      <c r="P16">
        <v>5.8671096114333601</v>
      </c>
      <c r="Q16">
        <v>-7.1100012744933605E-2</v>
      </c>
      <c r="R16">
        <v>3.6666666666747001</v>
      </c>
      <c r="S16">
        <v>2.9861111111196101</v>
      </c>
      <c r="T16">
        <v>1989.0833333333101</v>
      </c>
      <c r="U16">
        <v>2012.24999999998</v>
      </c>
      <c r="V16">
        <v>172</v>
      </c>
      <c r="W16">
        <v>0</v>
      </c>
    </row>
    <row r="17" spans="1:23" x14ac:dyDescent="0.2">
      <c r="A17" t="s">
        <v>93</v>
      </c>
      <c r="B17" t="s">
        <v>59</v>
      </c>
      <c r="C17" t="s">
        <v>25</v>
      </c>
      <c r="D17">
        <v>10.481</v>
      </c>
      <c r="E17">
        <v>0.11952858246121301</v>
      </c>
      <c r="F17">
        <v>0</v>
      </c>
      <c r="G17">
        <v>0</v>
      </c>
      <c r="H17">
        <v>0.717177349079826</v>
      </c>
      <c r="I17">
        <v>0.94345325551929304</v>
      </c>
      <c r="J17">
        <v>0.98765946413210903</v>
      </c>
      <c r="K17">
        <v>7.42110542024675E-2</v>
      </c>
      <c r="L17">
        <v>-5.8015045681985003E-3</v>
      </c>
      <c r="M17">
        <v>153.08721694047699</v>
      </c>
      <c r="N17">
        <v>1.0756415128246</v>
      </c>
      <c r="O17">
        <v>3.8504237909171</v>
      </c>
      <c r="P17">
        <v>4.9439279291327098</v>
      </c>
      <c r="Q17">
        <v>-1.02373896613539E-2</v>
      </c>
      <c r="R17">
        <v>3.8541666666744701</v>
      </c>
      <c r="S17">
        <v>2.72222222221819</v>
      </c>
      <c r="T17">
        <v>1983.8333333333201</v>
      </c>
      <c r="U17">
        <v>2012.1666666666499</v>
      </c>
      <c r="V17">
        <v>172</v>
      </c>
      <c r="W17">
        <v>0</v>
      </c>
    </row>
    <row r="18" spans="1:23" x14ac:dyDescent="0.2">
      <c r="A18" t="s">
        <v>75</v>
      </c>
      <c r="B18" t="s">
        <v>59</v>
      </c>
      <c r="C18" t="s">
        <v>25</v>
      </c>
      <c r="D18">
        <v>5.7590000000000003</v>
      </c>
      <c r="E18">
        <v>9.5965166465495202E-2</v>
      </c>
      <c r="F18">
        <v>2</v>
      </c>
      <c r="G18">
        <v>0</v>
      </c>
      <c r="H18">
        <v>0.28844334959302698</v>
      </c>
      <c r="I18">
        <v>0.99959642375402702</v>
      </c>
      <c r="J18">
        <v>1.2730950562058601</v>
      </c>
      <c r="K18">
        <v>5.7446705085941102E-2</v>
      </c>
      <c r="L18">
        <v>-7.5137931215497602E-3</v>
      </c>
      <c r="M18">
        <v>197.32973371190801</v>
      </c>
      <c r="N18">
        <v>1.4262945656245101</v>
      </c>
      <c r="O18">
        <v>4.6349822016174302</v>
      </c>
      <c r="P18">
        <v>8.5289294111112106</v>
      </c>
      <c r="Q18">
        <v>-1.14450930926759E-2</v>
      </c>
      <c r="R18">
        <v>3.2916666666749199</v>
      </c>
      <c r="S18">
        <v>1.6666666666690499</v>
      </c>
      <c r="T18">
        <v>1983.24999999998</v>
      </c>
      <c r="U18">
        <v>2011.9166666666499</v>
      </c>
      <c r="V18">
        <v>172</v>
      </c>
      <c r="W18">
        <v>2</v>
      </c>
    </row>
    <row r="19" spans="1:23" x14ac:dyDescent="0.2">
      <c r="A19" t="s">
        <v>73</v>
      </c>
      <c r="B19" t="s">
        <v>59</v>
      </c>
      <c r="C19" t="s">
        <v>25</v>
      </c>
      <c r="D19">
        <v>5.91</v>
      </c>
      <c r="E19">
        <v>7.50447282844518E-2</v>
      </c>
      <c r="F19">
        <v>2</v>
      </c>
      <c r="G19">
        <v>0</v>
      </c>
      <c r="H19">
        <v>0.27671816321173698</v>
      </c>
      <c r="I19">
        <v>0.99961154774475303</v>
      </c>
      <c r="J19">
        <v>1.3178957391363399</v>
      </c>
      <c r="K19">
        <v>5.8387883617864497E-2</v>
      </c>
      <c r="L19">
        <v>-4.0799168761129004E-3</v>
      </c>
      <c r="M19">
        <v>183.187507739951</v>
      </c>
      <c r="N19">
        <v>1.4268820371790401</v>
      </c>
      <c r="O19">
        <v>4.6940785782161196</v>
      </c>
      <c r="P19">
        <v>8.6654005510146206</v>
      </c>
      <c r="Q19">
        <v>-1.14450930926759E-2</v>
      </c>
      <c r="R19">
        <v>3.2916666666749199</v>
      </c>
      <c r="S19">
        <v>1.6666666666690499</v>
      </c>
      <c r="T19">
        <v>1983.24999999998</v>
      </c>
      <c r="U19">
        <v>2011.99999999998</v>
      </c>
      <c r="V19">
        <v>150</v>
      </c>
      <c r="W19">
        <v>2</v>
      </c>
    </row>
    <row r="20" spans="1:23" x14ac:dyDescent="0.2">
      <c r="A20" t="s">
        <v>74</v>
      </c>
      <c r="B20" t="s">
        <v>59</v>
      </c>
      <c r="C20" t="s">
        <v>25</v>
      </c>
      <c r="D20">
        <v>5.7590000000000003</v>
      </c>
      <c r="E20">
        <v>8.3498995744807195E-2</v>
      </c>
      <c r="F20">
        <v>2</v>
      </c>
      <c r="G20">
        <v>0</v>
      </c>
      <c r="H20">
        <v>0.25443717879428801</v>
      </c>
      <c r="I20">
        <v>0.99960683709174603</v>
      </c>
      <c r="J20">
        <v>1.3042623055381299</v>
      </c>
      <c r="K20">
        <v>5.7446705085941102E-2</v>
      </c>
      <c r="L20">
        <v>-7.5137931215497602E-3</v>
      </c>
      <c r="M20">
        <v>202.16065735841099</v>
      </c>
      <c r="N20">
        <v>1.4161251745980901</v>
      </c>
      <c r="O20">
        <v>4.6546661535310898</v>
      </c>
      <c r="P20">
        <v>8.7918685927165594</v>
      </c>
      <c r="Q20">
        <v>-1.14450930926759E-2</v>
      </c>
      <c r="R20">
        <v>3.2916666666749199</v>
      </c>
      <c r="S20">
        <v>1.6666666666690499</v>
      </c>
      <c r="T20">
        <v>1983.24999999998</v>
      </c>
      <c r="U20">
        <v>2011.99999999998</v>
      </c>
      <c r="V20">
        <v>172</v>
      </c>
      <c r="W20">
        <v>2</v>
      </c>
    </row>
    <row r="21" spans="1:23" x14ac:dyDescent="0.2">
      <c r="A21" t="s">
        <v>61</v>
      </c>
      <c r="B21" t="s">
        <v>59</v>
      </c>
      <c r="C21" t="s">
        <v>25</v>
      </c>
      <c r="D21">
        <v>4.6150000000000002</v>
      </c>
      <c r="E21">
        <v>7.2552877663087198E-2</v>
      </c>
      <c r="F21">
        <v>1</v>
      </c>
      <c r="G21">
        <v>0</v>
      </c>
      <c r="H21">
        <v>0.46822240612698202</v>
      </c>
      <c r="I21">
        <v>0.99399312430072195</v>
      </c>
      <c r="J21">
        <v>1.43069817457813</v>
      </c>
      <c r="K21">
        <v>5.2384257328954797E-2</v>
      </c>
      <c r="L21">
        <v>-9.2429403478829202E-3</v>
      </c>
      <c r="M21">
        <v>221.75821705961101</v>
      </c>
      <c r="N21">
        <v>1.55097865656814</v>
      </c>
      <c r="O21">
        <v>6.4858938343138401</v>
      </c>
      <c r="P21">
        <v>9.9615780940999006</v>
      </c>
      <c r="Q21">
        <v>-1.6581059632526901E-2</v>
      </c>
      <c r="R21">
        <v>2.3333333333425799</v>
      </c>
      <c r="S21">
        <v>1.3611111111137699</v>
      </c>
      <c r="T21">
        <v>1983.99999999998</v>
      </c>
      <c r="U21">
        <v>2011.4166666666499</v>
      </c>
      <c r="V21">
        <v>172</v>
      </c>
      <c r="W21">
        <v>1</v>
      </c>
    </row>
    <row r="22" spans="1:23" x14ac:dyDescent="0.2">
      <c r="A22" t="s">
        <v>58</v>
      </c>
      <c r="B22" t="s">
        <v>59</v>
      </c>
      <c r="C22" t="s">
        <v>25</v>
      </c>
      <c r="D22">
        <v>4.0990000000000002</v>
      </c>
      <c r="E22">
        <v>7.02740428009032E-2</v>
      </c>
      <c r="F22">
        <v>2</v>
      </c>
      <c r="G22">
        <v>0</v>
      </c>
      <c r="H22">
        <v>0.41486976394270603</v>
      </c>
      <c r="I22">
        <v>0.99942452268325099</v>
      </c>
      <c r="J22">
        <v>1.46285594237845</v>
      </c>
      <c r="K22">
        <v>5.0526246492303598E-2</v>
      </c>
      <c r="L22">
        <v>-1.07192763371669E-2</v>
      </c>
      <c r="M22">
        <v>226.74267106866</v>
      </c>
      <c r="N22">
        <v>1.5799062516784399</v>
      </c>
      <c r="O22">
        <v>7.3711769580609801</v>
      </c>
      <c r="P22">
        <v>10.233175073569599</v>
      </c>
      <c r="Q22">
        <v>-2.1577246587833099E-2</v>
      </c>
      <c r="R22">
        <v>1.45833333334326</v>
      </c>
      <c r="S22">
        <v>1.0000000000029901</v>
      </c>
      <c r="T22">
        <v>1984.8333333333101</v>
      </c>
      <c r="U22">
        <v>2011.24999999998</v>
      </c>
      <c r="V22">
        <v>172</v>
      </c>
      <c r="W22">
        <v>2</v>
      </c>
    </row>
    <row r="23" spans="1:23" x14ac:dyDescent="0.2">
      <c r="A23" t="s">
        <v>62</v>
      </c>
      <c r="B23" t="s">
        <v>59</v>
      </c>
      <c r="C23" t="s">
        <v>25</v>
      </c>
      <c r="D23">
        <v>3.5310000000000001</v>
      </c>
      <c r="E23">
        <v>7.3170762858330393E-2</v>
      </c>
      <c r="F23">
        <v>0</v>
      </c>
      <c r="G23">
        <v>0</v>
      </c>
      <c r="H23">
        <v>0.96771421757520004</v>
      </c>
      <c r="I23">
        <v>0.96771421757520004</v>
      </c>
      <c r="J23">
        <v>1.42896697039842</v>
      </c>
      <c r="K23">
        <v>5.1039528070265398E-2</v>
      </c>
      <c r="L23">
        <v>-1.3187133476211199E-2</v>
      </c>
      <c r="M23">
        <v>221.48988041175599</v>
      </c>
      <c r="N23">
        <v>1.5297482034608101</v>
      </c>
      <c r="O23">
        <v>6.2875649971248198</v>
      </c>
      <c r="P23">
        <v>9.4619021505772292</v>
      </c>
      <c r="Q23">
        <v>-3.0487991104376E-2</v>
      </c>
      <c r="R23">
        <v>1.8333333333430299</v>
      </c>
      <c r="S23">
        <v>0.98611111111536798</v>
      </c>
      <c r="T23">
        <v>1986.0833333333101</v>
      </c>
      <c r="U23">
        <v>2011.3333333333101</v>
      </c>
      <c r="V23">
        <v>172</v>
      </c>
      <c r="W23">
        <v>0</v>
      </c>
    </row>
    <row r="24" spans="1:23" x14ac:dyDescent="0.2">
      <c r="A24" t="s">
        <v>90</v>
      </c>
      <c r="B24" t="s">
        <v>59</v>
      </c>
      <c r="C24" t="s">
        <v>25</v>
      </c>
      <c r="D24">
        <v>10.981</v>
      </c>
      <c r="E24">
        <v>0.109583753157887</v>
      </c>
      <c r="F24">
        <v>1</v>
      </c>
      <c r="G24">
        <v>0</v>
      </c>
      <c r="H24">
        <v>0.16438475798346</v>
      </c>
      <c r="I24">
        <v>0.98317036692216897</v>
      </c>
      <c r="J24">
        <v>1.00339308385446</v>
      </c>
      <c r="K24">
        <v>7.62749770613491E-2</v>
      </c>
      <c r="L24">
        <v>-5.5529869131381703E-3</v>
      </c>
      <c r="M24">
        <v>155.52592799744201</v>
      </c>
      <c r="N24">
        <v>1.1080368713479201</v>
      </c>
      <c r="O24">
        <v>3.6559401004486598</v>
      </c>
      <c r="P24">
        <v>4.7212141164313399</v>
      </c>
      <c r="Q24">
        <v>-8.3745963769792306E-3</v>
      </c>
      <c r="R24">
        <v>3.8125000000079501</v>
      </c>
      <c r="S24">
        <v>2.5555555555532301</v>
      </c>
      <c r="T24">
        <v>1983.49999999998</v>
      </c>
      <c r="U24">
        <v>2012.24999999998</v>
      </c>
      <c r="V24">
        <v>171</v>
      </c>
      <c r="W24">
        <v>1</v>
      </c>
    </row>
    <row r="25" spans="1:23" x14ac:dyDescent="0.2">
      <c r="A25" t="s">
        <v>82</v>
      </c>
      <c r="B25" t="s">
        <v>59</v>
      </c>
      <c r="C25" t="s">
        <v>25</v>
      </c>
      <c r="D25">
        <v>7.9930000000000003</v>
      </c>
      <c r="E25">
        <v>8.9410091205175998E-2</v>
      </c>
      <c r="F25">
        <v>0</v>
      </c>
      <c r="G25">
        <v>0</v>
      </c>
      <c r="H25">
        <v>0.62596686286066805</v>
      </c>
      <c r="I25">
        <v>0.99973152708622204</v>
      </c>
      <c r="J25">
        <v>1.1720512268531</v>
      </c>
      <c r="K25">
        <v>6.8758397803088803E-2</v>
      </c>
      <c r="L25">
        <v>-4.7920024111506197E-3</v>
      </c>
      <c r="M25">
        <v>181.66794016223099</v>
      </c>
      <c r="N25">
        <v>1.2983187543095001</v>
      </c>
      <c r="O25">
        <v>3.3186095117032002</v>
      </c>
      <c r="P25">
        <v>7.1424025205230501</v>
      </c>
      <c r="Q25">
        <v>-4.4133418421973799E-3</v>
      </c>
      <c r="R25">
        <v>4.2916666666740104</v>
      </c>
      <c r="S25">
        <v>2.4097222222200099</v>
      </c>
      <c r="T25">
        <v>1982.3333333333201</v>
      </c>
      <c r="U25">
        <v>2011.9166666666499</v>
      </c>
      <c r="V25">
        <v>172</v>
      </c>
      <c r="W25">
        <v>0</v>
      </c>
    </row>
    <row r="26" spans="1:23" x14ac:dyDescent="0.2">
      <c r="A26" t="s">
        <v>88</v>
      </c>
      <c r="B26" t="s">
        <v>59</v>
      </c>
      <c r="C26" t="s">
        <v>25</v>
      </c>
      <c r="D26">
        <v>12.509</v>
      </c>
      <c r="E26">
        <v>9.7235754824090304E-2</v>
      </c>
      <c r="F26">
        <v>1</v>
      </c>
      <c r="G26">
        <v>1</v>
      </c>
      <c r="H26">
        <v>3.00991014696744E-2</v>
      </c>
      <c r="I26">
        <v>0.88369493693651002</v>
      </c>
      <c r="J26">
        <v>1.0259596666240201</v>
      </c>
      <c r="K26">
        <v>9.4583027172966294E-2</v>
      </c>
      <c r="L26">
        <v>2.1132734140996302E-2</v>
      </c>
      <c r="M26">
        <v>149.79011132710701</v>
      </c>
      <c r="N26">
        <v>1.2283540699687501</v>
      </c>
      <c r="O26">
        <v>4.12121656746677</v>
      </c>
      <c r="P26">
        <v>6.9738045926448802</v>
      </c>
      <c r="Q26">
        <v>2.24636193442013E-2</v>
      </c>
      <c r="R26">
        <v>2.7083333333196098</v>
      </c>
      <c r="S26">
        <v>2.3472222222118999</v>
      </c>
      <c r="T26">
        <v>1981.9166666666499</v>
      </c>
      <c r="U26">
        <v>2009.0833333333201</v>
      </c>
      <c r="V26">
        <v>156</v>
      </c>
      <c r="W26">
        <v>1</v>
      </c>
    </row>
    <row r="27" spans="1:23" x14ac:dyDescent="0.2">
      <c r="A27" t="s">
        <v>94</v>
      </c>
      <c r="B27" t="s">
        <v>59</v>
      </c>
      <c r="C27" t="s">
        <v>25</v>
      </c>
      <c r="D27">
        <v>12.051</v>
      </c>
      <c r="E27">
        <v>0.13292515697541499</v>
      </c>
      <c r="F27">
        <v>12</v>
      </c>
      <c r="G27">
        <v>0</v>
      </c>
      <c r="H27">
        <v>0.113758596206524</v>
      </c>
      <c r="I27">
        <v>0.367633456707327</v>
      </c>
      <c r="J27">
        <v>0.98366416558579295</v>
      </c>
      <c r="K27">
        <v>6.4683364013102707E-2</v>
      </c>
      <c r="L27">
        <v>-2.1120965794870199E-2</v>
      </c>
      <c r="M27">
        <v>152.467945665797</v>
      </c>
      <c r="N27">
        <v>0.71946802643735697</v>
      </c>
      <c r="O27">
        <v>1.71127525629472</v>
      </c>
      <c r="P27">
        <v>1.73560323640446</v>
      </c>
      <c r="Q27">
        <v>-4.91654779082909E-2</v>
      </c>
      <c r="R27">
        <v>3.5277777777858601</v>
      </c>
      <c r="S27">
        <v>3.2627314814841202</v>
      </c>
      <c r="T27">
        <v>1989.1666666666399</v>
      </c>
      <c r="U27">
        <v>2011.5833333333101</v>
      </c>
      <c r="V27">
        <v>175</v>
      </c>
      <c r="W27">
        <v>12</v>
      </c>
    </row>
    <row r="28" spans="1:23" x14ac:dyDescent="0.2">
      <c r="A28" t="s">
        <v>85</v>
      </c>
      <c r="B28" t="s">
        <v>71</v>
      </c>
      <c r="C28" t="s">
        <v>25</v>
      </c>
      <c r="D28">
        <v>10.653</v>
      </c>
      <c r="E28">
        <v>7.3350259258384495E-2</v>
      </c>
      <c r="F28">
        <v>0</v>
      </c>
      <c r="G28">
        <v>0</v>
      </c>
      <c r="H28">
        <v>0.54704913095950802</v>
      </c>
      <c r="I28">
        <v>0.54704913095950802</v>
      </c>
      <c r="J28">
        <v>1.11388377086583</v>
      </c>
      <c r="K28">
        <v>7.9353029438382405E-2</v>
      </c>
      <c r="L28">
        <v>-4.6634320076722902E-3</v>
      </c>
      <c r="M28">
        <v>150.37430906688701</v>
      </c>
      <c r="N28">
        <v>1.2135706648995599</v>
      </c>
      <c r="O28">
        <v>1.7661971987272</v>
      </c>
      <c r="P28">
        <v>3.2923605310216302</v>
      </c>
      <c r="Q28">
        <v>-3.9018711851822999E-3</v>
      </c>
      <c r="R28">
        <v>5.0000000000068203</v>
      </c>
      <c r="S28">
        <v>3.5208333333386301</v>
      </c>
      <c r="T28">
        <v>1980.8333333333201</v>
      </c>
      <c r="U28">
        <v>2014.4166666666399</v>
      </c>
      <c r="V28">
        <v>145</v>
      </c>
      <c r="W28">
        <v>0</v>
      </c>
    </row>
    <row r="29" spans="1:23" x14ac:dyDescent="0.2">
      <c r="A29" t="s">
        <v>70</v>
      </c>
      <c r="B29" t="s">
        <v>71</v>
      </c>
      <c r="C29" t="s">
        <v>25</v>
      </c>
      <c r="D29">
        <v>7.53</v>
      </c>
      <c r="E29">
        <v>5.8429229623734598E-2</v>
      </c>
      <c r="F29">
        <v>12</v>
      </c>
      <c r="G29">
        <v>0</v>
      </c>
      <c r="H29">
        <v>0.40709703598917901</v>
      </c>
      <c r="I29">
        <v>0.45282724308892502</v>
      </c>
      <c r="J29">
        <v>1.32287227870805</v>
      </c>
      <c r="K29">
        <v>6.5212962977351394E-2</v>
      </c>
      <c r="L29">
        <v>-6.1147778937979602E-3</v>
      </c>
      <c r="M29">
        <v>179.91062990429401</v>
      </c>
      <c r="N29">
        <v>1.4722841140113601</v>
      </c>
      <c r="O29">
        <v>6.8984439251676104</v>
      </c>
      <c r="P29">
        <v>7.5310433243130204</v>
      </c>
      <c r="Q29">
        <v>-2.0230829265558099E-2</v>
      </c>
      <c r="R29">
        <v>2.4166666666758299</v>
      </c>
      <c r="S29">
        <v>1.2916666666694301</v>
      </c>
      <c r="T29">
        <v>1984.24999999998</v>
      </c>
      <c r="U29">
        <v>2011.74999999998</v>
      </c>
      <c r="V29">
        <v>146</v>
      </c>
      <c r="W29">
        <v>7</v>
      </c>
    </row>
    <row r="30" spans="1:23" x14ac:dyDescent="0.2">
      <c r="A30" t="s">
        <v>79</v>
      </c>
      <c r="B30" t="s">
        <v>71</v>
      </c>
      <c r="C30" t="s">
        <v>25</v>
      </c>
      <c r="D30">
        <v>7.2960000000000003</v>
      </c>
      <c r="E30">
        <v>5.1943475849585502E-2</v>
      </c>
      <c r="F30">
        <v>17</v>
      </c>
      <c r="G30">
        <v>5</v>
      </c>
      <c r="H30">
        <v>4.0347339429227698E-3</v>
      </c>
      <c r="I30">
        <v>5.4040138334682901E-2</v>
      </c>
      <c r="J30">
        <v>1.2410149031876201</v>
      </c>
      <c r="K30">
        <v>5.8100053242954398E-2</v>
      </c>
      <c r="L30">
        <v>-1.20103811860332E-2</v>
      </c>
      <c r="M30">
        <v>168.778026833517</v>
      </c>
      <c r="N30">
        <v>1.44423071909352</v>
      </c>
      <c r="O30">
        <v>6.40822550170473</v>
      </c>
      <c r="P30">
        <v>6.6954536354932603</v>
      </c>
      <c r="Q30">
        <v>-2.63995942434847E-2</v>
      </c>
      <c r="R30">
        <v>2.1666666666760599</v>
      </c>
      <c r="S30">
        <v>1.1250000000029099</v>
      </c>
      <c r="T30">
        <v>1985.49999999998</v>
      </c>
      <c r="U30">
        <v>2011.49999999998</v>
      </c>
      <c r="V30">
        <v>146</v>
      </c>
      <c r="W30">
        <v>12</v>
      </c>
    </row>
    <row r="31" spans="1:23" x14ac:dyDescent="0.2">
      <c r="A31" t="s">
        <v>52</v>
      </c>
      <c r="B31" t="s">
        <v>50</v>
      </c>
      <c r="C31" t="s">
        <v>25</v>
      </c>
      <c r="D31">
        <v>4.7560000000000002</v>
      </c>
      <c r="E31">
        <v>5.3191514524472697E-2</v>
      </c>
      <c r="F31">
        <v>0</v>
      </c>
      <c r="G31">
        <v>0</v>
      </c>
      <c r="H31">
        <v>0.82392270010762503</v>
      </c>
      <c r="I31">
        <v>0.82392270010762503</v>
      </c>
      <c r="J31">
        <v>1.6100588661119</v>
      </c>
      <c r="K31">
        <v>4.8133605025793599E-2</v>
      </c>
      <c r="L31">
        <v>-9.3913976447384199E-3</v>
      </c>
      <c r="M31">
        <v>249.55912424734399</v>
      </c>
      <c r="N31">
        <v>1.59579736715461</v>
      </c>
      <c r="O31">
        <v>8.0481331577064896</v>
      </c>
      <c r="P31">
        <v>7.8325319623156</v>
      </c>
      <c r="Q31">
        <v>-2.7071854036296999E-2</v>
      </c>
      <c r="R31">
        <v>2.3333333333425799</v>
      </c>
      <c r="S31">
        <v>1.2361111111151399</v>
      </c>
      <c r="T31">
        <v>1985.6666666666499</v>
      </c>
      <c r="U31">
        <v>2011.5833333333101</v>
      </c>
      <c r="V31">
        <v>175</v>
      </c>
      <c r="W31">
        <v>0</v>
      </c>
    </row>
    <row r="32" spans="1:23" x14ac:dyDescent="0.2">
      <c r="A32" t="s">
        <v>49</v>
      </c>
      <c r="B32" t="s">
        <v>50</v>
      </c>
      <c r="C32" t="s">
        <v>25</v>
      </c>
      <c r="D32">
        <v>4.6139999999999999</v>
      </c>
      <c r="E32">
        <v>5.2507807236323402E-2</v>
      </c>
      <c r="F32">
        <v>0</v>
      </c>
      <c r="G32">
        <v>0</v>
      </c>
      <c r="H32">
        <v>0.91620078148977502</v>
      </c>
      <c r="I32">
        <v>0.91620078148977502</v>
      </c>
      <c r="J32">
        <v>1.6871283223492399</v>
      </c>
      <c r="K32">
        <v>4.42352005482234E-2</v>
      </c>
      <c r="L32">
        <v>-4.0782507132857797E-3</v>
      </c>
      <c r="M32">
        <v>261.50488996413299</v>
      </c>
      <c r="N32">
        <v>1.6193052464492499</v>
      </c>
      <c r="O32">
        <v>7.6465351039024698</v>
      </c>
      <c r="P32">
        <v>8.1295443913709597</v>
      </c>
      <c r="Q32">
        <v>-3.5716120892540303E-2</v>
      </c>
      <c r="R32">
        <v>2.0000000000095399</v>
      </c>
      <c r="S32">
        <v>1.2500000000039699</v>
      </c>
      <c r="T32">
        <v>1986.3333333333101</v>
      </c>
      <c r="U32">
        <v>2011.24999999998</v>
      </c>
      <c r="V32">
        <v>175</v>
      </c>
      <c r="W32">
        <v>0</v>
      </c>
    </row>
    <row r="33" spans="1:23" x14ac:dyDescent="0.2">
      <c r="A33" t="s">
        <v>56</v>
      </c>
      <c r="B33" t="s">
        <v>50</v>
      </c>
      <c r="C33" t="s">
        <v>25</v>
      </c>
      <c r="D33">
        <v>6.226</v>
      </c>
      <c r="E33">
        <v>5.8217853847669698E-2</v>
      </c>
      <c r="F33">
        <v>0</v>
      </c>
      <c r="G33">
        <v>0</v>
      </c>
      <c r="H33">
        <v>0.901551543961566</v>
      </c>
      <c r="I33">
        <v>0.901551543961566</v>
      </c>
      <c r="J33">
        <v>1.5178581006995999</v>
      </c>
      <c r="K33">
        <v>5.2772115527948402E-2</v>
      </c>
      <c r="L33">
        <v>-2.2641372389345601E-2</v>
      </c>
      <c r="M33">
        <v>235.26800560843799</v>
      </c>
      <c r="N33">
        <v>1.45080760864069</v>
      </c>
      <c r="O33">
        <v>6.4127528597996104</v>
      </c>
      <c r="P33">
        <v>3.1752811814762398</v>
      </c>
      <c r="Q33">
        <v>-5.6860960873165903E-2</v>
      </c>
      <c r="R33">
        <v>3.5833333333414399</v>
      </c>
      <c r="S33">
        <v>2.6458333333422002</v>
      </c>
      <c r="T33">
        <v>1986.74999999998</v>
      </c>
      <c r="U33">
        <v>2013.99999999998</v>
      </c>
      <c r="V33">
        <v>175</v>
      </c>
      <c r="W33">
        <v>0</v>
      </c>
    </row>
    <row r="34" spans="1:23" x14ac:dyDescent="0.2">
      <c r="A34" t="s">
        <v>55</v>
      </c>
      <c r="B34" t="s">
        <v>50</v>
      </c>
      <c r="C34" t="s">
        <v>25</v>
      </c>
      <c r="D34">
        <v>6.3559999999999999</v>
      </c>
      <c r="E34">
        <v>5.5197632053495198E-2</v>
      </c>
      <c r="F34">
        <v>0</v>
      </c>
      <c r="G34">
        <v>0</v>
      </c>
      <c r="H34">
        <v>0.88911404430976704</v>
      </c>
      <c r="I34">
        <v>0.88911404430976704</v>
      </c>
      <c r="J34">
        <v>1.57746701455008</v>
      </c>
      <c r="K34">
        <v>4.9687400306609703E-2</v>
      </c>
      <c r="L34">
        <v>-2.1708912181148701E-2</v>
      </c>
      <c r="M34">
        <v>244.50738725526301</v>
      </c>
      <c r="N34">
        <v>1.5066084089533101</v>
      </c>
      <c r="O34">
        <v>6.3316505217310803</v>
      </c>
      <c r="P34">
        <v>4.9915409380094697</v>
      </c>
      <c r="Q34">
        <v>-5.5239835018583101E-2</v>
      </c>
      <c r="R34">
        <v>3.4583333333414399</v>
      </c>
      <c r="S34">
        <v>2.3819444444535098</v>
      </c>
      <c r="T34">
        <v>1987.0833333333101</v>
      </c>
      <c r="U34">
        <v>2013.0833333333101</v>
      </c>
      <c r="V34">
        <v>175</v>
      </c>
      <c r="W34">
        <v>0</v>
      </c>
    </row>
    <row r="35" spans="1:23" x14ac:dyDescent="0.2">
      <c r="A35" t="s">
        <v>96</v>
      </c>
      <c r="B35" t="s">
        <v>54</v>
      </c>
      <c r="C35" t="s">
        <v>25</v>
      </c>
      <c r="D35">
        <v>18.725999999999999</v>
      </c>
      <c r="E35">
        <v>9.6026231666745704E-2</v>
      </c>
      <c r="F35">
        <v>0</v>
      </c>
      <c r="G35">
        <v>0</v>
      </c>
      <c r="H35">
        <v>0.70975035717992296</v>
      </c>
      <c r="I35">
        <v>0.70975035717992296</v>
      </c>
      <c r="J35">
        <v>0.92646199092252801</v>
      </c>
      <c r="K35">
        <v>9.7997651795530397E-2</v>
      </c>
      <c r="L35">
        <v>-5.2278894736708097E-2</v>
      </c>
      <c r="M35">
        <v>69.4846493191896</v>
      </c>
      <c r="N35">
        <v>0.92646199092252801</v>
      </c>
      <c r="O35">
        <v>1.5209350657648399</v>
      </c>
      <c r="P35">
        <v>1.31569609956611</v>
      </c>
      <c r="Q35">
        <v>-9.9974702752243405E-2</v>
      </c>
      <c r="R35">
        <v>5.7083333333393904</v>
      </c>
      <c r="S35">
        <v>5.1967592592657104</v>
      </c>
      <c r="T35">
        <v>1989.49999999998</v>
      </c>
      <c r="U35">
        <v>2014.1666666666399</v>
      </c>
      <c r="V35">
        <v>77</v>
      </c>
      <c r="W35">
        <v>0</v>
      </c>
    </row>
    <row r="36" spans="1:23" x14ac:dyDescent="0.2">
      <c r="A36" t="s">
        <v>76</v>
      </c>
      <c r="B36" t="s">
        <v>54</v>
      </c>
      <c r="C36" t="s">
        <v>25</v>
      </c>
      <c r="D36">
        <v>16.792000000000002</v>
      </c>
      <c r="E36">
        <v>6.7299224593729404E-2</v>
      </c>
      <c r="F36">
        <v>0</v>
      </c>
      <c r="G36">
        <v>0</v>
      </c>
      <c r="H36">
        <v>0.71817765809732503</v>
      </c>
      <c r="I36">
        <v>0.78034135320525999</v>
      </c>
      <c r="J36">
        <v>1.2656151192257299</v>
      </c>
      <c r="K36">
        <v>6.8309834295183405E-2</v>
      </c>
      <c r="L36">
        <v>-4.6478583916121897E-2</v>
      </c>
      <c r="M36">
        <v>50.624604769029403</v>
      </c>
      <c r="N36">
        <v>1.2656151192257299</v>
      </c>
      <c r="O36">
        <v>4.7525194664555004</v>
      </c>
      <c r="P36">
        <v>4.6307833832057099</v>
      </c>
      <c r="Q36">
        <v>-4.6478583916121897E-2</v>
      </c>
      <c r="R36">
        <v>2.87500000000886</v>
      </c>
      <c r="S36">
        <v>2.5000000000037499</v>
      </c>
      <c r="T36">
        <v>1987.1666666666499</v>
      </c>
      <c r="U36">
        <v>2012.4166666666499</v>
      </c>
      <c r="V36">
        <v>48</v>
      </c>
      <c r="W36">
        <v>0</v>
      </c>
    </row>
    <row r="37" spans="1:23" x14ac:dyDescent="0.2">
      <c r="A37" t="s">
        <v>53</v>
      </c>
      <c r="B37" t="s">
        <v>54</v>
      </c>
      <c r="C37" t="s">
        <v>25</v>
      </c>
      <c r="D37">
        <v>17.062999999999999</v>
      </c>
      <c r="E37">
        <v>4.9575869001185699E-2</v>
      </c>
      <c r="F37">
        <v>0</v>
      </c>
      <c r="G37">
        <v>0</v>
      </c>
      <c r="H37">
        <v>0.59434116108841195</v>
      </c>
      <c r="I37">
        <v>0.66726089773661001</v>
      </c>
      <c r="J37">
        <v>1.59019919360715</v>
      </c>
      <c r="K37">
        <v>4.93330141960001E-2</v>
      </c>
      <c r="L37">
        <v>-1.7034582418157401E-3</v>
      </c>
      <c r="M37">
        <v>246.48087500910799</v>
      </c>
      <c r="N37">
        <v>1.58531248446571</v>
      </c>
      <c r="O37">
        <v>6.1006790975249903</v>
      </c>
      <c r="P37">
        <v>4.2238531383925997</v>
      </c>
      <c r="Q37">
        <v>-3.7763835779425102E-3</v>
      </c>
      <c r="R37">
        <v>1.47222222220959</v>
      </c>
      <c r="S37">
        <v>1.54629629628809</v>
      </c>
      <c r="T37">
        <v>1983.5833333333201</v>
      </c>
      <c r="U37">
        <v>2010.4166666666499</v>
      </c>
      <c r="V37">
        <v>174</v>
      </c>
      <c r="W37">
        <v>0</v>
      </c>
    </row>
    <row r="38" spans="1:23" x14ac:dyDescent="0.2">
      <c r="A38" t="s">
        <v>100</v>
      </c>
      <c r="B38" t="s">
        <v>54</v>
      </c>
      <c r="C38" t="s">
        <v>25</v>
      </c>
      <c r="D38">
        <v>23.629000000000001</v>
      </c>
      <c r="E38">
        <v>0.17396279790048499</v>
      </c>
      <c r="F38">
        <v>4</v>
      </c>
      <c r="G38">
        <v>2</v>
      </c>
      <c r="H38">
        <v>4.0850780595910003E-3</v>
      </c>
      <c r="I38">
        <v>0.99921887837377099</v>
      </c>
      <c r="J38">
        <v>0.62959672003255596</v>
      </c>
      <c r="K38">
        <v>8.1882585059320001E-2</v>
      </c>
      <c r="L38">
        <v>5.2410009842657201E-3</v>
      </c>
      <c r="M38">
        <v>90.0323309646555</v>
      </c>
      <c r="N38">
        <v>0.64977028478353105</v>
      </c>
      <c r="O38">
        <v>4.0062819118930504</v>
      </c>
      <c r="P38">
        <v>2.85777832100199</v>
      </c>
      <c r="Q38">
        <v>-4.90563756125001E-3</v>
      </c>
      <c r="R38">
        <v>3.2361111110969101</v>
      </c>
      <c r="S38">
        <v>3.2361111110989</v>
      </c>
      <c r="T38">
        <v>1985.1666666666499</v>
      </c>
      <c r="U38">
        <v>2009.5833333333201</v>
      </c>
      <c r="V38">
        <v>152</v>
      </c>
      <c r="W38">
        <v>4</v>
      </c>
    </row>
    <row r="39" spans="1:23" x14ac:dyDescent="0.2">
      <c r="A39" t="s">
        <v>57</v>
      </c>
      <c r="B39" t="s">
        <v>54</v>
      </c>
      <c r="C39" t="s">
        <v>25</v>
      </c>
      <c r="D39">
        <v>18.945</v>
      </c>
      <c r="E39">
        <v>5.4668890155322301E-2</v>
      </c>
      <c r="F39">
        <v>0</v>
      </c>
      <c r="G39">
        <v>0</v>
      </c>
      <c r="H39">
        <v>0.63423191829632397</v>
      </c>
      <c r="I39">
        <v>0.63423191829632397</v>
      </c>
      <c r="J39">
        <v>1.4882759398201399</v>
      </c>
      <c r="K39">
        <v>5.3991065992954099E-2</v>
      </c>
      <c r="L39">
        <v>-1.2607327950727399E-2</v>
      </c>
      <c r="M39">
        <v>65.484141352086297</v>
      </c>
      <c r="N39">
        <v>1.4882759398201399</v>
      </c>
      <c r="O39">
        <v>6.3977173213978196</v>
      </c>
      <c r="P39">
        <v>4.8879610336862997</v>
      </c>
      <c r="Q39">
        <v>-1.2070439114573599E-2</v>
      </c>
      <c r="R39">
        <v>2.4374999999978901</v>
      </c>
      <c r="S39">
        <v>1.7129629629544501</v>
      </c>
      <c r="T39">
        <v>1984.74999999998</v>
      </c>
      <c r="U39">
        <v>2010.9166666666499</v>
      </c>
      <c r="V39">
        <v>53</v>
      </c>
      <c r="W39">
        <v>0</v>
      </c>
    </row>
    <row r="40" spans="1:23" x14ac:dyDescent="0.2">
      <c r="A40" t="s">
        <v>99</v>
      </c>
      <c r="B40" t="s">
        <v>54</v>
      </c>
      <c r="C40" t="s">
        <v>25</v>
      </c>
      <c r="D40">
        <v>52.368000000000002</v>
      </c>
      <c r="E40">
        <v>0.107560709317951</v>
      </c>
      <c r="F40">
        <v>0</v>
      </c>
      <c r="G40">
        <v>0</v>
      </c>
      <c r="H40">
        <v>0.73108148305531795</v>
      </c>
      <c r="I40">
        <v>0.73108148305531795</v>
      </c>
      <c r="J40">
        <v>0.80388172792342905</v>
      </c>
      <c r="K40">
        <v>0.111954922064328</v>
      </c>
      <c r="L40">
        <v>9.0877005874884093E-3</v>
      </c>
      <c r="M40">
        <v>24.920333565626301</v>
      </c>
      <c r="N40">
        <v>0.80388172792342905</v>
      </c>
      <c r="O40">
        <v>1.4085823452601201</v>
      </c>
      <c r="P40">
        <v>1.80935657339984</v>
      </c>
      <c r="Q40">
        <v>9.0877005874884093E-3</v>
      </c>
      <c r="R40">
        <v>3.2291666666599501</v>
      </c>
      <c r="S40">
        <v>3.8101851851782902</v>
      </c>
      <c r="T40">
        <v>1987.8333333333101</v>
      </c>
      <c r="U40">
        <v>2008.99999999998</v>
      </c>
      <c r="V40">
        <v>45</v>
      </c>
      <c r="W40">
        <v>0</v>
      </c>
    </row>
    <row r="41" spans="1:23" x14ac:dyDescent="0.2">
      <c r="A41" t="s">
        <v>105</v>
      </c>
      <c r="B41" t="s">
        <v>103</v>
      </c>
      <c r="C41" t="s">
        <v>25</v>
      </c>
      <c r="D41">
        <v>1.8440000000000001</v>
      </c>
      <c r="E41">
        <v>7.3622138640032794E-2</v>
      </c>
      <c r="F41">
        <v>89</v>
      </c>
      <c r="G41">
        <v>68</v>
      </c>
      <c r="H41">
        <v>0</v>
      </c>
      <c r="I41" s="1">
        <v>2.6689707768132302E-140</v>
      </c>
      <c r="J41">
        <v>-85.492807391309697</v>
      </c>
      <c r="K41">
        <v>0.104260624949455</v>
      </c>
      <c r="L41">
        <v>7.5242704106166694E-2</v>
      </c>
      <c r="M41">
        <v>-12738.428301305101</v>
      </c>
      <c r="N41">
        <v>1.0184199834948899</v>
      </c>
      <c r="O41">
        <v>2.3013587165027598</v>
      </c>
      <c r="P41">
        <v>1.87370734690586</v>
      </c>
      <c r="Q41">
        <v>6.0723347007802797E-2</v>
      </c>
      <c r="R41">
        <v>3.5833333333186999</v>
      </c>
      <c r="S41">
        <v>3.2222222222080301</v>
      </c>
      <c r="T41">
        <v>1979.8333333333201</v>
      </c>
      <c r="U41">
        <v>2009.5833333333201</v>
      </c>
      <c r="V41">
        <v>175</v>
      </c>
      <c r="W41">
        <v>34</v>
      </c>
    </row>
    <row r="42" spans="1:23" x14ac:dyDescent="0.2">
      <c r="A42" t="s">
        <v>102</v>
      </c>
      <c r="B42" t="s">
        <v>103</v>
      </c>
      <c r="C42" t="s">
        <v>25</v>
      </c>
      <c r="D42">
        <v>2.5550000000000002</v>
      </c>
      <c r="E42">
        <v>7.3419762494474197E-2</v>
      </c>
      <c r="F42">
        <v>59</v>
      </c>
      <c r="G42">
        <v>6</v>
      </c>
      <c r="H42">
        <v>0</v>
      </c>
      <c r="I42" s="1">
        <v>5.4336942410386596E-9</v>
      </c>
      <c r="J42">
        <v>-3.8422874508056499</v>
      </c>
      <c r="K42">
        <v>8.6419115771875304E-2</v>
      </c>
      <c r="L42">
        <v>-1.8111385211849299E-2</v>
      </c>
      <c r="M42">
        <v>-572.50083017004295</v>
      </c>
      <c r="N42">
        <v>0.95256786742799404</v>
      </c>
      <c r="O42">
        <v>3.8129429311233101</v>
      </c>
      <c r="P42">
        <v>3.9404451856637701</v>
      </c>
      <c r="Q42">
        <v>-2.6484527350806902E-2</v>
      </c>
      <c r="R42">
        <v>1.54166666667651</v>
      </c>
      <c r="S42">
        <v>1.55555555556532</v>
      </c>
      <c r="T42">
        <v>1984.99999999998</v>
      </c>
      <c r="U42">
        <v>2011.6666666666499</v>
      </c>
      <c r="V42">
        <v>175</v>
      </c>
      <c r="W42">
        <v>28</v>
      </c>
    </row>
    <row r="43" spans="1:23" x14ac:dyDescent="0.2">
      <c r="A43" t="s">
        <v>69</v>
      </c>
      <c r="B43" t="s">
        <v>24</v>
      </c>
      <c r="C43" t="s">
        <v>25</v>
      </c>
      <c r="D43">
        <v>4.9539999999999997</v>
      </c>
      <c r="E43">
        <v>6.5481968058505494E-2</v>
      </c>
      <c r="F43">
        <v>4</v>
      </c>
      <c r="G43">
        <v>4</v>
      </c>
      <c r="H43">
        <v>-317.90507555287701</v>
      </c>
      <c r="I43">
        <v>1</v>
      </c>
      <c r="J43">
        <v>1.3271927344627801</v>
      </c>
      <c r="K43">
        <v>6.3712337813252001E-2</v>
      </c>
      <c r="L43">
        <v>1.0038266236452299E-2</v>
      </c>
      <c r="M43">
        <v>112.811382429337</v>
      </c>
      <c r="N43">
        <v>1.3271927344627801</v>
      </c>
      <c r="O43">
        <v>3.38068576367366</v>
      </c>
      <c r="P43">
        <v>4.2720141889997096</v>
      </c>
      <c r="Q43">
        <v>1.0033695670586099E-2</v>
      </c>
      <c r="R43">
        <v>3.6388888888742801</v>
      </c>
      <c r="S43">
        <v>3.0879629629526701</v>
      </c>
      <c r="T43">
        <v>1986.6666666666499</v>
      </c>
      <c r="U43">
        <v>2006.6666666666499</v>
      </c>
      <c r="V43">
        <v>93</v>
      </c>
      <c r="W43">
        <v>4</v>
      </c>
    </row>
    <row r="44" spans="1:23" x14ac:dyDescent="0.2">
      <c r="A44" t="s">
        <v>72</v>
      </c>
      <c r="B44" t="s">
        <v>24</v>
      </c>
      <c r="C44" t="s">
        <v>25</v>
      </c>
      <c r="D44">
        <v>4.9649999999999999</v>
      </c>
      <c r="E44">
        <v>6.7640480509321102E-2</v>
      </c>
      <c r="F44">
        <v>3</v>
      </c>
      <c r="G44">
        <v>3</v>
      </c>
      <c r="H44">
        <v>-406.27688020486801</v>
      </c>
      <c r="I44">
        <v>1</v>
      </c>
      <c r="J44">
        <v>1.3212167836534601</v>
      </c>
      <c r="K44">
        <v>6.2903714441021996E-2</v>
      </c>
      <c r="L44" s="1">
        <v>-5.40850112729523E-5</v>
      </c>
      <c r="M44">
        <v>112.30342661054399</v>
      </c>
      <c r="N44">
        <v>1.3212167836534601</v>
      </c>
      <c r="O44">
        <v>2.9298525584414401</v>
      </c>
      <c r="P44">
        <v>4.7709043949638499</v>
      </c>
      <c r="Q44" s="1">
        <v>-7.3434487291612594E-5</v>
      </c>
      <c r="R44">
        <v>3.3055555555412499</v>
      </c>
      <c r="S44">
        <v>2.9351851851749902</v>
      </c>
      <c r="T44">
        <v>1987.3333333333101</v>
      </c>
      <c r="U44">
        <v>2007.3333333333201</v>
      </c>
      <c r="V44">
        <v>93</v>
      </c>
      <c r="W44">
        <v>3</v>
      </c>
    </row>
    <row r="45" spans="1:23" x14ac:dyDescent="0.2">
      <c r="A45" t="s">
        <v>33</v>
      </c>
      <c r="B45" t="s">
        <v>24</v>
      </c>
      <c r="C45" t="s">
        <v>25</v>
      </c>
      <c r="D45">
        <v>1.966</v>
      </c>
      <c r="E45">
        <v>2.9059097517362201E-2</v>
      </c>
      <c r="F45">
        <v>0</v>
      </c>
      <c r="G45">
        <v>0</v>
      </c>
      <c r="H45">
        <v>1</v>
      </c>
      <c r="I45">
        <v>1</v>
      </c>
      <c r="J45">
        <v>2.0856668365731799</v>
      </c>
      <c r="K45">
        <v>3.0155332931967802E-2</v>
      </c>
      <c r="L45">
        <v>-1.55067720659046E-2</v>
      </c>
      <c r="M45">
        <v>177.28168110871999</v>
      </c>
      <c r="N45">
        <v>2.0856668365731799</v>
      </c>
      <c r="O45">
        <v>12.498138611996801</v>
      </c>
      <c r="P45">
        <v>8.8478598414525393</v>
      </c>
      <c r="Q45">
        <v>-1.49459407297967E-2</v>
      </c>
      <c r="R45">
        <v>1.2083333333437101</v>
      </c>
      <c r="S45">
        <v>1.1250000000057201</v>
      </c>
      <c r="T45">
        <v>1984.99999999998</v>
      </c>
      <c r="U45">
        <v>2011.99999999998</v>
      </c>
      <c r="V45">
        <v>93</v>
      </c>
      <c r="W45">
        <v>0</v>
      </c>
    </row>
    <row r="46" spans="1:23" x14ac:dyDescent="0.2">
      <c r="A46" t="s">
        <v>26</v>
      </c>
      <c r="B46" t="s">
        <v>24</v>
      </c>
      <c r="C46" t="s">
        <v>25</v>
      </c>
      <c r="D46">
        <v>1.97</v>
      </c>
      <c r="E46">
        <v>2.45601185970575E-2</v>
      </c>
      <c r="F46">
        <v>1</v>
      </c>
      <c r="G46">
        <v>1</v>
      </c>
      <c r="H46">
        <v>-50.123728180273403</v>
      </c>
      <c r="I46">
        <v>1</v>
      </c>
      <c r="J46">
        <v>2.2496283156252601</v>
      </c>
      <c r="K46">
        <v>2.5880023761624401E-2</v>
      </c>
      <c r="L46">
        <v>-5.3047955826507505E-4</v>
      </c>
      <c r="M46">
        <v>191.21840682814701</v>
      </c>
      <c r="N46">
        <v>2.2496283156252601</v>
      </c>
      <c r="O46">
        <v>15.267573552423899</v>
      </c>
      <c r="P46">
        <v>13.739792900081699</v>
      </c>
      <c r="Q46" s="1">
        <v>2.6263324425905502E-5</v>
      </c>
      <c r="R46">
        <v>0.87500000001068601</v>
      </c>
      <c r="S46">
        <v>0.80555555555550495</v>
      </c>
      <c r="T46">
        <v>1984.24999999998</v>
      </c>
      <c r="U46">
        <v>2011.24999999998</v>
      </c>
      <c r="V46">
        <v>93</v>
      </c>
      <c r="W46">
        <v>1</v>
      </c>
    </row>
    <row r="47" spans="1:23" x14ac:dyDescent="0.2">
      <c r="A47" t="s">
        <v>30</v>
      </c>
      <c r="B47" t="s">
        <v>24</v>
      </c>
      <c r="C47" t="s">
        <v>25</v>
      </c>
      <c r="D47">
        <v>2.3450000000000002</v>
      </c>
      <c r="E47">
        <v>2.7314385177384298E-2</v>
      </c>
      <c r="F47">
        <v>1</v>
      </c>
      <c r="G47">
        <v>1</v>
      </c>
      <c r="H47">
        <v>-75.212848312220203</v>
      </c>
      <c r="I47">
        <v>1</v>
      </c>
      <c r="J47">
        <v>2.1590982476949598</v>
      </c>
      <c r="K47">
        <v>2.77761218515645E-2</v>
      </c>
      <c r="L47">
        <v>-8.1318384959204702E-3</v>
      </c>
      <c r="M47">
        <v>174.88695806329201</v>
      </c>
      <c r="N47">
        <v>2.1590982476949598</v>
      </c>
      <c r="O47">
        <v>9.5699154381544709</v>
      </c>
      <c r="P47">
        <v>14.267997606202201</v>
      </c>
      <c r="Q47">
        <v>-1.2785032270341201E-2</v>
      </c>
      <c r="R47">
        <v>0.95833333334394399</v>
      </c>
      <c r="S47">
        <v>1.2847222222217101</v>
      </c>
      <c r="T47">
        <v>1986.3333333333101</v>
      </c>
      <c r="U47">
        <v>2010.24999999998</v>
      </c>
      <c r="V47">
        <v>89</v>
      </c>
      <c r="W47">
        <v>1</v>
      </c>
    </row>
    <row r="48" spans="1:23" x14ac:dyDescent="0.2">
      <c r="A48" t="s">
        <v>29</v>
      </c>
      <c r="B48" t="s">
        <v>24</v>
      </c>
      <c r="C48" t="s">
        <v>25</v>
      </c>
      <c r="D48">
        <v>2.161</v>
      </c>
      <c r="E48">
        <v>2.5786848436712299E-2</v>
      </c>
      <c r="F48">
        <v>0</v>
      </c>
      <c r="G48">
        <v>0</v>
      </c>
      <c r="H48">
        <v>1</v>
      </c>
      <c r="I48">
        <v>1</v>
      </c>
      <c r="J48">
        <v>2.2031632731337099</v>
      </c>
      <c r="K48">
        <v>2.7541198956563401E-2</v>
      </c>
      <c r="L48">
        <v>-1.0703866025407001E-2</v>
      </c>
      <c r="M48">
        <v>187.26887821636601</v>
      </c>
      <c r="N48">
        <v>2.2031632731337099</v>
      </c>
      <c r="O48">
        <v>11.8605318383047</v>
      </c>
      <c r="P48">
        <v>12.722207716132401</v>
      </c>
      <c r="Q48">
        <v>-1.39615271832082E-2</v>
      </c>
      <c r="R48">
        <v>1.25000000001023</v>
      </c>
      <c r="S48">
        <v>0.95138888888554096</v>
      </c>
      <c r="T48">
        <v>1985.9166666666499</v>
      </c>
      <c r="U48">
        <v>2011.3333333333101</v>
      </c>
      <c r="V48">
        <v>93</v>
      </c>
      <c r="W48">
        <v>0</v>
      </c>
    </row>
    <row r="49" spans="1:23" x14ac:dyDescent="0.2">
      <c r="A49" t="s">
        <v>23</v>
      </c>
      <c r="B49" t="s">
        <v>24</v>
      </c>
      <c r="C49" t="s">
        <v>25</v>
      </c>
      <c r="D49">
        <v>2.2080000000000002</v>
      </c>
      <c r="E49">
        <v>2.4760728857332701E-2</v>
      </c>
      <c r="F49">
        <v>3</v>
      </c>
      <c r="G49">
        <v>3</v>
      </c>
      <c r="H49">
        <v>-47.970703441795798</v>
      </c>
      <c r="I49">
        <v>1</v>
      </c>
      <c r="J49">
        <v>2.2814480418545098</v>
      </c>
      <c r="K49">
        <v>2.5392465360466202E-2</v>
      </c>
      <c r="L49" s="1">
        <v>2.2652614400917501E-5</v>
      </c>
      <c r="M49">
        <v>193.92308355763299</v>
      </c>
      <c r="N49">
        <v>2.2814480418545098</v>
      </c>
      <c r="O49">
        <v>13.4677212806918</v>
      </c>
      <c r="P49">
        <v>16.168484730688</v>
      </c>
      <c r="Q49">
        <v>-3.28968044864181E-3</v>
      </c>
      <c r="R49">
        <v>0.87500000001068601</v>
      </c>
      <c r="S49">
        <v>0.79166666666359697</v>
      </c>
      <c r="T49">
        <v>1985.49999999998</v>
      </c>
      <c r="U49">
        <v>2010.8333333333101</v>
      </c>
      <c r="V49">
        <v>93</v>
      </c>
      <c r="W49">
        <v>3</v>
      </c>
    </row>
    <row r="50" spans="1:23" x14ac:dyDescent="0.2">
      <c r="A50" t="s">
        <v>34</v>
      </c>
      <c r="B50" t="s">
        <v>32</v>
      </c>
      <c r="C50" t="s">
        <v>25</v>
      </c>
      <c r="D50">
        <v>1.9019999999999999</v>
      </c>
      <c r="E50">
        <v>4.2220293385627099E-2</v>
      </c>
      <c r="F50">
        <v>0</v>
      </c>
      <c r="G50">
        <v>0</v>
      </c>
      <c r="H50">
        <v>0.99543393775117395</v>
      </c>
      <c r="I50">
        <v>0.99543393775117395</v>
      </c>
      <c r="J50">
        <v>2.0754520212763699</v>
      </c>
      <c r="K50">
        <v>2.9420377219981701E-2</v>
      </c>
      <c r="L50">
        <v>6.9414517143672402E-3</v>
      </c>
      <c r="M50">
        <v>321.69506329783798</v>
      </c>
      <c r="N50">
        <v>1.9585223386144499</v>
      </c>
      <c r="O50">
        <v>9.71001739360368</v>
      </c>
      <c r="P50">
        <v>9.80147327794697</v>
      </c>
      <c r="Q50">
        <v>1.32626598126324E-2</v>
      </c>
      <c r="R50">
        <v>1.24999999998749</v>
      </c>
      <c r="S50">
        <v>1.22222222221296</v>
      </c>
      <c r="T50">
        <v>1983.74999999998</v>
      </c>
      <c r="U50">
        <v>2009.0833333333201</v>
      </c>
      <c r="V50">
        <v>174</v>
      </c>
      <c r="W50">
        <v>0</v>
      </c>
    </row>
    <row r="51" spans="1:23" x14ac:dyDescent="0.2">
      <c r="A51" t="s">
        <v>31</v>
      </c>
      <c r="B51" t="s">
        <v>32</v>
      </c>
      <c r="C51" t="s">
        <v>25</v>
      </c>
      <c r="D51">
        <v>1.8759999999999999</v>
      </c>
      <c r="E51">
        <v>3.8863706145042802E-2</v>
      </c>
      <c r="F51">
        <v>0</v>
      </c>
      <c r="G51">
        <v>0</v>
      </c>
      <c r="H51">
        <v>0.85193867109809496</v>
      </c>
      <c r="I51">
        <v>0.98819620449863499</v>
      </c>
      <c r="J51">
        <v>2.1461495733563098</v>
      </c>
      <c r="K51">
        <v>2.7687437334943301E-2</v>
      </c>
      <c r="L51" s="1">
        <v>4.8622633595904302E-5</v>
      </c>
      <c r="M51">
        <v>332.65318387022899</v>
      </c>
      <c r="N51">
        <v>2.04232637133213</v>
      </c>
      <c r="O51">
        <v>12.439942603390801</v>
      </c>
      <c r="P51">
        <v>12.7229922466899</v>
      </c>
      <c r="Q51">
        <v>-5.3267119789621002E-3</v>
      </c>
      <c r="R51">
        <v>0.33333333334439802</v>
      </c>
      <c r="S51">
        <v>0.63888888888773898</v>
      </c>
      <c r="T51">
        <v>1984.6666666666499</v>
      </c>
      <c r="U51">
        <v>2010.3333333333101</v>
      </c>
      <c r="V51">
        <v>174</v>
      </c>
      <c r="W51">
        <v>0</v>
      </c>
    </row>
    <row r="52" spans="1:23" x14ac:dyDescent="0.2">
      <c r="A52" t="s">
        <v>35</v>
      </c>
      <c r="B52" t="s">
        <v>32</v>
      </c>
      <c r="C52" t="s">
        <v>25</v>
      </c>
      <c r="D52">
        <v>1.9</v>
      </c>
      <c r="E52">
        <v>4.8088705162564797E-2</v>
      </c>
      <c r="F52">
        <v>0</v>
      </c>
      <c r="G52">
        <v>0</v>
      </c>
      <c r="H52">
        <v>0.96589334299765905</v>
      </c>
      <c r="I52">
        <v>0.96589334299765905</v>
      </c>
      <c r="J52">
        <v>2.0561262442247599</v>
      </c>
      <c r="K52">
        <v>3.02411174867021E-2</v>
      </c>
      <c r="L52">
        <v>-7.9315870834254908E-3</v>
      </c>
      <c r="M52">
        <v>318.69956785483799</v>
      </c>
      <c r="N52">
        <v>1.9887898702959499</v>
      </c>
      <c r="O52">
        <v>12.357996979822399</v>
      </c>
      <c r="P52">
        <v>13.127118274022299</v>
      </c>
      <c r="Q52">
        <v>-1.6026469500006298E-2</v>
      </c>
      <c r="R52">
        <v>1.25000000001023</v>
      </c>
      <c r="S52">
        <v>0.94444444444422904</v>
      </c>
      <c r="T52">
        <v>1985.6666666666499</v>
      </c>
      <c r="U52">
        <v>2010.74999999998</v>
      </c>
      <c r="V52">
        <v>174</v>
      </c>
      <c r="W52">
        <v>0</v>
      </c>
    </row>
    <row r="53" spans="1:23" x14ac:dyDescent="0.2">
      <c r="A53" t="s">
        <v>97</v>
      </c>
      <c r="B53" t="s">
        <v>28</v>
      </c>
      <c r="C53" t="s">
        <v>25</v>
      </c>
      <c r="D53">
        <v>9.2810000000000006</v>
      </c>
      <c r="E53">
        <v>7.4028661076658397E-2</v>
      </c>
      <c r="F53">
        <v>25</v>
      </c>
      <c r="G53">
        <v>24</v>
      </c>
      <c r="H53">
        <v>-1277.1627311448899</v>
      </c>
      <c r="I53">
        <v>-74.645461490350101</v>
      </c>
      <c r="J53">
        <v>0.91478805843628097</v>
      </c>
      <c r="K53">
        <v>7.7940867925719498E-2</v>
      </c>
      <c r="L53" s="1">
        <v>-3.9786195360219397E-5</v>
      </c>
      <c r="M53">
        <v>141.79214905762299</v>
      </c>
      <c r="N53">
        <v>1.1083196970898801</v>
      </c>
      <c r="O53">
        <v>2.7333183970596999</v>
      </c>
      <c r="P53">
        <v>3.0155397864263902</v>
      </c>
      <c r="Q53">
        <v>-1.2635756617678099E-2</v>
      </c>
      <c r="R53">
        <v>1.79166666666503</v>
      </c>
      <c r="S53">
        <v>1.37499999999556</v>
      </c>
      <c r="T53">
        <v>1986.4166666666499</v>
      </c>
      <c r="U53">
        <v>2008.99999999998</v>
      </c>
      <c r="V53">
        <v>175</v>
      </c>
      <c r="W53">
        <v>11</v>
      </c>
    </row>
    <row r="54" spans="1:23" x14ac:dyDescent="0.2">
      <c r="A54" t="s">
        <v>87</v>
      </c>
      <c r="B54" t="s">
        <v>28</v>
      </c>
      <c r="C54" t="s">
        <v>25</v>
      </c>
      <c r="D54">
        <v>9.2449999999999992</v>
      </c>
      <c r="E54">
        <v>6.3583742813954097E-2</v>
      </c>
      <c r="F54">
        <v>39</v>
      </c>
      <c r="G54">
        <v>33</v>
      </c>
      <c r="H54">
        <v>-1240.7439141923701</v>
      </c>
      <c r="I54">
        <v>-104.878823396689</v>
      </c>
      <c r="J54">
        <v>1.03075913931048</v>
      </c>
      <c r="K54">
        <v>7.3825853192836993E-2</v>
      </c>
      <c r="L54" s="1">
        <v>-4.1796255612608497E-5</v>
      </c>
      <c r="M54">
        <v>159.767666593125</v>
      </c>
      <c r="N54">
        <v>1.2452026964638101</v>
      </c>
      <c r="O54">
        <v>2.1668781302006299</v>
      </c>
      <c r="P54">
        <v>3.9890870067561401</v>
      </c>
      <c r="Q54">
        <v>-3.3349963030289698E-2</v>
      </c>
      <c r="R54">
        <v>3.45833333333018</v>
      </c>
      <c r="S54">
        <v>3.0555555555526599</v>
      </c>
      <c r="T54">
        <v>1989.1666666666399</v>
      </c>
      <c r="U54">
        <v>2008.8333333333201</v>
      </c>
      <c r="V54">
        <v>175</v>
      </c>
      <c r="W54">
        <v>22</v>
      </c>
    </row>
    <row r="55" spans="1:23" x14ac:dyDescent="0.2">
      <c r="A55" t="s">
        <v>45</v>
      </c>
      <c r="B55" t="s">
        <v>28</v>
      </c>
      <c r="C55" t="s">
        <v>25</v>
      </c>
      <c r="D55">
        <v>3.13</v>
      </c>
      <c r="E55">
        <v>3.8955700122395097E-2</v>
      </c>
      <c r="F55">
        <v>8</v>
      </c>
      <c r="G55">
        <v>8</v>
      </c>
      <c r="H55">
        <v>-45.664768276272497</v>
      </c>
      <c r="I55">
        <v>-4.49843409698477</v>
      </c>
      <c r="J55">
        <v>1.81429184611855</v>
      </c>
      <c r="K55">
        <v>4.1066541613221701E-2</v>
      </c>
      <c r="L55" s="1">
        <v>-5.3514229213411304E-6</v>
      </c>
      <c r="M55">
        <v>117.92896999770601</v>
      </c>
      <c r="N55">
        <v>1.81429184611855</v>
      </c>
      <c r="O55">
        <v>8.67268552185622</v>
      </c>
      <c r="P55">
        <v>10.339005655124</v>
      </c>
      <c r="Q55">
        <v>1.3062310050273701E-2</v>
      </c>
      <c r="R55">
        <v>1.12500000001023</v>
      </c>
      <c r="S55">
        <v>2.27777777777206</v>
      </c>
      <c r="T55">
        <v>1984.3333333333201</v>
      </c>
      <c r="U55">
        <v>2011.3333333333101</v>
      </c>
      <c r="V55">
        <v>75</v>
      </c>
      <c r="W55">
        <v>8</v>
      </c>
    </row>
    <row r="56" spans="1:23" x14ac:dyDescent="0.2">
      <c r="A56" t="s">
        <v>42</v>
      </c>
      <c r="B56" t="s">
        <v>28</v>
      </c>
      <c r="C56" t="s">
        <v>25</v>
      </c>
      <c r="D56">
        <v>2.3620000000000001</v>
      </c>
      <c r="E56">
        <v>3.3754128020111698E-2</v>
      </c>
      <c r="F56">
        <v>2</v>
      </c>
      <c r="G56">
        <v>2</v>
      </c>
      <c r="H56">
        <v>-45.7620811492543</v>
      </c>
      <c r="I56">
        <v>1</v>
      </c>
      <c r="J56">
        <v>1.9521012051455799</v>
      </c>
      <c r="K56">
        <v>3.4172601203740001E-2</v>
      </c>
      <c r="L56" s="1">
        <v>-3.32462232328984E-5</v>
      </c>
      <c r="M56">
        <v>126.886578334462</v>
      </c>
      <c r="N56">
        <v>1.9521012051455799</v>
      </c>
      <c r="O56">
        <v>7.7873458974557304</v>
      </c>
      <c r="P56">
        <v>9.3332064935914598</v>
      </c>
      <c r="Q56">
        <v>-1.6489798323135098E-2</v>
      </c>
      <c r="R56">
        <v>2.3333333333425799</v>
      </c>
      <c r="S56">
        <v>1.4999999999962399</v>
      </c>
      <c r="T56">
        <v>1986.24999999998</v>
      </c>
      <c r="U56">
        <v>2012.6666666666499</v>
      </c>
      <c r="V56">
        <v>75</v>
      </c>
      <c r="W56">
        <v>1</v>
      </c>
    </row>
    <row r="57" spans="1:23" x14ac:dyDescent="0.2">
      <c r="A57" t="s">
        <v>44</v>
      </c>
      <c r="B57" t="s">
        <v>28</v>
      </c>
      <c r="C57" t="s">
        <v>25</v>
      </c>
      <c r="D57">
        <v>3.2509999999999999</v>
      </c>
      <c r="E57">
        <v>3.8994225491275097E-2</v>
      </c>
      <c r="F57">
        <v>8</v>
      </c>
      <c r="G57">
        <v>8</v>
      </c>
      <c r="H57">
        <v>-77.2826897156217</v>
      </c>
      <c r="I57">
        <v>-1.9871484370113299</v>
      </c>
      <c r="J57">
        <v>1.8254345137008201</v>
      </c>
      <c r="K57">
        <v>4.0110426367512199E-2</v>
      </c>
      <c r="L57" s="1">
        <v>4.35963857408977E-5</v>
      </c>
      <c r="M57">
        <v>118.653243390553</v>
      </c>
      <c r="N57">
        <v>1.8254345137008201</v>
      </c>
      <c r="O57">
        <v>7.8642488818868701</v>
      </c>
      <c r="P57">
        <v>10.939016019812501</v>
      </c>
      <c r="Q57">
        <v>1.91133629333223E-2</v>
      </c>
      <c r="R57">
        <v>1.0833333333437101</v>
      </c>
      <c r="S57">
        <v>2.0694444444389202</v>
      </c>
      <c r="T57">
        <v>1983.9166666666499</v>
      </c>
      <c r="U57">
        <v>2010.9166666666499</v>
      </c>
      <c r="V57">
        <v>75</v>
      </c>
      <c r="W57">
        <v>8</v>
      </c>
    </row>
    <row r="58" spans="1:23" x14ac:dyDescent="0.2">
      <c r="A58" t="s">
        <v>84</v>
      </c>
      <c r="B58" t="s">
        <v>28</v>
      </c>
      <c r="C58" t="s">
        <v>25</v>
      </c>
      <c r="D58">
        <v>3.2919999999999998</v>
      </c>
      <c r="E58">
        <v>7.6731804565196904E-2</v>
      </c>
      <c r="F58">
        <v>0</v>
      </c>
      <c r="G58">
        <v>0</v>
      </c>
      <c r="H58">
        <v>1</v>
      </c>
      <c r="I58">
        <v>1</v>
      </c>
      <c r="J58">
        <v>1.11907505695209</v>
      </c>
      <c r="K58">
        <v>8.0485694748215403E-2</v>
      </c>
      <c r="L58" s="1">
        <v>2.0982817338192498E-5</v>
      </c>
      <c r="M58">
        <v>72.7398787018859</v>
      </c>
      <c r="N58">
        <v>1.11907505695209</v>
      </c>
      <c r="O58">
        <v>3.0452371019675399</v>
      </c>
      <c r="P58">
        <v>5.18820270355475</v>
      </c>
      <c r="Q58">
        <v>5.4098225147707499E-2</v>
      </c>
      <c r="R58">
        <v>1.7916666666537799</v>
      </c>
      <c r="S58">
        <v>3.73611111109649</v>
      </c>
      <c r="T58">
        <v>1982.49999999998</v>
      </c>
      <c r="U58">
        <v>2008.1666666666499</v>
      </c>
      <c r="V58">
        <v>74</v>
      </c>
      <c r="W58">
        <v>0</v>
      </c>
    </row>
    <row r="59" spans="1:23" x14ac:dyDescent="0.2">
      <c r="A59" t="s">
        <v>47</v>
      </c>
      <c r="B59" t="s">
        <v>28</v>
      </c>
      <c r="C59" t="s">
        <v>25</v>
      </c>
      <c r="D59">
        <v>2.9380000000000002</v>
      </c>
      <c r="E59">
        <v>4.1370901848441201E-2</v>
      </c>
      <c r="F59">
        <v>5</v>
      </c>
      <c r="G59">
        <v>4</v>
      </c>
      <c r="H59">
        <v>-43.971206965351598</v>
      </c>
      <c r="I59">
        <v>0.16407268322586099</v>
      </c>
      <c r="J59">
        <v>1.74496336661272</v>
      </c>
      <c r="K59">
        <v>4.31822268339331E-2</v>
      </c>
      <c r="L59" s="1">
        <v>1.2853337667089401E-5</v>
      </c>
      <c r="M59">
        <v>113.42261882982601</v>
      </c>
      <c r="N59">
        <v>1.74496336661272</v>
      </c>
      <c r="O59">
        <v>8.2874824827291995</v>
      </c>
      <c r="P59">
        <v>9.89852886327097</v>
      </c>
      <c r="Q59">
        <v>8.3599517400108903E-3</v>
      </c>
      <c r="R59">
        <v>1.0833333333437101</v>
      </c>
      <c r="S59">
        <v>2.1666666666610901</v>
      </c>
      <c r="T59">
        <v>1985.24999999998</v>
      </c>
      <c r="U59">
        <v>2010.9166666666499</v>
      </c>
      <c r="V59">
        <v>75</v>
      </c>
      <c r="W59">
        <v>5</v>
      </c>
    </row>
    <row r="60" spans="1:23" x14ac:dyDescent="0.2">
      <c r="A60" t="s">
        <v>63</v>
      </c>
      <c r="B60" t="s">
        <v>28</v>
      </c>
      <c r="C60" t="s">
        <v>25</v>
      </c>
      <c r="D60">
        <v>4.6059999999999999</v>
      </c>
      <c r="E60">
        <v>5.7621574820498997E-2</v>
      </c>
      <c r="F60">
        <v>6</v>
      </c>
      <c r="G60">
        <v>5</v>
      </c>
      <c r="H60">
        <v>-108.50715853676</v>
      </c>
      <c r="I60">
        <v>7.0089445415982096E-2</v>
      </c>
      <c r="J60">
        <v>1.3943602388832801</v>
      </c>
      <c r="K60">
        <v>6.1552301255535097E-2</v>
      </c>
      <c r="L60" s="1">
        <v>1.9582002647367399E-5</v>
      </c>
      <c r="M60">
        <v>90.633415527413604</v>
      </c>
      <c r="N60">
        <v>1.3943602388832801</v>
      </c>
      <c r="O60">
        <v>3.98850088147646</v>
      </c>
      <c r="P60">
        <v>7.2093295065075296</v>
      </c>
      <c r="Q60">
        <v>-3.8961261038121301E-3</v>
      </c>
      <c r="R60">
        <v>2.7916666666527501</v>
      </c>
      <c r="S60">
        <v>2.9027777777675499</v>
      </c>
      <c r="T60">
        <v>1986.6666666666499</v>
      </c>
      <c r="U60">
        <v>2009.5833333333201</v>
      </c>
      <c r="V60">
        <v>75</v>
      </c>
      <c r="W60">
        <v>6</v>
      </c>
    </row>
    <row r="61" spans="1:23" x14ac:dyDescent="0.2">
      <c r="A61" t="s">
        <v>66</v>
      </c>
      <c r="B61" t="s">
        <v>28</v>
      </c>
      <c r="C61" t="s">
        <v>25</v>
      </c>
      <c r="D61">
        <v>2.1890000000000001</v>
      </c>
      <c r="E61">
        <v>6.0660315947939102E-2</v>
      </c>
      <c r="F61">
        <v>2</v>
      </c>
      <c r="G61">
        <v>2</v>
      </c>
      <c r="H61">
        <v>-6.9678541849594398</v>
      </c>
      <c r="I61">
        <v>1</v>
      </c>
      <c r="J61">
        <v>1.3453723572561</v>
      </c>
      <c r="K61">
        <v>6.1828320075292598E-2</v>
      </c>
      <c r="L61" s="1">
        <v>4.7417816951976998E-5</v>
      </c>
      <c r="M61">
        <v>87.449203221646499</v>
      </c>
      <c r="N61">
        <v>1.3453723572561</v>
      </c>
      <c r="O61">
        <v>5.0745625097692004</v>
      </c>
      <c r="P61">
        <v>5.9270393010844096</v>
      </c>
      <c r="Q61">
        <v>-4.0111254852082202E-2</v>
      </c>
      <c r="R61">
        <v>2.1250000000093201</v>
      </c>
      <c r="S61">
        <v>2.0277777777871102</v>
      </c>
      <c r="T61">
        <v>1986.5833333333101</v>
      </c>
      <c r="U61">
        <v>2011.49999999998</v>
      </c>
      <c r="V61">
        <v>75</v>
      </c>
      <c r="W61">
        <v>2</v>
      </c>
    </row>
    <row r="62" spans="1:23" x14ac:dyDescent="0.2">
      <c r="A62" t="s">
        <v>27</v>
      </c>
      <c r="B62" t="s">
        <v>28</v>
      </c>
      <c r="C62" t="s">
        <v>25</v>
      </c>
      <c r="D62">
        <v>3.0710000000000002</v>
      </c>
      <c r="E62">
        <v>2.5398629429696999E-2</v>
      </c>
      <c r="F62">
        <v>4</v>
      </c>
      <c r="G62">
        <v>4</v>
      </c>
      <c r="H62">
        <v>-79.547039411167901</v>
      </c>
      <c r="I62">
        <v>1</v>
      </c>
      <c r="J62">
        <v>2.2263286032115399</v>
      </c>
      <c r="K62">
        <v>2.6317726856108E-2</v>
      </c>
      <c r="L62" s="1">
        <v>-1.11306505323811E-5</v>
      </c>
      <c r="M62">
        <v>144.71135920875</v>
      </c>
      <c r="N62">
        <v>2.2263286032115399</v>
      </c>
      <c r="O62">
        <v>12.0544824044692</v>
      </c>
      <c r="P62">
        <v>12.7986521417382</v>
      </c>
      <c r="Q62">
        <v>2.3189781857368202E-3</v>
      </c>
      <c r="R62">
        <v>1.12499999998749</v>
      </c>
      <c r="S62">
        <v>1.5277777777663399</v>
      </c>
      <c r="T62">
        <v>1985.6666666666499</v>
      </c>
      <c r="U62">
        <v>2009.49999999998</v>
      </c>
      <c r="V62">
        <v>75</v>
      </c>
      <c r="W62">
        <v>4</v>
      </c>
    </row>
    <row r="63" spans="1:23" x14ac:dyDescent="0.2">
      <c r="A63" t="s">
        <v>78</v>
      </c>
      <c r="B63" t="s">
        <v>28</v>
      </c>
      <c r="C63" t="s">
        <v>25</v>
      </c>
      <c r="D63">
        <v>5.117</v>
      </c>
      <c r="E63">
        <v>6.6924958484935806E-2</v>
      </c>
      <c r="F63">
        <v>7</v>
      </c>
      <c r="G63">
        <v>7</v>
      </c>
      <c r="H63">
        <v>-87.440448475479798</v>
      </c>
      <c r="I63">
        <v>-2.86803876611466</v>
      </c>
      <c r="J63">
        <v>1.24451783294295</v>
      </c>
      <c r="K63">
        <v>6.83104308937027E-2</v>
      </c>
      <c r="L63" s="1">
        <v>9.6685721258947993E-6</v>
      </c>
      <c r="M63">
        <v>80.893659141292005</v>
      </c>
      <c r="N63">
        <v>1.24451783294295</v>
      </c>
      <c r="O63">
        <v>4.3095865879600801</v>
      </c>
      <c r="P63">
        <v>5.4273137786151899</v>
      </c>
      <c r="Q63">
        <v>3.40534557796855E-2</v>
      </c>
      <c r="R63">
        <v>0.79166666665469099</v>
      </c>
      <c r="S63">
        <v>2.83333333332018</v>
      </c>
      <c r="T63">
        <v>1983.9166666666499</v>
      </c>
      <c r="U63">
        <v>2007.1666666666499</v>
      </c>
      <c r="V63">
        <v>74</v>
      </c>
      <c r="W63">
        <v>7</v>
      </c>
    </row>
    <row r="64" spans="1:23" x14ac:dyDescent="0.2">
      <c r="A64" t="s">
        <v>64</v>
      </c>
      <c r="B64" t="s">
        <v>28</v>
      </c>
      <c r="C64" t="s">
        <v>25</v>
      </c>
      <c r="D64">
        <v>2.9089999999999998</v>
      </c>
      <c r="E64">
        <v>5.99760536321109E-2</v>
      </c>
      <c r="F64">
        <v>0</v>
      </c>
      <c r="G64">
        <v>0</v>
      </c>
      <c r="H64">
        <v>1</v>
      </c>
      <c r="I64">
        <v>1</v>
      </c>
      <c r="J64">
        <v>1.3782637881830799</v>
      </c>
      <c r="K64">
        <v>5.9448082600510398E-2</v>
      </c>
      <c r="L64" s="1">
        <v>4.8072868906916697E-5</v>
      </c>
      <c r="M64">
        <v>89.587146231900604</v>
      </c>
      <c r="N64">
        <v>1.3782637881830799</v>
      </c>
      <c r="O64">
        <v>5.9429737245512504</v>
      </c>
      <c r="P64">
        <v>3.8940108711553001</v>
      </c>
      <c r="Q64">
        <v>-8.3027481571293603E-3</v>
      </c>
      <c r="R64">
        <v>2.8333333333193802</v>
      </c>
      <c r="S64">
        <v>1.7499999999914699</v>
      </c>
      <c r="T64">
        <v>1985.6666666666499</v>
      </c>
      <c r="U64">
        <v>2007.8333333333201</v>
      </c>
      <c r="V64">
        <v>75</v>
      </c>
      <c r="W64">
        <v>0</v>
      </c>
    </row>
    <row r="65" spans="1:23" x14ac:dyDescent="0.2">
      <c r="A65" t="s">
        <v>95</v>
      </c>
      <c r="B65" t="s">
        <v>28</v>
      </c>
      <c r="C65" t="s">
        <v>25</v>
      </c>
      <c r="D65">
        <v>4.5309999999999997</v>
      </c>
      <c r="E65">
        <v>0.108424935606226</v>
      </c>
      <c r="F65">
        <v>4</v>
      </c>
      <c r="G65">
        <v>4</v>
      </c>
      <c r="H65">
        <v>-333.90980485547198</v>
      </c>
      <c r="I65">
        <v>0.923905598293005</v>
      </c>
      <c r="J65">
        <v>0.96771481603470799</v>
      </c>
      <c r="K65">
        <v>9.7462797466300502E-2</v>
      </c>
      <c r="L65" s="1">
        <v>3.2235757814807297E-5</v>
      </c>
      <c r="M65">
        <v>110.319489027956</v>
      </c>
      <c r="N65">
        <v>1.1112957127570999</v>
      </c>
      <c r="O65">
        <v>0.797573095595982</v>
      </c>
      <c r="P65">
        <v>2.7787009185415799</v>
      </c>
      <c r="Q65">
        <v>-4.8235801645628101E-2</v>
      </c>
      <c r="R65">
        <v>3.8125000000079501</v>
      </c>
      <c r="S65">
        <v>2.8402777777758899</v>
      </c>
      <c r="T65">
        <v>1991.0833333333101</v>
      </c>
      <c r="U65">
        <v>2010.9166666666499</v>
      </c>
      <c r="V65">
        <v>124</v>
      </c>
      <c r="W65">
        <v>4</v>
      </c>
    </row>
    <row r="66" spans="1:23" x14ac:dyDescent="0.2">
      <c r="A66" t="s">
        <v>89</v>
      </c>
      <c r="B66" t="s">
        <v>28</v>
      </c>
      <c r="C66" t="s">
        <v>25</v>
      </c>
      <c r="D66">
        <v>3.1949999999999998</v>
      </c>
      <c r="E66">
        <v>7.0646696427867403E-2</v>
      </c>
      <c r="F66">
        <v>20</v>
      </c>
      <c r="G66">
        <v>18</v>
      </c>
      <c r="H66">
        <v>-361.49337187255702</v>
      </c>
      <c r="I66">
        <v>-37.357470870728598</v>
      </c>
      <c r="J66">
        <v>1.0210608288501899</v>
      </c>
      <c r="K66">
        <v>7.2000766380930295E-2</v>
      </c>
      <c r="L66" s="1">
        <v>-1.88950533134669E-5</v>
      </c>
      <c r="M66">
        <v>116.400934488921</v>
      </c>
      <c r="N66">
        <v>1.2197343434438701</v>
      </c>
      <c r="O66">
        <v>5.2031514233715397</v>
      </c>
      <c r="P66">
        <v>4.5925950267933597</v>
      </c>
      <c r="Q66">
        <v>1.45179035949978E-2</v>
      </c>
      <c r="R66">
        <v>0.54166666665491903</v>
      </c>
      <c r="S66">
        <v>1.3749999999888201</v>
      </c>
      <c r="T66">
        <v>1984.74999999998</v>
      </c>
      <c r="U66">
        <v>2009.49999999998</v>
      </c>
      <c r="V66">
        <v>124</v>
      </c>
      <c r="W66">
        <v>8</v>
      </c>
    </row>
    <row r="67" spans="1:23" x14ac:dyDescent="0.2">
      <c r="A67" t="s">
        <v>51</v>
      </c>
      <c r="B67" t="s">
        <v>39</v>
      </c>
      <c r="C67" t="s">
        <v>25</v>
      </c>
      <c r="D67">
        <v>3.036</v>
      </c>
      <c r="E67">
        <v>5.2459444997767703E-2</v>
      </c>
      <c r="F67">
        <v>0</v>
      </c>
      <c r="G67">
        <v>0</v>
      </c>
      <c r="H67">
        <v>0.96818949536170995</v>
      </c>
      <c r="I67">
        <v>0.96818949536170995</v>
      </c>
      <c r="J67">
        <v>1.6774476204631501</v>
      </c>
      <c r="K67">
        <v>4.3800120184230497E-2</v>
      </c>
      <c r="L67">
        <v>-2.1149427258064499E-4</v>
      </c>
      <c r="M67">
        <v>260.004381171788</v>
      </c>
      <c r="N67">
        <v>1.7472202385331701</v>
      </c>
      <c r="O67">
        <v>7.0217106109127796</v>
      </c>
      <c r="P67">
        <v>14.741825512475099</v>
      </c>
      <c r="Q67">
        <v>3.63002907374998E-3</v>
      </c>
      <c r="R67">
        <v>0.87499999998794897</v>
      </c>
      <c r="S67">
        <v>0.87499999999556599</v>
      </c>
      <c r="T67">
        <v>1983.0833333333201</v>
      </c>
      <c r="U67">
        <v>2010.1666666666499</v>
      </c>
      <c r="V67">
        <v>166</v>
      </c>
      <c r="W67">
        <v>0</v>
      </c>
    </row>
    <row r="68" spans="1:23" x14ac:dyDescent="0.2">
      <c r="A68" t="s">
        <v>38</v>
      </c>
      <c r="B68" t="s">
        <v>39</v>
      </c>
      <c r="C68" t="s">
        <v>25</v>
      </c>
      <c r="D68">
        <v>3.698</v>
      </c>
      <c r="E68">
        <v>3.29853601184463E-2</v>
      </c>
      <c r="F68">
        <v>1</v>
      </c>
      <c r="G68">
        <v>1</v>
      </c>
      <c r="H68">
        <v>-13.2027292286772</v>
      </c>
      <c r="I68">
        <v>1</v>
      </c>
      <c r="J68">
        <v>2.0296909149852498</v>
      </c>
      <c r="K68">
        <v>3.3298270644575599E-2</v>
      </c>
      <c r="L68">
        <v>-1.94572324533922E-2</v>
      </c>
      <c r="M68">
        <v>111.633000324188</v>
      </c>
      <c r="N68">
        <v>2.0296909149852498</v>
      </c>
      <c r="O68">
        <v>6.7581586137867102</v>
      </c>
      <c r="P68">
        <v>16.666999631454999</v>
      </c>
      <c r="Q68">
        <v>-1.6626109038619798E-2</v>
      </c>
      <c r="R68">
        <v>1.50000000001</v>
      </c>
      <c r="S68">
        <v>1.0416666666632901</v>
      </c>
      <c r="T68">
        <v>1987.4166666666499</v>
      </c>
      <c r="U68">
        <v>2009.8333333333101</v>
      </c>
      <c r="V68">
        <v>64</v>
      </c>
      <c r="W68">
        <v>1</v>
      </c>
    </row>
    <row r="69" spans="1:23" x14ac:dyDescent="0.2">
      <c r="A69" t="s">
        <v>41</v>
      </c>
      <c r="B69" t="s">
        <v>39</v>
      </c>
      <c r="C69" t="s">
        <v>25</v>
      </c>
      <c r="D69">
        <v>3.698</v>
      </c>
      <c r="E69">
        <v>3.5788354614081003E-2</v>
      </c>
      <c r="F69">
        <v>2</v>
      </c>
      <c r="G69">
        <v>2</v>
      </c>
      <c r="H69">
        <v>-31.902717491086701</v>
      </c>
      <c r="I69">
        <v>1</v>
      </c>
      <c r="J69">
        <v>1.9701468679819201</v>
      </c>
      <c r="K69">
        <v>3.3298270644575599E-2</v>
      </c>
      <c r="L69">
        <v>-1.94572324533922E-2</v>
      </c>
      <c r="M69">
        <v>108.358077739005</v>
      </c>
      <c r="N69">
        <v>1.9701468679819201</v>
      </c>
      <c r="O69">
        <v>7.6602410802407697</v>
      </c>
      <c r="P69">
        <v>18.477555613231299</v>
      </c>
      <c r="Q69">
        <v>-1.6626109038619798E-2</v>
      </c>
      <c r="R69">
        <v>1.50000000001</v>
      </c>
      <c r="S69">
        <v>1.06944444444104</v>
      </c>
      <c r="T69">
        <v>1987.4166666666499</v>
      </c>
      <c r="U69">
        <v>2009.74999999998</v>
      </c>
      <c r="V69">
        <v>64</v>
      </c>
      <c r="W69">
        <v>2</v>
      </c>
    </row>
    <row r="70" spans="1:23" x14ac:dyDescent="0.2">
      <c r="A70" t="s">
        <v>104</v>
      </c>
      <c r="B70" t="s">
        <v>39</v>
      </c>
      <c r="C70" t="s">
        <v>25</v>
      </c>
      <c r="D70">
        <v>1.52</v>
      </c>
      <c r="E70">
        <v>2.4671459415894902E-2</v>
      </c>
      <c r="F70">
        <v>64</v>
      </c>
      <c r="G70">
        <v>60</v>
      </c>
      <c r="H70">
        <v>-18245.3516593645</v>
      </c>
      <c r="I70">
        <v>-1890.2987251806101</v>
      </c>
      <c r="J70">
        <v>-4.10467844004038</v>
      </c>
      <c r="K70">
        <v>3.9567313337956198E-2</v>
      </c>
      <c r="L70">
        <v>7.8538947024367999E-3</v>
      </c>
      <c r="M70">
        <v>-636.22515820625904</v>
      </c>
      <c r="N70">
        <v>2.0935422714404499</v>
      </c>
      <c r="O70">
        <v>7.4441591986724003</v>
      </c>
      <c r="P70">
        <v>9.9901369296578704</v>
      </c>
      <c r="Q70">
        <v>-1.3439483303708101E-2</v>
      </c>
      <c r="R70">
        <v>1.12499999998772</v>
      </c>
      <c r="S70">
        <v>0.94444444443664999</v>
      </c>
      <c r="T70">
        <v>1986.8333333333101</v>
      </c>
      <c r="U70">
        <v>2010.3333333333101</v>
      </c>
      <c r="V70">
        <v>166</v>
      </c>
      <c r="W70">
        <v>24</v>
      </c>
    </row>
    <row r="71" spans="1:23" x14ac:dyDescent="0.2">
      <c r="A71" t="s">
        <v>48</v>
      </c>
      <c r="B71" t="s">
        <v>39</v>
      </c>
      <c r="C71" t="s">
        <v>25</v>
      </c>
      <c r="D71">
        <v>6.2590000000000003</v>
      </c>
      <c r="E71">
        <v>3.95283756651197E-2</v>
      </c>
      <c r="F71">
        <v>7</v>
      </c>
      <c r="G71">
        <v>7</v>
      </c>
      <c r="H71">
        <v>-347.97812470154901</v>
      </c>
      <c r="I71">
        <v>-8.9037319951287301</v>
      </c>
      <c r="J71">
        <v>1.74213727386865</v>
      </c>
      <c r="K71">
        <v>4.1134635515750799E-2</v>
      </c>
      <c r="L71">
        <v>1.4285276431899301E-3</v>
      </c>
      <c r="M71">
        <v>254.35204198482299</v>
      </c>
      <c r="N71">
        <v>1.7297115443765001</v>
      </c>
      <c r="O71">
        <v>10.8680086485878</v>
      </c>
      <c r="P71">
        <v>7.9143534799178701</v>
      </c>
      <c r="Q71">
        <v>3.8155319950160102E-3</v>
      </c>
      <c r="R71">
        <v>0.89583333333246096</v>
      </c>
      <c r="S71">
        <v>1.1874999999926801</v>
      </c>
      <c r="T71">
        <v>1985.24999999998</v>
      </c>
      <c r="U71">
        <v>2010.1666666666499</v>
      </c>
      <c r="V71">
        <v>156</v>
      </c>
      <c r="W71">
        <v>4</v>
      </c>
    </row>
    <row r="72" spans="1:23" x14ac:dyDescent="0.2">
      <c r="A72" t="s">
        <v>46</v>
      </c>
      <c r="B72" t="s">
        <v>39</v>
      </c>
      <c r="C72" t="s">
        <v>25</v>
      </c>
      <c r="D72">
        <v>3.4220000000000002</v>
      </c>
      <c r="E72">
        <v>3.9602465772593798E-2</v>
      </c>
      <c r="F72">
        <v>4</v>
      </c>
      <c r="G72">
        <v>4</v>
      </c>
      <c r="H72">
        <v>-120.772970025239</v>
      </c>
      <c r="I72">
        <v>1</v>
      </c>
      <c r="J72">
        <v>1.74633421248456</v>
      </c>
      <c r="K72">
        <v>4.2710307092617299E-2</v>
      </c>
      <c r="L72">
        <v>1.6009604785466799E-4</v>
      </c>
      <c r="M72">
        <v>254.96479502274599</v>
      </c>
      <c r="N72">
        <v>1.7106074987351101</v>
      </c>
      <c r="O72">
        <v>8.0240723077042393</v>
      </c>
      <c r="P72">
        <v>7.9036689401096201</v>
      </c>
      <c r="Q72">
        <v>3.0315092614468702E-3</v>
      </c>
      <c r="R72">
        <v>0.50000000001091305</v>
      </c>
      <c r="S72">
        <v>1.4305555555519001</v>
      </c>
      <c r="T72">
        <v>1985.5833333333101</v>
      </c>
      <c r="U72">
        <v>2010.24999999998</v>
      </c>
      <c r="V72">
        <v>156</v>
      </c>
      <c r="W72">
        <v>4</v>
      </c>
    </row>
  </sheetData>
  <sortState xmlns:xlrd2="http://schemas.microsoft.com/office/spreadsheetml/2017/richdata2" ref="A2:W72">
    <sortCondition ref="B2:B72"/>
    <sortCondition ref="A2:A72"/>
  </sortState>
  <conditionalFormatting sqref="K1:K1048576">
    <cfRule type="cellIs" dxfId="0" priority="1" operator="greaterThan">
      <formula>0.06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current_methods_statistics_2511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2025-11-25T00:27:18Z</dcterms:created>
  <dcterms:modified xsi:type="dcterms:W3CDTF">2025-11-25T00:27:18Z</dcterms:modified>
</cp:coreProperties>
</file>