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observ_late/GCOS/"/>
    </mc:Choice>
  </mc:AlternateContent>
  <xr:revisionPtr revIDLastSave="0" documentId="8_{09BD74B2-1CED-6046-9BA4-D7F8EC9CCA77}" xr6:coauthVersionLast="47" xr6:coauthVersionMax="47" xr10:uidLastSave="{00000000-0000-0000-0000-000000000000}"/>
  <bookViews>
    <workbookView xWindow="6300" yWindow="5200" windowWidth="25640" windowHeight="14440" xr2:uid="{03AE723E-332F-1D46-8AED-7C7634AF4D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2" i="1"/>
  <c r="A57" i="1"/>
  <c r="A58" i="1" s="1"/>
  <c r="A59" i="1" s="1"/>
  <c r="A60" i="1" s="1"/>
  <c r="A61" i="1" s="1"/>
  <c r="A62" i="1" s="1"/>
  <c r="A45" i="1"/>
  <c r="A46" i="1"/>
  <c r="A47" i="1"/>
  <c r="A48" i="1"/>
  <c r="A49" i="1"/>
  <c r="A50" i="1"/>
  <c r="A51" i="1"/>
  <c r="A52" i="1"/>
  <c r="A53" i="1"/>
  <c r="A54" i="1"/>
  <c r="A55" i="1"/>
  <c r="A56" i="1"/>
  <c r="A38" i="1"/>
  <c r="A39" i="1" s="1"/>
  <c r="A40" i="1" s="1"/>
  <c r="A41" i="1" s="1"/>
  <c r="A42" i="1" s="1"/>
  <c r="A43" i="1" s="1"/>
  <c r="A44" i="1" s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3" i="1"/>
</calcChain>
</file>

<file path=xl/sharedStrings.xml><?xml version="1.0" encoding="utf-8"?>
<sst xmlns="http://schemas.openxmlformats.org/spreadsheetml/2006/main" count="7" uniqueCount="7">
  <si>
    <t>year</t>
  </si>
  <si>
    <t>0-2000m_60Lat</t>
  </si>
  <si>
    <t>0-2000m_60Lat_se</t>
  </si>
  <si>
    <t>2000-6000m_60Lat</t>
  </si>
  <si>
    <t>20000-6000m_60Lat_se</t>
  </si>
  <si>
    <t>0-6000m_60Lat</t>
  </si>
  <si>
    <t>0-6000m_60Lat_se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</si>
</sst>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8777-B3A8-544E-B7E8-ADD048738BB4}">
  <dimension ref="A1:G62"/>
  <sheetViews>
    <sheetView tabSelected="1" workbookViewId="0">
      <selection activeCell="I8" sqref="I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1960</v>
      </c>
      <c r="B2">
        <v>0</v>
      </c>
      <c r="C2">
        <v>22.209723</v>
      </c>
      <c r="D2">
        <v>0</v>
      </c>
      <c r="E2">
        <v>0.48</v>
      </c>
      <c r="F2">
        <f>D2+B2</f>
        <v>0</v>
      </c>
      <c r="G2">
        <f>SQRT(E2^2+C2^2)</f>
        <v>22.214909311917729</v>
      </c>
    </row>
    <row r="3" spans="1:7" x14ac:dyDescent="0.2">
      <c r="A3">
        <f>A2+1</f>
        <v>1961</v>
      </c>
      <c r="B3">
        <v>15.7341175</v>
      </c>
      <c r="C3">
        <v>21.836752000000001</v>
      </c>
      <c r="D3">
        <v>0</v>
      </c>
      <c r="E3">
        <v>0.48</v>
      </c>
      <c r="F3">
        <f t="shared" ref="F3:F62" si="0">D3+B3</f>
        <v>15.7341175</v>
      </c>
      <c r="G3">
        <f t="shared" ref="G3:G62" si="1">SQRT(E3^2+C3^2)</f>
        <v>21.842026872740174</v>
      </c>
    </row>
    <row r="4" spans="1:7" x14ac:dyDescent="0.2">
      <c r="A4">
        <f t="shared" ref="A4:A65" si="2">A3+1</f>
        <v>1962</v>
      </c>
      <c r="B4">
        <v>28.681605999999999</v>
      </c>
      <c r="C4">
        <v>17.57723</v>
      </c>
      <c r="D4">
        <v>0</v>
      </c>
      <c r="E4">
        <v>0.48</v>
      </c>
      <c r="F4">
        <f t="shared" si="0"/>
        <v>28.681605999999999</v>
      </c>
      <c r="G4">
        <f t="shared" si="1"/>
        <v>17.583782712286339</v>
      </c>
    </row>
    <row r="5" spans="1:7" x14ac:dyDescent="0.2">
      <c r="A5">
        <f t="shared" si="2"/>
        <v>1963</v>
      </c>
      <c r="B5">
        <v>21.137104000000001</v>
      </c>
      <c r="C5">
        <v>15.704207</v>
      </c>
      <c r="D5">
        <v>0</v>
      </c>
      <c r="E5">
        <v>0.48</v>
      </c>
      <c r="F5">
        <f t="shared" si="0"/>
        <v>21.137104000000001</v>
      </c>
      <c r="G5">
        <f t="shared" si="1"/>
        <v>15.711540901479047</v>
      </c>
    </row>
    <row r="6" spans="1:7" x14ac:dyDescent="0.2">
      <c r="A6">
        <f t="shared" si="2"/>
        <v>1964</v>
      </c>
      <c r="B6">
        <v>9.8030749999999998</v>
      </c>
      <c r="C6">
        <v>23.463757000000001</v>
      </c>
      <c r="D6">
        <v>0</v>
      </c>
      <c r="E6">
        <v>0.48</v>
      </c>
      <c r="F6">
        <f t="shared" si="0"/>
        <v>9.8030749999999998</v>
      </c>
      <c r="G6">
        <f t="shared" si="1"/>
        <v>23.468666186109708</v>
      </c>
    </row>
    <row r="7" spans="1:7" x14ac:dyDescent="0.2">
      <c r="A7">
        <f t="shared" si="2"/>
        <v>1965</v>
      </c>
      <c r="B7">
        <v>-0.31271191999999998</v>
      </c>
      <c r="C7">
        <v>1.7713300000000001</v>
      </c>
      <c r="D7">
        <v>0</v>
      </c>
      <c r="E7">
        <v>0.48</v>
      </c>
      <c r="F7">
        <f t="shared" si="0"/>
        <v>-0.31271191999999998</v>
      </c>
      <c r="G7">
        <f t="shared" si="1"/>
        <v>1.8352138755196898</v>
      </c>
    </row>
    <row r="8" spans="1:7" x14ac:dyDescent="0.2">
      <c r="A8">
        <f t="shared" si="2"/>
        <v>1966</v>
      </c>
      <c r="B8">
        <v>14.841215999999999</v>
      </c>
      <c r="C8">
        <v>5.7004742999999998</v>
      </c>
      <c r="D8">
        <v>0</v>
      </c>
      <c r="E8">
        <v>0.48</v>
      </c>
      <c r="F8">
        <f t="shared" si="0"/>
        <v>14.841215999999999</v>
      </c>
      <c r="G8">
        <f t="shared" si="1"/>
        <v>5.7206474498050035</v>
      </c>
    </row>
    <row r="9" spans="1:7" x14ac:dyDescent="0.2">
      <c r="A9">
        <f t="shared" si="2"/>
        <v>1967</v>
      </c>
      <c r="B9">
        <v>2.6593575</v>
      </c>
      <c r="C9">
        <v>16.289429999999999</v>
      </c>
      <c r="D9">
        <v>0</v>
      </c>
      <c r="E9">
        <v>0.48</v>
      </c>
      <c r="F9">
        <f t="shared" si="0"/>
        <v>2.6593575</v>
      </c>
      <c r="G9">
        <f t="shared" si="1"/>
        <v>16.296500536154991</v>
      </c>
    </row>
    <row r="10" spans="1:7" x14ac:dyDescent="0.2">
      <c r="A10">
        <f t="shared" si="2"/>
        <v>1968</v>
      </c>
      <c r="B10">
        <v>-18.206935999999999</v>
      </c>
      <c r="C10">
        <v>14.740926999999999</v>
      </c>
      <c r="D10">
        <v>0</v>
      </c>
      <c r="E10">
        <v>0.48</v>
      </c>
      <c r="F10">
        <f t="shared" si="0"/>
        <v>-18.206935999999999</v>
      </c>
      <c r="G10">
        <f t="shared" si="1"/>
        <v>14.748739906152288</v>
      </c>
    </row>
    <row r="11" spans="1:7" x14ac:dyDescent="0.2">
      <c r="A11">
        <f t="shared" si="2"/>
        <v>1969</v>
      </c>
      <c r="B11">
        <v>-6.6342524999999997</v>
      </c>
      <c r="C11">
        <v>18.171595</v>
      </c>
      <c r="D11">
        <v>0</v>
      </c>
      <c r="E11">
        <v>0.48</v>
      </c>
      <c r="F11">
        <f t="shared" si="0"/>
        <v>-6.6342524999999997</v>
      </c>
      <c r="G11">
        <f t="shared" si="1"/>
        <v>18.177933459115341</v>
      </c>
    </row>
    <row r="12" spans="1:7" x14ac:dyDescent="0.2">
      <c r="A12">
        <f t="shared" si="2"/>
        <v>1970</v>
      </c>
      <c r="B12">
        <v>-9.5825969999999998</v>
      </c>
      <c r="C12">
        <v>11.210167999999999</v>
      </c>
      <c r="D12">
        <v>0</v>
      </c>
      <c r="E12">
        <v>0.48</v>
      </c>
      <c r="F12">
        <f t="shared" si="0"/>
        <v>-9.5825969999999998</v>
      </c>
      <c r="G12">
        <f t="shared" si="1"/>
        <v>11.220439678917399</v>
      </c>
    </row>
    <row r="13" spans="1:7" x14ac:dyDescent="0.2">
      <c r="A13">
        <f t="shared" si="2"/>
        <v>1971</v>
      </c>
      <c r="B13">
        <v>9.4255294999999997</v>
      </c>
      <c r="C13">
        <v>7.6482577000000003</v>
      </c>
      <c r="D13">
        <v>0</v>
      </c>
      <c r="E13">
        <v>0.48</v>
      </c>
      <c r="F13">
        <f t="shared" si="0"/>
        <v>9.4255294999999997</v>
      </c>
      <c r="G13">
        <f t="shared" si="1"/>
        <v>7.6633051515393342</v>
      </c>
    </row>
    <row r="14" spans="1:7" x14ac:dyDescent="0.2">
      <c r="A14">
        <f t="shared" si="2"/>
        <v>1972</v>
      </c>
      <c r="B14">
        <v>9.39377</v>
      </c>
      <c r="C14">
        <v>11.502713999999999</v>
      </c>
      <c r="D14">
        <v>0</v>
      </c>
      <c r="E14">
        <v>0.48</v>
      </c>
      <c r="F14">
        <f t="shared" si="0"/>
        <v>9.39377</v>
      </c>
      <c r="G14">
        <f t="shared" si="1"/>
        <v>11.512724671675077</v>
      </c>
    </row>
    <row r="15" spans="1:7" x14ac:dyDescent="0.2">
      <c r="A15">
        <f t="shared" si="2"/>
        <v>1973</v>
      </c>
      <c r="B15">
        <v>14.937863</v>
      </c>
      <c r="C15">
        <v>14.856688500000001</v>
      </c>
      <c r="D15">
        <v>0</v>
      </c>
      <c r="E15">
        <v>0.48</v>
      </c>
      <c r="F15">
        <f t="shared" si="0"/>
        <v>14.937863</v>
      </c>
      <c r="G15">
        <f t="shared" si="1"/>
        <v>14.864440560816014</v>
      </c>
    </row>
    <row r="16" spans="1:7" x14ac:dyDescent="0.2">
      <c r="A16">
        <f t="shared" si="2"/>
        <v>1974</v>
      </c>
      <c r="B16">
        <v>26.781303000000001</v>
      </c>
      <c r="C16">
        <v>20.89423</v>
      </c>
      <c r="D16">
        <v>0</v>
      </c>
      <c r="E16">
        <v>0.48</v>
      </c>
      <c r="F16">
        <f t="shared" si="0"/>
        <v>26.781303000000001</v>
      </c>
      <c r="G16">
        <f t="shared" si="1"/>
        <v>20.899742756620235</v>
      </c>
    </row>
    <row r="17" spans="1:7" x14ac:dyDescent="0.2">
      <c r="A17">
        <f t="shared" si="2"/>
        <v>1975</v>
      </c>
      <c r="B17">
        <v>40.523837999999998</v>
      </c>
      <c r="C17">
        <v>15.434628500000001</v>
      </c>
      <c r="D17">
        <v>0</v>
      </c>
      <c r="E17">
        <v>0.48</v>
      </c>
      <c r="F17">
        <f t="shared" si="0"/>
        <v>40.523837999999998</v>
      </c>
      <c r="G17">
        <f t="shared" si="1"/>
        <v>15.44209043274298</v>
      </c>
    </row>
    <row r="18" spans="1:7" x14ac:dyDescent="0.2">
      <c r="A18">
        <f t="shared" si="2"/>
        <v>1976</v>
      </c>
      <c r="B18">
        <v>31.340205999999998</v>
      </c>
      <c r="C18">
        <v>17.150362000000001</v>
      </c>
      <c r="D18">
        <v>0</v>
      </c>
      <c r="E18">
        <v>0.48</v>
      </c>
      <c r="F18">
        <f t="shared" si="0"/>
        <v>31.340205999999998</v>
      </c>
      <c r="G18">
        <f t="shared" si="1"/>
        <v>17.157077744506608</v>
      </c>
    </row>
    <row r="19" spans="1:7" x14ac:dyDescent="0.2">
      <c r="A19">
        <f t="shared" si="2"/>
        <v>1977</v>
      </c>
      <c r="B19">
        <v>45.882458</v>
      </c>
      <c r="C19">
        <v>28.889617999999999</v>
      </c>
      <c r="D19">
        <v>0</v>
      </c>
      <c r="E19">
        <v>0.48</v>
      </c>
      <c r="F19">
        <f t="shared" si="0"/>
        <v>45.882458</v>
      </c>
      <c r="G19">
        <f t="shared" si="1"/>
        <v>28.893605316504274</v>
      </c>
    </row>
    <row r="20" spans="1:7" x14ac:dyDescent="0.2">
      <c r="A20">
        <f t="shared" si="2"/>
        <v>1978</v>
      </c>
      <c r="B20">
        <v>57.353737000000002</v>
      </c>
      <c r="C20">
        <v>34.69218</v>
      </c>
      <c r="D20">
        <v>0</v>
      </c>
      <c r="E20">
        <v>0.48</v>
      </c>
      <c r="F20">
        <f t="shared" si="0"/>
        <v>57.353737000000002</v>
      </c>
      <c r="G20">
        <f t="shared" si="1"/>
        <v>34.695500474159473</v>
      </c>
    </row>
    <row r="21" spans="1:7" x14ac:dyDescent="0.2">
      <c r="A21">
        <f t="shared" si="2"/>
        <v>1979</v>
      </c>
      <c r="B21">
        <v>42.907935999999999</v>
      </c>
      <c r="C21">
        <v>22.649363000000001</v>
      </c>
      <c r="D21">
        <v>0</v>
      </c>
      <c r="E21">
        <v>0.48</v>
      </c>
      <c r="F21">
        <f t="shared" si="0"/>
        <v>42.907935999999999</v>
      </c>
      <c r="G21">
        <f t="shared" si="1"/>
        <v>22.654448664793613</v>
      </c>
    </row>
    <row r="22" spans="1:7" x14ac:dyDescent="0.2">
      <c r="A22">
        <f t="shared" si="2"/>
        <v>1980</v>
      </c>
      <c r="B22">
        <v>67.759879999999995</v>
      </c>
      <c r="C22">
        <v>30.256166</v>
      </c>
      <c r="D22">
        <v>0</v>
      </c>
      <c r="E22">
        <v>0.48</v>
      </c>
      <c r="F22">
        <f t="shared" si="0"/>
        <v>67.759879999999995</v>
      </c>
      <c r="G22">
        <f t="shared" si="1"/>
        <v>30.259973248824199</v>
      </c>
    </row>
    <row r="23" spans="1:7" x14ac:dyDescent="0.2">
      <c r="A23">
        <f t="shared" si="2"/>
        <v>1981</v>
      </c>
      <c r="B23">
        <v>63.948917000000002</v>
      </c>
      <c r="C23">
        <v>20.588228000000001</v>
      </c>
      <c r="D23">
        <v>0</v>
      </c>
      <c r="E23">
        <v>0.48</v>
      </c>
      <c r="F23">
        <f t="shared" si="0"/>
        <v>63.948917000000002</v>
      </c>
      <c r="G23">
        <f t="shared" si="1"/>
        <v>20.593822670402499</v>
      </c>
    </row>
    <row r="24" spans="1:7" x14ac:dyDescent="0.2">
      <c r="A24">
        <f t="shared" si="2"/>
        <v>1982</v>
      </c>
      <c r="B24">
        <v>44.092007000000002</v>
      </c>
      <c r="C24">
        <v>9.4616419999999994</v>
      </c>
      <c r="D24">
        <v>0</v>
      </c>
      <c r="E24">
        <v>0.48</v>
      </c>
      <c r="F24">
        <f t="shared" si="0"/>
        <v>44.092007000000002</v>
      </c>
      <c r="G24">
        <f t="shared" si="1"/>
        <v>9.4738096527302034</v>
      </c>
    </row>
    <row r="25" spans="1:7" x14ac:dyDescent="0.2">
      <c r="A25">
        <f t="shared" si="2"/>
        <v>1983</v>
      </c>
      <c r="B25">
        <v>36.691240000000001</v>
      </c>
      <c r="C25">
        <v>14.197134</v>
      </c>
      <c r="D25">
        <v>0</v>
      </c>
      <c r="E25">
        <v>0.48</v>
      </c>
      <c r="F25">
        <f t="shared" si="0"/>
        <v>36.691240000000001</v>
      </c>
      <c r="G25">
        <f t="shared" si="1"/>
        <v>14.205245996249273</v>
      </c>
    </row>
    <row r="26" spans="1:7" x14ac:dyDescent="0.2">
      <c r="A26">
        <f t="shared" si="2"/>
        <v>1984</v>
      </c>
      <c r="B26">
        <v>50.752110000000002</v>
      </c>
      <c r="C26">
        <v>32.290733000000003</v>
      </c>
      <c r="D26">
        <v>0</v>
      </c>
      <c r="E26">
        <v>0.48</v>
      </c>
      <c r="F26">
        <f t="shared" si="0"/>
        <v>50.752110000000002</v>
      </c>
      <c r="G26">
        <f t="shared" si="1"/>
        <v>32.294300389964931</v>
      </c>
    </row>
    <row r="27" spans="1:7" x14ac:dyDescent="0.2">
      <c r="A27">
        <f t="shared" si="2"/>
        <v>1985</v>
      </c>
      <c r="B27">
        <v>60.67127</v>
      </c>
      <c r="C27">
        <v>26.220393999999999</v>
      </c>
      <c r="D27">
        <v>0</v>
      </c>
      <c r="E27">
        <v>0.48</v>
      </c>
      <c r="F27">
        <f t="shared" si="0"/>
        <v>60.67127</v>
      </c>
      <c r="G27">
        <f t="shared" si="1"/>
        <v>26.224787158626015</v>
      </c>
    </row>
    <row r="28" spans="1:7" x14ac:dyDescent="0.2">
      <c r="A28">
        <f t="shared" si="2"/>
        <v>1986</v>
      </c>
      <c r="B28">
        <v>71.329229999999995</v>
      </c>
      <c r="C28">
        <v>13.802686</v>
      </c>
      <c r="D28">
        <v>0</v>
      </c>
      <c r="E28">
        <v>0.48</v>
      </c>
      <c r="F28">
        <f t="shared" si="0"/>
        <v>71.329229999999995</v>
      </c>
      <c r="G28">
        <f t="shared" si="1"/>
        <v>13.811029679737713</v>
      </c>
    </row>
    <row r="29" spans="1:7" x14ac:dyDescent="0.2">
      <c r="A29">
        <f t="shared" si="2"/>
        <v>1987</v>
      </c>
      <c r="B29">
        <v>61.406146999999997</v>
      </c>
      <c r="C29">
        <v>15.739247000000001</v>
      </c>
      <c r="D29">
        <v>0</v>
      </c>
      <c r="E29">
        <v>0.48</v>
      </c>
      <c r="F29">
        <f t="shared" si="0"/>
        <v>61.406146999999997</v>
      </c>
      <c r="G29">
        <f t="shared" si="1"/>
        <v>15.746564581743188</v>
      </c>
    </row>
    <row r="30" spans="1:7" x14ac:dyDescent="0.2">
      <c r="A30">
        <f t="shared" si="2"/>
        <v>1988</v>
      </c>
      <c r="B30">
        <v>67.507964999999999</v>
      </c>
      <c r="C30">
        <v>16.123161</v>
      </c>
      <c r="D30">
        <v>0</v>
      </c>
      <c r="E30">
        <v>0.48</v>
      </c>
      <c r="F30">
        <f t="shared" si="0"/>
        <v>67.507964999999999</v>
      </c>
      <c r="G30">
        <f t="shared" si="1"/>
        <v>16.130304418451654</v>
      </c>
    </row>
    <row r="31" spans="1:7" x14ac:dyDescent="0.2">
      <c r="A31">
        <f t="shared" si="2"/>
        <v>1989</v>
      </c>
      <c r="B31">
        <v>64.764210000000006</v>
      </c>
      <c r="C31">
        <v>18.029768000000001</v>
      </c>
      <c r="D31">
        <v>0</v>
      </c>
      <c r="E31">
        <v>0.48</v>
      </c>
      <c r="F31">
        <f t="shared" si="0"/>
        <v>64.764210000000006</v>
      </c>
      <c r="G31">
        <f t="shared" si="1"/>
        <v>18.036156301546736</v>
      </c>
    </row>
    <row r="32" spans="1:7" x14ac:dyDescent="0.2">
      <c r="A32">
        <f t="shared" si="2"/>
        <v>1990</v>
      </c>
      <c r="B32">
        <v>62.132812000000001</v>
      </c>
      <c r="C32">
        <v>18.849937000000001</v>
      </c>
      <c r="D32">
        <v>0</v>
      </c>
      <c r="E32">
        <v>0.48</v>
      </c>
      <c r="F32">
        <f t="shared" si="0"/>
        <v>62.132812000000001</v>
      </c>
      <c r="G32">
        <f t="shared" si="1"/>
        <v>18.856047435875023</v>
      </c>
    </row>
    <row r="33" spans="1:7" x14ac:dyDescent="0.2">
      <c r="A33">
        <f t="shared" si="2"/>
        <v>1991</v>
      </c>
      <c r="B33">
        <v>85.660899999999998</v>
      </c>
      <c r="C33">
        <v>16.483291999999999</v>
      </c>
      <c r="D33">
        <v>0</v>
      </c>
      <c r="E33">
        <v>0.48</v>
      </c>
      <c r="F33">
        <f t="shared" si="0"/>
        <v>85.660899999999998</v>
      </c>
      <c r="G33">
        <f t="shared" si="1"/>
        <v>16.490279414165908</v>
      </c>
    </row>
    <row r="34" spans="1:7" x14ac:dyDescent="0.2">
      <c r="A34">
        <f t="shared" si="2"/>
        <v>1992</v>
      </c>
      <c r="B34">
        <v>84.865539999999996</v>
      </c>
      <c r="C34">
        <v>8.9788630000000005</v>
      </c>
      <c r="D34">
        <v>0</v>
      </c>
      <c r="E34">
        <v>0.48</v>
      </c>
      <c r="F34">
        <f t="shared" si="0"/>
        <v>84.865539999999996</v>
      </c>
      <c r="G34">
        <f t="shared" si="1"/>
        <v>8.9916839786977061</v>
      </c>
    </row>
    <row r="35" spans="1:7" x14ac:dyDescent="0.2">
      <c r="A35">
        <f t="shared" si="2"/>
        <v>1993</v>
      </c>
      <c r="B35">
        <v>99.470894000000001</v>
      </c>
      <c r="C35">
        <v>12.255634000000001</v>
      </c>
      <c r="D35">
        <v>0</v>
      </c>
      <c r="E35">
        <v>0.48</v>
      </c>
      <c r="F35">
        <f t="shared" si="0"/>
        <v>99.470894000000001</v>
      </c>
      <c r="G35">
        <f t="shared" si="1"/>
        <v>12.265030156585675</v>
      </c>
    </row>
    <row r="36" spans="1:7" x14ac:dyDescent="0.2">
      <c r="A36">
        <f t="shared" si="2"/>
        <v>1994</v>
      </c>
      <c r="B36">
        <v>105.32854500000001</v>
      </c>
      <c r="C36">
        <v>10.580978999999999</v>
      </c>
      <c r="D36">
        <v>0.97</v>
      </c>
      <c r="E36">
        <v>0.48</v>
      </c>
      <c r="F36">
        <f t="shared" si="0"/>
        <v>106.298545</v>
      </c>
      <c r="G36">
        <f t="shared" si="1"/>
        <v>10.59186086570443</v>
      </c>
    </row>
    <row r="37" spans="1:7" x14ac:dyDescent="0.2">
      <c r="A37">
        <f t="shared" si="2"/>
        <v>1995</v>
      </c>
      <c r="B37">
        <v>89.104150000000004</v>
      </c>
      <c r="C37">
        <v>15.091153</v>
      </c>
      <c r="D37">
        <v>1.94</v>
      </c>
      <c r="E37">
        <v>0.48</v>
      </c>
      <c r="F37">
        <f t="shared" si="0"/>
        <v>91.044150000000002</v>
      </c>
      <c r="G37">
        <f t="shared" si="1"/>
        <v>15.098784681867908</v>
      </c>
    </row>
    <row r="38" spans="1:7" x14ac:dyDescent="0.2">
      <c r="A38">
        <f t="shared" si="2"/>
        <v>1996</v>
      </c>
      <c r="B38">
        <v>117.07758</v>
      </c>
      <c r="C38">
        <v>13.258633</v>
      </c>
      <c r="D38">
        <v>2.91</v>
      </c>
      <c r="E38">
        <v>0.48</v>
      </c>
      <c r="F38">
        <f t="shared" si="0"/>
        <v>119.98757999999999</v>
      </c>
      <c r="G38">
        <f t="shared" si="1"/>
        <v>13.267318833460248</v>
      </c>
    </row>
    <row r="39" spans="1:7" x14ac:dyDescent="0.2">
      <c r="A39">
        <f t="shared" si="2"/>
        <v>1997</v>
      </c>
      <c r="B39">
        <v>112.64694</v>
      </c>
      <c r="C39">
        <v>1.0339011</v>
      </c>
      <c r="D39">
        <v>3.88</v>
      </c>
      <c r="E39">
        <v>0.48</v>
      </c>
      <c r="F39">
        <f t="shared" si="0"/>
        <v>116.52694</v>
      </c>
      <c r="G39">
        <f t="shared" si="1"/>
        <v>1.1398909967980315</v>
      </c>
    </row>
    <row r="40" spans="1:7" x14ac:dyDescent="0.2">
      <c r="A40">
        <f t="shared" si="2"/>
        <v>1998</v>
      </c>
      <c r="B40">
        <v>112.490685</v>
      </c>
      <c r="C40">
        <v>13.375062</v>
      </c>
      <c r="D40">
        <v>4.8499999999999996</v>
      </c>
      <c r="E40">
        <v>0.48</v>
      </c>
      <c r="F40">
        <f t="shared" si="0"/>
        <v>117.34068499999999</v>
      </c>
      <c r="G40">
        <f t="shared" si="1"/>
        <v>13.383672272730083</v>
      </c>
    </row>
    <row r="41" spans="1:7" x14ac:dyDescent="0.2">
      <c r="A41">
        <f t="shared" si="2"/>
        <v>1999</v>
      </c>
      <c r="B41">
        <v>129.49802</v>
      </c>
      <c r="C41">
        <v>4.9841075000000004</v>
      </c>
      <c r="D41">
        <v>5.82</v>
      </c>
      <c r="E41">
        <v>0.48</v>
      </c>
      <c r="F41">
        <f t="shared" si="0"/>
        <v>135.31801999999999</v>
      </c>
      <c r="G41">
        <f t="shared" si="1"/>
        <v>5.00716761967844</v>
      </c>
    </row>
    <row r="42" spans="1:7" x14ac:dyDescent="0.2">
      <c r="A42">
        <f t="shared" si="2"/>
        <v>2000</v>
      </c>
      <c r="B42">
        <v>122.89713999999999</v>
      </c>
      <c r="C42">
        <v>10.758255999999999</v>
      </c>
      <c r="D42">
        <v>6.79</v>
      </c>
      <c r="E42">
        <v>0.48</v>
      </c>
      <c r="F42">
        <f t="shared" si="0"/>
        <v>129.68714</v>
      </c>
      <c r="G42">
        <f t="shared" si="1"/>
        <v>10.76895873153649</v>
      </c>
    </row>
    <row r="43" spans="1:7" x14ac:dyDescent="0.2">
      <c r="A43">
        <f t="shared" si="2"/>
        <v>2001</v>
      </c>
      <c r="B43">
        <v>125.59811999999999</v>
      </c>
      <c r="C43">
        <v>4.5171530000000004</v>
      </c>
      <c r="D43">
        <v>7.76</v>
      </c>
      <c r="E43">
        <v>0.48</v>
      </c>
      <c r="F43">
        <f t="shared" si="0"/>
        <v>133.35811999999999</v>
      </c>
      <c r="G43">
        <f t="shared" si="1"/>
        <v>4.5425842012459166</v>
      </c>
    </row>
    <row r="44" spans="1:7" x14ac:dyDescent="0.2">
      <c r="A44">
        <f t="shared" si="2"/>
        <v>2002</v>
      </c>
      <c r="B44">
        <v>156.81915000000001</v>
      </c>
      <c r="C44">
        <v>2.9063789999999998</v>
      </c>
      <c r="D44">
        <v>8.73</v>
      </c>
      <c r="E44">
        <v>0.48</v>
      </c>
      <c r="F44">
        <f t="shared" si="0"/>
        <v>165.54915</v>
      </c>
      <c r="G44">
        <f t="shared" si="1"/>
        <v>2.9457492920547392</v>
      </c>
    </row>
    <row r="45" spans="1:7" x14ac:dyDescent="0.2">
      <c r="A45">
        <f t="shared" si="2"/>
        <v>2003</v>
      </c>
      <c r="B45">
        <v>183.58711</v>
      </c>
      <c r="C45">
        <v>6.1312537000000003</v>
      </c>
      <c r="D45">
        <v>9.6999999999999993</v>
      </c>
      <c r="E45">
        <v>0.48</v>
      </c>
      <c r="F45">
        <f t="shared" si="0"/>
        <v>193.28710999999998</v>
      </c>
      <c r="G45">
        <f t="shared" si="1"/>
        <v>6.1500139783388859</v>
      </c>
    </row>
    <row r="46" spans="1:7" x14ac:dyDescent="0.2">
      <c r="A46">
        <f t="shared" si="2"/>
        <v>2004</v>
      </c>
      <c r="B46">
        <v>182.45025999999999</v>
      </c>
      <c r="C46">
        <v>6.0450460000000001</v>
      </c>
      <c r="D46">
        <v>10.67</v>
      </c>
      <c r="E46">
        <v>0.48</v>
      </c>
      <c r="F46">
        <f t="shared" si="0"/>
        <v>193.12025999999997</v>
      </c>
      <c r="G46">
        <f t="shared" si="1"/>
        <v>6.0640729829147011</v>
      </c>
    </row>
    <row r="47" spans="1:7" x14ac:dyDescent="0.2">
      <c r="A47">
        <f t="shared" si="2"/>
        <v>2005</v>
      </c>
      <c r="B47">
        <v>181.74424999999999</v>
      </c>
      <c r="C47">
        <v>12.904211</v>
      </c>
      <c r="D47">
        <v>11.64</v>
      </c>
      <c r="E47">
        <v>0.48</v>
      </c>
      <c r="F47">
        <f t="shared" si="0"/>
        <v>193.38425000000001</v>
      </c>
      <c r="G47">
        <f t="shared" si="1"/>
        <v>12.913135232487926</v>
      </c>
    </row>
    <row r="48" spans="1:7" x14ac:dyDescent="0.2">
      <c r="A48">
        <f t="shared" si="2"/>
        <v>2006</v>
      </c>
      <c r="B48">
        <v>192.35624999999999</v>
      </c>
      <c r="C48">
        <v>10.645578</v>
      </c>
      <c r="D48">
        <v>12.61</v>
      </c>
      <c r="E48">
        <v>0.48</v>
      </c>
      <c r="F48">
        <f t="shared" si="0"/>
        <v>204.96625</v>
      </c>
      <c r="G48">
        <f t="shared" si="1"/>
        <v>10.65639390009979</v>
      </c>
    </row>
    <row r="49" spans="1:7" x14ac:dyDescent="0.2">
      <c r="A49">
        <f t="shared" si="2"/>
        <v>2007</v>
      </c>
      <c r="B49">
        <v>190.01004</v>
      </c>
      <c r="C49">
        <v>7.9806850000000003</v>
      </c>
      <c r="D49">
        <v>13.58</v>
      </c>
      <c r="E49">
        <v>0.48</v>
      </c>
      <c r="F49">
        <f t="shared" si="0"/>
        <v>203.59004000000002</v>
      </c>
      <c r="G49">
        <f t="shared" si="1"/>
        <v>7.9951068203761357</v>
      </c>
    </row>
    <row r="50" spans="1:7" x14ac:dyDescent="0.2">
      <c r="A50">
        <f t="shared" si="2"/>
        <v>2008</v>
      </c>
      <c r="B50">
        <v>203.09766999999999</v>
      </c>
      <c r="C50">
        <v>7.7076425999999998</v>
      </c>
      <c r="D50">
        <v>14.55</v>
      </c>
      <c r="E50">
        <v>0.48</v>
      </c>
      <c r="F50">
        <f t="shared" si="0"/>
        <v>217.64767000000001</v>
      </c>
      <c r="G50">
        <f t="shared" si="1"/>
        <v>7.7225743408098548</v>
      </c>
    </row>
    <row r="51" spans="1:7" x14ac:dyDescent="0.2">
      <c r="A51">
        <f t="shared" si="2"/>
        <v>2009</v>
      </c>
      <c r="B51">
        <v>213.31923</v>
      </c>
      <c r="C51">
        <v>4.6236296000000001</v>
      </c>
      <c r="D51">
        <v>15.52</v>
      </c>
      <c r="E51">
        <v>0.48</v>
      </c>
      <c r="F51">
        <f t="shared" si="0"/>
        <v>228.83923000000001</v>
      </c>
      <c r="G51">
        <f t="shared" si="1"/>
        <v>4.6484783185464211</v>
      </c>
    </row>
    <row r="52" spans="1:7" x14ac:dyDescent="0.2">
      <c r="A52">
        <f t="shared" si="2"/>
        <v>2010</v>
      </c>
      <c r="B52">
        <v>211.20424</v>
      </c>
      <c r="C52">
        <v>5.6195617000000002</v>
      </c>
      <c r="D52">
        <v>16.489999999999998</v>
      </c>
      <c r="E52">
        <v>0.48</v>
      </c>
      <c r="F52">
        <f t="shared" si="0"/>
        <v>227.69424000000001</v>
      </c>
      <c r="G52">
        <f t="shared" si="1"/>
        <v>5.6400242641416796</v>
      </c>
    </row>
    <row r="53" spans="1:7" x14ac:dyDescent="0.2">
      <c r="A53">
        <f t="shared" si="2"/>
        <v>2011</v>
      </c>
      <c r="B53">
        <v>220.06163000000001</v>
      </c>
      <c r="C53">
        <v>4.8740835000000002</v>
      </c>
      <c r="D53">
        <v>17.46</v>
      </c>
      <c r="E53">
        <v>0.48</v>
      </c>
      <c r="F53">
        <f t="shared" si="0"/>
        <v>237.52163000000002</v>
      </c>
      <c r="G53">
        <f t="shared" si="1"/>
        <v>4.8976616833926219</v>
      </c>
    </row>
    <row r="54" spans="1:7" x14ac:dyDescent="0.2">
      <c r="A54">
        <f t="shared" si="2"/>
        <v>2012</v>
      </c>
      <c r="B54">
        <v>227.52170000000001</v>
      </c>
      <c r="C54">
        <v>5.5267853999999996</v>
      </c>
      <c r="D54">
        <v>18.43</v>
      </c>
      <c r="E54">
        <v>0.48</v>
      </c>
      <c r="F54">
        <f t="shared" si="0"/>
        <v>245.95170000000002</v>
      </c>
      <c r="G54">
        <f t="shared" si="1"/>
        <v>5.5475901847246396</v>
      </c>
    </row>
    <row r="55" spans="1:7" x14ac:dyDescent="0.2">
      <c r="A55">
        <f t="shared" si="2"/>
        <v>2013</v>
      </c>
      <c r="B55">
        <v>250.10616999999999</v>
      </c>
      <c r="C55">
        <v>3.6133424999999999</v>
      </c>
      <c r="D55">
        <v>19.399999999999999</v>
      </c>
      <c r="E55">
        <v>0.48</v>
      </c>
      <c r="F55">
        <f t="shared" si="0"/>
        <v>269.50617</v>
      </c>
      <c r="G55">
        <f t="shared" si="1"/>
        <v>3.6450849129075511</v>
      </c>
    </row>
    <row r="56" spans="1:7" x14ac:dyDescent="0.2">
      <c r="A56">
        <f t="shared" si="2"/>
        <v>2014</v>
      </c>
      <c r="B56">
        <v>260.81885</v>
      </c>
      <c r="C56">
        <v>5.2391519999999998</v>
      </c>
      <c r="D56">
        <v>20.37</v>
      </c>
      <c r="E56">
        <v>0.48</v>
      </c>
      <c r="F56">
        <f t="shared" si="0"/>
        <v>281.18885</v>
      </c>
      <c r="G56">
        <f t="shared" si="1"/>
        <v>5.2610943423496979</v>
      </c>
    </row>
    <row r="57" spans="1:7" x14ac:dyDescent="0.2">
      <c r="A57">
        <f t="shared" si="2"/>
        <v>2015</v>
      </c>
      <c r="B57">
        <v>278.22845000000001</v>
      </c>
      <c r="C57">
        <v>6.3846740000000004</v>
      </c>
      <c r="D57">
        <v>21.34</v>
      </c>
      <c r="E57">
        <v>0.48</v>
      </c>
      <c r="F57">
        <f t="shared" si="0"/>
        <v>299.56844999999998</v>
      </c>
      <c r="G57">
        <f t="shared" si="1"/>
        <v>6.402691784419738</v>
      </c>
    </row>
    <row r="58" spans="1:7" x14ac:dyDescent="0.2">
      <c r="A58">
        <f t="shared" si="2"/>
        <v>2016</v>
      </c>
      <c r="B58">
        <v>268.78023999999999</v>
      </c>
      <c r="C58">
        <v>6.8806279999999997</v>
      </c>
      <c r="D58">
        <v>22.31</v>
      </c>
      <c r="E58">
        <v>0.48</v>
      </c>
      <c r="F58">
        <f t="shared" si="0"/>
        <v>291.09023999999999</v>
      </c>
      <c r="G58">
        <f t="shared" si="1"/>
        <v>6.897350337222548</v>
      </c>
    </row>
    <row r="59" spans="1:7" x14ac:dyDescent="0.2">
      <c r="A59">
        <f t="shared" si="2"/>
        <v>2017</v>
      </c>
      <c r="B59">
        <v>290.34379999999999</v>
      </c>
      <c r="C59">
        <v>6.132943</v>
      </c>
      <c r="D59">
        <v>23.28</v>
      </c>
      <c r="E59">
        <v>0.48</v>
      </c>
      <c r="F59">
        <f t="shared" si="0"/>
        <v>313.62379999999996</v>
      </c>
      <c r="G59">
        <f t="shared" si="1"/>
        <v>6.1516981266353605</v>
      </c>
    </row>
    <row r="60" spans="1:7" x14ac:dyDescent="0.2">
      <c r="A60">
        <f t="shared" si="2"/>
        <v>2018</v>
      </c>
      <c r="B60">
        <v>300.2749</v>
      </c>
      <c r="C60">
        <v>8.1582559999999997</v>
      </c>
      <c r="D60">
        <v>24.25</v>
      </c>
      <c r="E60">
        <v>0.48</v>
      </c>
      <c r="F60">
        <f t="shared" si="0"/>
        <v>324.5249</v>
      </c>
      <c r="G60">
        <f t="shared" si="1"/>
        <v>8.172364465779534</v>
      </c>
    </row>
    <row r="61" spans="1:7" x14ac:dyDescent="0.2">
      <c r="A61">
        <f t="shared" si="2"/>
        <v>2019</v>
      </c>
      <c r="B61">
        <v>315.76436999999999</v>
      </c>
      <c r="C61">
        <v>8.5626370000000005</v>
      </c>
      <c r="D61">
        <v>25.22</v>
      </c>
      <c r="E61">
        <v>0.48</v>
      </c>
      <c r="F61">
        <f t="shared" si="0"/>
        <v>340.98437000000001</v>
      </c>
      <c r="G61">
        <f t="shared" si="1"/>
        <v>8.5760802464627748</v>
      </c>
    </row>
    <row r="62" spans="1:7" x14ac:dyDescent="0.2">
      <c r="A62">
        <f t="shared" si="2"/>
        <v>2020</v>
      </c>
      <c r="B62">
        <v>318.52834999999999</v>
      </c>
      <c r="C62">
        <v>8.4251400000000007</v>
      </c>
      <c r="D62">
        <v>26.19</v>
      </c>
      <c r="E62">
        <v>0.48</v>
      </c>
      <c r="F62">
        <f t="shared" si="0"/>
        <v>344.71834999999999</v>
      </c>
      <c r="G62">
        <f t="shared" si="1"/>
        <v>8.4388022858460197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2025-10-23T02:57:32Z</dcterms:created>
  <dcterms:modified xsi:type="dcterms:W3CDTF">2025-10-23T03:02:08Z</dcterms:modified>
</cp:coreProperties>
</file>