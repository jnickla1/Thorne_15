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Zanna2019/"/>
    </mc:Choice>
  </mc:AlternateContent>
  <xr:revisionPtr revIDLastSave="0" documentId="13_ncr:1_{884AE80B-F080-614A-918D-E0915B65062C}" xr6:coauthVersionLast="47" xr6:coauthVersionMax="47" xr10:uidLastSave="{00000000-0000-0000-0000-000000000000}"/>
  <bookViews>
    <workbookView xWindow="51720" yWindow="3400" windowWidth="24920" windowHeight="15360" xr2:uid="{8B5524D2-C60E-254C-A488-3FD995B89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I21" i="1" s="1"/>
  <c r="I2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K21" i="1"/>
  <c r="K20" i="1" s="1"/>
  <c r="K19" i="1" s="1"/>
  <c r="K18" i="1" s="1"/>
  <c r="K17" i="1" s="1"/>
  <c r="K16" i="1" s="1"/>
  <c r="K15" i="1" s="1"/>
  <c r="K14" i="1" s="1"/>
  <c r="K13" i="1" s="1"/>
  <c r="K12" i="1" s="1"/>
  <c r="K11" i="1" s="1"/>
  <c r="K10" i="1" s="1"/>
  <c r="K9" i="1" s="1"/>
  <c r="K8" i="1" s="1"/>
  <c r="K7" i="1" s="1"/>
  <c r="K6" i="1" s="1"/>
  <c r="K5" i="1" s="1"/>
  <c r="K4" i="1" s="1"/>
  <c r="K3" i="1" s="1"/>
  <c r="K2" i="1" s="1"/>
  <c r="G20" i="1"/>
  <c r="G19" i="1" s="1"/>
  <c r="G18" i="1" s="1"/>
  <c r="G17" i="1" s="1"/>
  <c r="G16" i="1" s="1"/>
  <c r="G15" i="1" s="1"/>
  <c r="G14" i="1" s="1"/>
  <c r="G13" i="1" s="1"/>
  <c r="G12" i="1" s="1"/>
  <c r="G11" i="1" s="1"/>
  <c r="G10" i="1" s="1"/>
  <c r="G9" i="1" s="1"/>
  <c r="G8" i="1" s="1"/>
  <c r="G7" i="1" s="1"/>
  <c r="G6" i="1" s="1"/>
  <c r="G5" i="1" s="1"/>
  <c r="G4" i="1" s="1"/>
  <c r="G3" i="1" s="1"/>
  <c r="G2" i="1" s="1"/>
  <c r="G2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22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C20" i="1" l="1"/>
  <c r="C19" i="1" s="1"/>
  <c r="I20" i="1"/>
  <c r="C18" i="1" l="1"/>
  <c r="I19" i="1"/>
  <c r="C17" i="1" l="1"/>
  <c r="I18" i="1"/>
  <c r="C16" i="1" l="1"/>
  <c r="I17" i="1"/>
  <c r="C15" i="1" l="1"/>
  <c r="I16" i="1"/>
  <c r="C14" i="1" l="1"/>
  <c r="I15" i="1"/>
  <c r="C13" i="1" l="1"/>
  <c r="I14" i="1"/>
  <c r="C12" i="1" l="1"/>
  <c r="I13" i="1"/>
  <c r="C11" i="1" l="1"/>
  <c r="I12" i="1"/>
  <c r="C10" i="1" l="1"/>
  <c r="I11" i="1"/>
  <c r="C9" i="1" l="1"/>
  <c r="I10" i="1"/>
  <c r="C8" i="1" l="1"/>
  <c r="I9" i="1"/>
  <c r="C7" i="1" l="1"/>
  <c r="I8" i="1"/>
  <c r="C6" i="1" l="1"/>
  <c r="I7" i="1"/>
  <c r="C5" i="1" l="1"/>
  <c r="I6" i="1"/>
  <c r="C4" i="1" l="1"/>
  <c r="I5" i="1"/>
  <c r="C3" i="1" l="1"/>
  <c r="I4" i="1"/>
  <c r="C2" i="1" l="1"/>
  <c r="I2" i="1" s="1"/>
  <c r="I3" i="1"/>
</calcChain>
</file>

<file path=xl/sharedStrings.xml><?xml version="1.0" encoding="utf-8"?>
<sst xmlns="http://schemas.openxmlformats.org/spreadsheetml/2006/main" count="9" uniqueCount="9">
  <si>
    <t>year</t>
  </si>
  <si>
    <t>0-6000m_allLat</t>
  </si>
  <si>
    <t>0-6000m_allLat_se</t>
  </si>
  <si>
    <t>2000-6000m_allLat_se</t>
  </si>
  <si>
    <t xml:space="preserve">2000-6000m_allLat	</t>
  </si>
  <si>
    <t>0-700m_allLat</t>
  </si>
  <si>
    <t>0-700m_allLat_se</t>
  </si>
  <si>
    <t>700-6000m_allLat</t>
  </si>
  <si>
    <t>700-6000m_allLat_se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</si>
</sst>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AE99-467D-AB44-996D-5F1D0D641148}">
  <dimension ref="A1:K170"/>
  <sheetViews>
    <sheetView tabSelected="1" topLeftCell="A159" workbookViewId="0">
      <selection activeCell="D166" sqref="D16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3</v>
      </c>
    </row>
    <row r="2" spans="1:11" x14ac:dyDescent="0.2">
      <c r="A2">
        <v>1850</v>
      </c>
      <c r="B2">
        <v>0</v>
      </c>
      <c r="C2">
        <f t="shared" ref="C2:C19" si="0">C3</f>
        <v>59.097727528012697</v>
      </c>
      <c r="F2">
        <v>0</v>
      </c>
      <c r="G2">
        <f t="shared" ref="G2:G19" si="1">G3</f>
        <v>44.887542509417401</v>
      </c>
      <c r="H2">
        <f t="shared" ref="H2:H21" si="2">B2-F2</f>
        <v>0</v>
      </c>
      <c r="I2">
        <f t="shared" ref="I2:I20" si="3">SQRT(C2^2-G2^2)</f>
        <v>38.440212362062667</v>
      </c>
      <c r="J2">
        <v>0</v>
      </c>
      <c r="K2">
        <f t="shared" ref="K2:K19" si="4">K3</f>
        <v>3.9186318066729302</v>
      </c>
    </row>
    <row r="3" spans="1:11" x14ac:dyDescent="0.2">
      <c r="A3">
        <f>A2+1</f>
        <v>1851</v>
      </c>
      <c r="B3">
        <v>0</v>
      </c>
      <c r="C3">
        <f t="shared" si="0"/>
        <v>59.097727528012697</v>
      </c>
      <c r="F3">
        <v>0</v>
      </c>
      <c r="G3">
        <f t="shared" si="1"/>
        <v>44.887542509417401</v>
      </c>
      <c r="H3">
        <f t="shared" si="2"/>
        <v>0</v>
      </c>
      <c r="I3">
        <f t="shared" si="3"/>
        <v>38.440212362062667</v>
      </c>
      <c r="J3">
        <v>0</v>
      </c>
      <c r="K3">
        <f t="shared" si="4"/>
        <v>3.9186318066729302</v>
      </c>
    </row>
    <row r="4" spans="1:11" x14ac:dyDescent="0.2">
      <c r="A4">
        <f t="shared" ref="A4:A21" si="5">A3+1</f>
        <v>1852</v>
      </c>
      <c r="B4">
        <v>0</v>
      </c>
      <c r="C4">
        <f t="shared" si="0"/>
        <v>59.097727528012697</v>
      </c>
      <c r="F4">
        <v>0</v>
      </c>
      <c r="G4">
        <f t="shared" si="1"/>
        <v>44.887542509417401</v>
      </c>
      <c r="H4">
        <f t="shared" si="2"/>
        <v>0</v>
      </c>
      <c r="I4">
        <f t="shared" si="3"/>
        <v>38.440212362062667</v>
      </c>
      <c r="J4">
        <v>0</v>
      </c>
      <c r="K4">
        <f t="shared" si="4"/>
        <v>3.9186318066729302</v>
      </c>
    </row>
    <row r="5" spans="1:11" x14ac:dyDescent="0.2">
      <c r="A5">
        <f t="shared" si="5"/>
        <v>1853</v>
      </c>
      <c r="B5">
        <v>0</v>
      </c>
      <c r="C5">
        <f t="shared" si="0"/>
        <v>59.097727528012697</v>
      </c>
      <c r="F5">
        <v>0</v>
      </c>
      <c r="G5">
        <f t="shared" si="1"/>
        <v>44.887542509417401</v>
      </c>
      <c r="H5">
        <f t="shared" si="2"/>
        <v>0</v>
      </c>
      <c r="I5">
        <f t="shared" si="3"/>
        <v>38.440212362062667</v>
      </c>
      <c r="J5">
        <v>0</v>
      </c>
      <c r="K5">
        <f t="shared" si="4"/>
        <v>3.9186318066729302</v>
      </c>
    </row>
    <row r="6" spans="1:11" x14ac:dyDescent="0.2">
      <c r="A6">
        <f t="shared" si="5"/>
        <v>1854</v>
      </c>
      <c r="B6">
        <v>0</v>
      </c>
      <c r="C6">
        <f t="shared" si="0"/>
        <v>59.097727528012697</v>
      </c>
      <c r="F6">
        <v>0</v>
      </c>
      <c r="G6">
        <f t="shared" si="1"/>
        <v>44.887542509417401</v>
      </c>
      <c r="H6">
        <f t="shared" si="2"/>
        <v>0</v>
      </c>
      <c r="I6">
        <f t="shared" si="3"/>
        <v>38.440212362062667</v>
      </c>
      <c r="J6">
        <v>0</v>
      </c>
      <c r="K6">
        <f t="shared" si="4"/>
        <v>3.9186318066729302</v>
      </c>
    </row>
    <row r="7" spans="1:11" x14ac:dyDescent="0.2">
      <c r="A7">
        <f t="shared" si="5"/>
        <v>1855</v>
      </c>
      <c r="B7">
        <v>0</v>
      </c>
      <c r="C7">
        <f t="shared" si="0"/>
        <v>59.097727528012697</v>
      </c>
      <c r="F7">
        <v>0</v>
      </c>
      <c r="G7">
        <f t="shared" si="1"/>
        <v>44.887542509417401</v>
      </c>
      <c r="H7">
        <f t="shared" si="2"/>
        <v>0</v>
      </c>
      <c r="I7">
        <f t="shared" si="3"/>
        <v>38.440212362062667</v>
      </c>
      <c r="J7">
        <v>0</v>
      </c>
      <c r="K7">
        <f t="shared" si="4"/>
        <v>3.9186318066729302</v>
      </c>
    </row>
    <row r="8" spans="1:11" x14ac:dyDescent="0.2">
      <c r="A8">
        <f t="shared" si="5"/>
        <v>1856</v>
      </c>
      <c r="B8">
        <v>0</v>
      </c>
      <c r="C8">
        <f t="shared" si="0"/>
        <v>59.097727528012697</v>
      </c>
      <c r="F8">
        <v>0</v>
      </c>
      <c r="G8">
        <f t="shared" si="1"/>
        <v>44.887542509417401</v>
      </c>
      <c r="H8">
        <f t="shared" si="2"/>
        <v>0</v>
      </c>
      <c r="I8">
        <f t="shared" si="3"/>
        <v>38.440212362062667</v>
      </c>
      <c r="J8">
        <v>0</v>
      </c>
      <c r="K8">
        <f t="shared" si="4"/>
        <v>3.9186318066729302</v>
      </c>
    </row>
    <row r="9" spans="1:11" x14ac:dyDescent="0.2">
      <c r="A9">
        <f t="shared" si="5"/>
        <v>1857</v>
      </c>
      <c r="B9">
        <v>0</v>
      </c>
      <c r="C9">
        <f t="shared" si="0"/>
        <v>59.097727528012697</v>
      </c>
      <c r="F9">
        <v>0</v>
      </c>
      <c r="G9">
        <f t="shared" si="1"/>
        <v>44.887542509417401</v>
      </c>
      <c r="H9">
        <f t="shared" si="2"/>
        <v>0</v>
      </c>
      <c r="I9">
        <f t="shared" si="3"/>
        <v>38.440212362062667</v>
      </c>
      <c r="J9">
        <v>0</v>
      </c>
      <c r="K9">
        <f t="shared" si="4"/>
        <v>3.9186318066729302</v>
      </c>
    </row>
    <row r="10" spans="1:11" x14ac:dyDescent="0.2">
      <c r="A10">
        <f t="shared" si="5"/>
        <v>1858</v>
      </c>
      <c r="B10">
        <v>0</v>
      </c>
      <c r="C10">
        <f t="shared" si="0"/>
        <v>59.097727528012697</v>
      </c>
      <c r="F10">
        <v>0</v>
      </c>
      <c r="G10">
        <f t="shared" si="1"/>
        <v>44.887542509417401</v>
      </c>
      <c r="H10">
        <f t="shared" si="2"/>
        <v>0</v>
      </c>
      <c r="I10">
        <f t="shared" si="3"/>
        <v>38.440212362062667</v>
      </c>
      <c r="J10">
        <v>0</v>
      </c>
      <c r="K10">
        <f t="shared" si="4"/>
        <v>3.9186318066729302</v>
      </c>
    </row>
    <row r="11" spans="1:11" x14ac:dyDescent="0.2">
      <c r="A11">
        <f t="shared" si="5"/>
        <v>1859</v>
      </c>
      <c r="B11">
        <v>0</v>
      </c>
      <c r="C11">
        <f t="shared" si="0"/>
        <v>59.097727528012697</v>
      </c>
      <c r="F11">
        <v>0</v>
      </c>
      <c r="G11">
        <f t="shared" si="1"/>
        <v>44.887542509417401</v>
      </c>
      <c r="H11">
        <f t="shared" si="2"/>
        <v>0</v>
      </c>
      <c r="I11">
        <f t="shared" si="3"/>
        <v>38.440212362062667</v>
      </c>
      <c r="J11">
        <v>0</v>
      </c>
      <c r="K11">
        <f t="shared" si="4"/>
        <v>3.9186318066729302</v>
      </c>
    </row>
    <row r="12" spans="1:11" x14ac:dyDescent="0.2">
      <c r="A12">
        <f t="shared" si="5"/>
        <v>1860</v>
      </c>
      <c r="B12">
        <v>0</v>
      </c>
      <c r="C12">
        <f t="shared" si="0"/>
        <v>59.097727528012697</v>
      </c>
      <c r="F12">
        <v>0</v>
      </c>
      <c r="G12">
        <f t="shared" si="1"/>
        <v>44.887542509417401</v>
      </c>
      <c r="H12">
        <f t="shared" si="2"/>
        <v>0</v>
      </c>
      <c r="I12">
        <f t="shared" si="3"/>
        <v>38.440212362062667</v>
      </c>
      <c r="J12">
        <v>0</v>
      </c>
      <c r="K12">
        <f t="shared" si="4"/>
        <v>3.9186318066729302</v>
      </c>
    </row>
    <row r="13" spans="1:11" x14ac:dyDescent="0.2">
      <c r="A13">
        <f t="shared" si="5"/>
        <v>1861</v>
      </c>
      <c r="B13">
        <v>0</v>
      </c>
      <c r="C13">
        <f t="shared" si="0"/>
        <v>59.097727528012697</v>
      </c>
      <c r="F13">
        <v>0</v>
      </c>
      <c r="G13">
        <f t="shared" si="1"/>
        <v>44.887542509417401</v>
      </c>
      <c r="H13">
        <f t="shared" si="2"/>
        <v>0</v>
      </c>
      <c r="I13">
        <f t="shared" si="3"/>
        <v>38.440212362062667</v>
      </c>
      <c r="J13">
        <v>0</v>
      </c>
      <c r="K13">
        <f t="shared" si="4"/>
        <v>3.9186318066729302</v>
      </c>
    </row>
    <row r="14" spans="1:11" x14ac:dyDescent="0.2">
      <c r="A14">
        <f t="shared" si="5"/>
        <v>1862</v>
      </c>
      <c r="B14">
        <v>0</v>
      </c>
      <c r="C14">
        <f t="shared" si="0"/>
        <v>59.097727528012697</v>
      </c>
      <c r="F14">
        <v>0</v>
      </c>
      <c r="G14">
        <f t="shared" si="1"/>
        <v>44.887542509417401</v>
      </c>
      <c r="H14">
        <f t="shared" si="2"/>
        <v>0</v>
      </c>
      <c r="I14">
        <f t="shared" si="3"/>
        <v>38.440212362062667</v>
      </c>
      <c r="J14">
        <v>0</v>
      </c>
      <c r="K14">
        <f t="shared" si="4"/>
        <v>3.9186318066729302</v>
      </c>
    </row>
    <row r="15" spans="1:11" x14ac:dyDescent="0.2">
      <c r="A15">
        <f t="shared" si="5"/>
        <v>1863</v>
      </c>
      <c r="B15">
        <v>0</v>
      </c>
      <c r="C15">
        <f t="shared" si="0"/>
        <v>59.097727528012697</v>
      </c>
      <c r="F15">
        <v>0</v>
      </c>
      <c r="G15">
        <f t="shared" si="1"/>
        <v>44.887542509417401</v>
      </c>
      <c r="H15">
        <f t="shared" si="2"/>
        <v>0</v>
      </c>
      <c r="I15">
        <f t="shared" si="3"/>
        <v>38.440212362062667</v>
      </c>
      <c r="J15">
        <v>0</v>
      </c>
      <c r="K15">
        <f t="shared" si="4"/>
        <v>3.9186318066729302</v>
      </c>
    </row>
    <row r="16" spans="1:11" x14ac:dyDescent="0.2">
      <c r="A16">
        <f t="shared" si="5"/>
        <v>1864</v>
      </c>
      <c r="B16">
        <v>0</v>
      </c>
      <c r="C16">
        <f t="shared" si="0"/>
        <v>59.097727528012697</v>
      </c>
      <c r="F16">
        <v>0</v>
      </c>
      <c r="G16">
        <f t="shared" si="1"/>
        <v>44.887542509417401</v>
      </c>
      <c r="H16">
        <f t="shared" si="2"/>
        <v>0</v>
      </c>
      <c r="I16">
        <f t="shared" si="3"/>
        <v>38.440212362062667</v>
      </c>
      <c r="J16">
        <v>0</v>
      </c>
      <c r="K16">
        <f t="shared" si="4"/>
        <v>3.9186318066729302</v>
      </c>
    </row>
    <row r="17" spans="1:11" x14ac:dyDescent="0.2">
      <c r="A17">
        <f t="shared" si="5"/>
        <v>1865</v>
      </c>
      <c r="B17">
        <v>0</v>
      </c>
      <c r="C17">
        <f t="shared" si="0"/>
        <v>59.097727528012697</v>
      </c>
      <c r="F17">
        <v>0</v>
      </c>
      <c r="G17">
        <f t="shared" si="1"/>
        <v>44.887542509417401</v>
      </c>
      <c r="H17">
        <f t="shared" si="2"/>
        <v>0</v>
      </c>
      <c r="I17">
        <f t="shared" si="3"/>
        <v>38.440212362062667</v>
      </c>
      <c r="J17">
        <v>0</v>
      </c>
      <c r="K17">
        <f t="shared" si="4"/>
        <v>3.9186318066729302</v>
      </c>
    </row>
    <row r="18" spans="1:11" x14ac:dyDescent="0.2">
      <c r="A18">
        <f t="shared" si="5"/>
        <v>1866</v>
      </c>
      <c r="B18">
        <v>0</v>
      </c>
      <c r="C18">
        <f t="shared" si="0"/>
        <v>59.097727528012697</v>
      </c>
      <c r="F18">
        <v>0</v>
      </c>
      <c r="G18">
        <f t="shared" si="1"/>
        <v>44.887542509417401</v>
      </c>
      <c r="H18">
        <f t="shared" si="2"/>
        <v>0</v>
      </c>
      <c r="I18">
        <f t="shared" si="3"/>
        <v>38.440212362062667</v>
      </c>
      <c r="J18">
        <v>0</v>
      </c>
      <c r="K18">
        <f t="shared" si="4"/>
        <v>3.9186318066729302</v>
      </c>
    </row>
    <row r="19" spans="1:11" x14ac:dyDescent="0.2">
      <c r="A19">
        <f t="shared" si="5"/>
        <v>1867</v>
      </c>
      <c r="B19">
        <v>0</v>
      </c>
      <c r="C19">
        <f t="shared" si="0"/>
        <v>59.097727528012697</v>
      </c>
      <c r="F19">
        <v>0</v>
      </c>
      <c r="G19">
        <f t="shared" si="1"/>
        <v>44.887542509417401</v>
      </c>
      <c r="H19">
        <f t="shared" si="2"/>
        <v>0</v>
      </c>
      <c r="I19">
        <f t="shared" si="3"/>
        <v>38.440212362062667</v>
      </c>
      <c r="J19">
        <v>0</v>
      </c>
      <c r="K19">
        <f t="shared" si="4"/>
        <v>3.9186318066729302</v>
      </c>
    </row>
    <row r="20" spans="1:11" x14ac:dyDescent="0.2">
      <c r="A20">
        <f t="shared" si="5"/>
        <v>1868</v>
      </c>
      <c r="B20">
        <v>0</v>
      </c>
      <c r="C20">
        <f>C21</f>
        <v>59.097727528012697</v>
      </c>
      <c r="F20">
        <v>0</v>
      </c>
      <c r="G20">
        <f>G21</f>
        <v>44.887542509417401</v>
      </c>
      <c r="H20">
        <f t="shared" si="2"/>
        <v>0</v>
      </c>
      <c r="I20">
        <f t="shared" si="3"/>
        <v>38.440212362062667</v>
      </c>
      <c r="J20">
        <v>0</v>
      </c>
      <c r="K20">
        <f t="shared" ref="K20" si="6">K21</f>
        <v>3.9186318066729302</v>
      </c>
    </row>
    <row r="21" spans="1:11" x14ac:dyDescent="0.2">
      <c r="A21">
        <f t="shared" si="5"/>
        <v>1869</v>
      </c>
      <c r="B21">
        <v>0</v>
      </c>
      <c r="C21">
        <f>MAX(C22:C47)+3</f>
        <v>59.097727528012697</v>
      </c>
      <c r="F21">
        <v>0</v>
      </c>
      <c r="G21">
        <f>MAX(G22:G47)+1</f>
        <v>44.887542509417401</v>
      </c>
      <c r="H21">
        <f t="shared" si="2"/>
        <v>0</v>
      </c>
      <c r="I21">
        <f t="shared" ref="I21:I22" si="7">SQRT(C21^2-G21^2)</f>
        <v>38.440212362062667</v>
      </c>
      <c r="J21">
        <v>0</v>
      </c>
      <c r="K21">
        <f t="shared" ref="K21" si="8">MAX(K22:K47)+1</f>
        <v>3.9186318066729302</v>
      </c>
    </row>
    <row r="22" spans="1:11" x14ac:dyDescent="0.2">
      <c r="A22">
        <v>1870</v>
      </c>
      <c r="B22">
        <v>0</v>
      </c>
      <c r="C22">
        <v>47.8777143861901</v>
      </c>
      <c r="F22">
        <v>0</v>
      </c>
      <c r="G22">
        <v>40.194348361283502</v>
      </c>
      <c r="H22">
        <f>B22-F22</f>
        <v>0</v>
      </c>
      <c r="I22">
        <f t="shared" si="7"/>
        <v>26.013263821700278</v>
      </c>
      <c r="J22">
        <v>0</v>
      </c>
      <c r="K22">
        <v>2.6058949961080802</v>
      </c>
    </row>
    <row r="23" spans="1:11" x14ac:dyDescent="0.2">
      <c r="A23">
        <f>A22+1</f>
        <v>1871</v>
      </c>
      <c r="B23">
        <v>1.1521743247030001</v>
      </c>
      <c r="C23">
        <v>47.296131705359798</v>
      </c>
      <c r="F23">
        <v>1.0511995198792601</v>
      </c>
      <c r="G23">
        <v>38.577064931788698</v>
      </c>
      <c r="H23">
        <f t="shared" ref="H23:H29" si="9">B23-F23</f>
        <v>0.10097480482373999</v>
      </c>
      <c r="I23">
        <f t="shared" ref="I23:I29" si="10">SQRT(C23^2-G23^2)</f>
        <v>27.363006697716884</v>
      </c>
      <c r="J23">
        <v>1.88203119355492E-2</v>
      </c>
      <c r="K23">
        <v>2.5624940233465998</v>
      </c>
    </row>
    <row r="24" spans="1:11" x14ac:dyDescent="0.2">
      <c r="A24">
        <f t="shared" ref="A24:A87" si="11">A23+1</f>
        <v>1872</v>
      </c>
      <c r="B24">
        <v>3.0554475916483899</v>
      </c>
      <c r="C24">
        <v>49.1624930153001</v>
      </c>
      <c r="F24">
        <v>2.6478354710933898</v>
      </c>
      <c r="G24">
        <v>43.136524197576598</v>
      </c>
      <c r="H24">
        <f t="shared" si="9"/>
        <v>0.40761212055500007</v>
      </c>
      <c r="I24">
        <f t="shared" si="10"/>
        <v>23.583701991657705</v>
      </c>
      <c r="J24">
        <v>9.1372587318998805E-2</v>
      </c>
      <c r="K24">
        <v>2.4232975320963801</v>
      </c>
    </row>
    <row r="25" spans="1:11" x14ac:dyDescent="0.2">
      <c r="A25">
        <f t="shared" si="11"/>
        <v>1873</v>
      </c>
      <c r="B25">
        <v>1.7135261114981</v>
      </c>
      <c r="C25">
        <v>52.026752241374901</v>
      </c>
      <c r="F25">
        <v>0.94596797362513896</v>
      </c>
      <c r="G25">
        <v>38.352170235013702</v>
      </c>
      <c r="H25">
        <f t="shared" si="9"/>
        <v>0.76755813787296101</v>
      </c>
      <c r="I25">
        <f t="shared" si="10"/>
        <v>35.155283913658515</v>
      </c>
      <c r="J25">
        <v>0.194615795653867</v>
      </c>
      <c r="K25">
        <v>2.66599333564043</v>
      </c>
    </row>
    <row r="26" spans="1:11" x14ac:dyDescent="0.2">
      <c r="A26">
        <f t="shared" si="11"/>
        <v>1874</v>
      </c>
      <c r="B26">
        <v>1.62463628000529</v>
      </c>
      <c r="C26">
        <v>52.0846952468222</v>
      </c>
      <c r="F26">
        <v>0.34972035588294798</v>
      </c>
      <c r="G26">
        <v>38.7898875690056</v>
      </c>
      <c r="H26">
        <f t="shared" si="9"/>
        <v>1.274915924122342</v>
      </c>
      <c r="I26">
        <f t="shared" si="10"/>
        <v>34.758597516848234</v>
      </c>
      <c r="J26">
        <v>0.32951783419940001</v>
      </c>
      <c r="K26">
        <v>2.6570567486513599</v>
      </c>
    </row>
    <row r="27" spans="1:11" x14ac:dyDescent="0.2">
      <c r="A27">
        <f t="shared" si="11"/>
        <v>1875</v>
      </c>
      <c r="B27">
        <v>1.67669497065033E-2</v>
      </c>
      <c r="C27">
        <v>56.097727528012697</v>
      </c>
      <c r="F27">
        <v>-1.8947726677282699</v>
      </c>
      <c r="G27">
        <v>39.330377838732197</v>
      </c>
      <c r="H27">
        <f t="shared" si="9"/>
        <v>1.9115396174347732</v>
      </c>
      <c r="I27">
        <f t="shared" si="10"/>
        <v>40.000955149467579</v>
      </c>
      <c r="J27">
        <v>0.490226985171971</v>
      </c>
      <c r="K27">
        <v>2.5292559536627799</v>
      </c>
    </row>
    <row r="28" spans="1:11" x14ac:dyDescent="0.2">
      <c r="A28">
        <f t="shared" si="11"/>
        <v>1876</v>
      </c>
      <c r="B28">
        <v>3.4703584124480802</v>
      </c>
      <c r="C28">
        <v>49.577995923657802</v>
      </c>
      <c r="F28">
        <v>0.60819644406248896</v>
      </c>
      <c r="G28">
        <v>40.055990129011398</v>
      </c>
      <c r="H28">
        <f t="shared" si="9"/>
        <v>2.8621619683855912</v>
      </c>
      <c r="I28">
        <f t="shared" si="10"/>
        <v>29.214642468987556</v>
      </c>
      <c r="J28">
        <v>0.71486759879672401</v>
      </c>
      <c r="K28">
        <v>2.7185026595475699</v>
      </c>
    </row>
    <row r="29" spans="1:11" x14ac:dyDescent="0.2">
      <c r="A29">
        <f t="shared" si="11"/>
        <v>1877</v>
      </c>
      <c r="B29">
        <v>9.0728751279511304</v>
      </c>
      <c r="C29">
        <v>49.734914723506797</v>
      </c>
      <c r="F29">
        <v>5.1107959296163701</v>
      </c>
      <c r="G29">
        <v>37.600468303824499</v>
      </c>
      <c r="H29">
        <f t="shared" si="9"/>
        <v>3.9620791983347603</v>
      </c>
      <c r="I29">
        <f t="shared" si="10"/>
        <v>32.55405544456147</v>
      </c>
      <c r="J29">
        <v>0.98779133845643696</v>
      </c>
      <c r="K29">
        <v>2.6028480484650802</v>
      </c>
    </row>
    <row r="30" spans="1:11" x14ac:dyDescent="0.2">
      <c r="A30">
        <f t="shared" si="11"/>
        <v>1878</v>
      </c>
      <c r="B30">
        <v>13.960433087114099</v>
      </c>
      <c r="C30">
        <v>49.318905807393797</v>
      </c>
      <c r="F30">
        <v>8.8766774372209891</v>
      </c>
      <c r="G30">
        <v>38.7931029100763</v>
      </c>
      <c r="H30">
        <f t="shared" ref="H30:H93" si="12">B30-F30</f>
        <v>5.08375564989311</v>
      </c>
      <c r="I30">
        <f t="shared" ref="I30:I93" si="13">SQRT(C30^2-G30^2)</f>
        <v>30.454057802644478</v>
      </c>
      <c r="J30">
        <v>1.2877331914112899</v>
      </c>
      <c r="K30">
        <v>2.4643530148389199</v>
      </c>
    </row>
    <row r="31" spans="1:11" x14ac:dyDescent="0.2">
      <c r="A31">
        <f t="shared" si="11"/>
        <v>1879</v>
      </c>
      <c r="B31">
        <v>17.407887833452602</v>
      </c>
      <c r="C31">
        <v>50.905978475364698</v>
      </c>
      <c r="F31">
        <v>11.4322070195797</v>
      </c>
      <c r="G31">
        <v>40.9355191021358</v>
      </c>
      <c r="H31">
        <f t="shared" si="12"/>
        <v>5.9756808138729021</v>
      </c>
      <c r="I31">
        <f t="shared" si="13"/>
        <v>30.260567086110086</v>
      </c>
      <c r="J31">
        <v>1.56624809880027</v>
      </c>
      <c r="K31">
        <v>2.5591971998372398</v>
      </c>
    </row>
    <row r="32" spans="1:11" x14ac:dyDescent="0.2">
      <c r="A32">
        <f t="shared" si="11"/>
        <v>1880</v>
      </c>
      <c r="B32">
        <v>21.6369830091658</v>
      </c>
      <c r="C32">
        <v>50.942964632164703</v>
      </c>
      <c r="F32">
        <v>15.1408369556999</v>
      </c>
      <c r="G32">
        <v>43.887542509417401</v>
      </c>
      <c r="H32">
        <f t="shared" si="12"/>
        <v>6.4961460534658997</v>
      </c>
      <c r="I32">
        <f t="shared" si="13"/>
        <v>25.866373112558019</v>
      </c>
      <c r="J32">
        <v>1.78329412539433</v>
      </c>
      <c r="K32">
        <v>2.67717589872949</v>
      </c>
    </row>
    <row r="33" spans="1:11" x14ac:dyDescent="0.2">
      <c r="A33">
        <f t="shared" si="11"/>
        <v>1881</v>
      </c>
      <c r="B33">
        <v>19.1257679550875</v>
      </c>
      <c r="C33">
        <v>48.384265518134903</v>
      </c>
      <c r="F33">
        <v>12.7880780296379</v>
      </c>
      <c r="G33">
        <v>37.718051303215702</v>
      </c>
      <c r="H33">
        <f t="shared" si="12"/>
        <v>6.3376899254496006</v>
      </c>
      <c r="I33">
        <f t="shared" si="13"/>
        <v>30.304880062745116</v>
      </c>
      <c r="J33">
        <v>1.85919353303637</v>
      </c>
      <c r="K33">
        <v>2.6066029104071502</v>
      </c>
    </row>
    <row r="34" spans="1:11" x14ac:dyDescent="0.2">
      <c r="A34">
        <f t="shared" si="11"/>
        <v>1882</v>
      </c>
      <c r="B34">
        <v>16.5274549226238</v>
      </c>
      <c r="C34">
        <v>51.583947003772799</v>
      </c>
      <c r="F34">
        <v>10.8650284714821</v>
      </c>
      <c r="G34">
        <v>41.735139065285303</v>
      </c>
      <c r="H34">
        <f t="shared" si="12"/>
        <v>5.6624264511417</v>
      </c>
      <c r="I34">
        <f t="shared" si="13"/>
        <v>30.316361188133012</v>
      </c>
      <c r="J34">
        <v>1.79359542851968</v>
      </c>
      <c r="K34">
        <v>2.66075519180127</v>
      </c>
    </row>
    <row r="35" spans="1:11" x14ac:dyDescent="0.2">
      <c r="A35">
        <f t="shared" si="11"/>
        <v>1883</v>
      </c>
      <c r="B35">
        <v>15.6177329933571</v>
      </c>
      <c r="C35">
        <v>47.446890606476899</v>
      </c>
      <c r="F35">
        <v>10.9287707217081</v>
      </c>
      <c r="G35">
        <v>39.695762440230801</v>
      </c>
      <c r="H35">
        <f t="shared" si="12"/>
        <v>4.6889622716490003</v>
      </c>
      <c r="I35">
        <f t="shared" si="13"/>
        <v>25.989495426263041</v>
      </c>
      <c r="J35">
        <v>1.6249742066661099</v>
      </c>
      <c r="K35">
        <v>2.6555317885814298</v>
      </c>
    </row>
    <row r="36" spans="1:11" x14ac:dyDescent="0.2">
      <c r="A36">
        <f t="shared" si="11"/>
        <v>1884</v>
      </c>
      <c r="B36">
        <v>14.757100692956501</v>
      </c>
      <c r="C36">
        <v>48.134172337858303</v>
      </c>
      <c r="F36">
        <v>11.069853479207</v>
      </c>
      <c r="G36">
        <v>37.081812454252699</v>
      </c>
      <c r="H36">
        <f t="shared" si="12"/>
        <v>3.6872472137495009</v>
      </c>
      <c r="I36">
        <f t="shared" si="13"/>
        <v>30.689374900089977</v>
      </c>
      <c r="J36">
        <v>1.40679389712498</v>
      </c>
      <c r="K36">
        <v>2.4779079643782702</v>
      </c>
    </row>
    <row r="37" spans="1:11" x14ac:dyDescent="0.2">
      <c r="A37">
        <f t="shared" si="11"/>
        <v>1885</v>
      </c>
      <c r="B37">
        <v>14.9221972703464</v>
      </c>
      <c r="C37">
        <v>50.271923317939603</v>
      </c>
      <c r="F37">
        <v>11.988931957054801</v>
      </c>
      <c r="G37">
        <v>42.951162442724502</v>
      </c>
      <c r="H37">
        <f t="shared" si="12"/>
        <v>2.9332653132915993</v>
      </c>
      <c r="I37">
        <f t="shared" si="13"/>
        <v>26.124010390893119</v>
      </c>
      <c r="J37">
        <v>1.2029253957680901</v>
      </c>
      <c r="K37">
        <v>2.5869673563352098</v>
      </c>
    </row>
    <row r="38" spans="1:11" x14ac:dyDescent="0.2">
      <c r="A38">
        <f t="shared" si="11"/>
        <v>1886</v>
      </c>
      <c r="B38">
        <v>16.212654360285001</v>
      </c>
      <c r="C38">
        <v>53.832246168140401</v>
      </c>
      <c r="F38">
        <v>13.3350542893523</v>
      </c>
      <c r="G38">
        <v>40.317749775885197</v>
      </c>
      <c r="H38">
        <f t="shared" si="12"/>
        <v>2.8776000709327008</v>
      </c>
      <c r="I38">
        <f t="shared" si="13"/>
        <v>35.670573033193286</v>
      </c>
      <c r="J38">
        <v>1.1236664119773601</v>
      </c>
      <c r="K38">
        <v>2.8241509750543199</v>
      </c>
    </row>
    <row r="39" spans="1:11" x14ac:dyDescent="0.2">
      <c r="A39">
        <f t="shared" si="11"/>
        <v>1887</v>
      </c>
      <c r="B39">
        <v>17.683049139974202</v>
      </c>
      <c r="C39">
        <v>49.341672024391002</v>
      </c>
      <c r="F39">
        <v>14.155412906788699</v>
      </c>
      <c r="G39">
        <v>39.976271599136602</v>
      </c>
      <c r="H39">
        <f t="shared" si="12"/>
        <v>3.5276362331855022</v>
      </c>
      <c r="I39">
        <f t="shared" si="13"/>
        <v>28.922280463245524</v>
      </c>
      <c r="J39">
        <v>1.2102829697828801</v>
      </c>
      <c r="K39">
        <v>2.9186318066729302</v>
      </c>
    </row>
    <row r="40" spans="1:11" x14ac:dyDescent="0.2">
      <c r="A40">
        <f t="shared" si="11"/>
        <v>1888</v>
      </c>
      <c r="B40">
        <v>18.0858288499827</v>
      </c>
      <c r="C40">
        <v>50.638702127277902</v>
      </c>
      <c r="F40">
        <v>13.626548033241701</v>
      </c>
      <c r="G40">
        <v>39.763908566114999</v>
      </c>
      <c r="H40">
        <f t="shared" si="12"/>
        <v>4.4592808167409999</v>
      </c>
      <c r="I40">
        <f t="shared" si="13"/>
        <v>31.354580665045194</v>
      </c>
      <c r="J40">
        <v>1.39693138400544</v>
      </c>
      <c r="K40">
        <v>2.4114947711707502</v>
      </c>
    </row>
    <row r="41" spans="1:11" x14ac:dyDescent="0.2">
      <c r="A41">
        <f t="shared" si="11"/>
        <v>1889</v>
      </c>
      <c r="B41">
        <v>17.171818155727799</v>
      </c>
      <c r="C41">
        <v>49.728125680920797</v>
      </c>
      <c r="F41">
        <v>11.774593600085</v>
      </c>
      <c r="G41">
        <v>37.971996126058201</v>
      </c>
      <c r="H41">
        <f t="shared" si="12"/>
        <v>5.3972245556427989</v>
      </c>
      <c r="I41">
        <f t="shared" si="13"/>
        <v>32.109406627031824</v>
      </c>
      <c r="J41">
        <v>1.61943151311181</v>
      </c>
      <c r="K41">
        <v>2.6600557573450101</v>
      </c>
    </row>
    <row r="42" spans="1:11" x14ac:dyDescent="0.2">
      <c r="A42">
        <f t="shared" si="11"/>
        <v>1890</v>
      </c>
      <c r="B42">
        <v>16.535897942718499</v>
      </c>
      <c r="C42">
        <v>51.957317036666602</v>
      </c>
      <c r="F42">
        <v>10.316777107861901</v>
      </c>
      <c r="G42">
        <v>43.575818521927097</v>
      </c>
      <c r="H42">
        <f t="shared" si="12"/>
        <v>6.2191208348565983</v>
      </c>
      <c r="I42">
        <f t="shared" si="13"/>
        <v>28.296834342250385</v>
      </c>
      <c r="J42">
        <v>1.8475761883959601</v>
      </c>
      <c r="K42">
        <v>2.7688387323659298</v>
      </c>
    </row>
    <row r="43" spans="1:11" x14ac:dyDescent="0.2">
      <c r="A43">
        <f t="shared" si="11"/>
        <v>1891</v>
      </c>
      <c r="B43">
        <v>15.380050700492401</v>
      </c>
      <c r="C43">
        <v>50.066093909098797</v>
      </c>
      <c r="F43">
        <v>8.6211274081316596</v>
      </c>
      <c r="G43">
        <v>40.667838550947202</v>
      </c>
      <c r="H43">
        <f t="shared" si="12"/>
        <v>6.7589232923607412</v>
      </c>
      <c r="I43">
        <f t="shared" si="13"/>
        <v>29.201723697562649</v>
      </c>
      <c r="J43">
        <v>2.0403952982203601</v>
      </c>
      <c r="K43">
        <v>2.44122391729154</v>
      </c>
    </row>
    <row r="44" spans="1:11" x14ac:dyDescent="0.2">
      <c r="A44">
        <f t="shared" si="11"/>
        <v>1892</v>
      </c>
      <c r="B44">
        <v>13.8487002646491</v>
      </c>
      <c r="C44">
        <v>54.5531214541057</v>
      </c>
      <c r="F44">
        <v>6.8337807835596696</v>
      </c>
      <c r="G44">
        <v>42.5530192472472</v>
      </c>
      <c r="H44">
        <f t="shared" si="12"/>
        <v>7.0149194810894304</v>
      </c>
      <c r="I44">
        <f t="shared" si="13"/>
        <v>34.13625072162754</v>
      </c>
      <c r="J44">
        <v>2.1823458425925399</v>
      </c>
      <c r="K44">
        <v>2.5486914823504501</v>
      </c>
    </row>
    <row r="45" spans="1:11" x14ac:dyDescent="0.2">
      <c r="A45">
        <f t="shared" si="11"/>
        <v>1893</v>
      </c>
      <c r="B45">
        <v>12.5124358923306</v>
      </c>
      <c r="C45">
        <v>49.3358904010652</v>
      </c>
      <c r="F45">
        <v>5.4366258912043302</v>
      </c>
      <c r="G45">
        <v>38.387854084710398</v>
      </c>
      <c r="H45">
        <f t="shared" si="12"/>
        <v>7.0758100011262703</v>
      </c>
      <c r="I45">
        <f t="shared" si="13"/>
        <v>30.990365284018523</v>
      </c>
      <c r="J45">
        <v>2.2796731039681801</v>
      </c>
      <c r="K45">
        <v>2.6238874870943301</v>
      </c>
    </row>
    <row r="46" spans="1:11" x14ac:dyDescent="0.2">
      <c r="A46">
        <f t="shared" si="11"/>
        <v>1894</v>
      </c>
      <c r="B46">
        <v>15.2508139217907</v>
      </c>
      <c r="C46">
        <v>51.153911200945998</v>
      </c>
      <c r="F46">
        <v>8.0514094528554203</v>
      </c>
      <c r="G46">
        <v>40.124537352125898</v>
      </c>
      <c r="H46">
        <f t="shared" si="12"/>
        <v>7.1994044689352794</v>
      </c>
      <c r="I46">
        <f t="shared" si="13"/>
        <v>31.729231529177039</v>
      </c>
      <c r="J46">
        <v>2.37798650909349</v>
      </c>
      <c r="K46">
        <v>2.53030688049332</v>
      </c>
    </row>
    <row r="47" spans="1:11" x14ac:dyDescent="0.2">
      <c r="A47">
        <f t="shared" si="11"/>
        <v>1895</v>
      </c>
      <c r="B47">
        <v>19.1743883268731</v>
      </c>
      <c r="C47">
        <v>48.515117534566699</v>
      </c>
      <c r="F47">
        <v>11.846037735509899</v>
      </c>
      <c r="G47">
        <v>37.561545564572803</v>
      </c>
      <c r="H47">
        <f t="shared" si="12"/>
        <v>7.3283505913632006</v>
      </c>
      <c r="I47">
        <f t="shared" si="13"/>
        <v>30.705812547355627</v>
      </c>
      <c r="J47">
        <v>2.4666337462869499</v>
      </c>
      <c r="K47">
        <v>2.6111839736878402</v>
      </c>
    </row>
    <row r="48" spans="1:11" x14ac:dyDescent="0.2">
      <c r="A48">
        <f t="shared" si="11"/>
        <v>1896</v>
      </c>
      <c r="B48">
        <v>22.765410774298001</v>
      </c>
      <c r="C48">
        <v>58.411088896112403</v>
      </c>
      <c r="F48">
        <v>15.327620718283301</v>
      </c>
      <c r="G48">
        <v>40.588977339943298</v>
      </c>
      <c r="H48">
        <f t="shared" si="12"/>
        <v>7.4377900560147001</v>
      </c>
      <c r="I48">
        <f t="shared" si="13"/>
        <v>42.004645273197049</v>
      </c>
      <c r="J48">
        <v>2.5311885986194702</v>
      </c>
      <c r="K48">
        <v>2.48847179946066</v>
      </c>
    </row>
    <row r="49" spans="1:11" x14ac:dyDescent="0.2">
      <c r="A49">
        <f t="shared" si="11"/>
        <v>1897</v>
      </c>
      <c r="B49">
        <v>25.369512974454199</v>
      </c>
      <c r="C49">
        <v>51.211101255743102</v>
      </c>
      <c r="F49">
        <v>17.656278514625502</v>
      </c>
      <c r="G49">
        <v>39.949069336504003</v>
      </c>
      <c r="H49">
        <f t="shared" si="12"/>
        <v>7.7132344598286977</v>
      </c>
      <c r="I49">
        <f t="shared" si="13"/>
        <v>32.041360005049235</v>
      </c>
      <c r="J49">
        <v>2.6018491216898099</v>
      </c>
      <c r="K49">
        <v>2.5591354887391602</v>
      </c>
    </row>
    <row r="50" spans="1:11" x14ac:dyDescent="0.2">
      <c r="A50">
        <f t="shared" si="11"/>
        <v>1898</v>
      </c>
      <c r="B50">
        <v>30.6617984525327</v>
      </c>
      <c r="C50">
        <v>48.897538919500398</v>
      </c>
      <c r="F50">
        <v>22.2102462924572</v>
      </c>
      <c r="G50">
        <v>38.260064682464296</v>
      </c>
      <c r="H50">
        <f t="shared" si="12"/>
        <v>8.4515521600755008</v>
      </c>
      <c r="I50">
        <f t="shared" si="13"/>
        <v>30.448920553571423</v>
      </c>
      <c r="J50">
        <v>2.7589119682676899</v>
      </c>
      <c r="K50">
        <v>2.6634893204152901</v>
      </c>
    </row>
    <row r="51" spans="1:11" x14ac:dyDescent="0.2">
      <c r="A51">
        <f t="shared" si="11"/>
        <v>1899</v>
      </c>
      <c r="B51">
        <v>32.826908824007397</v>
      </c>
      <c r="C51">
        <v>47.410651295047799</v>
      </c>
      <c r="F51">
        <v>23.623499401796199</v>
      </c>
      <c r="G51">
        <v>37.529155318359599</v>
      </c>
      <c r="H51">
        <f t="shared" si="12"/>
        <v>9.2034094222111982</v>
      </c>
      <c r="I51">
        <f t="shared" si="13"/>
        <v>28.971233272179816</v>
      </c>
      <c r="J51">
        <v>2.94730123962551</v>
      </c>
      <c r="K51">
        <v>2.7515269932664399</v>
      </c>
    </row>
    <row r="52" spans="1:11" x14ac:dyDescent="0.2">
      <c r="A52">
        <f t="shared" si="11"/>
        <v>1900</v>
      </c>
      <c r="B52">
        <v>29.906302897857401</v>
      </c>
      <c r="C52">
        <v>55.6108609476452</v>
      </c>
      <c r="F52">
        <v>19.9390884806994</v>
      </c>
      <c r="G52">
        <v>38.980739870218002</v>
      </c>
      <c r="H52">
        <f t="shared" si="12"/>
        <v>9.9672144171580008</v>
      </c>
      <c r="I52">
        <f t="shared" si="13"/>
        <v>39.661943655205889</v>
      </c>
      <c r="J52">
        <v>3.15593862758623</v>
      </c>
      <c r="K52">
        <v>2.4372710493482099</v>
      </c>
    </row>
    <row r="53" spans="1:11" x14ac:dyDescent="0.2">
      <c r="A53">
        <f t="shared" si="11"/>
        <v>1901</v>
      </c>
      <c r="B53">
        <v>24.7501190378998</v>
      </c>
      <c r="C53">
        <v>50.779745323356202</v>
      </c>
      <c r="F53">
        <v>14.1092545608349</v>
      </c>
      <c r="G53">
        <v>40.892013418186501</v>
      </c>
      <c r="H53">
        <f t="shared" si="12"/>
        <v>10.6408644770649</v>
      </c>
      <c r="I53">
        <f t="shared" si="13"/>
        <v>30.106905747880692</v>
      </c>
      <c r="J53">
        <v>3.3731026618899498</v>
      </c>
      <c r="K53">
        <v>2.4763633018631701</v>
      </c>
    </row>
    <row r="54" spans="1:11" x14ac:dyDescent="0.2">
      <c r="A54">
        <f t="shared" si="11"/>
        <v>1902</v>
      </c>
      <c r="B54">
        <v>16.529739571558</v>
      </c>
      <c r="C54">
        <v>48.623297185540899</v>
      </c>
      <c r="F54">
        <v>5.8520745854168199</v>
      </c>
      <c r="G54">
        <v>39.355728460236698</v>
      </c>
      <c r="H54">
        <f t="shared" si="12"/>
        <v>10.677664986141181</v>
      </c>
      <c r="I54">
        <f t="shared" si="13"/>
        <v>28.554363354092573</v>
      </c>
      <c r="J54">
        <v>3.4934953191742202</v>
      </c>
      <c r="K54">
        <v>2.5129285193505</v>
      </c>
    </row>
    <row r="55" spans="1:11" x14ac:dyDescent="0.2">
      <c r="A55">
        <f t="shared" si="11"/>
        <v>1903</v>
      </c>
      <c r="B55">
        <v>6.2020324809672198</v>
      </c>
      <c r="C55">
        <v>50.8515723501854</v>
      </c>
      <c r="F55">
        <v>-3.8224938637778298</v>
      </c>
      <c r="G55">
        <v>42.216128252521898</v>
      </c>
      <c r="H55">
        <f t="shared" si="12"/>
        <v>10.02452634474505</v>
      </c>
      <c r="I55">
        <f t="shared" si="13"/>
        <v>28.349266760407801</v>
      </c>
      <c r="J55">
        <v>3.4702097122146101</v>
      </c>
      <c r="K55">
        <v>2.5085035610023301</v>
      </c>
    </row>
    <row r="56" spans="1:11" x14ac:dyDescent="0.2">
      <c r="A56">
        <f t="shared" si="11"/>
        <v>1904</v>
      </c>
      <c r="B56">
        <v>-2.9728094136552601</v>
      </c>
      <c r="C56">
        <v>53.647177390733702</v>
      </c>
      <c r="F56">
        <v>-12.1022323858188</v>
      </c>
      <c r="G56">
        <v>41.777801223526602</v>
      </c>
      <c r="H56">
        <f t="shared" si="12"/>
        <v>9.1294229721635389</v>
      </c>
      <c r="I56">
        <f t="shared" si="13"/>
        <v>33.654642576030255</v>
      </c>
      <c r="J56">
        <v>3.3699954559237701</v>
      </c>
      <c r="K56">
        <v>2.7100848624580598</v>
      </c>
    </row>
    <row r="57" spans="1:11" x14ac:dyDescent="0.2">
      <c r="A57">
        <f t="shared" si="11"/>
        <v>1905</v>
      </c>
      <c r="B57">
        <v>-10.4353159105918</v>
      </c>
      <c r="C57">
        <v>46.2053084968435</v>
      </c>
      <c r="F57">
        <v>-18.510777962650899</v>
      </c>
      <c r="G57">
        <v>38.959667464702001</v>
      </c>
      <c r="H57">
        <f t="shared" si="12"/>
        <v>8.0754620520590983</v>
      </c>
      <c r="I57">
        <f t="shared" si="13"/>
        <v>24.840991210664658</v>
      </c>
      <c r="J57">
        <v>3.2215685434316601</v>
      </c>
      <c r="K57">
        <v>2.5368930822941498</v>
      </c>
    </row>
    <row r="58" spans="1:11" x14ac:dyDescent="0.2">
      <c r="A58">
        <f t="shared" si="11"/>
        <v>1906</v>
      </c>
      <c r="B58">
        <v>-17.4554899832285</v>
      </c>
      <c r="C58">
        <v>54.434851462159997</v>
      </c>
      <c r="F58">
        <v>-24.324648494136301</v>
      </c>
      <c r="G58">
        <v>40.322388604875997</v>
      </c>
      <c r="H58">
        <f t="shared" si="12"/>
        <v>6.8691585109078019</v>
      </c>
      <c r="I58">
        <f t="shared" si="13"/>
        <v>36.568538812820904</v>
      </c>
      <c r="J58">
        <v>3.0249477548728998</v>
      </c>
      <c r="K58">
        <v>2.7164395411234499</v>
      </c>
    </row>
    <row r="59" spans="1:11" x14ac:dyDescent="0.2">
      <c r="A59">
        <f t="shared" si="11"/>
        <v>1907</v>
      </c>
      <c r="B59">
        <v>-21.520154307564699</v>
      </c>
      <c r="C59">
        <v>47.731118416372396</v>
      </c>
      <c r="F59">
        <v>-27.484114244009099</v>
      </c>
      <c r="G59">
        <v>40.6678436826462</v>
      </c>
      <c r="H59">
        <f t="shared" si="12"/>
        <v>5.9639599364444003</v>
      </c>
      <c r="I59">
        <f t="shared" si="13"/>
        <v>24.987720093710386</v>
      </c>
      <c r="J59">
        <v>2.8629212166616602</v>
      </c>
      <c r="K59">
        <v>2.6828118573031601</v>
      </c>
    </row>
    <row r="60" spans="1:11" x14ac:dyDescent="0.2">
      <c r="A60">
        <f t="shared" si="11"/>
        <v>1908</v>
      </c>
      <c r="B60">
        <v>-26.0030137379844</v>
      </c>
      <c r="C60">
        <v>52.426806128921498</v>
      </c>
      <c r="F60">
        <v>-31.4590493683319</v>
      </c>
      <c r="G60">
        <v>41.055157827287097</v>
      </c>
      <c r="H60">
        <f t="shared" si="12"/>
        <v>5.4560356303475004</v>
      </c>
      <c r="I60">
        <f t="shared" si="13"/>
        <v>32.604355792686164</v>
      </c>
      <c r="J60">
        <v>2.7801416749079602</v>
      </c>
      <c r="K60">
        <v>2.4159657953865401</v>
      </c>
    </row>
    <row r="61" spans="1:11" x14ac:dyDescent="0.2">
      <c r="A61">
        <f t="shared" si="11"/>
        <v>1909</v>
      </c>
      <c r="B61">
        <v>-32.254264823435498</v>
      </c>
      <c r="C61">
        <v>51.183775734459999</v>
      </c>
      <c r="F61">
        <v>-37.228192662938397</v>
      </c>
      <c r="G61">
        <v>38.433116602381098</v>
      </c>
      <c r="H61">
        <f t="shared" si="12"/>
        <v>4.973927839502899</v>
      </c>
      <c r="I61">
        <f t="shared" si="13"/>
        <v>33.803467967995154</v>
      </c>
      <c r="J61">
        <v>2.71782805140665</v>
      </c>
      <c r="K61">
        <v>2.51386006980356</v>
      </c>
    </row>
    <row r="62" spans="1:11" x14ac:dyDescent="0.2">
      <c r="A62">
        <f t="shared" si="11"/>
        <v>1910</v>
      </c>
      <c r="B62">
        <v>-37.9087061817891</v>
      </c>
      <c r="C62">
        <v>49.505870691492603</v>
      </c>
      <c r="F62">
        <v>-42.345558190664804</v>
      </c>
      <c r="G62">
        <v>41.528178718493898</v>
      </c>
      <c r="H62">
        <f t="shared" si="12"/>
        <v>4.4368520088757037</v>
      </c>
      <c r="I62">
        <f t="shared" si="13"/>
        <v>26.948870203546885</v>
      </c>
      <c r="J62">
        <v>2.6488385144799298</v>
      </c>
      <c r="K62">
        <v>2.6557272307227802</v>
      </c>
    </row>
    <row r="63" spans="1:11" x14ac:dyDescent="0.2">
      <c r="A63">
        <f t="shared" si="11"/>
        <v>1911</v>
      </c>
      <c r="B63">
        <v>-40.699372742574198</v>
      </c>
      <c r="C63">
        <v>51.733892679898503</v>
      </c>
      <c r="F63">
        <v>-44.552680322520501</v>
      </c>
      <c r="G63">
        <v>38.416107944656702</v>
      </c>
      <c r="H63">
        <f t="shared" si="12"/>
        <v>3.8533075799463035</v>
      </c>
      <c r="I63">
        <f t="shared" si="13"/>
        <v>34.649650823633706</v>
      </c>
      <c r="J63">
        <v>2.5751566866707201</v>
      </c>
      <c r="K63">
        <v>2.4943928120108398</v>
      </c>
    </row>
    <row r="64" spans="1:11" x14ac:dyDescent="0.2">
      <c r="A64">
        <f t="shared" si="11"/>
        <v>1912</v>
      </c>
      <c r="B64">
        <v>-42.468966949725399</v>
      </c>
      <c r="C64">
        <v>48.463393596482703</v>
      </c>
      <c r="F64">
        <v>-45.382673173621399</v>
      </c>
      <c r="G64">
        <v>38.432162637127298</v>
      </c>
      <c r="H64">
        <f t="shared" si="12"/>
        <v>2.9137062238959999</v>
      </c>
      <c r="I64">
        <f t="shared" si="13"/>
        <v>29.524047722509138</v>
      </c>
      <c r="J64">
        <v>2.4382304674777702</v>
      </c>
      <c r="K64">
        <v>2.5058890489358498</v>
      </c>
    </row>
    <row r="65" spans="1:11" x14ac:dyDescent="0.2">
      <c r="A65">
        <f t="shared" si="11"/>
        <v>1913</v>
      </c>
      <c r="B65">
        <v>-39.558380745518697</v>
      </c>
      <c r="C65">
        <v>47.801647866208498</v>
      </c>
      <c r="F65">
        <v>-41.248519443892903</v>
      </c>
      <c r="G65">
        <v>39.337771891095301</v>
      </c>
      <c r="H65">
        <f t="shared" si="12"/>
        <v>1.6901386983742057</v>
      </c>
      <c r="I65">
        <f t="shared" si="13"/>
        <v>27.157636888528206</v>
      </c>
      <c r="J65">
        <v>2.2272814614685301</v>
      </c>
      <c r="K65">
        <v>2.58570981143844</v>
      </c>
    </row>
    <row r="66" spans="1:11" x14ac:dyDescent="0.2">
      <c r="A66">
        <f t="shared" si="11"/>
        <v>1914</v>
      </c>
      <c r="B66">
        <v>-33.4055654444293</v>
      </c>
      <c r="C66">
        <v>53.261486586759901</v>
      </c>
      <c r="F66">
        <v>-34.258908274431299</v>
      </c>
      <c r="G66">
        <v>37.718773029317198</v>
      </c>
      <c r="H66">
        <f t="shared" si="12"/>
        <v>0.85334283000199918</v>
      </c>
      <c r="I66">
        <f t="shared" si="13"/>
        <v>37.604256602071771</v>
      </c>
      <c r="J66">
        <v>2.0781161475984802</v>
      </c>
      <c r="K66">
        <v>2.5836084635656502</v>
      </c>
    </row>
    <row r="67" spans="1:11" x14ac:dyDescent="0.2">
      <c r="A67">
        <f t="shared" si="11"/>
        <v>1915</v>
      </c>
      <c r="B67">
        <v>-29.332003299493099</v>
      </c>
      <c r="C67">
        <v>51.317434676793802</v>
      </c>
      <c r="F67">
        <v>-29.779652604840098</v>
      </c>
      <c r="G67">
        <v>36.878393932862799</v>
      </c>
      <c r="H67">
        <f t="shared" si="12"/>
        <v>0.44764930534699943</v>
      </c>
      <c r="I67">
        <f t="shared" si="13"/>
        <v>35.685615627863108</v>
      </c>
      <c r="J67">
        <v>2.0370523929864399</v>
      </c>
      <c r="K67">
        <v>2.66372017394727</v>
      </c>
    </row>
    <row r="68" spans="1:11" x14ac:dyDescent="0.2">
      <c r="A68">
        <f t="shared" si="11"/>
        <v>1916</v>
      </c>
      <c r="B68">
        <v>-25.8981155641961</v>
      </c>
      <c r="C68">
        <v>49.731985281132403</v>
      </c>
      <c r="F68">
        <v>-26.130798885928701</v>
      </c>
      <c r="G68">
        <v>39.998834420837703</v>
      </c>
      <c r="H68">
        <f t="shared" si="12"/>
        <v>0.2326833217326012</v>
      </c>
      <c r="I68">
        <f t="shared" si="13"/>
        <v>29.5527258468179</v>
      </c>
      <c r="J68">
        <v>2.0653043910799598</v>
      </c>
      <c r="K68">
        <v>2.54166747733845</v>
      </c>
    </row>
    <row r="69" spans="1:11" x14ac:dyDescent="0.2">
      <c r="A69">
        <f t="shared" si="11"/>
        <v>1917</v>
      </c>
      <c r="B69">
        <v>-23.0933027156557</v>
      </c>
      <c r="C69">
        <v>50.709681731224997</v>
      </c>
      <c r="F69">
        <v>-23.0834477093617</v>
      </c>
      <c r="G69">
        <v>40.774200256180897</v>
      </c>
      <c r="H69">
        <f t="shared" si="12"/>
        <v>-9.855006293999935E-3</v>
      </c>
      <c r="I69">
        <f t="shared" si="13"/>
        <v>30.148572350129477</v>
      </c>
      <c r="J69">
        <v>2.1039441433561898</v>
      </c>
      <c r="K69">
        <v>2.7840243302098302</v>
      </c>
    </row>
    <row r="70" spans="1:11" x14ac:dyDescent="0.2">
      <c r="A70">
        <f t="shared" si="11"/>
        <v>1918</v>
      </c>
      <c r="B70">
        <v>-22.8626890598327</v>
      </c>
      <c r="C70">
        <v>50.593136497841897</v>
      </c>
      <c r="F70">
        <v>-22.544091230397001</v>
      </c>
      <c r="G70">
        <v>38.413179303938897</v>
      </c>
      <c r="H70">
        <f t="shared" si="12"/>
        <v>-0.31859782943569925</v>
      </c>
      <c r="I70">
        <f t="shared" si="13"/>
        <v>32.925569341359946</v>
      </c>
      <c r="J70">
        <v>2.1278777413034899</v>
      </c>
      <c r="K70">
        <v>2.6901721158049501</v>
      </c>
    </row>
    <row r="71" spans="1:11" x14ac:dyDescent="0.2">
      <c r="A71">
        <f t="shared" si="11"/>
        <v>1919</v>
      </c>
      <c r="B71">
        <v>-25.0943469220847</v>
      </c>
      <c r="C71">
        <v>49.813270731561602</v>
      </c>
      <c r="F71">
        <v>-23.873749443268501</v>
      </c>
      <c r="G71">
        <v>38.866176336865202</v>
      </c>
      <c r="H71">
        <f t="shared" si="12"/>
        <v>-1.2205974788161988</v>
      </c>
      <c r="I71">
        <f t="shared" si="13"/>
        <v>31.157379189006754</v>
      </c>
      <c r="J71">
        <v>2.0198503620484001</v>
      </c>
      <c r="K71">
        <v>2.5756362678256099</v>
      </c>
    </row>
    <row r="72" spans="1:11" x14ac:dyDescent="0.2">
      <c r="A72">
        <f t="shared" si="11"/>
        <v>1920</v>
      </c>
      <c r="B72">
        <v>-25.852485567128301</v>
      </c>
      <c r="C72">
        <v>48.289881605184</v>
      </c>
      <c r="F72">
        <v>-23.128414467629799</v>
      </c>
      <c r="G72">
        <v>40.745278160536103</v>
      </c>
      <c r="H72">
        <f t="shared" si="12"/>
        <v>-2.7240710994985022</v>
      </c>
      <c r="I72">
        <f t="shared" si="13"/>
        <v>25.917850471503765</v>
      </c>
      <c r="J72">
        <v>1.7419294309293301</v>
      </c>
      <c r="K72">
        <v>2.4415401211570402</v>
      </c>
    </row>
    <row r="73" spans="1:11" x14ac:dyDescent="0.2">
      <c r="A73">
        <f t="shared" si="11"/>
        <v>1921</v>
      </c>
      <c r="B73">
        <v>-28.2462016021355</v>
      </c>
      <c r="C73">
        <v>38.3325554936674</v>
      </c>
      <c r="F73">
        <v>-23.857181973957498</v>
      </c>
      <c r="G73">
        <v>31.032000904317599</v>
      </c>
      <c r="H73">
        <f t="shared" si="12"/>
        <v>-4.3890196281780014</v>
      </c>
      <c r="I73">
        <f t="shared" si="13"/>
        <v>22.503327099554021</v>
      </c>
      <c r="J73">
        <v>1.36545927124976</v>
      </c>
      <c r="K73">
        <v>1.8515542513188501</v>
      </c>
    </row>
    <row r="74" spans="1:11" x14ac:dyDescent="0.2">
      <c r="A74">
        <f t="shared" si="11"/>
        <v>1922</v>
      </c>
      <c r="B74">
        <v>-29.848145809683501</v>
      </c>
      <c r="C74">
        <v>36.775418845385801</v>
      </c>
      <c r="F74">
        <v>-24.324206238821098</v>
      </c>
      <c r="G74">
        <v>29.7229558697505</v>
      </c>
      <c r="H74">
        <f t="shared" si="12"/>
        <v>-5.5239395708624031</v>
      </c>
      <c r="I74">
        <f t="shared" si="13"/>
        <v>21.655884318550036</v>
      </c>
      <c r="J74">
        <v>1.0481060276660401</v>
      </c>
      <c r="K74">
        <v>1.9617038338149</v>
      </c>
    </row>
    <row r="75" spans="1:11" x14ac:dyDescent="0.2">
      <c r="A75">
        <f t="shared" si="11"/>
        <v>1923</v>
      </c>
      <c r="B75">
        <v>-32.924574242088902</v>
      </c>
      <c r="C75">
        <v>35.377609331044198</v>
      </c>
      <c r="F75">
        <v>-26.709078200884999</v>
      </c>
      <c r="G75">
        <v>28.549321942948399</v>
      </c>
      <c r="H75">
        <f t="shared" si="12"/>
        <v>-6.2154960412039024</v>
      </c>
      <c r="I75">
        <f t="shared" si="13"/>
        <v>20.892856639958801</v>
      </c>
      <c r="J75">
        <v>0.82510772387660902</v>
      </c>
      <c r="K75">
        <v>2.0325356308026699</v>
      </c>
    </row>
    <row r="76" spans="1:11" x14ac:dyDescent="0.2">
      <c r="A76">
        <f t="shared" si="11"/>
        <v>1924</v>
      </c>
      <c r="B76">
        <v>-32.5881917580693</v>
      </c>
      <c r="C76">
        <v>40.9439972484926</v>
      </c>
      <c r="F76">
        <v>-26.030910515724699</v>
      </c>
      <c r="G76">
        <v>28.5113577192059</v>
      </c>
      <c r="H76">
        <f t="shared" si="12"/>
        <v>-6.557281242344601</v>
      </c>
      <c r="I76">
        <f t="shared" si="13"/>
        <v>29.385598372196672</v>
      </c>
      <c r="J76">
        <v>0.68656636202324195</v>
      </c>
      <c r="K76">
        <v>1.7925553589882799</v>
      </c>
    </row>
    <row r="77" spans="1:11" x14ac:dyDescent="0.2">
      <c r="A77">
        <f t="shared" si="11"/>
        <v>1925</v>
      </c>
      <c r="B77">
        <v>-28.764910755588101</v>
      </c>
      <c r="C77">
        <v>41.315030257308401</v>
      </c>
      <c r="F77">
        <v>-22.393383161082401</v>
      </c>
      <c r="G77">
        <v>31.222734120796598</v>
      </c>
      <c r="H77">
        <f t="shared" si="12"/>
        <v>-6.3715275945057002</v>
      </c>
      <c r="I77">
        <f t="shared" si="13"/>
        <v>27.056840155205716</v>
      </c>
      <c r="J77">
        <v>0.67410152142827395</v>
      </c>
      <c r="K77">
        <v>2.0717906590049502</v>
      </c>
    </row>
    <row r="78" spans="1:11" x14ac:dyDescent="0.2">
      <c r="A78">
        <f t="shared" si="11"/>
        <v>1926</v>
      </c>
      <c r="B78">
        <v>-23.708612504304099</v>
      </c>
      <c r="C78">
        <v>38.726614441665497</v>
      </c>
      <c r="F78">
        <v>-17.954934886538599</v>
      </c>
      <c r="G78">
        <v>29.488766470648301</v>
      </c>
      <c r="H78">
        <f t="shared" si="12"/>
        <v>-5.7536776177655007</v>
      </c>
      <c r="I78">
        <f t="shared" si="13"/>
        <v>25.103053960683411</v>
      </c>
      <c r="J78">
        <v>0.79203570492004205</v>
      </c>
      <c r="K78">
        <v>2.0152241379376701</v>
      </c>
    </row>
    <row r="79" spans="1:11" x14ac:dyDescent="0.2">
      <c r="A79">
        <f t="shared" si="11"/>
        <v>1927</v>
      </c>
      <c r="B79">
        <v>-19.7746374757929</v>
      </c>
      <c r="C79">
        <v>39.926902901408603</v>
      </c>
      <c r="F79">
        <v>-14.7083885291049</v>
      </c>
      <c r="G79">
        <v>31.024496990919001</v>
      </c>
      <c r="H79">
        <f t="shared" si="12"/>
        <v>-5.0662489466880007</v>
      </c>
      <c r="I79">
        <f t="shared" si="13"/>
        <v>25.132412573387548</v>
      </c>
      <c r="J79">
        <v>0.98087555403109195</v>
      </c>
      <c r="K79">
        <v>2.0653770432174698</v>
      </c>
    </row>
    <row r="80" spans="1:11" x14ac:dyDescent="0.2">
      <c r="A80">
        <f t="shared" si="11"/>
        <v>1928</v>
      </c>
      <c r="B80">
        <v>-15.226843623797601</v>
      </c>
      <c r="C80">
        <v>39.685720409512797</v>
      </c>
      <c r="F80">
        <v>-10.731397999470801</v>
      </c>
      <c r="G80">
        <v>29.956833144007099</v>
      </c>
      <c r="H80">
        <f t="shared" si="12"/>
        <v>-4.4954456243268002</v>
      </c>
      <c r="I80">
        <f t="shared" si="13"/>
        <v>26.029685983586862</v>
      </c>
      <c r="J80">
        <v>1.1909860383077799</v>
      </c>
      <c r="K80">
        <v>1.8910290092195801</v>
      </c>
    </row>
    <row r="81" spans="1:11" x14ac:dyDescent="0.2">
      <c r="A81">
        <f t="shared" si="11"/>
        <v>1929</v>
      </c>
      <c r="B81">
        <v>-11.349960350920799</v>
      </c>
      <c r="C81">
        <v>37.050844571607698</v>
      </c>
      <c r="F81">
        <v>-7.4074997995563798</v>
      </c>
      <c r="G81">
        <v>31.833016198423401</v>
      </c>
      <c r="H81">
        <f t="shared" si="12"/>
        <v>-3.9424605513644195</v>
      </c>
      <c r="I81">
        <f t="shared" si="13"/>
        <v>18.958485255429689</v>
      </c>
      <c r="J81">
        <v>1.43138263797234</v>
      </c>
      <c r="K81">
        <v>1.9582183542615801</v>
      </c>
    </row>
    <row r="82" spans="1:11" x14ac:dyDescent="0.2">
      <c r="A82">
        <f t="shared" si="11"/>
        <v>1930</v>
      </c>
      <c r="B82">
        <v>-8.9577858328259392</v>
      </c>
      <c r="C82">
        <v>36.781007075784302</v>
      </c>
      <c r="F82">
        <v>-5.5167456777006603</v>
      </c>
      <c r="G82">
        <v>29.589473531607599</v>
      </c>
      <c r="H82">
        <f t="shared" si="12"/>
        <v>-3.4410401551252789</v>
      </c>
      <c r="I82">
        <f t="shared" si="13"/>
        <v>21.847323351641688</v>
      </c>
      <c r="J82">
        <v>1.69182909910108</v>
      </c>
      <c r="K82">
        <v>2.1431017402606898</v>
      </c>
    </row>
    <row r="83" spans="1:11" x14ac:dyDescent="0.2">
      <c r="A83">
        <f t="shared" si="11"/>
        <v>1931</v>
      </c>
      <c r="B83">
        <v>-5.6613821940880902</v>
      </c>
      <c r="C83">
        <v>37.9126990880725</v>
      </c>
      <c r="F83">
        <v>-2.64414496227357</v>
      </c>
      <c r="G83">
        <v>26.8995605070598</v>
      </c>
      <c r="H83">
        <f t="shared" si="12"/>
        <v>-3.0172372318145202</v>
      </c>
      <c r="I83">
        <f t="shared" si="13"/>
        <v>26.71678118093125</v>
      </c>
      <c r="J83">
        <v>1.9575440968240501</v>
      </c>
      <c r="K83">
        <v>2.1382172749072801</v>
      </c>
    </row>
    <row r="84" spans="1:11" x14ac:dyDescent="0.2">
      <c r="A84">
        <f t="shared" si="11"/>
        <v>1932</v>
      </c>
      <c r="B84">
        <v>-1.3641676681772801</v>
      </c>
      <c r="C84">
        <v>38.055422446862899</v>
      </c>
      <c r="F84">
        <v>1.4353161152912799</v>
      </c>
      <c r="G84">
        <v>32.057888433005097</v>
      </c>
      <c r="H84">
        <f t="shared" si="12"/>
        <v>-2.7994837834685597</v>
      </c>
      <c r="I84">
        <f t="shared" si="13"/>
        <v>20.506266525776812</v>
      </c>
      <c r="J84">
        <v>2.1940244735563099</v>
      </c>
      <c r="K84">
        <v>2.0318267733988802</v>
      </c>
    </row>
    <row r="85" spans="1:11" x14ac:dyDescent="0.2">
      <c r="A85">
        <f t="shared" si="11"/>
        <v>1933</v>
      </c>
      <c r="B85">
        <v>2.7931845847605499</v>
      </c>
      <c r="C85">
        <v>37.680179870398398</v>
      </c>
      <c r="F85">
        <v>5.5628742541371903</v>
      </c>
      <c r="G85">
        <v>27.7146715265335</v>
      </c>
      <c r="H85">
        <f t="shared" si="12"/>
        <v>-2.7696896693766404</v>
      </c>
      <c r="I85">
        <f t="shared" si="13"/>
        <v>25.528277208654913</v>
      </c>
      <c r="J85">
        <v>2.38698245051688</v>
      </c>
      <c r="K85">
        <v>1.9329144721623499</v>
      </c>
    </row>
    <row r="86" spans="1:11" x14ac:dyDescent="0.2">
      <c r="A86">
        <f t="shared" si="11"/>
        <v>1934</v>
      </c>
      <c r="B86">
        <v>5.8693176376183596</v>
      </c>
      <c r="C86">
        <v>41.302840723160799</v>
      </c>
      <c r="F86">
        <v>8.5824915326897209</v>
      </c>
      <c r="G86">
        <v>26.1575328223215</v>
      </c>
      <c r="H86">
        <f t="shared" si="12"/>
        <v>-2.7131738950713613</v>
      </c>
      <c r="I86">
        <f t="shared" si="13"/>
        <v>31.964169447241446</v>
      </c>
      <c r="J86">
        <v>2.5688910266004199</v>
      </c>
      <c r="K86">
        <v>2.0270958144891602</v>
      </c>
    </row>
    <row r="87" spans="1:11" x14ac:dyDescent="0.2">
      <c r="A87">
        <f t="shared" si="11"/>
        <v>1935</v>
      </c>
      <c r="B87">
        <v>11.234539314915599</v>
      </c>
      <c r="C87">
        <v>35.018913619030997</v>
      </c>
      <c r="F87">
        <v>13.940709144580801</v>
      </c>
      <c r="G87">
        <v>29.768356488802699</v>
      </c>
      <c r="H87">
        <f t="shared" si="12"/>
        <v>-2.7061698296652015</v>
      </c>
      <c r="I87">
        <f t="shared" si="13"/>
        <v>18.443678131346601</v>
      </c>
      <c r="J87">
        <v>2.7313881512726801</v>
      </c>
      <c r="K87">
        <v>1.8867126228448099</v>
      </c>
    </row>
    <row r="88" spans="1:11" x14ac:dyDescent="0.2">
      <c r="A88">
        <f t="shared" ref="A88:A151" si="14">A87+1</f>
        <v>1936</v>
      </c>
      <c r="B88">
        <v>19.853909080191102</v>
      </c>
      <c r="C88">
        <v>38.7750157106925</v>
      </c>
      <c r="F88">
        <v>22.739182382723499</v>
      </c>
      <c r="G88">
        <v>29.7503283146999</v>
      </c>
      <c r="H88">
        <f t="shared" si="12"/>
        <v>-2.8852733025323971</v>
      </c>
      <c r="I88">
        <f t="shared" si="13"/>
        <v>24.868047943737274</v>
      </c>
      <c r="J88">
        <v>2.8408362472207198</v>
      </c>
      <c r="K88">
        <v>1.77467534893331</v>
      </c>
    </row>
    <row r="89" spans="1:11" x14ac:dyDescent="0.2">
      <c r="A89">
        <f t="shared" si="14"/>
        <v>1937</v>
      </c>
      <c r="B89">
        <v>30.033242592583001</v>
      </c>
      <c r="C89">
        <v>35.837445996461902</v>
      </c>
      <c r="F89">
        <v>33.050231766998699</v>
      </c>
      <c r="G89">
        <v>27.13804493328</v>
      </c>
      <c r="H89">
        <f t="shared" si="12"/>
        <v>-3.0169891744156985</v>
      </c>
      <c r="I89">
        <f t="shared" si="13"/>
        <v>23.406175525886304</v>
      </c>
      <c r="J89">
        <v>2.9249834909948098</v>
      </c>
      <c r="K89">
        <v>1.91007368164098</v>
      </c>
    </row>
    <row r="90" spans="1:11" x14ac:dyDescent="0.2">
      <c r="A90">
        <f t="shared" si="14"/>
        <v>1938</v>
      </c>
      <c r="B90">
        <v>39.926427314376703</v>
      </c>
      <c r="C90">
        <v>40.3190802905997</v>
      </c>
      <c r="F90">
        <v>42.721461941219601</v>
      </c>
      <c r="G90">
        <v>29.446853337806601</v>
      </c>
      <c r="H90">
        <f t="shared" si="12"/>
        <v>-2.7950346268428987</v>
      </c>
      <c r="I90">
        <f t="shared" si="13"/>
        <v>27.541079571823857</v>
      </c>
      <c r="J90">
        <v>3.0506659573622601</v>
      </c>
      <c r="K90">
        <v>1.9843083923943801</v>
      </c>
    </row>
    <row r="91" spans="1:11" x14ac:dyDescent="0.2">
      <c r="A91">
        <f t="shared" si="14"/>
        <v>1939</v>
      </c>
      <c r="B91">
        <v>49.824918904987001</v>
      </c>
      <c r="C91">
        <v>38.963684993394203</v>
      </c>
      <c r="F91">
        <v>52.110515195015601</v>
      </c>
      <c r="G91">
        <v>29.264312531076399</v>
      </c>
      <c r="H91">
        <f t="shared" si="12"/>
        <v>-2.2855962900286002</v>
      </c>
      <c r="I91">
        <f t="shared" si="13"/>
        <v>25.724866575901565</v>
      </c>
      <c r="J91">
        <v>3.2214519354149398</v>
      </c>
      <c r="K91">
        <v>2.0031682438100198</v>
      </c>
    </row>
    <row r="92" spans="1:11" x14ac:dyDescent="0.2">
      <c r="A92">
        <f t="shared" si="14"/>
        <v>1940</v>
      </c>
      <c r="B92">
        <v>59.7432777680486</v>
      </c>
      <c r="C92">
        <v>36.418633388970598</v>
      </c>
      <c r="F92">
        <v>61.239944577152201</v>
      </c>
      <c r="G92">
        <v>30.492740208385602</v>
      </c>
      <c r="H92">
        <f t="shared" si="12"/>
        <v>-1.4966668091036013</v>
      </c>
      <c r="I92">
        <f t="shared" si="13"/>
        <v>19.912550125590347</v>
      </c>
      <c r="J92">
        <v>3.4399713399196998</v>
      </c>
      <c r="K92">
        <v>1.7697139016138499</v>
      </c>
    </row>
    <row r="93" spans="1:11" x14ac:dyDescent="0.2">
      <c r="A93">
        <f t="shared" si="14"/>
        <v>1941</v>
      </c>
      <c r="B93">
        <v>67.5174313692049</v>
      </c>
      <c r="C93">
        <v>38.579852256618302</v>
      </c>
      <c r="F93">
        <v>68.051921213025395</v>
      </c>
      <c r="G93">
        <v>28.689996987243699</v>
      </c>
      <c r="H93">
        <f t="shared" si="12"/>
        <v>-0.53448984382049503</v>
      </c>
      <c r="I93">
        <f t="shared" si="13"/>
        <v>25.793198192826804</v>
      </c>
      <c r="J93">
        <v>3.6965609706875799</v>
      </c>
      <c r="K93">
        <v>1.91606700167289</v>
      </c>
    </row>
    <row r="94" spans="1:11" x14ac:dyDescent="0.2">
      <c r="A94">
        <f t="shared" si="14"/>
        <v>1942</v>
      </c>
      <c r="B94">
        <v>77.938090256959697</v>
      </c>
      <c r="C94">
        <v>37.2446732654426</v>
      </c>
      <c r="F94">
        <v>77.523713252182503</v>
      </c>
      <c r="G94">
        <v>28.789898319077601</v>
      </c>
      <c r="H94">
        <f t="shared" ref="H94:H157" si="15">B94-F94</f>
        <v>0.41437700477719375</v>
      </c>
      <c r="I94">
        <f t="shared" ref="I94:I157" si="16">SQRT(C94^2-G94^2)</f>
        <v>23.628530242627185</v>
      </c>
      <c r="J94">
        <v>3.9536703246794902</v>
      </c>
      <c r="K94">
        <v>1.9449509289578799</v>
      </c>
    </row>
    <row r="95" spans="1:11" x14ac:dyDescent="0.2">
      <c r="A95">
        <f t="shared" si="14"/>
        <v>1943</v>
      </c>
      <c r="B95">
        <v>92.961552624842398</v>
      </c>
      <c r="C95">
        <v>37.6598911161554</v>
      </c>
      <c r="F95">
        <v>91.572005470365696</v>
      </c>
      <c r="G95">
        <v>30.395684751929601</v>
      </c>
      <c r="H95">
        <f t="shared" si="15"/>
        <v>1.389547154476702</v>
      </c>
      <c r="I95">
        <f t="shared" si="16"/>
        <v>22.234427074741433</v>
      </c>
      <c r="J95">
        <v>4.2057834188271501</v>
      </c>
      <c r="K95">
        <v>1.7861429642423701</v>
      </c>
    </row>
    <row r="96" spans="1:11" x14ac:dyDescent="0.2">
      <c r="A96">
        <f t="shared" si="14"/>
        <v>1944</v>
      </c>
      <c r="B96">
        <v>105.09257634290501</v>
      </c>
      <c r="C96">
        <v>36.0811497156662</v>
      </c>
      <c r="F96">
        <v>102.71550818794999</v>
      </c>
      <c r="G96">
        <v>31.839099107315398</v>
      </c>
      <c r="H96">
        <f t="shared" si="15"/>
        <v>2.3770681549550119</v>
      </c>
      <c r="I96">
        <f t="shared" si="16"/>
        <v>16.97413128377611</v>
      </c>
      <c r="J96">
        <v>4.4489867010411404</v>
      </c>
      <c r="K96">
        <v>2.0233467103789402</v>
      </c>
    </row>
    <row r="97" spans="1:11" x14ac:dyDescent="0.2">
      <c r="A97">
        <f t="shared" si="14"/>
        <v>1945</v>
      </c>
      <c r="B97">
        <v>107.778822295219</v>
      </c>
      <c r="C97">
        <v>34.400259159309797</v>
      </c>
      <c r="F97">
        <v>104.536667749385</v>
      </c>
      <c r="G97">
        <v>29.663908308462599</v>
      </c>
      <c r="H97">
        <f t="shared" si="15"/>
        <v>3.2421545458339978</v>
      </c>
      <c r="I97">
        <f t="shared" si="16"/>
        <v>17.419252971778128</v>
      </c>
      <c r="J97">
        <v>4.6469776235040001</v>
      </c>
      <c r="K97">
        <v>1.96419506585361</v>
      </c>
    </row>
    <row r="98" spans="1:11" x14ac:dyDescent="0.2">
      <c r="A98">
        <f t="shared" si="14"/>
        <v>1946</v>
      </c>
      <c r="B98">
        <v>108.859725401427</v>
      </c>
      <c r="C98">
        <v>40.178642143219101</v>
      </c>
      <c r="F98">
        <v>104.701056608576</v>
      </c>
      <c r="G98">
        <v>30.566016824887701</v>
      </c>
      <c r="H98">
        <f t="shared" si="15"/>
        <v>4.1586687928510031</v>
      </c>
      <c r="I98">
        <f t="shared" si="16"/>
        <v>26.077613002986759</v>
      </c>
      <c r="J98">
        <v>4.8116365786035002</v>
      </c>
      <c r="K98">
        <v>1.87731666222718</v>
      </c>
    </row>
    <row r="99" spans="1:11" x14ac:dyDescent="0.2">
      <c r="A99">
        <f t="shared" si="14"/>
        <v>1947</v>
      </c>
      <c r="B99">
        <v>107.212893750928</v>
      </c>
      <c r="C99">
        <v>37.1470464580932</v>
      </c>
      <c r="F99">
        <v>101.937686501125</v>
      </c>
      <c r="G99">
        <v>30.403026493025799</v>
      </c>
      <c r="H99">
        <f t="shared" si="15"/>
        <v>5.2752072498030032</v>
      </c>
      <c r="I99">
        <f t="shared" si="16"/>
        <v>21.343829099393247</v>
      </c>
      <c r="J99">
        <v>4.98219448771491</v>
      </c>
      <c r="K99">
        <v>1.88521676610428</v>
      </c>
    </row>
    <row r="100" spans="1:11" x14ac:dyDescent="0.2">
      <c r="A100">
        <f t="shared" si="14"/>
        <v>1948</v>
      </c>
      <c r="B100">
        <v>101.696867479831</v>
      </c>
      <c r="C100">
        <v>37.950192303338902</v>
      </c>
      <c r="F100">
        <v>95.427733260619107</v>
      </c>
      <c r="G100">
        <v>30.3449997633486</v>
      </c>
      <c r="H100">
        <f t="shared" si="15"/>
        <v>6.2691342192118924</v>
      </c>
      <c r="I100">
        <f t="shared" si="16"/>
        <v>22.790306825990228</v>
      </c>
      <c r="J100">
        <v>5.1063173453123198</v>
      </c>
      <c r="K100">
        <v>1.9825787828506001</v>
      </c>
    </row>
    <row r="101" spans="1:11" x14ac:dyDescent="0.2">
      <c r="A101">
        <f t="shared" si="14"/>
        <v>1949</v>
      </c>
      <c r="B101">
        <v>99.013981871982097</v>
      </c>
      <c r="C101">
        <v>36.549625419789798</v>
      </c>
      <c r="F101">
        <v>91.759564466038398</v>
      </c>
      <c r="G101">
        <v>30.192800566916599</v>
      </c>
      <c r="H101">
        <f t="shared" si="15"/>
        <v>7.2544174059436983</v>
      </c>
      <c r="I101">
        <f t="shared" si="16"/>
        <v>20.597813288146519</v>
      </c>
      <c r="J101">
        <v>5.1952972647891</v>
      </c>
      <c r="K101">
        <v>2.0027710280739699</v>
      </c>
    </row>
    <row r="102" spans="1:11" x14ac:dyDescent="0.2">
      <c r="A102">
        <f t="shared" si="14"/>
        <v>1950</v>
      </c>
      <c r="B102">
        <v>105.475942729913</v>
      </c>
      <c r="C102">
        <v>37.305274494246099</v>
      </c>
      <c r="F102">
        <v>97.067702276385006</v>
      </c>
      <c r="G102">
        <v>30.943234602103701</v>
      </c>
      <c r="H102">
        <f t="shared" si="15"/>
        <v>8.4082404535279949</v>
      </c>
      <c r="I102">
        <f t="shared" si="16"/>
        <v>20.837459956775461</v>
      </c>
      <c r="J102">
        <v>5.2932333964959897</v>
      </c>
      <c r="K102">
        <v>1.9600696382412599</v>
      </c>
    </row>
    <row r="103" spans="1:11" x14ac:dyDescent="0.2">
      <c r="A103">
        <f t="shared" si="14"/>
        <v>1951</v>
      </c>
      <c r="B103">
        <v>115.275858025706</v>
      </c>
      <c r="C103">
        <v>37.817529109886301</v>
      </c>
      <c r="F103">
        <v>105.301516237437</v>
      </c>
      <c r="G103">
        <v>29.4742924886996</v>
      </c>
      <c r="H103">
        <f t="shared" si="15"/>
        <v>9.9743417882690011</v>
      </c>
      <c r="I103">
        <f t="shared" si="16"/>
        <v>23.694547690717464</v>
      </c>
      <c r="J103">
        <v>5.4597519251528404</v>
      </c>
      <c r="K103">
        <v>1.8373689413326499</v>
      </c>
    </row>
    <row r="104" spans="1:11" x14ac:dyDescent="0.2">
      <c r="A104">
        <f t="shared" si="14"/>
        <v>1952</v>
      </c>
      <c r="B104">
        <v>122.903325015146</v>
      </c>
      <c r="C104">
        <v>38.384177018247399</v>
      </c>
      <c r="F104">
        <v>111.02973036732701</v>
      </c>
      <c r="G104">
        <v>28.7377401525954</v>
      </c>
      <c r="H104">
        <f t="shared" si="15"/>
        <v>11.87359464781899</v>
      </c>
      <c r="I104">
        <f t="shared" si="16"/>
        <v>25.44577246400781</v>
      </c>
      <c r="J104">
        <v>5.6933706489663898</v>
      </c>
      <c r="K104">
        <v>1.97866518015965</v>
      </c>
    </row>
    <row r="105" spans="1:11" x14ac:dyDescent="0.2">
      <c r="A105">
        <f t="shared" si="14"/>
        <v>1953</v>
      </c>
      <c r="B105">
        <v>126.50470103076999</v>
      </c>
      <c r="C105">
        <v>40.473965439308898</v>
      </c>
      <c r="F105">
        <v>112.418862606963</v>
      </c>
      <c r="G105">
        <v>30.464627344183199</v>
      </c>
      <c r="H105">
        <f t="shared" si="15"/>
        <v>14.08583842380699</v>
      </c>
      <c r="I105">
        <f t="shared" si="16"/>
        <v>26.646732617009846</v>
      </c>
      <c r="J105">
        <v>5.99463311174505</v>
      </c>
      <c r="K105">
        <v>1.8372599017187199</v>
      </c>
    </row>
    <row r="106" spans="1:11" x14ac:dyDescent="0.2">
      <c r="A106">
        <f t="shared" si="14"/>
        <v>1954</v>
      </c>
      <c r="B106">
        <v>128.33548825500799</v>
      </c>
      <c r="C106">
        <v>37.595399690737601</v>
      </c>
      <c r="F106">
        <v>111.906410170749</v>
      </c>
      <c r="G106">
        <v>31.662415010081698</v>
      </c>
      <c r="H106">
        <f t="shared" si="15"/>
        <v>16.42907808425899</v>
      </c>
      <c r="I106">
        <f t="shared" si="16"/>
        <v>20.270805451083245</v>
      </c>
      <c r="J106">
        <v>6.3322117224647503</v>
      </c>
      <c r="K106">
        <v>2.16593305815779</v>
      </c>
    </row>
    <row r="107" spans="1:11" x14ac:dyDescent="0.2">
      <c r="A107">
        <f t="shared" si="14"/>
        <v>1955</v>
      </c>
      <c r="B107">
        <v>129.669369038452</v>
      </c>
      <c r="C107">
        <v>34.225226359317901</v>
      </c>
      <c r="F107">
        <v>110.91141422939801</v>
      </c>
      <c r="G107">
        <v>32.520684950510201</v>
      </c>
      <c r="H107">
        <f t="shared" si="15"/>
        <v>18.757954809053999</v>
      </c>
      <c r="I107">
        <f t="shared" si="16"/>
        <v>10.666356908345431</v>
      </c>
      <c r="J107">
        <v>6.6748946550383002</v>
      </c>
      <c r="K107">
        <v>1.7850655009773599</v>
      </c>
    </row>
    <row r="108" spans="1:11" x14ac:dyDescent="0.2">
      <c r="A108">
        <f t="shared" si="14"/>
        <v>1956</v>
      </c>
      <c r="B108">
        <v>133.232091136142</v>
      </c>
      <c r="C108">
        <v>36.874387852192001</v>
      </c>
      <c r="F108">
        <v>112.367064039778</v>
      </c>
      <c r="G108">
        <v>28.950529086838799</v>
      </c>
      <c r="H108">
        <f t="shared" si="15"/>
        <v>20.865027096364003</v>
      </c>
      <c r="I108">
        <f t="shared" si="16"/>
        <v>22.838286824234117</v>
      </c>
      <c r="J108">
        <v>6.9832797669413802</v>
      </c>
      <c r="K108">
        <v>1.86653640993272</v>
      </c>
    </row>
    <row r="109" spans="1:11" x14ac:dyDescent="0.2">
      <c r="A109">
        <f t="shared" si="14"/>
        <v>1957</v>
      </c>
      <c r="B109">
        <v>138.87055327940001</v>
      </c>
      <c r="C109">
        <v>39.492298829569798</v>
      </c>
      <c r="F109">
        <v>116.005968830481</v>
      </c>
      <c r="G109">
        <v>29.290172997776601</v>
      </c>
      <c r="H109">
        <f t="shared" si="15"/>
        <v>22.864584448919018</v>
      </c>
      <c r="I109">
        <f t="shared" si="16"/>
        <v>26.490138402891716</v>
      </c>
      <c r="J109">
        <v>7.2757485233862198</v>
      </c>
      <c r="K109">
        <v>1.9743734343880499</v>
      </c>
    </row>
    <row r="110" spans="1:11" x14ac:dyDescent="0.2">
      <c r="A110">
        <f t="shared" si="14"/>
        <v>1958</v>
      </c>
      <c r="B110">
        <v>147.99471329973699</v>
      </c>
      <c r="C110">
        <v>41.305688770612498</v>
      </c>
      <c r="F110">
        <v>123.20852198039999</v>
      </c>
      <c r="G110">
        <v>31.249420520925899</v>
      </c>
      <c r="H110">
        <f t="shared" si="15"/>
        <v>24.786191319336993</v>
      </c>
      <c r="I110">
        <f t="shared" si="16"/>
        <v>27.011731560954004</v>
      </c>
      <c r="J110">
        <v>7.5654733735180804</v>
      </c>
      <c r="K110">
        <v>1.9401342210347601</v>
      </c>
    </row>
    <row r="111" spans="1:11" x14ac:dyDescent="0.2">
      <c r="A111">
        <f t="shared" si="14"/>
        <v>1959</v>
      </c>
      <c r="B111">
        <v>158.04931116783899</v>
      </c>
      <c r="C111">
        <v>37.915105615105901</v>
      </c>
      <c r="F111">
        <v>131.36086728930499</v>
      </c>
      <c r="G111">
        <v>29.888602900250099</v>
      </c>
      <c r="H111">
        <f t="shared" si="15"/>
        <v>26.688443878534002</v>
      </c>
      <c r="I111">
        <f t="shared" si="16"/>
        <v>23.328665852890012</v>
      </c>
      <c r="J111">
        <v>7.8696382073395696</v>
      </c>
      <c r="K111">
        <v>2.18986257050399</v>
      </c>
    </row>
    <row r="112" spans="1:11" x14ac:dyDescent="0.2">
      <c r="A112">
        <f t="shared" si="14"/>
        <v>1960</v>
      </c>
      <c r="B112">
        <v>166.679387142363</v>
      </c>
      <c r="C112">
        <v>38.643114289178499</v>
      </c>
      <c r="F112">
        <v>138.27164159517699</v>
      </c>
      <c r="G112">
        <v>30.563546892427699</v>
      </c>
      <c r="H112">
        <f t="shared" si="15"/>
        <v>28.407745547186011</v>
      </c>
      <c r="I112">
        <f t="shared" si="16"/>
        <v>23.646561765315578</v>
      </c>
      <c r="J112">
        <v>8.1580118752984205</v>
      </c>
      <c r="K112">
        <v>1.92641565553117</v>
      </c>
    </row>
    <row r="113" spans="1:11" x14ac:dyDescent="0.2">
      <c r="A113">
        <f t="shared" si="14"/>
        <v>1961</v>
      </c>
      <c r="B113">
        <v>170.15124023597201</v>
      </c>
      <c r="C113">
        <v>38.403931939876998</v>
      </c>
      <c r="F113">
        <v>140.29458050731299</v>
      </c>
      <c r="G113">
        <v>30.845862868066501</v>
      </c>
      <c r="H113">
        <f t="shared" si="15"/>
        <v>29.856659728659025</v>
      </c>
      <c r="I113">
        <f t="shared" si="16"/>
        <v>22.877821844903437</v>
      </c>
      <c r="J113">
        <v>8.4024856364515497</v>
      </c>
      <c r="K113">
        <v>2.0215761344074501</v>
      </c>
    </row>
    <row r="114" spans="1:11" x14ac:dyDescent="0.2">
      <c r="A114">
        <f t="shared" si="14"/>
        <v>1962</v>
      </c>
      <c r="B114">
        <v>170.215615979376</v>
      </c>
      <c r="C114">
        <v>38.867450546103797</v>
      </c>
      <c r="F114">
        <v>139.180418036764</v>
      </c>
      <c r="G114">
        <v>29.813859438033401</v>
      </c>
      <c r="H114">
        <f t="shared" si="15"/>
        <v>31.035197942612001</v>
      </c>
      <c r="I114">
        <f t="shared" si="16"/>
        <v>24.936168457945001</v>
      </c>
      <c r="J114">
        <v>8.5844735835147503</v>
      </c>
      <c r="K114">
        <v>1.87818110544459</v>
      </c>
    </row>
    <row r="115" spans="1:11" x14ac:dyDescent="0.2">
      <c r="A115">
        <f t="shared" si="14"/>
        <v>1963</v>
      </c>
      <c r="B115">
        <v>166.126637215328</v>
      </c>
      <c r="C115">
        <v>39.016263912775699</v>
      </c>
      <c r="F115">
        <v>133.798930184326</v>
      </c>
      <c r="G115">
        <v>29.698711478714699</v>
      </c>
      <c r="H115">
        <f t="shared" si="15"/>
        <v>32.327707031002006</v>
      </c>
      <c r="I115">
        <f t="shared" si="16"/>
        <v>25.303268291179762</v>
      </c>
      <c r="J115">
        <v>8.7643442708654895</v>
      </c>
      <c r="K115">
        <v>1.9735993473801501</v>
      </c>
    </row>
    <row r="116" spans="1:11" x14ac:dyDescent="0.2">
      <c r="A116">
        <f t="shared" si="14"/>
        <v>1964</v>
      </c>
      <c r="B116">
        <v>163.16832626586299</v>
      </c>
      <c r="C116">
        <v>39.950174043660198</v>
      </c>
      <c r="F116">
        <v>129.307137336913</v>
      </c>
      <c r="G116">
        <v>28.239652705117599</v>
      </c>
      <c r="H116">
        <f t="shared" si="15"/>
        <v>33.861188928949986</v>
      </c>
      <c r="I116">
        <f t="shared" si="16"/>
        <v>28.258422128864261</v>
      </c>
      <c r="J116">
        <v>8.9735869918258206</v>
      </c>
      <c r="K116">
        <v>1.84160948706792</v>
      </c>
    </row>
    <row r="117" spans="1:11" x14ac:dyDescent="0.2">
      <c r="A117">
        <f t="shared" si="14"/>
        <v>1965</v>
      </c>
      <c r="B117">
        <v>160.953044962251</v>
      </c>
      <c r="C117">
        <v>36.976562223191301</v>
      </c>
      <c r="F117">
        <v>125.238507382325</v>
      </c>
      <c r="G117">
        <v>28.698540033011</v>
      </c>
      <c r="H117">
        <f t="shared" si="15"/>
        <v>35.714537579926002</v>
      </c>
      <c r="I117">
        <f t="shared" si="16"/>
        <v>23.316516759996613</v>
      </c>
      <c r="J117">
        <v>9.2401302626269004</v>
      </c>
      <c r="K117">
        <v>1.9288002773044099</v>
      </c>
    </row>
    <row r="118" spans="1:11" x14ac:dyDescent="0.2">
      <c r="A118">
        <f t="shared" si="14"/>
        <v>1966</v>
      </c>
      <c r="B118">
        <v>159.30753532975899</v>
      </c>
      <c r="C118">
        <v>40.128589216656003</v>
      </c>
      <c r="F118">
        <v>121.723549058015</v>
      </c>
      <c r="G118">
        <v>28.048783778903498</v>
      </c>
      <c r="H118">
        <f t="shared" si="15"/>
        <v>37.583986271743996</v>
      </c>
      <c r="I118">
        <f t="shared" si="16"/>
        <v>28.697898895972166</v>
      </c>
      <c r="J118">
        <v>9.5168957166992705</v>
      </c>
      <c r="K118">
        <v>2.0850376353439399</v>
      </c>
    </row>
    <row r="119" spans="1:11" x14ac:dyDescent="0.2">
      <c r="A119">
        <f t="shared" si="14"/>
        <v>1967</v>
      </c>
      <c r="B119">
        <v>161.72691095478001</v>
      </c>
      <c r="C119">
        <v>40.4752530532473</v>
      </c>
      <c r="F119">
        <v>122.41639456575</v>
      </c>
      <c r="G119">
        <v>32.159199336035101</v>
      </c>
      <c r="H119">
        <f t="shared" si="15"/>
        <v>39.310516389030013</v>
      </c>
      <c r="I119">
        <f t="shared" si="16"/>
        <v>24.57706263550558</v>
      </c>
      <c r="J119">
        <v>9.77088684275245</v>
      </c>
      <c r="K119">
        <v>2.0647896423452501</v>
      </c>
    </row>
    <row r="120" spans="1:11" x14ac:dyDescent="0.2">
      <c r="A120">
        <f t="shared" si="14"/>
        <v>1968</v>
      </c>
      <c r="B120">
        <v>170.265095804309</v>
      </c>
      <c r="C120">
        <v>39.266279409855102</v>
      </c>
      <c r="F120">
        <v>129.77649448281301</v>
      </c>
      <c r="G120">
        <v>31.764863897184799</v>
      </c>
      <c r="H120">
        <f t="shared" si="15"/>
        <v>40.488601321495992</v>
      </c>
      <c r="I120">
        <f t="shared" si="16"/>
        <v>23.083199957677802</v>
      </c>
      <c r="J120">
        <v>9.9241397752306195</v>
      </c>
      <c r="K120">
        <v>1.8510049563700799</v>
      </c>
    </row>
    <row r="121" spans="1:11" x14ac:dyDescent="0.2">
      <c r="A121">
        <f t="shared" si="14"/>
        <v>1969</v>
      </c>
      <c r="B121">
        <v>173.85687931392499</v>
      </c>
      <c r="C121">
        <v>39.494075959033502</v>
      </c>
      <c r="F121">
        <v>132.87721600350901</v>
      </c>
      <c r="G121">
        <v>29.491582403099901</v>
      </c>
      <c r="H121">
        <f t="shared" si="15"/>
        <v>40.979663310415987</v>
      </c>
      <c r="I121">
        <f t="shared" si="16"/>
        <v>26.268395520455304</v>
      </c>
      <c r="J121">
        <v>9.9232546000058495</v>
      </c>
      <c r="K121">
        <v>2.0197930567818898</v>
      </c>
    </row>
    <row r="122" spans="1:11" x14ac:dyDescent="0.2">
      <c r="A122">
        <f t="shared" si="14"/>
        <v>1970</v>
      </c>
      <c r="B122">
        <v>174.00964809481701</v>
      </c>
      <c r="C122">
        <v>25.001082343324299</v>
      </c>
      <c r="F122">
        <v>133.056126862117</v>
      </c>
      <c r="G122">
        <v>20.8369775717204</v>
      </c>
      <c r="H122">
        <f t="shared" si="15"/>
        <v>40.953521232700012</v>
      </c>
      <c r="I122">
        <f t="shared" si="16"/>
        <v>13.815733205780393</v>
      </c>
      <c r="J122">
        <v>9.77916492610772</v>
      </c>
      <c r="K122">
        <v>1.2240113757931399</v>
      </c>
    </row>
    <row r="123" spans="1:11" x14ac:dyDescent="0.2">
      <c r="A123">
        <f t="shared" si="14"/>
        <v>1971</v>
      </c>
      <c r="B123">
        <v>176.929665013445</v>
      </c>
      <c r="C123">
        <v>25.2406180186684</v>
      </c>
      <c r="F123">
        <v>136.29936786554299</v>
      </c>
      <c r="G123">
        <v>20.238414632193301</v>
      </c>
      <c r="H123">
        <f t="shared" si="15"/>
        <v>40.630297147902013</v>
      </c>
      <c r="I123">
        <f t="shared" si="16"/>
        <v>15.082949682994769</v>
      </c>
      <c r="J123">
        <v>9.5285178660449894</v>
      </c>
      <c r="K123">
        <v>1.32925326922682</v>
      </c>
    </row>
    <row r="124" spans="1:11" x14ac:dyDescent="0.2">
      <c r="A124">
        <f t="shared" si="14"/>
        <v>1972</v>
      </c>
      <c r="B124">
        <v>177.00977081006599</v>
      </c>
      <c r="C124">
        <v>25.8805117584646</v>
      </c>
      <c r="F124">
        <v>136.62103678427499</v>
      </c>
      <c r="G124">
        <v>20.8001434997087</v>
      </c>
      <c r="H124">
        <f t="shared" si="15"/>
        <v>40.388734025790995</v>
      </c>
      <c r="I124">
        <f t="shared" si="16"/>
        <v>15.399835040400609</v>
      </c>
      <c r="J124">
        <v>9.2523402966095496</v>
      </c>
      <c r="K124">
        <v>1.1855653643898501</v>
      </c>
    </row>
    <row r="125" spans="1:11" x14ac:dyDescent="0.2">
      <c r="A125">
        <f t="shared" si="14"/>
        <v>1973</v>
      </c>
      <c r="B125">
        <v>172.98574149273699</v>
      </c>
      <c r="C125">
        <v>26.163757760924501</v>
      </c>
      <c r="F125">
        <v>132.51688245797499</v>
      </c>
      <c r="G125">
        <v>20.445005341917099</v>
      </c>
      <c r="H125">
        <f t="shared" si="15"/>
        <v>40.468859034762005</v>
      </c>
      <c r="I125">
        <f t="shared" si="16"/>
        <v>16.326174589943545</v>
      </c>
      <c r="J125">
        <v>9.0298050925193198</v>
      </c>
      <c r="K125">
        <v>1.30054716607037</v>
      </c>
    </row>
    <row r="126" spans="1:11" x14ac:dyDescent="0.2">
      <c r="A126">
        <f t="shared" si="14"/>
        <v>1974</v>
      </c>
      <c r="B126">
        <v>171.970730899286</v>
      </c>
      <c r="C126">
        <v>26.1292883213378</v>
      </c>
      <c r="F126">
        <v>131.21148040254801</v>
      </c>
      <c r="G126">
        <v>21.126914258575201</v>
      </c>
      <c r="H126">
        <f t="shared" si="15"/>
        <v>40.759250496737991</v>
      </c>
      <c r="I126">
        <f t="shared" si="16"/>
        <v>15.375083807589855</v>
      </c>
      <c r="J126">
        <v>8.8763627127198692</v>
      </c>
      <c r="K126">
        <v>1.3912395253221601</v>
      </c>
    </row>
    <row r="127" spans="1:11" x14ac:dyDescent="0.2">
      <c r="A127">
        <f t="shared" si="14"/>
        <v>1975</v>
      </c>
      <c r="B127">
        <v>175.80850226839101</v>
      </c>
      <c r="C127">
        <v>25.3078629446109</v>
      </c>
      <c r="F127">
        <v>134.539873772118</v>
      </c>
      <c r="G127">
        <v>19.987679419657798</v>
      </c>
      <c r="H127">
        <f t="shared" si="15"/>
        <v>41.26862849627301</v>
      </c>
      <c r="I127">
        <f t="shared" si="16"/>
        <v>15.523549795075789</v>
      </c>
      <c r="J127">
        <v>8.7921311480237794</v>
      </c>
      <c r="K127">
        <v>1.31948880422742</v>
      </c>
    </row>
    <row r="128" spans="1:11" x14ac:dyDescent="0.2">
      <c r="A128">
        <f t="shared" si="14"/>
        <v>1976</v>
      </c>
      <c r="B128">
        <v>180.62355602028899</v>
      </c>
      <c r="C128">
        <v>24.080274406325302</v>
      </c>
      <c r="F128">
        <v>138.226335720425</v>
      </c>
      <c r="G128">
        <v>20.039711728724601</v>
      </c>
      <c r="H128">
        <f t="shared" si="15"/>
        <v>42.397220299863989</v>
      </c>
      <c r="I128">
        <f t="shared" si="16"/>
        <v>13.351762779256642</v>
      </c>
      <c r="J128">
        <v>8.8574812972313399</v>
      </c>
      <c r="K128">
        <v>1.17717666464767</v>
      </c>
    </row>
    <row r="129" spans="1:11" x14ac:dyDescent="0.2">
      <c r="A129">
        <f t="shared" si="14"/>
        <v>1977</v>
      </c>
      <c r="B129">
        <v>187.519751094181</v>
      </c>
      <c r="C129">
        <v>24.397352104635299</v>
      </c>
      <c r="F129">
        <v>143.78836319710101</v>
      </c>
      <c r="G129">
        <v>19.829086945289198</v>
      </c>
      <c r="H129">
        <f t="shared" si="15"/>
        <v>43.731387897079998</v>
      </c>
      <c r="I129">
        <f t="shared" si="16"/>
        <v>14.214010715970142</v>
      </c>
      <c r="J129">
        <v>9.0068621086873204</v>
      </c>
      <c r="K129">
        <v>1.3539867590916099</v>
      </c>
    </row>
    <row r="130" spans="1:11" x14ac:dyDescent="0.2">
      <c r="A130">
        <f t="shared" si="14"/>
        <v>1978</v>
      </c>
      <c r="B130">
        <v>200.02891949177601</v>
      </c>
      <c r="C130">
        <v>26.478677500296602</v>
      </c>
      <c r="F130">
        <v>154.72737441697399</v>
      </c>
      <c r="G130">
        <v>18.0569189384472</v>
      </c>
      <c r="H130">
        <f t="shared" si="15"/>
        <v>45.301545074802021</v>
      </c>
      <c r="I130">
        <f t="shared" si="16"/>
        <v>19.36667345248172</v>
      </c>
      <c r="J130">
        <v>9.2129887820073701</v>
      </c>
      <c r="K130">
        <v>1.3231148999961999</v>
      </c>
    </row>
    <row r="131" spans="1:11" x14ac:dyDescent="0.2">
      <c r="A131">
        <f t="shared" si="14"/>
        <v>1979</v>
      </c>
      <c r="B131">
        <v>214.228228391003</v>
      </c>
      <c r="C131">
        <v>24.964442996231099</v>
      </c>
      <c r="F131">
        <v>167.03993959520801</v>
      </c>
      <c r="G131">
        <v>19.827715504100901</v>
      </c>
      <c r="H131">
        <f t="shared" si="15"/>
        <v>47.188288795794989</v>
      </c>
      <c r="I131">
        <f t="shared" si="16"/>
        <v>15.168556688113366</v>
      </c>
      <c r="J131">
        <v>9.4800867917935392</v>
      </c>
      <c r="K131">
        <v>1.2671450590145099</v>
      </c>
    </row>
    <row r="132" spans="1:11" x14ac:dyDescent="0.2">
      <c r="A132">
        <f t="shared" si="14"/>
        <v>1980</v>
      </c>
      <c r="B132">
        <v>224.42045506464899</v>
      </c>
      <c r="C132">
        <v>26.393548972102899</v>
      </c>
      <c r="F132">
        <v>175.342353012621</v>
      </c>
      <c r="G132">
        <v>20.277179849384598</v>
      </c>
      <c r="H132">
        <f t="shared" si="15"/>
        <v>49.078102052027987</v>
      </c>
      <c r="I132">
        <f t="shared" si="16"/>
        <v>16.895425555413073</v>
      </c>
      <c r="J132">
        <v>9.7528057359857705</v>
      </c>
      <c r="K132">
        <v>1.3488307396683501</v>
      </c>
    </row>
    <row r="133" spans="1:11" x14ac:dyDescent="0.2">
      <c r="A133">
        <f t="shared" si="14"/>
        <v>1981</v>
      </c>
      <c r="B133">
        <v>229.07345868064399</v>
      </c>
      <c r="C133">
        <v>26.3439303926632</v>
      </c>
      <c r="F133">
        <v>178.746819411102</v>
      </c>
      <c r="G133">
        <v>21.0788364670695</v>
      </c>
      <c r="H133">
        <f t="shared" si="15"/>
        <v>50.326639269542</v>
      </c>
      <c r="I133">
        <f t="shared" si="16"/>
        <v>15.801434166809823</v>
      </c>
      <c r="J133">
        <v>9.8870526089183599</v>
      </c>
      <c r="K133">
        <v>1.30310855237623</v>
      </c>
    </row>
    <row r="134" spans="1:11" x14ac:dyDescent="0.2">
      <c r="A134">
        <f t="shared" si="14"/>
        <v>1982</v>
      </c>
      <c r="B134">
        <v>234.39847542742001</v>
      </c>
      <c r="C134">
        <v>26.2695388429843</v>
      </c>
      <c r="F134">
        <v>183.314198065406</v>
      </c>
      <c r="G134">
        <v>19.549396233627601</v>
      </c>
      <c r="H134">
        <f t="shared" si="15"/>
        <v>51.084277362014006</v>
      </c>
      <c r="I134">
        <f t="shared" si="16"/>
        <v>17.547358146561205</v>
      </c>
      <c r="J134">
        <v>9.8672882411829903</v>
      </c>
      <c r="K134">
        <v>1.2221456432022799</v>
      </c>
    </row>
    <row r="135" spans="1:11" x14ac:dyDescent="0.2">
      <c r="A135">
        <f t="shared" si="14"/>
        <v>1983</v>
      </c>
      <c r="B135">
        <v>235.26142894706601</v>
      </c>
      <c r="C135">
        <v>25.639736633402599</v>
      </c>
      <c r="F135">
        <v>183.71012610343999</v>
      </c>
      <c r="G135">
        <v>20.011000531463001</v>
      </c>
      <c r="H135">
        <f t="shared" si="15"/>
        <v>51.551302843626019</v>
      </c>
      <c r="I135">
        <f t="shared" si="16"/>
        <v>16.029845674866454</v>
      </c>
      <c r="J135">
        <v>9.7271836776349705</v>
      </c>
      <c r="K135">
        <v>1.2467274067032901</v>
      </c>
    </row>
    <row r="136" spans="1:11" x14ac:dyDescent="0.2">
      <c r="A136">
        <f t="shared" si="14"/>
        <v>1984</v>
      </c>
      <c r="B136">
        <v>235.10500388141401</v>
      </c>
      <c r="C136">
        <v>25.283626544543601</v>
      </c>
      <c r="F136">
        <v>183.114892029667</v>
      </c>
      <c r="G136">
        <v>19.9981029562543</v>
      </c>
      <c r="H136">
        <f t="shared" si="15"/>
        <v>51.990111851747002</v>
      </c>
      <c r="I136">
        <f t="shared" si="16"/>
        <v>15.470541341368856</v>
      </c>
      <c r="J136">
        <v>9.5365737031903706</v>
      </c>
      <c r="K136">
        <v>1.3428575843791599</v>
      </c>
    </row>
    <row r="137" spans="1:11" x14ac:dyDescent="0.2">
      <c r="A137">
        <f t="shared" si="14"/>
        <v>1985</v>
      </c>
      <c r="B137">
        <v>238.01264050817201</v>
      </c>
      <c r="C137">
        <v>25.716423388327801</v>
      </c>
      <c r="F137">
        <v>185.39840904395999</v>
      </c>
      <c r="G137">
        <v>19.411352559217299</v>
      </c>
      <c r="H137">
        <f t="shared" si="15"/>
        <v>52.614231464212025</v>
      </c>
      <c r="I137">
        <f t="shared" si="16"/>
        <v>16.868130415357271</v>
      </c>
      <c r="J137">
        <v>9.3706704895848301</v>
      </c>
      <c r="K137">
        <v>1.35026212312618</v>
      </c>
    </row>
    <row r="138" spans="1:11" x14ac:dyDescent="0.2">
      <c r="A138">
        <f t="shared" si="14"/>
        <v>1986</v>
      </c>
      <c r="B138">
        <v>246.14991001783301</v>
      </c>
      <c r="C138">
        <v>25.471305460427399</v>
      </c>
      <c r="F138">
        <v>192.21804961533999</v>
      </c>
      <c r="G138">
        <v>18.711585281011299</v>
      </c>
      <c r="H138">
        <f t="shared" si="15"/>
        <v>53.931860402493015</v>
      </c>
      <c r="I138">
        <f t="shared" si="16"/>
        <v>17.281897411159459</v>
      </c>
      <c r="J138">
        <v>9.3546195511926094</v>
      </c>
      <c r="K138">
        <v>1.29228783860875</v>
      </c>
    </row>
    <row r="139" spans="1:11" x14ac:dyDescent="0.2">
      <c r="A139">
        <f t="shared" si="14"/>
        <v>1987</v>
      </c>
      <c r="B139">
        <v>252.45115199840899</v>
      </c>
      <c r="C139">
        <v>24.145945447330298</v>
      </c>
      <c r="F139">
        <v>196.66540631638199</v>
      </c>
      <c r="G139">
        <v>20.506086857243002</v>
      </c>
      <c r="H139">
        <f t="shared" si="15"/>
        <v>55.785745682026999</v>
      </c>
      <c r="I139">
        <f t="shared" si="16"/>
        <v>12.748611036056303</v>
      </c>
      <c r="J139">
        <v>9.5038499522348694</v>
      </c>
      <c r="K139">
        <v>1.2900267563188901</v>
      </c>
    </row>
    <row r="140" spans="1:11" x14ac:dyDescent="0.2">
      <c r="A140">
        <f t="shared" si="14"/>
        <v>1988</v>
      </c>
      <c r="B140">
        <v>260.93967585546801</v>
      </c>
      <c r="C140">
        <v>24.556967985135799</v>
      </c>
      <c r="F140">
        <v>203.490033849253</v>
      </c>
      <c r="G140">
        <v>19.728235887625299</v>
      </c>
      <c r="H140">
        <f t="shared" si="15"/>
        <v>57.449642006215015</v>
      </c>
      <c r="I140">
        <f t="shared" si="16"/>
        <v>14.623316497470665</v>
      </c>
      <c r="J140">
        <v>9.6855134113033792</v>
      </c>
      <c r="K140">
        <v>1.3485125914978799</v>
      </c>
    </row>
    <row r="141" spans="1:11" x14ac:dyDescent="0.2">
      <c r="A141">
        <f t="shared" si="14"/>
        <v>1989</v>
      </c>
      <c r="B141">
        <v>270.286141418304</v>
      </c>
      <c r="C141">
        <v>26.405665779388301</v>
      </c>
      <c r="F141">
        <v>211.555116107072</v>
      </c>
      <c r="G141">
        <v>19.9041933954298</v>
      </c>
      <c r="H141">
        <f t="shared" si="15"/>
        <v>58.731025311232003</v>
      </c>
      <c r="I141">
        <f t="shared" si="16"/>
        <v>17.351722408167067</v>
      </c>
      <c r="J141">
        <v>9.8158125090343695</v>
      </c>
      <c r="K141">
        <v>1.3161239641353999</v>
      </c>
    </row>
    <row r="142" spans="1:11" x14ac:dyDescent="0.2">
      <c r="A142">
        <f t="shared" si="14"/>
        <v>1990</v>
      </c>
      <c r="B142">
        <v>275.88284201855799</v>
      </c>
      <c r="C142">
        <v>24.1626342030596</v>
      </c>
      <c r="F142">
        <v>216.15941444624499</v>
      </c>
      <c r="G142">
        <v>20.208723039383202</v>
      </c>
      <c r="H142">
        <f t="shared" si="15"/>
        <v>59.723427572313</v>
      </c>
      <c r="I142">
        <f t="shared" si="16"/>
        <v>13.245391830684671</v>
      </c>
      <c r="J142">
        <v>9.8801372123069999</v>
      </c>
      <c r="K142">
        <v>1.245656811738</v>
      </c>
    </row>
    <row r="143" spans="1:11" x14ac:dyDescent="0.2">
      <c r="A143">
        <f t="shared" si="14"/>
        <v>1991</v>
      </c>
      <c r="B143">
        <v>276.58821545599397</v>
      </c>
      <c r="C143">
        <v>25.433071087999199</v>
      </c>
      <c r="F143">
        <v>216.36360190974699</v>
      </c>
      <c r="G143">
        <v>20.940300262355301</v>
      </c>
      <c r="H143">
        <f t="shared" si="15"/>
        <v>60.224613546246985</v>
      </c>
      <c r="I143">
        <f t="shared" si="16"/>
        <v>14.434158440644307</v>
      </c>
      <c r="J143">
        <v>9.82949899937522</v>
      </c>
      <c r="K143">
        <v>1.1966414043090501</v>
      </c>
    </row>
    <row r="144" spans="1:11" x14ac:dyDescent="0.2">
      <c r="A144">
        <f t="shared" si="14"/>
        <v>1992</v>
      </c>
      <c r="B144">
        <v>279.07423301105399</v>
      </c>
      <c r="C144">
        <v>28.731781249066401</v>
      </c>
      <c r="F144">
        <v>218.52986803778299</v>
      </c>
      <c r="G144">
        <v>20.467228345176402</v>
      </c>
      <c r="H144">
        <f t="shared" si="15"/>
        <v>60.544364973271001</v>
      </c>
      <c r="I144">
        <f t="shared" si="16"/>
        <v>20.164518779544711</v>
      </c>
      <c r="J144">
        <v>9.6982833369247405</v>
      </c>
      <c r="K144">
        <v>1.26451704881913</v>
      </c>
    </row>
    <row r="145" spans="1:11" x14ac:dyDescent="0.2">
      <c r="A145">
        <f t="shared" si="14"/>
        <v>1993</v>
      </c>
      <c r="B145">
        <v>282.20069057829699</v>
      </c>
      <c r="C145">
        <v>23.850376441123998</v>
      </c>
      <c r="F145">
        <v>220.992753271266</v>
      </c>
      <c r="G145">
        <v>19.881439740660401</v>
      </c>
      <c r="H145">
        <f t="shared" si="15"/>
        <v>61.207937307030988</v>
      </c>
      <c r="I145">
        <f t="shared" si="16"/>
        <v>13.174551613691147</v>
      </c>
      <c r="J145">
        <v>9.5954184023205098</v>
      </c>
      <c r="K145">
        <v>1.2363365227921299</v>
      </c>
    </row>
    <row r="146" spans="1:11" x14ac:dyDescent="0.2">
      <c r="A146">
        <f t="shared" si="14"/>
        <v>1994</v>
      </c>
      <c r="B146">
        <v>286.93272608044703</v>
      </c>
      <c r="C146">
        <v>23.9816309821346</v>
      </c>
      <c r="F146">
        <v>224.71402098646101</v>
      </c>
      <c r="G146">
        <v>20.8552792192847</v>
      </c>
      <c r="H146">
        <f t="shared" si="15"/>
        <v>62.218705093986017</v>
      </c>
      <c r="I146">
        <f t="shared" si="16"/>
        <v>11.83959261330177</v>
      </c>
      <c r="J146">
        <v>9.54987057557973</v>
      </c>
      <c r="K146">
        <v>1.32257383618848</v>
      </c>
    </row>
    <row r="147" spans="1:11" x14ac:dyDescent="0.2">
      <c r="A147">
        <f t="shared" si="14"/>
        <v>1995</v>
      </c>
      <c r="B147">
        <v>296.39127042415498</v>
      </c>
      <c r="C147">
        <v>25.6979154184808</v>
      </c>
      <c r="F147">
        <v>232.58268387677299</v>
      </c>
      <c r="G147">
        <v>20.727368386722802</v>
      </c>
      <c r="H147">
        <f t="shared" si="15"/>
        <v>63.808586547381992</v>
      </c>
      <c r="I147">
        <f t="shared" si="16"/>
        <v>15.190755630200805</v>
      </c>
      <c r="J147">
        <v>9.6183568542496101</v>
      </c>
      <c r="K147">
        <v>1.2777857562164401</v>
      </c>
    </row>
    <row r="148" spans="1:11" x14ac:dyDescent="0.2">
      <c r="A148">
        <f t="shared" si="14"/>
        <v>1996</v>
      </c>
      <c r="B148">
        <v>312.10352428566301</v>
      </c>
      <c r="C148">
        <v>25.636693442684699</v>
      </c>
      <c r="F148">
        <v>245.90117016827699</v>
      </c>
      <c r="G148">
        <v>19.315196910959099</v>
      </c>
      <c r="H148">
        <f t="shared" si="15"/>
        <v>66.202354117386022</v>
      </c>
      <c r="I148">
        <f t="shared" si="16"/>
        <v>16.857141482620023</v>
      </c>
      <c r="J148">
        <v>9.8779197984136999</v>
      </c>
      <c r="K148">
        <v>1.40475401409342</v>
      </c>
    </row>
    <row r="149" spans="1:11" x14ac:dyDescent="0.2">
      <c r="A149">
        <f t="shared" si="14"/>
        <v>1997</v>
      </c>
      <c r="B149">
        <v>325.80344056985598</v>
      </c>
      <c r="C149">
        <v>25.646369034406401</v>
      </c>
      <c r="F149">
        <v>256.71177066568401</v>
      </c>
      <c r="G149">
        <v>18.184034302637301</v>
      </c>
      <c r="H149">
        <f t="shared" si="15"/>
        <v>69.091669904171965</v>
      </c>
      <c r="I149">
        <f t="shared" si="16"/>
        <v>18.085274151349477</v>
      </c>
      <c r="J149">
        <v>10.3077678948342</v>
      </c>
      <c r="K149">
        <v>1.2793404470068701</v>
      </c>
    </row>
    <row r="150" spans="1:11" x14ac:dyDescent="0.2">
      <c r="A150">
        <f t="shared" si="14"/>
        <v>1998</v>
      </c>
      <c r="B150">
        <v>334.27249383902699</v>
      </c>
      <c r="C150">
        <v>26.8106335849508</v>
      </c>
      <c r="F150">
        <v>262.28886927313403</v>
      </c>
      <c r="G150">
        <v>19.7774904832667</v>
      </c>
      <c r="H150">
        <f t="shared" si="15"/>
        <v>71.983624565892967</v>
      </c>
      <c r="I150">
        <f t="shared" si="16"/>
        <v>18.101407221837391</v>
      </c>
      <c r="J150">
        <v>10.810778282986</v>
      </c>
      <c r="K150">
        <v>1.36772883561743</v>
      </c>
    </row>
    <row r="151" spans="1:11" x14ac:dyDescent="0.2">
      <c r="A151">
        <f t="shared" si="14"/>
        <v>1999</v>
      </c>
      <c r="B151">
        <v>341.25048757809998</v>
      </c>
      <c r="C151">
        <v>23.972167969746199</v>
      </c>
      <c r="F151">
        <v>266.44390919934898</v>
      </c>
      <c r="G151">
        <v>18.946522407554401</v>
      </c>
      <c r="H151">
        <f t="shared" si="15"/>
        <v>74.806578378750999</v>
      </c>
      <c r="I151">
        <f t="shared" si="16"/>
        <v>14.686528719536303</v>
      </c>
      <c r="J151">
        <v>11.3497253599697</v>
      </c>
      <c r="K151">
        <v>1.2792742157322701</v>
      </c>
    </row>
    <row r="152" spans="1:11" x14ac:dyDescent="0.2">
      <c r="A152">
        <f t="shared" ref="A152:A170" si="17">A151+1</f>
        <v>2000</v>
      </c>
      <c r="B152">
        <v>348.03345228339998</v>
      </c>
      <c r="C152">
        <v>25.699830666844601</v>
      </c>
      <c r="F152">
        <v>270.58990182406001</v>
      </c>
      <c r="G152">
        <v>20.545957209920999</v>
      </c>
      <c r="H152">
        <f t="shared" si="15"/>
        <v>77.443550459339974</v>
      </c>
      <c r="I152">
        <f t="shared" si="16"/>
        <v>15.438424098093094</v>
      </c>
      <c r="J152">
        <v>11.895710836186201</v>
      </c>
      <c r="K152">
        <v>1.2728933632396799</v>
      </c>
    </row>
    <row r="153" spans="1:11" x14ac:dyDescent="0.2">
      <c r="A153">
        <f t="shared" si="17"/>
        <v>2001</v>
      </c>
      <c r="B153">
        <v>351.25772327885102</v>
      </c>
      <c r="C153">
        <v>24.638421416878501</v>
      </c>
      <c r="F153">
        <v>271.46265825762998</v>
      </c>
      <c r="G153">
        <v>20.188563770114801</v>
      </c>
      <c r="H153">
        <f t="shared" si="15"/>
        <v>79.795065021221035</v>
      </c>
      <c r="I153">
        <f t="shared" si="16"/>
        <v>14.123515950913399</v>
      </c>
      <c r="J153">
        <v>12.4078421011824</v>
      </c>
      <c r="K153">
        <v>1.1803728923705601</v>
      </c>
    </row>
    <row r="154" spans="1:11" x14ac:dyDescent="0.2">
      <c r="A154">
        <f t="shared" si="17"/>
        <v>2002</v>
      </c>
      <c r="B154">
        <v>357.03792937791701</v>
      </c>
      <c r="C154">
        <v>24.003787486821501</v>
      </c>
      <c r="F154">
        <v>274.77435265741298</v>
      </c>
      <c r="G154">
        <v>20.779189385831799</v>
      </c>
      <c r="H154">
        <f t="shared" si="15"/>
        <v>82.263576720504034</v>
      </c>
      <c r="I154">
        <f t="shared" si="16"/>
        <v>12.016950619030753</v>
      </c>
      <c r="J154">
        <v>12.945896992291701</v>
      </c>
      <c r="K154">
        <v>1.3738659400023101</v>
      </c>
    </row>
    <row r="155" spans="1:11" x14ac:dyDescent="0.2">
      <c r="A155">
        <f t="shared" si="17"/>
        <v>2003</v>
      </c>
      <c r="B155">
        <v>367.89013489586898</v>
      </c>
      <c r="C155">
        <v>25.470210729696699</v>
      </c>
      <c r="F155">
        <v>282.76702785209301</v>
      </c>
      <c r="G155">
        <v>20.138228706712699</v>
      </c>
      <c r="H155">
        <f t="shared" si="15"/>
        <v>85.123107043775974</v>
      </c>
      <c r="I155">
        <f t="shared" si="16"/>
        <v>15.594338048512654</v>
      </c>
      <c r="J155">
        <v>13.583040620556501</v>
      </c>
      <c r="K155">
        <v>1.32580963804833</v>
      </c>
    </row>
    <row r="156" spans="1:11" x14ac:dyDescent="0.2">
      <c r="A156">
        <f t="shared" si="17"/>
        <v>2004</v>
      </c>
      <c r="B156">
        <v>378.32559367441002</v>
      </c>
      <c r="C156">
        <v>26.016723100422599</v>
      </c>
      <c r="F156">
        <v>290.01776128287202</v>
      </c>
      <c r="G156">
        <v>19.180272859031099</v>
      </c>
      <c r="H156">
        <f t="shared" si="15"/>
        <v>88.307832391538</v>
      </c>
      <c r="I156">
        <f t="shared" si="16"/>
        <v>17.578026451714592</v>
      </c>
      <c r="J156">
        <v>14.3248996054655</v>
      </c>
      <c r="K156">
        <v>1.2078371412640201</v>
      </c>
    </row>
    <row r="157" spans="1:11" x14ac:dyDescent="0.2">
      <c r="A157">
        <f t="shared" si="17"/>
        <v>2005</v>
      </c>
      <c r="B157">
        <v>385.50961450990798</v>
      </c>
      <c r="C157">
        <v>25.4359332181306</v>
      </c>
      <c r="F157">
        <v>293.87954729351702</v>
      </c>
      <c r="G157">
        <v>20.194213095491001</v>
      </c>
      <c r="H157">
        <f t="shared" si="15"/>
        <v>91.630067216390955</v>
      </c>
      <c r="I157">
        <f t="shared" si="16"/>
        <v>15.465460100853756</v>
      </c>
      <c r="J157">
        <v>15.127291155479799</v>
      </c>
      <c r="K157">
        <v>1.32250247123525</v>
      </c>
    </row>
    <row r="158" spans="1:11" x14ac:dyDescent="0.2">
      <c r="A158">
        <f t="shared" si="17"/>
        <v>2006</v>
      </c>
      <c r="B158">
        <v>389.38556769577099</v>
      </c>
      <c r="C158">
        <v>25.604416148212799</v>
      </c>
      <c r="F158">
        <v>294.44490728170302</v>
      </c>
      <c r="G158">
        <v>21.338731873465001</v>
      </c>
      <c r="H158">
        <f t="shared" ref="H158:H170" si="18">B158-F158</f>
        <v>94.940660414067963</v>
      </c>
      <c r="I158">
        <f t="shared" ref="I158:I170" si="19">SQRT(C158^2-G158^2)</f>
        <v>14.150782604620465</v>
      </c>
      <c r="J158">
        <v>15.9501373935502</v>
      </c>
      <c r="K158">
        <v>1.3634790065987801</v>
      </c>
    </row>
    <row r="159" spans="1:11" x14ac:dyDescent="0.2">
      <c r="A159">
        <f t="shared" si="17"/>
        <v>2007</v>
      </c>
      <c r="B159">
        <v>391.97981583979498</v>
      </c>
      <c r="C159">
        <v>23.583464167236201</v>
      </c>
      <c r="F159">
        <v>294.13219970626102</v>
      </c>
      <c r="G159">
        <v>20.6607700555113</v>
      </c>
      <c r="H159">
        <f t="shared" si="18"/>
        <v>97.847616133533961</v>
      </c>
      <c r="I159">
        <f t="shared" si="19"/>
        <v>11.371559384737058</v>
      </c>
      <c r="J159">
        <v>16.7089115049924</v>
      </c>
      <c r="K159">
        <v>1.31147896416106</v>
      </c>
    </row>
    <row r="160" spans="1:11" x14ac:dyDescent="0.2">
      <c r="A160">
        <f t="shared" si="17"/>
        <v>2008</v>
      </c>
      <c r="B160">
        <v>395.584424309893</v>
      </c>
      <c r="C160">
        <v>26.3388528791629</v>
      </c>
      <c r="F160">
        <v>294.916442828188</v>
      </c>
      <c r="G160">
        <v>18.442771234585599</v>
      </c>
      <c r="H160">
        <f t="shared" si="18"/>
        <v>100.667981481705</v>
      </c>
      <c r="I160">
        <f t="shared" si="19"/>
        <v>18.804237824993859</v>
      </c>
      <c r="J160">
        <v>17.438293538713602</v>
      </c>
      <c r="K160">
        <v>1.41025634858162</v>
      </c>
    </row>
    <row r="161" spans="1:11" x14ac:dyDescent="0.2">
      <c r="A161">
        <f t="shared" si="17"/>
        <v>2009</v>
      </c>
      <c r="B161">
        <v>399.40767114787099</v>
      </c>
      <c r="C161">
        <v>25.861285416111201</v>
      </c>
      <c r="F161">
        <v>295.69068297032402</v>
      </c>
      <c r="G161">
        <v>19.633851375195501</v>
      </c>
      <c r="H161">
        <f t="shared" si="18"/>
        <v>103.71698817754697</v>
      </c>
      <c r="I161">
        <f t="shared" si="19"/>
        <v>16.832051673824544</v>
      </c>
      <c r="J161">
        <v>18.218670100639201</v>
      </c>
      <c r="K161">
        <v>1.2773400793896801</v>
      </c>
    </row>
    <row r="162" spans="1:11" x14ac:dyDescent="0.2">
      <c r="A162">
        <f t="shared" si="17"/>
        <v>2010</v>
      </c>
      <c r="B162">
        <v>403.105551635268</v>
      </c>
      <c r="C162">
        <v>26.677227280288299</v>
      </c>
      <c r="F162">
        <v>296.52520212326903</v>
      </c>
      <c r="G162">
        <v>19.065471360518099</v>
      </c>
      <c r="H162">
        <f t="shared" si="18"/>
        <v>106.58034951199897</v>
      </c>
      <c r="I162">
        <f t="shared" si="19"/>
        <v>18.659642471532578</v>
      </c>
      <c r="J162">
        <v>18.992077488857099</v>
      </c>
      <c r="K162">
        <v>1.38469715378796</v>
      </c>
    </row>
    <row r="163" spans="1:11" x14ac:dyDescent="0.2">
      <c r="A163">
        <f t="shared" si="17"/>
        <v>2011</v>
      </c>
      <c r="B163">
        <v>409.97602314128301</v>
      </c>
      <c r="C163">
        <v>26.2161308520683</v>
      </c>
      <c r="F163">
        <v>300.63527584799999</v>
      </c>
      <c r="G163">
        <v>19.789225692106601</v>
      </c>
      <c r="H163">
        <f t="shared" si="18"/>
        <v>109.34074729328302</v>
      </c>
      <c r="I163">
        <f t="shared" si="19"/>
        <v>17.195117427910617</v>
      </c>
      <c r="J163">
        <v>19.759651695036599</v>
      </c>
      <c r="K163">
        <v>1.3408156678504899</v>
      </c>
    </row>
    <row r="164" spans="1:11" x14ac:dyDescent="0.2">
      <c r="A164">
        <f t="shared" si="17"/>
        <v>2012</v>
      </c>
      <c r="B164">
        <v>417.51569862187301</v>
      </c>
      <c r="C164">
        <v>23.723236833241899</v>
      </c>
      <c r="F164">
        <v>305.49841641875798</v>
      </c>
      <c r="G164">
        <v>19.584793326087699</v>
      </c>
      <c r="H164">
        <f t="shared" si="18"/>
        <v>112.01728220311503</v>
      </c>
      <c r="I164">
        <f t="shared" si="19"/>
        <v>13.38760009189533</v>
      </c>
      <c r="J164">
        <v>20.519526077585901</v>
      </c>
      <c r="K164">
        <v>1.4062992488188399</v>
      </c>
    </row>
    <row r="165" spans="1:11" x14ac:dyDescent="0.2">
      <c r="A165">
        <f t="shared" si="17"/>
        <v>2013</v>
      </c>
      <c r="B165">
        <v>425.15174416547598</v>
      </c>
      <c r="C165">
        <v>24.557425033927501</v>
      </c>
      <c r="F165">
        <v>310.92776083507403</v>
      </c>
      <c r="G165">
        <v>19.547191923372601</v>
      </c>
      <c r="H165">
        <f t="shared" si="18"/>
        <v>114.22398333040195</v>
      </c>
      <c r="I165">
        <f t="shared" si="19"/>
        <v>14.865208111822925</v>
      </c>
      <c r="J165">
        <v>21.198321623605501</v>
      </c>
      <c r="K165">
        <v>1.31880285409005</v>
      </c>
    </row>
    <row r="166" spans="1:11" x14ac:dyDescent="0.2">
      <c r="A166">
        <f t="shared" si="17"/>
        <v>2014</v>
      </c>
      <c r="B166">
        <v>433.958525197965</v>
      </c>
      <c r="C166">
        <v>26.0290099315615</v>
      </c>
      <c r="F166">
        <v>318.59374382547702</v>
      </c>
      <c r="G166">
        <v>19.131762422191301</v>
      </c>
      <c r="H166">
        <f t="shared" si="18"/>
        <v>115.36478137248798</v>
      </c>
      <c r="I166">
        <f t="shared" si="19"/>
        <v>17.648938343088972</v>
      </c>
      <c r="J166">
        <v>21.649763431786599</v>
      </c>
      <c r="K166">
        <v>1.28840612114666</v>
      </c>
    </row>
    <row r="167" spans="1:11" x14ac:dyDescent="0.2">
      <c r="A167">
        <f t="shared" si="17"/>
        <v>2015</v>
      </c>
      <c r="B167">
        <v>444.168077518492</v>
      </c>
      <c r="C167">
        <v>24.026636958501001</v>
      </c>
      <c r="F167">
        <v>327.95168294688</v>
      </c>
      <c r="G167">
        <v>19.802928546786401</v>
      </c>
      <c r="H167">
        <f t="shared" si="18"/>
        <v>116.216394571612</v>
      </c>
      <c r="I167">
        <f t="shared" si="19"/>
        <v>13.606002517509635</v>
      </c>
      <c r="J167">
        <v>21.981211858607502</v>
      </c>
      <c r="K167">
        <v>1.31297446475266</v>
      </c>
    </row>
    <row r="168" spans="1:11" x14ac:dyDescent="0.2">
      <c r="A168">
        <f t="shared" si="17"/>
        <v>2016</v>
      </c>
      <c r="B168">
        <v>453.159475470232</v>
      </c>
      <c r="C168">
        <v>24.026687587292599</v>
      </c>
      <c r="F168">
        <v>336.30982732149198</v>
      </c>
      <c r="G168">
        <v>20.112361062787699</v>
      </c>
      <c r="H168">
        <f t="shared" si="18"/>
        <v>116.84964814874002</v>
      </c>
      <c r="I168">
        <f t="shared" si="19"/>
        <v>13.144377082898281</v>
      </c>
      <c r="J168">
        <v>22.228826095197299</v>
      </c>
      <c r="K168">
        <v>1.3274181753707399</v>
      </c>
    </row>
    <row r="169" spans="1:11" x14ac:dyDescent="0.2">
      <c r="A169">
        <f t="shared" si="17"/>
        <v>2017</v>
      </c>
      <c r="B169">
        <v>460.30364922844001</v>
      </c>
      <c r="C169">
        <v>26.532469224968199</v>
      </c>
      <c r="F169">
        <v>342.89624403091801</v>
      </c>
      <c r="G169">
        <v>20.047027414328898</v>
      </c>
      <c r="H169">
        <f t="shared" si="18"/>
        <v>117.407405197522</v>
      </c>
      <c r="I169">
        <f t="shared" si="19"/>
        <v>17.3806966207638</v>
      </c>
      <c r="J169">
        <v>22.419431633430101</v>
      </c>
      <c r="K169">
        <v>1.33314263537059</v>
      </c>
    </row>
    <row r="170" spans="1:11" x14ac:dyDescent="0.2">
      <c r="A170">
        <f t="shared" si="17"/>
        <v>2018</v>
      </c>
      <c r="B170">
        <v>463.990030287102</v>
      </c>
      <c r="C170">
        <v>24.110208219809198</v>
      </c>
      <c r="F170">
        <v>346.14287769743697</v>
      </c>
      <c r="G170">
        <v>20.3939776334913</v>
      </c>
      <c r="H170">
        <f t="shared" si="18"/>
        <v>117.84715258966503</v>
      </c>
      <c r="I170">
        <f t="shared" si="19"/>
        <v>12.860319462875395</v>
      </c>
      <c r="J170">
        <v>22.549808436774399</v>
      </c>
      <c r="K170">
        <v>1.36903409235498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2025-10-27T13:56:53Z</dcterms:created>
  <dcterms:modified xsi:type="dcterms:W3CDTF">2025-10-28T15:47:32Z</dcterms:modified>
</cp:coreProperties>
</file>