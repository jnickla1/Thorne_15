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OHC_ensemble/observ_late/MOHeaCAN/"/>
    </mc:Choice>
  </mc:AlternateContent>
  <xr:revisionPtr revIDLastSave="0" documentId="13_ncr:1_{155D5FE8-FD80-A54F-B1AA-AEB99F28DBC2}" xr6:coauthVersionLast="47" xr6:coauthVersionMax="47" xr10:uidLastSave="{00000000-0000-0000-0000-000000000000}"/>
  <bookViews>
    <workbookView xWindow="44720" yWindow="4040" windowWidth="26840" windowHeight="15940" xr2:uid="{416CBBD1-C375-4246-BB33-1E02E60760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D6" i="1" s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Q4" i="1" s="1"/>
  <c r="D4" i="1" s="1"/>
  <c r="L28" i="1"/>
  <c r="M28" i="1"/>
  <c r="L29" i="1"/>
  <c r="P4" i="1" s="1"/>
  <c r="C4" i="1" s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P5" i="1" s="1"/>
  <c r="C5" i="1" s="1"/>
  <c r="M38" i="1"/>
  <c r="L39" i="1"/>
  <c r="M39" i="1"/>
  <c r="L40" i="1"/>
  <c r="M40" i="1"/>
  <c r="Q5" i="1" s="1"/>
  <c r="D5" i="1" s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P6" i="1" s="1"/>
  <c r="C6" i="1" s="1"/>
  <c r="M56" i="1"/>
  <c r="L57" i="1"/>
  <c r="M57" i="1"/>
  <c r="L58" i="1"/>
  <c r="M58" i="1"/>
  <c r="L59" i="1"/>
  <c r="M59" i="1"/>
  <c r="L60" i="1"/>
  <c r="M60" i="1"/>
  <c r="L61" i="1"/>
  <c r="M61" i="1"/>
  <c r="L62" i="1"/>
  <c r="P7" i="1" s="1"/>
  <c r="C7" i="1" s="1"/>
  <c r="M62" i="1"/>
  <c r="Q7" i="1" s="1"/>
  <c r="D7" i="1" s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P8" i="1" s="1"/>
  <c r="C8" i="1" s="1"/>
  <c r="M74" i="1"/>
  <c r="Q8" i="1" s="1"/>
  <c r="D8" i="1" s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P9" i="1" s="1"/>
  <c r="C9" i="1" s="1"/>
  <c r="M86" i="1"/>
  <c r="Q9" i="1" s="1"/>
  <c r="D9" i="1" s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P10" i="1" s="1"/>
  <c r="C10" i="1" s="1"/>
  <c r="M99" i="1"/>
  <c r="Q10" i="1" s="1"/>
  <c r="D10" i="1" s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Q11" i="1" s="1"/>
  <c r="D11" i="1" s="1"/>
  <c r="L111" i="1"/>
  <c r="M111" i="1"/>
  <c r="L112" i="1"/>
  <c r="P11" i="1" s="1"/>
  <c r="C11" i="1" s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Q12" i="1" s="1"/>
  <c r="D12" i="1" s="1"/>
  <c r="L124" i="1"/>
  <c r="M124" i="1"/>
  <c r="L125" i="1"/>
  <c r="P12" i="1" s="1"/>
  <c r="C12" i="1" s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P13" i="1" s="1"/>
  <c r="C13" i="1" s="1"/>
  <c r="M134" i="1"/>
  <c r="L135" i="1"/>
  <c r="M135" i="1"/>
  <c r="Q13" i="1" s="1"/>
  <c r="D13" i="1" s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P14" i="1" s="1"/>
  <c r="C14" i="1" s="1"/>
  <c r="M152" i="1"/>
  <c r="Q14" i="1" s="1"/>
  <c r="D14" i="1" s="1"/>
  <c r="L153" i="1"/>
  <c r="M153" i="1"/>
  <c r="L154" i="1"/>
  <c r="M154" i="1"/>
  <c r="L155" i="1"/>
  <c r="M155" i="1"/>
  <c r="L156" i="1"/>
  <c r="M156" i="1"/>
  <c r="L157" i="1"/>
  <c r="M157" i="1"/>
  <c r="L158" i="1"/>
  <c r="P15" i="1" s="1"/>
  <c r="C15" i="1" s="1"/>
  <c r="M158" i="1"/>
  <c r="Q15" i="1" s="1"/>
  <c r="D15" i="1" s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P16" i="1" s="1"/>
  <c r="C16" i="1" s="1"/>
  <c r="M170" i="1"/>
  <c r="Q16" i="1" s="1"/>
  <c r="D16" i="1" s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P17" i="1" s="1"/>
  <c r="C17" i="1" s="1"/>
  <c r="M182" i="1"/>
  <c r="Q17" i="1" s="1"/>
  <c r="D17" i="1" s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P18" i="1" s="1"/>
  <c r="C18" i="1" s="1"/>
  <c r="M195" i="1"/>
  <c r="Q18" i="1" s="1"/>
  <c r="D18" i="1" s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P19" i="1" s="1"/>
  <c r="C19" i="1" s="1"/>
  <c r="M206" i="1"/>
  <c r="Q19" i="1" s="1"/>
  <c r="D19" i="1" s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Q20" i="1" s="1"/>
  <c r="D20" i="1" s="1"/>
  <c r="L220" i="1"/>
  <c r="M220" i="1"/>
  <c r="L221" i="1"/>
  <c r="P20" i="1" s="1"/>
  <c r="C20" i="1" s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P21" i="1" s="1"/>
  <c r="C21" i="1" s="1"/>
  <c r="M230" i="1"/>
  <c r="L231" i="1"/>
  <c r="M231" i="1"/>
  <c r="Q21" i="1" s="1"/>
  <c r="D21" i="1" s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P22" i="1" s="1"/>
  <c r="C22" i="1" s="1"/>
  <c r="M248" i="1"/>
  <c r="Q22" i="1" s="1"/>
  <c r="D22" i="1" s="1"/>
  <c r="L249" i="1"/>
  <c r="M249" i="1"/>
  <c r="L250" i="1"/>
  <c r="M250" i="1"/>
  <c r="L251" i="1"/>
  <c r="M251" i="1"/>
  <c r="L252" i="1"/>
  <c r="M252" i="1"/>
  <c r="L253" i="1"/>
  <c r="M253" i="1"/>
  <c r="L254" i="1"/>
  <c r="P23" i="1" s="1"/>
  <c r="C23" i="1" s="1"/>
  <c r="M254" i="1"/>
  <c r="Q23" i="1" s="1"/>
  <c r="D23" i="1" s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P24" i="1" s="1"/>
  <c r="C24" i="1" s="1"/>
  <c r="M266" i="1"/>
  <c r="Q24" i="1" s="1"/>
  <c r="D24" i="1" s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P25" i="1" s="1"/>
  <c r="C25" i="1" s="1"/>
  <c r="M278" i="1"/>
  <c r="Q25" i="1" s="1"/>
  <c r="D25" i="1" s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P26" i="1" s="1"/>
  <c r="C26" i="1" s="1"/>
  <c r="M291" i="1"/>
  <c r="Q26" i="1" s="1"/>
  <c r="D26" i="1" s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P27" i="1" s="1"/>
  <c r="C27" i="1" s="1"/>
  <c r="M302" i="1"/>
  <c r="Q27" i="1" s="1"/>
  <c r="D27" i="1" s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Q28" i="1" s="1"/>
  <c r="D28" i="1" s="1"/>
  <c r="L316" i="1"/>
  <c r="M316" i="1"/>
  <c r="L317" i="1"/>
  <c r="P28" i="1" s="1"/>
  <c r="C28" i="1" s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P29" i="1" s="1"/>
  <c r="C29" i="1" s="1"/>
  <c r="M326" i="1"/>
  <c r="L327" i="1"/>
  <c r="M327" i="1"/>
  <c r="Q29" i="1" s="1"/>
  <c r="D29" i="1" s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P30" i="1" s="1"/>
  <c r="C30" i="1" s="1"/>
  <c r="M344" i="1"/>
  <c r="Q30" i="1" s="1"/>
  <c r="D30" i="1" s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P3" i="1" s="1"/>
  <c r="C3" i="1" s="1"/>
  <c r="M14" i="1"/>
  <c r="Q3" i="1" s="1"/>
  <c r="D3" i="1" s="1"/>
  <c r="L15" i="1"/>
  <c r="M15" i="1"/>
  <c r="L16" i="1"/>
  <c r="M16" i="1"/>
  <c r="L17" i="1"/>
  <c r="M17" i="1"/>
  <c r="M2" i="1"/>
  <c r="Q2" i="1" s="1"/>
  <c r="D2" i="1" s="1"/>
  <c r="L2" i="1"/>
  <c r="P2" i="1" s="1"/>
  <c r="C2" i="1" s="1"/>
  <c r="O30" i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O22" i="1"/>
  <c r="O23" i="1"/>
  <c r="O24" i="1"/>
  <c r="O25" i="1"/>
  <c r="O26" i="1"/>
  <c r="O27" i="1"/>
  <c r="O28" i="1"/>
  <c r="O2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B2" i="1" s="1"/>
  <c r="B7" i="1" l="1"/>
  <c r="B6" i="1"/>
  <c r="B3" i="1"/>
  <c r="B18" i="1"/>
  <c r="B17" i="1"/>
  <c r="B28" i="1"/>
  <c r="B27" i="1"/>
  <c r="B20" i="1"/>
  <c r="B26" i="1"/>
  <c r="B5" i="1"/>
  <c r="B25" i="1"/>
  <c r="B16" i="1"/>
  <c r="B24" i="1"/>
  <c r="B14" i="1"/>
  <c r="B15" i="1"/>
  <c r="B11" i="1"/>
  <c r="B22" i="1"/>
  <c r="B19" i="1"/>
  <c r="B29" i="1"/>
  <c r="B10" i="1"/>
  <c r="B4" i="1"/>
  <c r="B13" i="1"/>
  <c r="B12" i="1"/>
  <c r="B9" i="1"/>
  <c r="B23" i="1"/>
  <c r="B8" i="1"/>
  <c r="B30" i="1"/>
  <c r="B21" i="1"/>
</calcChain>
</file>

<file path=xl/sharedStrings.xml><?xml version="1.0" encoding="utf-8"?>
<sst xmlns="http://schemas.openxmlformats.org/spreadsheetml/2006/main" count="4" uniqueCount="4">
  <si>
    <t>year</t>
  </si>
  <si>
    <t>0-6000m_allLat</t>
  </si>
  <si>
    <t>0-6000m_allLat_pse</t>
  </si>
  <si>
    <t>0-6000m_allLat_nse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</si>
</sst>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5F2B0-4395-4547-9F62-8D447B2A0892}">
  <dimension ref="A1:Q354"/>
  <sheetViews>
    <sheetView tabSelected="1" workbookViewId="0">
      <selection activeCell="B1" sqref="B1:C1"/>
    </sheetView>
  </sheetViews>
  <sheetFormatPr baseColWidth="10" defaultRowHeight="16" x14ac:dyDescent="0.2"/>
  <cols>
    <col min="2" max="2" width="11" customWidth="1"/>
  </cols>
  <sheetData>
    <row r="1" spans="1:17" x14ac:dyDescent="0.2">
      <c r="A1" t="s">
        <v>0</v>
      </c>
      <c r="B1" t="s">
        <v>1</v>
      </c>
      <c r="C1" t="s">
        <v>3</v>
      </c>
      <c r="D1" t="s">
        <v>2</v>
      </c>
    </row>
    <row r="2" spans="1:17" x14ac:dyDescent="0.2">
      <c r="A2">
        <f>1993.5</f>
        <v>1993.5</v>
      </c>
      <c r="B2" s="2">
        <f ca="1">(O2-O$2)*3.61*10^(14-21)</f>
        <v>0</v>
      </c>
      <c r="C2" s="2">
        <f ca="1">(P2)*3.61*10^(14-21)</f>
        <v>33.918965727235616</v>
      </c>
      <c r="D2" s="2">
        <f ca="1">(Q2)*3.61*10^(14-21)</f>
        <v>18.131463636021007</v>
      </c>
      <c r="I2" s="1">
        <v>37244596073.016098</v>
      </c>
      <c r="J2" s="1">
        <v>37145978912.142502</v>
      </c>
      <c r="K2" s="1">
        <v>37300844197.4506</v>
      </c>
      <c r="L2" s="1">
        <f>I2-J2</f>
        <v>98617160.873596191</v>
      </c>
      <c r="M2" s="1">
        <f>K2-I2</f>
        <v>56248124.434501648</v>
      </c>
      <c r="O2" s="1">
        <f t="shared" ref="O2:O30" ca="1" si="0">AVERAGE(OFFSET($I$2,(ROW(A1)-1)*12,0,12,1))</f>
        <v>37254748417.745827</v>
      </c>
      <c r="P2">
        <f t="shared" ref="P2:P30" ca="1" si="1">AVERAGE(OFFSET($L$2,(ROW(A1)-1)*12,0,12,1))</f>
        <v>93958353.815057114</v>
      </c>
      <c r="Q2">
        <f t="shared" ref="Q2:Q30" ca="1" si="2">AVERAGE(OFFSET($M$2,(ROW(A1)-1)*12,0,12,1))</f>
        <v>50225661.041609444</v>
      </c>
    </row>
    <row r="3" spans="1:17" x14ac:dyDescent="0.2">
      <c r="A3">
        <f>A2+1</f>
        <v>1994.5</v>
      </c>
      <c r="B3" s="2">
        <f t="shared" ref="B3:B30" ca="1" si="3">(O3-O$2)*3.61*10^(14-21)</f>
        <v>5.6883541934293822</v>
      </c>
      <c r="C3" s="2">
        <f t="shared" ref="C3:C30" ca="1" si="4">(P3)*3.61*10^(14-21)</f>
        <v>31.737936195247393</v>
      </c>
      <c r="D3" s="2">
        <f t="shared" ref="D3:D30" ca="1" si="5">(Q3)*3.61*10^(14-21)</f>
        <v>15.932289672219934</v>
      </c>
      <c r="I3" s="1">
        <v>37252036219.844902</v>
      </c>
      <c r="J3" s="1">
        <v>37155766457.632202</v>
      </c>
      <c r="K3" s="1">
        <v>37307927029.263</v>
      </c>
      <c r="L3" s="1">
        <f t="shared" ref="L3:L17" si="6">I3-J3</f>
        <v>96269762.21269989</v>
      </c>
      <c r="M3" s="1">
        <f t="shared" ref="M3:M17" si="7">K3-I3</f>
        <v>55890809.41809845</v>
      </c>
      <c r="O3" s="1">
        <f t="shared" ca="1" si="0"/>
        <v>37270505631.578041</v>
      </c>
      <c r="P3">
        <f t="shared" ca="1" si="1"/>
        <v>87916720.762458161</v>
      </c>
      <c r="Q3">
        <f t="shared" ca="1" si="2"/>
        <v>44133766.405041374</v>
      </c>
    </row>
    <row r="4" spans="1:17" x14ac:dyDescent="0.2">
      <c r="A4">
        <f t="shared" ref="A4:A29" si="8">A3+1</f>
        <v>1995.5</v>
      </c>
      <c r="B4" s="2">
        <f t="shared" ca="1" si="3"/>
        <v>12.865225617893325</v>
      </c>
      <c r="C4" s="2">
        <f t="shared" ca="1" si="4"/>
        <v>29.852803208914732</v>
      </c>
      <c r="D4" s="2">
        <f t="shared" ca="1" si="5"/>
        <v>14.043426138117464</v>
      </c>
      <c r="I4" s="1">
        <v>37306527369.304802</v>
      </c>
      <c r="J4" s="1">
        <v>37209420331.980202</v>
      </c>
      <c r="K4" s="1">
        <v>37359030107.1838</v>
      </c>
      <c r="L4" s="1">
        <f t="shared" si="6"/>
        <v>97107037.32460022</v>
      </c>
      <c r="M4" s="1">
        <f t="shared" si="7"/>
        <v>52502737.878997803</v>
      </c>
      <c r="O4" s="1">
        <f t="shared" ca="1" si="0"/>
        <v>37290386161.839714</v>
      </c>
      <c r="P4">
        <f t="shared" ca="1" si="1"/>
        <v>82694745.73106575</v>
      </c>
      <c r="Q4">
        <f t="shared" ca="1" si="2"/>
        <v>38901457.446308769</v>
      </c>
    </row>
    <row r="5" spans="1:17" x14ac:dyDescent="0.2">
      <c r="A5">
        <f t="shared" si="8"/>
        <v>1996.5</v>
      </c>
      <c r="B5" s="2">
        <f t="shared" ca="1" si="3"/>
        <v>10.465315635886634</v>
      </c>
      <c r="C5" s="2">
        <f t="shared" ca="1" si="4"/>
        <v>28.412648618841146</v>
      </c>
      <c r="D5" s="2">
        <f t="shared" ca="1" si="5"/>
        <v>12.598782301506668</v>
      </c>
      <c r="I5" s="1">
        <v>37323487561.623497</v>
      </c>
      <c r="J5" s="1">
        <v>37223063142.659401</v>
      </c>
      <c r="K5" s="1">
        <v>37370218978.935799</v>
      </c>
      <c r="L5" s="1">
        <f t="shared" si="6"/>
        <v>100424418.96409607</v>
      </c>
      <c r="M5" s="1">
        <f t="shared" si="7"/>
        <v>46731417.312301636</v>
      </c>
      <c r="O5" s="1">
        <f t="shared" ca="1" si="0"/>
        <v>37283738211.751053</v>
      </c>
      <c r="P5">
        <f t="shared" ca="1" si="1"/>
        <v>78705397.836125061</v>
      </c>
      <c r="Q5">
        <f t="shared" ca="1" si="2"/>
        <v>34899673.965392433</v>
      </c>
    </row>
    <row r="6" spans="1:17" x14ac:dyDescent="0.2">
      <c r="A6">
        <f t="shared" si="8"/>
        <v>1997.5</v>
      </c>
      <c r="B6" s="2">
        <f t="shared" ca="1" si="3"/>
        <v>14.722789319907486</v>
      </c>
      <c r="C6" s="2">
        <f t="shared" ca="1" si="4"/>
        <v>27.330721502561985</v>
      </c>
      <c r="D6" s="2">
        <f t="shared" ca="1" si="5"/>
        <v>11.520649652720019</v>
      </c>
      <c r="I6" s="1">
        <v>37306315141.975098</v>
      </c>
      <c r="J6" s="1">
        <v>37203351126.263702</v>
      </c>
      <c r="K6" s="1">
        <v>37348829239.0783</v>
      </c>
      <c r="L6" s="1">
        <f t="shared" si="6"/>
        <v>102964015.71139526</v>
      </c>
      <c r="M6" s="1">
        <f t="shared" si="7"/>
        <v>42514097.10320282</v>
      </c>
      <c r="O6" s="1">
        <f t="shared" ca="1" si="0"/>
        <v>37295531767.662468</v>
      </c>
      <c r="P6">
        <f t="shared" ca="1" si="1"/>
        <v>75708369.813191101</v>
      </c>
      <c r="Q6">
        <f t="shared" ca="1" si="2"/>
        <v>31913156.932742435</v>
      </c>
    </row>
    <row r="7" spans="1:17" x14ac:dyDescent="0.2">
      <c r="A7">
        <f t="shared" si="8"/>
        <v>1998.5</v>
      </c>
      <c r="B7" s="2">
        <f t="shared" ca="1" si="3"/>
        <v>27.942205582197357</v>
      </c>
      <c r="C7" s="2">
        <f t="shared" ca="1" si="4"/>
        <v>26.882013363960688</v>
      </c>
      <c r="D7" s="2">
        <f t="shared" ca="1" si="5"/>
        <v>11.071543813624666</v>
      </c>
      <c r="I7" s="1">
        <v>37249949811.721703</v>
      </c>
      <c r="J7" s="1">
        <v>37149300446.251503</v>
      </c>
      <c r="K7" s="1">
        <v>37293461795.2052</v>
      </c>
      <c r="L7" s="1">
        <f t="shared" si="6"/>
        <v>100649365.47019958</v>
      </c>
      <c r="M7" s="1">
        <f t="shared" si="7"/>
        <v>43511983.48349762</v>
      </c>
      <c r="O7" s="1">
        <f t="shared" ca="1" si="0"/>
        <v>37332150649.275459</v>
      </c>
      <c r="P7">
        <f t="shared" ca="1" si="1"/>
        <v>74465410.980500534</v>
      </c>
      <c r="Q7">
        <f t="shared" ca="1" si="2"/>
        <v>30669096.436633427</v>
      </c>
    </row>
    <row r="8" spans="1:17" x14ac:dyDescent="0.2">
      <c r="A8">
        <f t="shared" si="8"/>
        <v>1999.5</v>
      </c>
      <c r="B8" s="2">
        <f t="shared" ca="1" si="3"/>
        <v>36.876656369306154</v>
      </c>
      <c r="C8" s="2">
        <f t="shared" ca="1" si="4"/>
        <v>25.529443520826131</v>
      </c>
      <c r="D8" s="2">
        <f t="shared" ca="1" si="5"/>
        <v>9.7196348255403944</v>
      </c>
      <c r="I8" s="1">
        <v>37208665081.769798</v>
      </c>
      <c r="J8" s="1">
        <v>37114951664.583298</v>
      </c>
      <c r="K8" s="1">
        <v>37257508241.2761</v>
      </c>
      <c r="L8" s="1">
        <f t="shared" si="6"/>
        <v>93713417.186500549</v>
      </c>
      <c r="M8" s="1">
        <f t="shared" si="7"/>
        <v>48843159.50630188</v>
      </c>
      <c r="O8" s="1">
        <f t="shared" ca="1" si="0"/>
        <v>37356899820.430885</v>
      </c>
      <c r="P8">
        <f t="shared" ca="1" si="1"/>
        <v>70718680.113091782</v>
      </c>
      <c r="Q8">
        <f t="shared" ca="1" si="2"/>
        <v>26924196.192632675</v>
      </c>
    </row>
    <row r="9" spans="1:17" x14ac:dyDescent="0.2">
      <c r="A9">
        <f t="shared" si="8"/>
        <v>2000.5</v>
      </c>
      <c r="B9" s="2">
        <f t="shared" ca="1" si="3"/>
        <v>43.119100261686334</v>
      </c>
      <c r="C9" s="2">
        <f t="shared" ca="1" si="4"/>
        <v>25.180213680541343</v>
      </c>
      <c r="D9" s="2">
        <f t="shared" ca="1" si="5"/>
        <v>9.3667699966735842</v>
      </c>
      <c r="I9" s="1">
        <v>37198333177.099297</v>
      </c>
      <c r="J9" s="1">
        <v>37111828167.3881</v>
      </c>
      <c r="K9" s="1">
        <v>37252560569.674004</v>
      </c>
      <c r="L9" s="1">
        <f t="shared" si="6"/>
        <v>86505009.711196899</v>
      </c>
      <c r="M9" s="1">
        <f t="shared" si="7"/>
        <v>54227392.574707031</v>
      </c>
      <c r="O9" s="1">
        <f t="shared" ca="1" si="0"/>
        <v>37374191908.775429</v>
      </c>
      <c r="P9">
        <f t="shared" ca="1" si="1"/>
        <v>69751284.433632538</v>
      </c>
      <c r="Q9">
        <f t="shared" ca="1" si="2"/>
        <v>25946731.292724609</v>
      </c>
    </row>
    <row r="10" spans="1:17" x14ac:dyDescent="0.2">
      <c r="A10">
        <f t="shared" si="8"/>
        <v>2001.5</v>
      </c>
      <c r="B10" s="2">
        <f t="shared" ca="1" si="3"/>
        <v>50.268604461990691</v>
      </c>
      <c r="C10" s="2">
        <f t="shared" ca="1" si="4"/>
        <v>24.760126092370609</v>
      </c>
      <c r="D10" s="2">
        <f t="shared" ca="1" si="5"/>
        <v>8.9505827117135759</v>
      </c>
      <c r="I10" s="1">
        <v>37196213570.514397</v>
      </c>
      <c r="J10" s="1">
        <v>37112595456.874397</v>
      </c>
      <c r="K10" s="1">
        <v>37251428580.2668</v>
      </c>
      <c r="L10" s="1">
        <f t="shared" si="6"/>
        <v>83618113.63999939</v>
      </c>
      <c r="M10" s="1">
        <f t="shared" si="7"/>
        <v>55215009.752403259</v>
      </c>
      <c r="O10" s="1">
        <f t="shared" ca="1" si="0"/>
        <v>37393996629.551895</v>
      </c>
      <c r="P10">
        <f t="shared" ca="1" si="1"/>
        <v>68587606.904073715</v>
      </c>
      <c r="Q10">
        <f t="shared" ca="1" si="2"/>
        <v>24793857.927184422</v>
      </c>
    </row>
    <row r="11" spans="1:17" x14ac:dyDescent="0.2">
      <c r="A11">
        <f t="shared" si="8"/>
        <v>2002.5</v>
      </c>
      <c r="B11" s="2">
        <f t="shared" ca="1" si="3"/>
        <v>55.751649215428635</v>
      </c>
      <c r="C11" s="2">
        <f t="shared" ca="1" si="4"/>
        <v>19.531453499366986</v>
      </c>
      <c r="D11" s="2">
        <f t="shared" ca="1" si="5"/>
        <v>10.881011931810368</v>
      </c>
      <c r="I11" s="1">
        <v>37230723806.813904</v>
      </c>
      <c r="J11" s="1">
        <v>37145109209.903603</v>
      </c>
      <c r="K11" s="1">
        <v>37282447773.158798</v>
      </c>
      <c r="L11" s="1">
        <f t="shared" si="6"/>
        <v>85614596.910301208</v>
      </c>
      <c r="M11" s="1">
        <f t="shared" si="7"/>
        <v>51723966.344894409</v>
      </c>
      <c r="O11" s="1">
        <f t="shared" ca="1" si="0"/>
        <v>37409185119.173607</v>
      </c>
      <c r="P11">
        <f t="shared" ca="1" si="1"/>
        <v>54103749.305725731</v>
      </c>
      <c r="Q11">
        <f t="shared" ca="1" si="2"/>
        <v>30141307.290333431</v>
      </c>
    </row>
    <row r="12" spans="1:17" x14ac:dyDescent="0.2">
      <c r="A12">
        <f t="shared" si="8"/>
        <v>2003.5</v>
      </c>
      <c r="B12" s="2">
        <f t="shared" ca="1" si="3"/>
        <v>64.181860919167647</v>
      </c>
      <c r="C12" s="2">
        <f t="shared" ca="1" si="4"/>
        <v>12.981921378957457</v>
      </c>
      <c r="D12" s="2">
        <f t="shared" ca="1" si="5"/>
        <v>13.668977489684515</v>
      </c>
      <c r="I12" s="1">
        <v>37255318089.173599</v>
      </c>
      <c r="J12" s="1">
        <v>37165592267.360199</v>
      </c>
      <c r="K12" s="1">
        <v>37303242382.626801</v>
      </c>
      <c r="L12" s="1">
        <f t="shared" si="6"/>
        <v>89725821.813400269</v>
      </c>
      <c r="M12" s="1">
        <f t="shared" si="7"/>
        <v>47924293.453201294</v>
      </c>
      <c r="O12" s="1">
        <f t="shared" ca="1" si="0"/>
        <v>37432537506.164574</v>
      </c>
      <c r="P12">
        <f t="shared" ca="1" si="1"/>
        <v>35961001.049743652</v>
      </c>
      <c r="Q12">
        <f t="shared" ca="1" si="2"/>
        <v>37864203.572533287</v>
      </c>
    </row>
    <row r="13" spans="1:17" x14ac:dyDescent="0.2">
      <c r="A13">
        <f t="shared" si="8"/>
        <v>2004.5</v>
      </c>
      <c r="B13" s="2">
        <f t="shared" ca="1" si="3"/>
        <v>68.692114545510918</v>
      </c>
      <c r="C13" s="2">
        <f t="shared" ca="1" si="4"/>
        <v>13.666703649917608</v>
      </c>
      <c r="D13" s="2">
        <f t="shared" ca="1" si="5"/>
        <v>12.369115050226235</v>
      </c>
      <c r="I13" s="1">
        <v>37284815110.092796</v>
      </c>
      <c r="J13" s="1">
        <v>37192523584.130096</v>
      </c>
      <c r="K13" s="1">
        <v>37332190051.330002</v>
      </c>
      <c r="L13" s="1">
        <f t="shared" si="6"/>
        <v>92291525.96269989</v>
      </c>
      <c r="M13" s="1">
        <f t="shared" si="7"/>
        <v>47374941.237205505</v>
      </c>
      <c r="O13" s="1">
        <f t="shared" ca="1" si="0"/>
        <v>37445031283.522865</v>
      </c>
      <c r="P13">
        <f t="shared" ca="1" si="1"/>
        <v>37857904.847417198</v>
      </c>
      <c r="Q13">
        <f t="shared" ca="1" si="2"/>
        <v>34263476.593424477</v>
      </c>
    </row>
    <row r="14" spans="1:17" x14ac:dyDescent="0.2">
      <c r="A14">
        <f t="shared" si="8"/>
        <v>2005.5</v>
      </c>
      <c r="B14" s="2">
        <f t="shared" ca="1" si="3"/>
        <v>73.509142377360419</v>
      </c>
      <c r="C14" s="2">
        <f t="shared" ca="1" si="4"/>
        <v>13.982523200696402</v>
      </c>
      <c r="D14" s="2">
        <f t="shared" ca="1" si="5"/>
        <v>13.812490939603123</v>
      </c>
      <c r="I14" s="1">
        <v>37299705086.194099</v>
      </c>
      <c r="J14" s="1">
        <v>37208075711.189697</v>
      </c>
      <c r="K14" s="1">
        <v>37348914431.610199</v>
      </c>
      <c r="L14" s="1">
        <f t="shared" si="6"/>
        <v>91629375.004402161</v>
      </c>
      <c r="M14" s="1">
        <f t="shared" si="7"/>
        <v>49209345.416099548</v>
      </c>
      <c r="O14" s="1">
        <f t="shared" ca="1" si="0"/>
        <v>37458374850.92411</v>
      </c>
      <c r="P14">
        <f t="shared" ca="1" si="1"/>
        <v>38732751.248466492</v>
      </c>
      <c r="Q14">
        <f t="shared" ca="1" si="2"/>
        <v>38261747.755133308</v>
      </c>
    </row>
    <row r="15" spans="1:17" x14ac:dyDescent="0.2">
      <c r="A15">
        <f t="shared" si="8"/>
        <v>2006.5</v>
      </c>
      <c r="B15" s="2">
        <f t="shared" ca="1" si="3"/>
        <v>88.700360831600506</v>
      </c>
      <c r="C15" s="2">
        <f t="shared" ca="1" si="4"/>
        <v>8.7873508590444551</v>
      </c>
      <c r="D15" s="2">
        <f t="shared" ca="1" si="5"/>
        <v>14.314283173432237</v>
      </c>
      <c r="I15" s="1">
        <v>37282072704.506897</v>
      </c>
      <c r="J15" s="1">
        <v>37191886499.051804</v>
      </c>
      <c r="K15" s="1">
        <v>37331679510.333603</v>
      </c>
      <c r="L15" s="1">
        <f t="shared" si="6"/>
        <v>90186205.455093384</v>
      </c>
      <c r="M15" s="1">
        <f t="shared" si="7"/>
        <v>49606805.826705933</v>
      </c>
      <c r="O15" s="1">
        <f t="shared" ca="1" si="0"/>
        <v>37500455788.470482</v>
      </c>
      <c r="P15">
        <f t="shared" ca="1" si="1"/>
        <v>24341692.130317051</v>
      </c>
      <c r="Q15">
        <f t="shared" ca="1" si="2"/>
        <v>39651753.943025589</v>
      </c>
    </row>
    <row r="16" spans="1:17" x14ac:dyDescent="0.2">
      <c r="A16">
        <f t="shared" si="8"/>
        <v>2007.5</v>
      </c>
      <c r="B16" s="2">
        <f t="shared" ca="1" si="3"/>
        <v>90.873716630032959</v>
      </c>
      <c r="C16" s="2">
        <f t="shared" ca="1" si="4"/>
        <v>9.3591518237367826</v>
      </c>
      <c r="D16" s="2">
        <f t="shared" ca="1" si="5"/>
        <v>14.206126807416496</v>
      </c>
      <c r="I16" s="1">
        <v>37327618277.471703</v>
      </c>
      <c r="J16" s="1">
        <v>37236544293.416298</v>
      </c>
      <c r="K16" s="1">
        <v>37374042160.611397</v>
      </c>
      <c r="L16" s="1">
        <f t="shared" si="6"/>
        <v>91073984.055404663</v>
      </c>
      <c r="M16" s="1">
        <f t="shared" si="7"/>
        <v>46423883.139694214</v>
      </c>
      <c r="O16" s="1">
        <f t="shared" ca="1" si="0"/>
        <v>37506476164.643425</v>
      </c>
      <c r="P16">
        <f t="shared" ca="1" si="1"/>
        <v>25925628.32060051</v>
      </c>
      <c r="Q16">
        <f t="shared" ca="1" si="2"/>
        <v>39352151.821098328</v>
      </c>
    </row>
    <row r="17" spans="1:17" x14ac:dyDescent="0.2">
      <c r="A17">
        <f t="shared" si="8"/>
        <v>2008.5</v>
      </c>
      <c r="B17" s="2">
        <f t="shared" ca="1" si="3"/>
        <v>97.426816081890394</v>
      </c>
      <c r="C17" s="2">
        <f t="shared" ca="1" si="4"/>
        <v>7.2449328794936712</v>
      </c>
      <c r="D17" s="2">
        <f t="shared" ca="1" si="5"/>
        <v>15.345813705059927</v>
      </c>
      <c r="I17" s="1">
        <v>37352892495.351196</v>
      </c>
      <c r="J17" s="1">
        <v>37258444092.168701</v>
      </c>
      <c r="K17" s="1">
        <v>37393461732.162804</v>
      </c>
      <c r="L17" s="1">
        <f t="shared" si="6"/>
        <v>94448403.182495117</v>
      </c>
      <c r="M17" s="1">
        <f t="shared" si="7"/>
        <v>40569236.811607361</v>
      </c>
      <c r="O17" s="1">
        <f t="shared" ca="1" si="0"/>
        <v>37524628794.703972</v>
      </c>
      <c r="P17">
        <f t="shared" ca="1" si="1"/>
        <v>20069066.148181915</v>
      </c>
      <c r="Q17">
        <f t="shared" ca="1" si="2"/>
        <v>42509179.23839315</v>
      </c>
    </row>
    <row r="18" spans="1:17" x14ac:dyDescent="0.2">
      <c r="A18">
        <f t="shared" si="8"/>
        <v>2009.5</v>
      </c>
      <c r="B18" s="2">
        <f t="shared" ca="1" si="3"/>
        <v>109.83107086642275</v>
      </c>
      <c r="C18" s="2">
        <f t="shared" ca="1" si="4"/>
        <v>5.4743562465688687</v>
      </c>
      <c r="D18" s="2">
        <f t="shared" ca="1" si="5"/>
        <v>17.124983662827258</v>
      </c>
      <c r="I18" s="1">
        <v>37314570710.964203</v>
      </c>
      <c r="J18" s="1">
        <v>37217843447.904602</v>
      </c>
      <c r="K18" s="1">
        <v>37350870715.3918</v>
      </c>
      <c r="L18" s="1">
        <f t="shared" ref="L18:L81" si="9">I18-J18</f>
        <v>96727263.05960083</v>
      </c>
      <c r="M18" s="1">
        <f t="shared" ref="M18:M81" si="10">K18-I18</f>
        <v>36300004.427597046</v>
      </c>
      <c r="O18" s="1">
        <f t="shared" ca="1" si="0"/>
        <v>37558989611.281624</v>
      </c>
      <c r="P18">
        <f t="shared" ca="1" si="1"/>
        <v>15164421.735647837</v>
      </c>
      <c r="Q18">
        <f t="shared" ca="1" si="2"/>
        <v>47437627.87486776</v>
      </c>
    </row>
    <row r="19" spans="1:17" x14ac:dyDescent="0.2">
      <c r="A19">
        <f t="shared" si="8"/>
        <v>2010.5</v>
      </c>
      <c r="B19" s="2">
        <f t="shared" ca="1" si="3"/>
        <v>110.22449905439109</v>
      </c>
      <c r="C19" s="2">
        <f t="shared" ca="1" si="4"/>
        <v>6.8375224131259777</v>
      </c>
      <c r="D19" s="2">
        <f t="shared" ca="1" si="5"/>
        <v>16.160691759590812</v>
      </c>
      <c r="I19" s="1">
        <v>37244953663.025101</v>
      </c>
      <c r="J19" s="1">
        <v>37150566372.477097</v>
      </c>
      <c r="K19" s="1">
        <v>37282124442.752502</v>
      </c>
      <c r="L19" s="1">
        <f t="shared" si="9"/>
        <v>94387290.54800415</v>
      </c>
      <c r="M19" s="1">
        <f t="shared" si="10"/>
        <v>37170779.727401733</v>
      </c>
      <c r="O19" s="1">
        <f t="shared" ca="1" si="0"/>
        <v>37560079440.057159</v>
      </c>
      <c r="P19">
        <f t="shared" ca="1" si="1"/>
        <v>18940505.299517948</v>
      </c>
      <c r="Q19">
        <f t="shared" ca="1" si="2"/>
        <v>44766459.167841591</v>
      </c>
    </row>
    <row r="20" spans="1:17" x14ac:dyDescent="0.2">
      <c r="A20">
        <f t="shared" si="8"/>
        <v>2011.5</v>
      </c>
      <c r="B20" s="2">
        <f t="shared" ca="1" si="3"/>
        <v>114.64078610797748</v>
      </c>
      <c r="C20" s="2">
        <f t="shared" ca="1" si="4"/>
        <v>7.5577101973011338</v>
      </c>
      <c r="D20" s="2">
        <f t="shared" ca="1" si="5"/>
        <v>15.207642618345877</v>
      </c>
      <c r="I20" s="1">
        <v>37207540940.165802</v>
      </c>
      <c r="J20" s="1">
        <v>37119998639.994904</v>
      </c>
      <c r="K20" s="1">
        <v>37250098941.314102</v>
      </c>
      <c r="L20" s="1">
        <f t="shared" si="9"/>
        <v>87542300.170898438</v>
      </c>
      <c r="M20" s="1">
        <f t="shared" si="10"/>
        <v>42558001.148300171</v>
      </c>
      <c r="O20" s="1">
        <f t="shared" ca="1" si="0"/>
        <v>37572312922.200058</v>
      </c>
      <c r="P20">
        <f t="shared" ca="1" si="1"/>
        <v>20935485.311083477</v>
      </c>
      <c r="Q20">
        <f t="shared" ca="1" si="2"/>
        <v>42126433.845833458</v>
      </c>
    </row>
    <row r="21" spans="1:17" x14ac:dyDescent="0.2">
      <c r="A21">
        <f t="shared" si="8"/>
        <v>2012.5</v>
      </c>
      <c r="B21" s="2">
        <f t="shared" ca="1" si="3"/>
        <v>138.53195696243256</v>
      </c>
      <c r="C21" s="2">
        <f t="shared" ca="1" si="4"/>
        <v>5.5883914174540417</v>
      </c>
      <c r="D21" s="2">
        <f t="shared" ca="1" si="5"/>
        <v>19.536166748311487</v>
      </c>
      <c r="I21" s="1">
        <v>37175468797.8358</v>
      </c>
      <c r="J21" s="1">
        <v>37094945236.0868</v>
      </c>
      <c r="K21" s="1">
        <v>37223643925.695297</v>
      </c>
      <c r="L21" s="1">
        <f t="shared" si="9"/>
        <v>80523561.749000549</v>
      </c>
      <c r="M21" s="1">
        <f t="shared" si="10"/>
        <v>48175127.85949707</v>
      </c>
      <c r="O21" s="1">
        <f t="shared" ca="1" si="0"/>
        <v>37638493450.882759</v>
      </c>
      <c r="P21">
        <f t="shared" ca="1" si="1"/>
        <v>15480308.635606766</v>
      </c>
      <c r="Q21">
        <f t="shared" ca="1" si="2"/>
        <v>54116805.396984734</v>
      </c>
    </row>
    <row r="22" spans="1:17" x14ac:dyDescent="0.2">
      <c r="A22">
        <f t="shared" si="8"/>
        <v>2013.5</v>
      </c>
      <c r="B22" s="2">
        <f t="shared" ca="1" si="3"/>
        <v>144.24469907577549</v>
      </c>
      <c r="C22" s="2">
        <f t="shared" ca="1" si="4"/>
        <v>6.2135978360128119</v>
      </c>
      <c r="D22" s="2">
        <f t="shared" ca="1" si="5"/>
        <v>19.152703194671407</v>
      </c>
      <c r="I22" s="1">
        <v>37205131306.9328</v>
      </c>
      <c r="J22" s="1">
        <v>37127286932.699303</v>
      </c>
      <c r="K22" s="1">
        <v>37254575141.095497</v>
      </c>
      <c r="L22" s="1">
        <f t="shared" si="9"/>
        <v>77844374.23349762</v>
      </c>
      <c r="M22" s="1">
        <f t="shared" si="10"/>
        <v>49443834.162696838</v>
      </c>
      <c r="O22" s="1">
        <f t="shared" ca="1" si="0"/>
        <v>37654318221.279831</v>
      </c>
      <c r="P22">
        <f t="shared" ca="1" si="1"/>
        <v>17212182.371226627</v>
      </c>
      <c r="Q22">
        <f t="shared" ca="1" si="2"/>
        <v>53054579.486624397</v>
      </c>
    </row>
    <row r="23" spans="1:17" x14ac:dyDescent="0.2">
      <c r="A23">
        <f t="shared" si="8"/>
        <v>2014.5</v>
      </c>
      <c r="B23" s="2">
        <f t="shared" ca="1" si="3"/>
        <v>159.40551827092676</v>
      </c>
      <c r="C23" s="2">
        <f t="shared" ca="1" si="4"/>
        <v>7.2864123921078683</v>
      </c>
      <c r="D23" s="2">
        <f t="shared" ca="1" si="5"/>
        <v>20.152333527948716</v>
      </c>
      <c r="I23" s="1">
        <v>37264799818.8825</v>
      </c>
      <c r="J23" s="1">
        <v>37184881109.005997</v>
      </c>
      <c r="K23" s="1">
        <v>37310889729.417397</v>
      </c>
      <c r="L23" s="1">
        <f t="shared" si="9"/>
        <v>79918709.876502991</v>
      </c>
      <c r="M23" s="1">
        <f t="shared" si="10"/>
        <v>46089910.534896851</v>
      </c>
      <c r="O23" s="1">
        <f t="shared" ca="1" si="0"/>
        <v>37696314950.352272</v>
      </c>
      <c r="P23">
        <f t="shared" ca="1" si="1"/>
        <v>20183967.845174152</v>
      </c>
      <c r="Q23">
        <f t="shared" ca="1" si="2"/>
        <v>55823638.581575394</v>
      </c>
    </row>
    <row r="24" spans="1:17" x14ac:dyDescent="0.2">
      <c r="A24">
        <f t="shared" si="8"/>
        <v>2015.5</v>
      </c>
      <c r="B24" s="2">
        <f t="shared" ca="1" si="3"/>
        <v>175.72043344423153</v>
      </c>
      <c r="C24" s="2">
        <f t="shared" ca="1" si="4"/>
        <v>7.4441162335039452</v>
      </c>
      <c r="D24" s="2">
        <f t="shared" ca="1" si="5"/>
        <v>21.920277437088981</v>
      </c>
      <c r="I24" s="1">
        <v>37271213974.092201</v>
      </c>
      <c r="J24" s="1">
        <v>37187162446.290199</v>
      </c>
      <c r="K24" s="1">
        <v>37313511868.470001</v>
      </c>
      <c r="L24" s="1">
        <f t="shared" si="9"/>
        <v>84051527.802001953</v>
      </c>
      <c r="M24" s="1">
        <f t="shared" si="10"/>
        <v>42297894.377799988</v>
      </c>
      <c r="O24" s="1">
        <f t="shared" ca="1" si="0"/>
        <v>37741508621.192451</v>
      </c>
      <c r="P24">
        <f t="shared" ca="1" si="1"/>
        <v>20620820.591423672</v>
      </c>
      <c r="Q24">
        <f t="shared" ca="1" si="2"/>
        <v>60720990.130440392</v>
      </c>
    </row>
    <row r="25" spans="1:17" x14ac:dyDescent="0.2">
      <c r="A25">
        <f t="shared" si="8"/>
        <v>2016.5</v>
      </c>
      <c r="B25" s="2">
        <f t="shared" ca="1" si="3"/>
        <v>173.13020588722887</v>
      </c>
      <c r="C25" s="2">
        <f t="shared" ca="1" si="4"/>
        <v>5.7591750669779627</v>
      </c>
      <c r="D25" s="2">
        <f t="shared" ca="1" si="5"/>
        <v>30.475960806095198</v>
      </c>
      <c r="I25" s="1">
        <v>37300099803.514198</v>
      </c>
      <c r="J25" s="1">
        <v>37213432149.501602</v>
      </c>
      <c r="K25" s="1">
        <v>37341860176.942398</v>
      </c>
      <c r="L25" s="1">
        <f t="shared" si="9"/>
        <v>86667654.01259613</v>
      </c>
      <c r="M25" s="1">
        <f t="shared" si="10"/>
        <v>41760373.428199768</v>
      </c>
      <c r="O25" s="1">
        <f t="shared" ca="1" si="0"/>
        <v>37734333475.605186</v>
      </c>
      <c r="P25">
        <f t="shared" ca="1" si="1"/>
        <v>15953393.537335077</v>
      </c>
      <c r="Q25">
        <f t="shared" ca="1" si="2"/>
        <v>84420944.061205551</v>
      </c>
    </row>
    <row r="26" spans="1:17" x14ac:dyDescent="0.2">
      <c r="A26">
        <f t="shared" si="8"/>
        <v>2017.5</v>
      </c>
      <c r="B26" s="2">
        <f t="shared" ca="1" si="3"/>
        <v>193.99140558075419</v>
      </c>
      <c r="C26" s="2">
        <f t="shared" ca="1" si="4"/>
        <v>12.123860896188125</v>
      </c>
      <c r="D26" s="2">
        <f t="shared" ca="1" si="5"/>
        <v>21.656712048211681</v>
      </c>
      <c r="I26" s="1">
        <v>37292386222.365898</v>
      </c>
      <c r="J26" s="1">
        <v>37206216025.732803</v>
      </c>
      <c r="K26" s="1">
        <v>37336098013.292099</v>
      </c>
      <c r="L26" s="1">
        <f t="shared" si="9"/>
        <v>86170196.633094788</v>
      </c>
      <c r="M26" s="1">
        <f t="shared" si="10"/>
        <v>43711790.926200867</v>
      </c>
      <c r="O26" s="1">
        <f t="shared" ca="1" si="0"/>
        <v>37792120732.373955</v>
      </c>
      <c r="P26">
        <f t="shared" ca="1" si="1"/>
        <v>33584102.205507278</v>
      </c>
      <c r="Q26">
        <f t="shared" ca="1" si="2"/>
        <v>59990892.100309372</v>
      </c>
    </row>
    <row r="27" spans="1:17" x14ac:dyDescent="0.2">
      <c r="A27">
        <f t="shared" si="8"/>
        <v>2018.5</v>
      </c>
      <c r="B27" s="2">
        <f t="shared" ca="1" si="3"/>
        <v>199.73419994749401</v>
      </c>
      <c r="C27" s="2">
        <f t="shared" ca="1" si="4"/>
        <v>9.9939549095361677</v>
      </c>
      <c r="D27" s="2">
        <f t="shared" ca="1" si="5"/>
        <v>25.302936883704557</v>
      </c>
      <c r="I27" s="1">
        <v>37321942792.279404</v>
      </c>
      <c r="J27" s="1">
        <v>37237074159.9188</v>
      </c>
      <c r="K27" s="1">
        <v>37366191541.310799</v>
      </c>
      <c r="L27" s="1">
        <f t="shared" si="9"/>
        <v>84868632.360603333</v>
      </c>
      <c r="M27" s="1">
        <f t="shared" si="10"/>
        <v>44248749.031394958</v>
      </c>
      <c r="O27" s="1">
        <f t="shared" ca="1" si="0"/>
        <v>37808028750.010353</v>
      </c>
      <c r="P27">
        <f t="shared" ca="1" si="1"/>
        <v>27684085.621983845</v>
      </c>
      <c r="Q27">
        <f t="shared" ca="1" si="2"/>
        <v>70091237.904998779</v>
      </c>
    </row>
    <row r="28" spans="1:17" x14ac:dyDescent="0.2">
      <c r="A28">
        <f t="shared" si="8"/>
        <v>2019.5</v>
      </c>
      <c r="B28" s="2">
        <f t="shared" ca="1" si="3"/>
        <v>217.93125773689172</v>
      </c>
      <c r="C28" s="2">
        <f t="shared" ca="1" si="4"/>
        <v>9.3274962221156184</v>
      </c>
      <c r="D28" s="2">
        <f t="shared" ca="1" si="5"/>
        <v>33.44507890695369</v>
      </c>
      <c r="I28" s="1">
        <v>37371653791.015999</v>
      </c>
      <c r="J28" s="1">
        <v>37285930572.306396</v>
      </c>
      <c r="K28" s="1">
        <v>37412716743.589996</v>
      </c>
      <c r="L28" s="1">
        <f t="shared" si="9"/>
        <v>85723218.709602356</v>
      </c>
      <c r="M28" s="1">
        <f t="shared" si="10"/>
        <v>41062952.573997498</v>
      </c>
      <c r="O28" s="1">
        <f t="shared" ca="1" si="0"/>
        <v>37858436112.307854</v>
      </c>
      <c r="P28">
        <f t="shared" ca="1" si="1"/>
        <v>25837939.67345047</v>
      </c>
      <c r="Q28">
        <f t="shared" ca="1" si="2"/>
        <v>92645647.941699982</v>
      </c>
    </row>
    <row r="29" spans="1:17" x14ac:dyDescent="0.2">
      <c r="A29">
        <f t="shared" si="8"/>
        <v>2020.5</v>
      </c>
      <c r="B29" s="2">
        <f t="shared" ca="1" si="3"/>
        <v>230.03823433799957</v>
      </c>
      <c r="C29" s="2">
        <f t="shared" ca="1" si="4"/>
        <v>9.5950239384626652</v>
      </c>
      <c r="D29" s="2">
        <f t="shared" ca="1" si="5"/>
        <v>33.802925815023634</v>
      </c>
      <c r="I29" s="1">
        <v>37374338256.3461</v>
      </c>
      <c r="J29" s="1">
        <v>37285277742.0168</v>
      </c>
      <c r="K29" s="1">
        <v>37409602642.299896</v>
      </c>
      <c r="L29" s="1">
        <f t="shared" si="9"/>
        <v>89060514.329299927</v>
      </c>
      <c r="M29" s="1">
        <f t="shared" si="10"/>
        <v>35264385.953796387</v>
      </c>
      <c r="O29" s="1">
        <f t="shared" ca="1" si="0"/>
        <v>37891973443.612862</v>
      </c>
      <c r="P29">
        <f t="shared" ca="1" si="1"/>
        <v>26579013.679951984</v>
      </c>
      <c r="Q29">
        <f t="shared" ca="1" si="2"/>
        <v>93636913.615023926</v>
      </c>
    </row>
    <row r="30" spans="1:17" x14ac:dyDescent="0.2">
      <c r="A30">
        <f t="shared" ref="A30" si="11">A29+1</f>
        <v>2021.5</v>
      </c>
      <c r="B30" s="2">
        <f t="shared" ca="1" si="3"/>
        <v>240.09170986963582</v>
      </c>
      <c r="C30" s="2">
        <f t="shared" ca="1" si="4"/>
        <v>10.766704814799402</v>
      </c>
      <c r="D30" s="2">
        <f t="shared" ca="1" si="5"/>
        <v>33.924978326753681</v>
      </c>
      <c r="I30" s="1">
        <v>37341343851.705299</v>
      </c>
      <c r="J30" s="1">
        <v>37249850654.916</v>
      </c>
      <c r="K30" s="1">
        <v>37372422509.682404</v>
      </c>
      <c r="L30" s="1">
        <f t="shared" si="9"/>
        <v>91493196.789299011</v>
      </c>
      <c r="M30" s="1">
        <f t="shared" si="10"/>
        <v>31078657.977104187</v>
      </c>
      <c r="O30" s="1">
        <f t="shared" ca="1" si="0"/>
        <v>37919822406.304375</v>
      </c>
      <c r="P30">
        <f t="shared" ca="1" si="1"/>
        <v>29824667.077006657</v>
      </c>
      <c r="Q30">
        <f t="shared" ca="1" si="2"/>
        <v>93975009.21538417</v>
      </c>
    </row>
    <row r="31" spans="1:17" x14ac:dyDescent="0.2">
      <c r="B31" s="1"/>
      <c r="I31" s="1">
        <v>37286489097.415901</v>
      </c>
      <c r="J31" s="1">
        <v>37197247236.608902</v>
      </c>
      <c r="K31" s="1">
        <v>37318448968.958099</v>
      </c>
      <c r="L31" s="1">
        <f t="shared" si="9"/>
        <v>89241860.806999207</v>
      </c>
      <c r="M31" s="1">
        <f t="shared" si="10"/>
        <v>31959871.542198181</v>
      </c>
    </row>
    <row r="32" spans="1:17" x14ac:dyDescent="0.2">
      <c r="B32" s="1"/>
      <c r="I32" s="1">
        <v>37232266666.058098</v>
      </c>
      <c r="J32" s="1">
        <v>37149910916.677399</v>
      </c>
      <c r="K32" s="1">
        <v>37269515039.826202</v>
      </c>
      <c r="L32" s="1">
        <f t="shared" si="9"/>
        <v>82355749.380699158</v>
      </c>
      <c r="M32" s="1">
        <f t="shared" si="10"/>
        <v>37248373.768104553</v>
      </c>
    </row>
    <row r="33" spans="2:13" x14ac:dyDescent="0.2">
      <c r="B33" s="1"/>
      <c r="I33" s="1">
        <v>37219654047.407799</v>
      </c>
      <c r="J33" s="1">
        <v>37144498915.501701</v>
      </c>
      <c r="K33" s="1">
        <v>37262385529.442001</v>
      </c>
      <c r="L33" s="1">
        <f t="shared" si="9"/>
        <v>75155131.906097412</v>
      </c>
      <c r="M33" s="1">
        <f t="shared" si="10"/>
        <v>42731482.034202576</v>
      </c>
    </row>
    <row r="34" spans="2:13" x14ac:dyDescent="0.2">
      <c r="B34" s="1"/>
      <c r="I34" s="1">
        <v>37234572451.089798</v>
      </c>
      <c r="J34" s="1">
        <v>37162221037.593498</v>
      </c>
      <c r="K34" s="1">
        <v>37278540547.987297</v>
      </c>
      <c r="L34" s="1">
        <f t="shared" si="9"/>
        <v>72351413.496299744</v>
      </c>
      <c r="M34" s="1">
        <f t="shared" si="10"/>
        <v>43968096.897499084</v>
      </c>
    </row>
    <row r="35" spans="2:13" x14ac:dyDescent="0.2">
      <c r="B35" s="1"/>
      <c r="I35" s="1">
        <v>37260946484.597702</v>
      </c>
      <c r="J35" s="1">
        <v>37186389882.897003</v>
      </c>
      <c r="K35" s="1">
        <v>37301739897.920601</v>
      </c>
      <c r="L35" s="1">
        <f t="shared" si="9"/>
        <v>74556601.700698853</v>
      </c>
      <c r="M35" s="1">
        <f t="shared" si="10"/>
        <v>40793413.322898865</v>
      </c>
    </row>
    <row r="36" spans="2:13" x14ac:dyDescent="0.2">
      <c r="B36" s="1"/>
      <c r="I36" s="1">
        <v>37281570613.039497</v>
      </c>
      <c r="J36" s="1">
        <v>37202458864.202599</v>
      </c>
      <c r="K36" s="1">
        <v>37318986515.164703</v>
      </c>
      <c r="L36" s="1">
        <f t="shared" si="9"/>
        <v>79111748.836898804</v>
      </c>
      <c r="M36" s="1">
        <f t="shared" si="10"/>
        <v>37415902.125205994</v>
      </c>
    </row>
    <row r="37" spans="2:13" x14ac:dyDescent="0.2">
      <c r="B37" s="1"/>
      <c r="I37" s="1">
        <v>37267469668.755096</v>
      </c>
      <c r="J37" s="1">
        <v>37185220984.9319</v>
      </c>
      <c r="K37" s="1">
        <v>37304803481.958199</v>
      </c>
      <c r="L37" s="1">
        <f t="shared" si="9"/>
        <v>82248683.823196411</v>
      </c>
      <c r="M37" s="1">
        <f t="shared" si="10"/>
        <v>37333813.203102112</v>
      </c>
    </row>
    <row r="38" spans="2:13" x14ac:dyDescent="0.2">
      <c r="B38" s="1"/>
      <c r="I38" s="1">
        <v>37267132064.519897</v>
      </c>
      <c r="J38" s="1">
        <v>37185199734.294296</v>
      </c>
      <c r="K38" s="1">
        <v>37306593319.501404</v>
      </c>
      <c r="L38" s="1">
        <f t="shared" si="9"/>
        <v>81932330.225601196</v>
      </c>
      <c r="M38" s="1">
        <f t="shared" si="10"/>
        <v>39461254.981506348</v>
      </c>
    </row>
    <row r="39" spans="2:13" x14ac:dyDescent="0.2">
      <c r="B39" s="1"/>
      <c r="I39" s="1">
        <v>37303311199.956497</v>
      </c>
      <c r="J39" s="1">
        <v>37222783685.080704</v>
      </c>
      <c r="K39" s="1">
        <v>37343206723.312202</v>
      </c>
      <c r="L39" s="1">
        <f t="shared" si="9"/>
        <v>80527514.875793457</v>
      </c>
      <c r="M39" s="1">
        <f t="shared" si="10"/>
        <v>39895523.355705261</v>
      </c>
    </row>
    <row r="40" spans="2:13" x14ac:dyDescent="0.2">
      <c r="B40" s="1"/>
      <c r="I40" s="1">
        <v>37334159067.416496</v>
      </c>
      <c r="J40" s="1">
        <v>37252592437.263802</v>
      </c>
      <c r="K40" s="1">
        <v>37370789791.4935</v>
      </c>
      <c r="L40" s="1">
        <f t="shared" si="9"/>
        <v>81566630.152694702</v>
      </c>
      <c r="M40" s="1">
        <f t="shared" si="10"/>
        <v>36630724.077003479</v>
      </c>
    </row>
    <row r="41" spans="2:13" x14ac:dyDescent="0.2">
      <c r="B41" s="1"/>
      <c r="I41" s="1">
        <v>37361040323.479599</v>
      </c>
      <c r="J41" s="1">
        <v>37275977654.917297</v>
      </c>
      <c r="K41" s="1">
        <v>37391949203.7286</v>
      </c>
      <c r="L41" s="1">
        <f t="shared" si="9"/>
        <v>85062668.562301636</v>
      </c>
      <c r="M41" s="1">
        <f t="shared" si="10"/>
        <v>30908880.249000549</v>
      </c>
    </row>
    <row r="42" spans="2:13" x14ac:dyDescent="0.2">
      <c r="B42" s="1"/>
      <c r="I42" s="1">
        <v>37348065781.632004</v>
      </c>
      <c r="J42" s="1">
        <v>37260723213.493401</v>
      </c>
      <c r="K42" s="1">
        <v>37374909296.750099</v>
      </c>
      <c r="L42" s="1">
        <f t="shared" si="9"/>
        <v>87342568.13860321</v>
      </c>
      <c r="M42" s="1">
        <f t="shared" si="10"/>
        <v>26843515.118095398</v>
      </c>
    </row>
    <row r="43" spans="2:13" x14ac:dyDescent="0.2">
      <c r="B43" s="1"/>
      <c r="I43" s="1">
        <v>37283548087.799599</v>
      </c>
      <c r="J43" s="1">
        <v>37198631933.826302</v>
      </c>
      <c r="K43" s="1">
        <v>37311554074.628403</v>
      </c>
      <c r="L43" s="1">
        <f t="shared" si="9"/>
        <v>84916153.973297119</v>
      </c>
      <c r="M43" s="1">
        <f t="shared" si="10"/>
        <v>28005986.828804016</v>
      </c>
    </row>
    <row r="44" spans="2:13" x14ac:dyDescent="0.2">
      <c r="B44" s="1"/>
      <c r="I44" s="1">
        <v>37238962057.189796</v>
      </c>
      <c r="J44" s="1">
        <v>37160871311.257698</v>
      </c>
      <c r="K44" s="1">
        <v>37272578252.064301</v>
      </c>
      <c r="L44" s="1">
        <f t="shared" si="9"/>
        <v>78090745.932098389</v>
      </c>
      <c r="M44" s="1">
        <f t="shared" si="10"/>
        <v>33616194.874504089</v>
      </c>
    </row>
    <row r="45" spans="2:13" x14ac:dyDescent="0.2">
      <c r="B45" s="1"/>
      <c r="I45" s="1">
        <v>37204662751.800201</v>
      </c>
      <c r="J45" s="1">
        <v>37133491764.328201</v>
      </c>
      <c r="K45" s="1">
        <v>37243835770.748299</v>
      </c>
      <c r="L45" s="1">
        <f t="shared" si="9"/>
        <v>71170987.472000122</v>
      </c>
      <c r="M45" s="1">
        <f t="shared" si="10"/>
        <v>39173018.948097229</v>
      </c>
    </row>
    <row r="46" spans="2:13" x14ac:dyDescent="0.2">
      <c r="B46" s="1"/>
      <c r="I46" s="1">
        <v>37219186123.446503</v>
      </c>
      <c r="J46" s="1">
        <v>37150532474.809502</v>
      </c>
      <c r="K46" s="1">
        <v>37259385951.146896</v>
      </c>
      <c r="L46" s="1">
        <f t="shared" si="9"/>
        <v>68653648.637001038</v>
      </c>
      <c r="M46" s="1">
        <f t="shared" si="10"/>
        <v>40199827.700393677</v>
      </c>
    </row>
    <row r="47" spans="2:13" x14ac:dyDescent="0.2">
      <c r="B47" s="1"/>
      <c r="I47" s="1">
        <v>37276540765.190102</v>
      </c>
      <c r="J47" s="1">
        <v>37205452607.694</v>
      </c>
      <c r="K47" s="1">
        <v>37313433345.463799</v>
      </c>
      <c r="L47" s="1">
        <f t="shared" si="9"/>
        <v>71088157.496101379</v>
      </c>
      <c r="M47" s="1">
        <f t="shared" si="10"/>
        <v>36892580.273696899</v>
      </c>
    </row>
    <row r="48" spans="2:13" x14ac:dyDescent="0.2">
      <c r="B48" s="1"/>
      <c r="I48" s="1">
        <v>37302635737.218498</v>
      </c>
      <c r="J48" s="1">
        <v>37227009636.017197</v>
      </c>
      <c r="K48" s="1">
        <v>37336210097.147301</v>
      </c>
      <c r="L48" s="1">
        <f t="shared" si="9"/>
        <v>75626101.201301575</v>
      </c>
      <c r="M48" s="1">
        <f t="shared" si="10"/>
        <v>33574359.92880249</v>
      </c>
    </row>
    <row r="49" spans="2:13" x14ac:dyDescent="0.2">
      <c r="B49" s="1"/>
      <c r="I49" s="1">
        <v>37265614581.363403</v>
      </c>
      <c r="J49" s="1">
        <v>37187127313.996696</v>
      </c>
      <c r="K49" s="1">
        <v>37299208802.612503</v>
      </c>
      <c r="L49" s="1">
        <f t="shared" si="9"/>
        <v>78487267.366706848</v>
      </c>
      <c r="M49" s="1">
        <f t="shared" si="10"/>
        <v>33594221.249099731</v>
      </c>
    </row>
    <row r="50" spans="2:13" x14ac:dyDescent="0.2">
      <c r="B50" s="1"/>
      <c r="I50" s="1">
        <v>37253299838.258797</v>
      </c>
      <c r="J50" s="1">
        <v>37175197158.873901</v>
      </c>
      <c r="K50" s="1">
        <v>37289011807.684097</v>
      </c>
      <c r="L50" s="1">
        <f t="shared" si="9"/>
        <v>78102679.384895325</v>
      </c>
      <c r="M50" s="1">
        <f t="shared" si="10"/>
        <v>35711969.425300598</v>
      </c>
    </row>
    <row r="51" spans="2:13" x14ac:dyDescent="0.2">
      <c r="B51" s="1"/>
      <c r="I51" s="1">
        <v>37269808626.088402</v>
      </c>
      <c r="J51" s="1">
        <v>37192912388.839798</v>
      </c>
      <c r="K51" s="1">
        <v>37306063735.444901</v>
      </c>
      <c r="L51" s="1">
        <f t="shared" si="9"/>
        <v>76896237.248603821</v>
      </c>
      <c r="M51" s="1">
        <f t="shared" si="10"/>
        <v>36255109.356498718</v>
      </c>
    </row>
    <row r="52" spans="2:13" x14ac:dyDescent="0.2">
      <c r="B52" s="1"/>
      <c r="I52" s="1">
        <v>37335314056.508904</v>
      </c>
      <c r="J52" s="1">
        <v>37257293430.280701</v>
      </c>
      <c r="K52" s="1">
        <v>37368536039.702003</v>
      </c>
      <c r="L52" s="1">
        <f t="shared" si="9"/>
        <v>78020626.22820282</v>
      </c>
      <c r="M52" s="1">
        <f t="shared" si="10"/>
        <v>33221983.193099976</v>
      </c>
    </row>
    <row r="53" spans="2:13" x14ac:dyDescent="0.2">
      <c r="B53" s="1"/>
      <c r="I53" s="1">
        <v>37355436101.539497</v>
      </c>
      <c r="J53" s="1">
        <v>37273811724.001099</v>
      </c>
      <c r="K53" s="1">
        <v>37383118014.682404</v>
      </c>
      <c r="L53" s="1">
        <f t="shared" si="9"/>
        <v>81624377.538398743</v>
      </c>
      <c r="M53" s="1">
        <f t="shared" si="10"/>
        <v>27681913.142906189</v>
      </c>
    </row>
    <row r="54" spans="2:13" x14ac:dyDescent="0.2">
      <c r="B54" s="1"/>
      <c r="I54" s="1">
        <v>37351974634.147102</v>
      </c>
      <c r="J54" s="1">
        <v>37267785342.2145</v>
      </c>
      <c r="K54" s="1">
        <v>37375710793.275803</v>
      </c>
      <c r="L54" s="1">
        <f t="shared" si="9"/>
        <v>84189291.932601929</v>
      </c>
      <c r="M54" s="1">
        <f t="shared" si="10"/>
        <v>23736159.128700256</v>
      </c>
    </row>
    <row r="55" spans="2:13" x14ac:dyDescent="0.2">
      <c r="B55" s="1"/>
      <c r="I55" s="1">
        <v>37296288918.974998</v>
      </c>
      <c r="J55" s="1">
        <v>37214234601.374603</v>
      </c>
      <c r="K55" s="1">
        <v>37321206414.878197</v>
      </c>
      <c r="L55" s="1">
        <f t="shared" si="9"/>
        <v>82054317.600395203</v>
      </c>
      <c r="M55" s="1">
        <f t="shared" si="10"/>
        <v>24917495.903198242</v>
      </c>
    </row>
    <row r="56" spans="2:13" x14ac:dyDescent="0.2">
      <c r="B56" s="1"/>
      <c r="I56" s="1">
        <v>37251864347.3853</v>
      </c>
      <c r="J56" s="1">
        <v>37176437321.083504</v>
      </c>
      <c r="K56" s="1">
        <v>37282407022.433098</v>
      </c>
      <c r="L56" s="1">
        <f t="shared" si="9"/>
        <v>75427026.301795959</v>
      </c>
      <c r="M56" s="1">
        <f t="shared" si="10"/>
        <v>30542675.047798157</v>
      </c>
    </row>
    <row r="57" spans="2:13" x14ac:dyDescent="0.2">
      <c r="B57" s="1"/>
      <c r="I57" s="1">
        <v>37233992705.750298</v>
      </c>
      <c r="J57" s="1">
        <v>37165506971.6763</v>
      </c>
      <c r="K57" s="1">
        <v>37270193628.893402</v>
      </c>
      <c r="L57" s="1">
        <f t="shared" si="9"/>
        <v>68485734.073997498</v>
      </c>
      <c r="M57" s="1">
        <f t="shared" si="10"/>
        <v>36200923.143104553</v>
      </c>
    </row>
    <row r="58" spans="2:13" x14ac:dyDescent="0.2">
      <c r="B58" s="1"/>
      <c r="I58" s="1">
        <v>37260343362.093903</v>
      </c>
      <c r="J58" s="1">
        <v>37194448414.296997</v>
      </c>
      <c r="K58" s="1">
        <v>37297834939.370903</v>
      </c>
      <c r="L58" s="1">
        <f t="shared" si="9"/>
        <v>65894947.796905518</v>
      </c>
      <c r="M58" s="1">
        <f t="shared" si="10"/>
        <v>37491577.277000427</v>
      </c>
    </row>
    <row r="59" spans="2:13" x14ac:dyDescent="0.2">
      <c r="B59" s="1"/>
      <c r="I59" s="1">
        <v>37315185375.564796</v>
      </c>
      <c r="J59" s="1">
        <v>37246823808.696999</v>
      </c>
      <c r="K59" s="1">
        <v>37349651250.370399</v>
      </c>
      <c r="L59" s="1">
        <f t="shared" si="9"/>
        <v>68361566.867797852</v>
      </c>
      <c r="M59" s="1">
        <f t="shared" si="10"/>
        <v>34465874.805603027</v>
      </c>
    </row>
    <row r="60" spans="2:13" x14ac:dyDescent="0.2">
      <c r="B60" s="1"/>
      <c r="I60" s="1">
        <v>37300567923.750397</v>
      </c>
      <c r="J60" s="1">
        <v>37227495745.1679</v>
      </c>
      <c r="K60" s="1">
        <v>37331836338.445198</v>
      </c>
      <c r="L60" s="1">
        <f t="shared" si="9"/>
        <v>73072178.582496643</v>
      </c>
      <c r="M60" s="1">
        <f t="shared" si="10"/>
        <v>31268414.694801331</v>
      </c>
    </row>
    <row r="61" spans="2:13" x14ac:dyDescent="0.2">
      <c r="B61" s="1"/>
      <c r="I61" s="1">
        <v>37322305321.887199</v>
      </c>
      <c r="J61" s="1">
        <v>37245933867.684998</v>
      </c>
      <c r="K61" s="1">
        <v>37353769109.962097</v>
      </c>
      <c r="L61" s="1">
        <f t="shared" si="9"/>
        <v>76371454.202201843</v>
      </c>
      <c r="M61" s="1">
        <f t="shared" si="10"/>
        <v>31463788.074897766</v>
      </c>
    </row>
    <row r="62" spans="2:13" x14ac:dyDescent="0.2">
      <c r="B62" s="1"/>
      <c r="I62" s="1">
        <v>37317251353.970703</v>
      </c>
      <c r="J62" s="1">
        <v>37240838715.599403</v>
      </c>
      <c r="K62" s="1">
        <v>37351234388.197098</v>
      </c>
      <c r="L62" s="1">
        <f t="shared" si="9"/>
        <v>76412638.371299744</v>
      </c>
      <c r="M62" s="1">
        <f t="shared" si="10"/>
        <v>33983034.226394653</v>
      </c>
    </row>
    <row r="63" spans="2:13" x14ac:dyDescent="0.2">
      <c r="B63" s="1"/>
      <c r="I63" s="1">
        <v>37342963143.3302</v>
      </c>
      <c r="J63" s="1">
        <v>37267686645.472198</v>
      </c>
      <c r="K63" s="1">
        <v>37377616235.953102</v>
      </c>
      <c r="L63" s="1">
        <f t="shared" si="9"/>
        <v>75276497.858001709</v>
      </c>
      <c r="M63" s="1">
        <f t="shared" si="10"/>
        <v>34653092.622901917</v>
      </c>
    </row>
    <row r="64" spans="2:13" x14ac:dyDescent="0.2">
      <c r="B64" s="1"/>
      <c r="I64" s="1">
        <v>37394287982.849403</v>
      </c>
      <c r="J64" s="1">
        <v>37318011446.017097</v>
      </c>
      <c r="K64" s="1">
        <v>37425829864.943199</v>
      </c>
      <c r="L64" s="1">
        <f t="shared" si="9"/>
        <v>76276536.832305908</v>
      </c>
      <c r="M64" s="1">
        <f t="shared" si="10"/>
        <v>31541882.093795776</v>
      </c>
    </row>
    <row r="65" spans="2:13" x14ac:dyDescent="0.2">
      <c r="B65" s="1"/>
      <c r="I65" s="1">
        <v>37412084023.517197</v>
      </c>
      <c r="J65" s="1">
        <v>37332131716.5905</v>
      </c>
      <c r="K65" s="1">
        <v>37438153015.6008</v>
      </c>
      <c r="L65" s="1">
        <f t="shared" si="9"/>
        <v>79952306.926696777</v>
      </c>
      <c r="M65" s="1">
        <f t="shared" si="10"/>
        <v>26068992.083602905</v>
      </c>
    </row>
    <row r="66" spans="2:13" x14ac:dyDescent="0.2">
      <c r="B66" s="1"/>
      <c r="I66" s="1">
        <v>37379899438.018997</v>
      </c>
      <c r="J66" s="1">
        <v>37297222127.293503</v>
      </c>
      <c r="K66" s="1">
        <v>37402143329.862602</v>
      </c>
      <c r="L66" s="1">
        <f t="shared" si="9"/>
        <v>82677310.725494385</v>
      </c>
      <c r="M66" s="1">
        <f t="shared" si="10"/>
        <v>22243891.843605042</v>
      </c>
    </row>
    <row r="67" spans="2:13" x14ac:dyDescent="0.2">
      <c r="B67" s="1"/>
      <c r="I67" s="1">
        <v>37317170482.014297</v>
      </c>
      <c r="J67" s="1">
        <v>37236558837.641098</v>
      </c>
      <c r="K67" s="1">
        <v>37340571746.404297</v>
      </c>
      <c r="L67" s="1">
        <f t="shared" si="9"/>
        <v>80611644.373199463</v>
      </c>
      <c r="M67" s="1">
        <f t="shared" si="10"/>
        <v>23401264.38999939</v>
      </c>
    </row>
    <row r="68" spans="2:13" x14ac:dyDescent="0.2">
      <c r="B68" s="1"/>
      <c r="I68" s="1">
        <v>37288118404.237198</v>
      </c>
      <c r="J68" s="1">
        <v>37214042662.556801</v>
      </c>
      <c r="K68" s="1">
        <v>37317182990.593803</v>
      </c>
      <c r="L68" s="1">
        <f t="shared" si="9"/>
        <v>74075741.680397034</v>
      </c>
      <c r="M68" s="1">
        <f t="shared" si="10"/>
        <v>29064586.35660553</v>
      </c>
    </row>
    <row r="69" spans="2:13" x14ac:dyDescent="0.2">
      <c r="B69" s="1"/>
      <c r="I69" s="1">
        <v>37252320244.622902</v>
      </c>
      <c r="J69" s="1">
        <v>37184961741.614998</v>
      </c>
      <c r="K69" s="1">
        <v>37287326020.145302</v>
      </c>
      <c r="L69" s="1">
        <f t="shared" si="9"/>
        <v>67358503.007904053</v>
      </c>
      <c r="M69" s="1">
        <f t="shared" si="10"/>
        <v>35005775.522399902</v>
      </c>
    </row>
    <row r="70" spans="2:13" x14ac:dyDescent="0.2">
      <c r="B70" s="1"/>
      <c r="I70" s="1">
        <v>37285312062.704903</v>
      </c>
      <c r="J70" s="1">
        <v>37220286452.9935</v>
      </c>
      <c r="K70" s="1">
        <v>37321953319.423203</v>
      </c>
      <c r="L70" s="1">
        <f t="shared" si="9"/>
        <v>65025609.711402893</v>
      </c>
      <c r="M70" s="1">
        <f t="shared" si="10"/>
        <v>36641256.718299866</v>
      </c>
    </row>
    <row r="71" spans="2:13" x14ac:dyDescent="0.2">
      <c r="B71" s="1"/>
      <c r="I71" s="1">
        <v>37316747281.5028</v>
      </c>
      <c r="J71" s="1">
        <v>37249132035.084999</v>
      </c>
      <c r="K71" s="1">
        <v>37350536498.840302</v>
      </c>
      <c r="L71" s="1">
        <f t="shared" si="9"/>
        <v>67615246.417800903</v>
      </c>
      <c r="M71" s="1">
        <f t="shared" si="10"/>
        <v>33789217.337501526</v>
      </c>
    </row>
    <row r="72" spans="2:13" x14ac:dyDescent="0.2">
      <c r="B72" s="1"/>
      <c r="I72" s="1">
        <v>37333170942.023003</v>
      </c>
      <c r="J72" s="1">
        <v>37260752781.102798</v>
      </c>
      <c r="K72" s="1">
        <v>37363841091.378998</v>
      </c>
      <c r="L72" s="1">
        <f t="shared" si="9"/>
        <v>72418160.920204163</v>
      </c>
      <c r="M72" s="1">
        <f t="shared" si="10"/>
        <v>30670149.355995178</v>
      </c>
    </row>
    <row r="73" spans="2:13" x14ac:dyDescent="0.2">
      <c r="B73" s="1"/>
      <c r="I73" s="1">
        <v>37346482432.513901</v>
      </c>
      <c r="J73" s="1">
        <v>37270597697.572601</v>
      </c>
      <c r="K73" s="1">
        <v>37377448447.2024</v>
      </c>
      <c r="L73" s="1">
        <f t="shared" si="9"/>
        <v>75884734.941299438</v>
      </c>
      <c r="M73" s="1">
        <f t="shared" si="10"/>
        <v>30966014.688499451</v>
      </c>
    </row>
    <row r="74" spans="2:13" x14ac:dyDescent="0.2">
      <c r="B74" s="1"/>
      <c r="I74" s="1">
        <v>37353679120.2845</v>
      </c>
      <c r="J74" s="1">
        <v>37277593284.471802</v>
      </c>
      <c r="K74" s="1">
        <v>37387306126.999001</v>
      </c>
      <c r="L74" s="1">
        <f t="shared" si="9"/>
        <v>76085835.812698364</v>
      </c>
      <c r="M74" s="1">
        <f t="shared" si="10"/>
        <v>33627006.714500427</v>
      </c>
    </row>
    <row r="75" spans="2:13" x14ac:dyDescent="0.2">
      <c r="B75" s="1"/>
      <c r="I75" s="1">
        <v>37396418526.606003</v>
      </c>
      <c r="J75" s="1">
        <v>37324990745.132301</v>
      </c>
      <c r="K75" s="1">
        <v>37427223176.0289</v>
      </c>
      <c r="L75" s="1">
        <f t="shared" si="9"/>
        <v>71427781.473701477</v>
      </c>
      <c r="M75" s="1">
        <f t="shared" si="10"/>
        <v>30804649.422897339</v>
      </c>
    </row>
    <row r="76" spans="2:13" x14ac:dyDescent="0.2">
      <c r="B76" s="1"/>
      <c r="I76" s="1">
        <v>37417108020.872002</v>
      </c>
      <c r="J76" s="1">
        <v>37344694434.866302</v>
      </c>
      <c r="K76" s="1">
        <v>37444856260.392601</v>
      </c>
      <c r="L76" s="1">
        <f t="shared" si="9"/>
        <v>72413586.005699158</v>
      </c>
      <c r="M76" s="1">
        <f t="shared" si="10"/>
        <v>27748239.520599365</v>
      </c>
    </row>
    <row r="77" spans="2:13" x14ac:dyDescent="0.2">
      <c r="B77" s="1"/>
      <c r="I77" s="1">
        <v>37431225852.0849</v>
      </c>
      <c r="J77" s="1">
        <v>37355283002.409897</v>
      </c>
      <c r="K77" s="1">
        <v>37453358732.545601</v>
      </c>
      <c r="L77" s="1">
        <f t="shared" si="9"/>
        <v>75942849.675003052</v>
      </c>
      <c r="M77" s="1">
        <f t="shared" si="10"/>
        <v>22132880.460700989</v>
      </c>
    </row>
    <row r="78" spans="2:13" x14ac:dyDescent="0.2">
      <c r="B78" s="1"/>
      <c r="I78" s="1">
        <v>37403334873.656799</v>
      </c>
      <c r="J78" s="1">
        <v>37324654782.546799</v>
      </c>
      <c r="K78" s="1">
        <v>37421595288.1129</v>
      </c>
      <c r="L78" s="1">
        <f t="shared" si="9"/>
        <v>78680091.11000061</v>
      </c>
      <c r="M78" s="1">
        <f t="shared" si="10"/>
        <v>18260414.456100464</v>
      </c>
    </row>
    <row r="79" spans="2:13" x14ac:dyDescent="0.2">
      <c r="B79" s="1"/>
      <c r="I79" s="1">
        <v>37324078589.723503</v>
      </c>
      <c r="J79" s="1">
        <v>37247286178.979599</v>
      </c>
      <c r="K79" s="1">
        <v>37343592355.7901</v>
      </c>
      <c r="L79" s="1">
        <f t="shared" si="9"/>
        <v>76792410.743904114</v>
      </c>
      <c r="M79" s="1">
        <f t="shared" si="10"/>
        <v>19513766.066596985</v>
      </c>
    </row>
    <row r="80" spans="2:13" x14ac:dyDescent="0.2">
      <c r="B80" s="1"/>
      <c r="I80" s="1">
        <v>37289408539.256104</v>
      </c>
      <c r="J80" s="1">
        <v>37219111341.5382</v>
      </c>
      <c r="K80" s="1">
        <v>37314600590.376999</v>
      </c>
      <c r="L80" s="1">
        <f t="shared" si="9"/>
        <v>70297197.717903137</v>
      </c>
      <c r="M80" s="1">
        <f t="shared" si="10"/>
        <v>25192051.120895386</v>
      </c>
    </row>
    <row r="81" spans="2:13" x14ac:dyDescent="0.2">
      <c r="B81" s="1"/>
      <c r="I81" s="1">
        <v>37278137284.563301</v>
      </c>
      <c r="J81" s="1">
        <v>37214713100.323898</v>
      </c>
      <c r="K81" s="1">
        <v>37309136421.800102</v>
      </c>
      <c r="L81" s="1">
        <f t="shared" si="9"/>
        <v>63424184.239402771</v>
      </c>
      <c r="M81" s="1">
        <f t="shared" si="10"/>
        <v>30999137.236801147</v>
      </c>
    </row>
    <row r="82" spans="2:13" x14ac:dyDescent="0.2">
      <c r="B82" s="1"/>
      <c r="I82" s="1">
        <v>37291315201.653702</v>
      </c>
      <c r="J82" s="1">
        <v>37230523460.925003</v>
      </c>
      <c r="K82" s="1">
        <v>37323730646.088097</v>
      </c>
      <c r="L82" s="1">
        <f t="shared" ref="L82:L145" si="12">I82-J82</f>
        <v>60791740.72869873</v>
      </c>
      <c r="M82" s="1">
        <f t="shared" ref="M82:M145" si="13">K82-I82</f>
        <v>32415444.434394836</v>
      </c>
    </row>
    <row r="83" spans="2:13" x14ac:dyDescent="0.2">
      <c r="B83" s="1"/>
      <c r="I83" s="1">
        <v>37335190905.541496</v>
      </c>
      <c r="J83" s="1">
        <v>37271988291.882202</v>
      </c>
      <c r="K83" s="1">
        <v>37364633528.080002</v>
      </c>
      <c r="L83" s="1">
        <f t="shared" si="12"/>
        <v>63202613.659294128</v>
      </c>
      <c r="M83" s="1">
        <f t="shared" si="13"/>
        <v>29442622.538505554</v>
      </c>
    </row>
    <row r="84" spans="2:13" x14ac:dyDescent="0.2">
      <c r="B84" s="1"/>
      <c r="I84" s="1">
        <v>37369256044.490196</v>
      </c>
      <c r="J84" s="1">
        <v>37301260324.531403</v>
      </c>
      <c r="K84" s="1">
        <v>37395555904.590401</v>
      </c>
      <c r="L84" s="1">
        <f t="shared" si="12"/>
        <v>67995719.95879364</v>
      </c>
      <c r="M84" s="1">
        <f t="shared" si="13"/>
        <v>26299860.100204468</v>
      </c>
    </row>
    <row r="85" spans="2:13" x14ac:dyDescent="0.2">
      <c r="B85" s="1"/>
      <c r="I85" s="1">
        <v>37393644886.438202</v>
      </c>
      <c r="J85" s="1">
        <v>37322074736.2062</v>
      </c>
      <c r="K85" s="1">
        <v>37420299168.677597</v>
      </c>
      <c r="L85" s="1">
        <f t="shared" si="12"/>
        <v>71570150.232002258</v>
      </c>
      <c r="M85" s="1">
        <f t="shared" si="13"/>
        <v>26654282.239395142</v>
      </c>
    </row>
    <row r="86" spans="2:13" x14ac:dyDescent="0.2">
      <c r="B86" s="1"/>
      <c r="I86" s="1">
        <v>37406455378.732002</v>
      </c>
      <c r="J86" s="1">
        <v>37334573313.839996</v>
      </c>
      <c r="K86" s="1">
        <v>37435859348.881599</v>
      </c>
      <c r="L86" s="1">
        <f t="shared" si="12"/>
        <v>71882064.89200592</v>
      </c>
      <c r="M86" s="1">
        <f t="shared" si="13"/>
        <v>29403970.149597168</v>
      </c>
    </row>
    <row r="87" spans="2:13" x14ac:dyDescent="0.2">
      <c r="B87" s="1"/>
      <c r="I87" s="1">
        <v>37419646304.329002</v>
      </c>
      <c r="J87" s="1">
        <v>37348748211.341103</v>
      </c>
      <c r="K87" s="1">
        <v>37449912821.885597</v>
      </c>
      <c r="L87" s="1">
        <f t="shared" si="12"/>
        <v>70898092.98789978</v>
      </c>
      <c r="M87" s="1">
        <f t="shared" si="13"/>
        <v>30266517.556594849</v>
      </c>
    </row>
    <row r="88" spans="2:13" x14ac:dyDescent="0.2">
      <c r="B88" s="1"/>
      <c r="I88" s="1">
        <v>37439552202.008797</v>
      </c>
      <c r="J88" s="1">
        <v>37367516078.543297</v>
      </c>
      <c r="K88" s="1">
        <v>37466647316.096199</v>
      </c>
      <c r="L88" s="1">
        <f t="shared" si="12"/>
        <v>72036123.465499878</v>
      </c>
      <c r="M88" s="1">
        <f t="shared" si="13"/>
        <v>27095114.087402344</v>
      </c>
    </row>
    <row r="89" spans="2:13" x14ac:dyDescent="0.2">
      <c r="B89" s="1"/>
      <c r="I89" s="1">
        <v>37401161289.491501</v>
      </c>
      <c r="J89" s="1">
        <v>37325590073.585403</v>
      </c>
      <c r="K89" s="1">
        <v>37422591701.475899</v>
      </c>
      <c r="L89" s="1">
        <f t="shared" si="12"/>
        <v>75571215.906097412</v>
      </c>
      <c r="M89" s="1">
        <f t="shared" si="13"/>
        <v>21430411.984397888</v>
      </c>
    </row>
    <row r="90" spans="2:13" x14ac:dyDescent="0.2">
      <c r="B90" s="1"/>
      <c r="I90" s="1">
        <v>37398695052.990997</v>
      </c>
      <c r="J90" s="1">
        <v>37320711730.641602</v>
      </c>
      <c r="K90" s="1">
        <v>37416186510.573196</v>
      </c>
      <c r="L90" s="1">
        <f t="shared" si="12"/>
        <v>77983322.349395752</v>
      </c>
      <c r="M90" s="1">
        <f t="shared" si="13"/>
        <v>17491457.582199097</v>
      </c>
    </row>
    <row r="91" spans="2:13" x14ac:dyDescent="0.2">
      <c r="B91" s="1"/>
      <c r="I91" s="1">
        <v>37345200130.116096</v>
      </c>
      <c r="J91" s="1">
        <v>37269525428.4589</v>
      </c>
      <c r="K91" s="1">
        <v>37363971810.196999</v>
      </c>
      <c r="L91" s="1">
        <f t="shared" si="12"/>
        <v>75674701.657196045</v>
      </c>
      <c r="M91" s="1">
        <f t="shared" si="13"/>
        <v>18771680.0809021</v>
      </c>
    </row>
    <row r="92" spans="2:13" x14ac:dyDescent="0.2">
      <c r="B92" s="1"/>
      <c r="I92" s="1">
        <v>37304857368.351402</v>
      </c>
      <c r="J92" s="1">
        <v>37235773060.8255</v>
      </c>
      <c r="K92" s="1">
        <v>37329470829.406502</v>
      </c>
      <c r="L92" s="1">
        <f t="shared" si="12"/>
        <v>69084307.525901794</v>
      </c>
      <c r="M92" s="1">
        <f t="shared" si="13"/>
        <v>24613461.055099487</v>
      </c>
    </row>
    <row r="93" spans="2:13" x14ac:dyDescent="0.2">
      <c r="B93" s="1"/>
      <c r="I93" s="1">
        <v>37295529996.3377</v>
      </c>
      <c r="J93" s="1">
        <v>37233056075.835899</v>
      </c>
      <c r="K93" s="1">
        <v>37326010078.055801</v>
      </c>
      <c r="L93" s="1">
        <f t="shared" si="12"/>
        <v>62473920.501800537</v>
      </c>
      <c r="M93" s="1">
        <f t="shared" si="13"/>
        <v>30480081.718101501</v>
      </c>
    </row>
    <row r="94" spans="2:13" x14ac:dyDescent="0.2">
      <c r="B94" s="1"/>
      <c r="I94" s="1">
        <v>37318426551.767899</v>
      </c>
      <c r="J94" s="1">
        <v>37258296884.335403</v>
      </c>
      <c r="K94" s="1">
        <v>37350100005.1147</v>
      </c>
      <c r="L94" s="1">
        <f t="shared" si="12"/>
        <v>60129667.432495117</v>
      </c>
      <c r="M94" s="1">
        <f t="shared" si="13"/>
        <v>31673453.346801758</v>
      </c>
    </row>
    <row r="95" spans="2:13" x14ac:dyDescent="0.2">
      <c r="B95" s="1"/>
      <c r="I95" s="1">
        <v>37365678470.103104</v>
      </c>
      <c r="J95" s="1">
        <v>37303027328.939903</v>
      </c>
      <c r="K95" s="1">
        <v>37394130318.127602</v>
      </c>
      <c r="L95" s="1">
        <f t="shared" si="12"/>
        <v>62651141.163200378</v>
      </c>
      <c r="M95" s="1">
        <f t="shared" si="13"/>
        <v>28451848.024497986</v>
      </c>
    </row>
    <row r="96" spans="2:13" x14ac:dyDescent="0.2">
      <c r="B96" s="1"/>
      <c r="I96" s="1">
        <v>37397044772.8769</v>
      </c>
      <c r="J96" s="1">
        <v>37329477875.461601</v>
      </c>
      <c r="K96" s="1">
        <v>37422561215.486298</v>
      </c>
      <c r="L96" s="1">
        <f t="shared" si="12"/>
        <v>67566897.415298462</v>
      </c>
      <c r="M96" s="1">
        <f t="shared" si="13"/>
        <v>25516442.609397888</v>
      </c>
    </row>
    <row r="97" spans="2:13" x14ac:dyDescent="0.2">
      <c r="B97" s="1"/>
      <c r="I97" s="1">
        <v>37398055388.199799</v>
      </c>
      <c r="J97" s="1">
        <v>37326991430.292999</v>
      </c>
      <c r="K97" s="1">
        <v>37424221725.517502</v>
      </c>
      <c r="L97" s="1">
        <f t="shared" si="12"/>
        <v>71063957.906799316</v>
      </c>
      <c r="M97" s="1">
        <f t="shared" si="13"/>
        <v>26166337.317703247</v>
      </c>
    </row>
    <row r="98" spans="2:13" x14ac:dyDescent="0.2">
      <c r="B98" s="1"/>
      <c r="I98" s="1">
        <v>37403552119.661598</v>
      </c>
      <c r="J98" s="1">
        <v>37332451328.330803</v>
      </c>
      <c r="K98" s="1">
        <v>37432257969.926498</v>
      </c>
      <c r="L98" s="1">
        <f t="shared" si="12"/>
        <v>71100791.330795288</v>
      </c>
      <c r="M98" s="1">
        <f t="shared" si="13"/>
        <v>28705850.264900208</v>
      </c>
    </row>
    <row r="99" spans="2:13" x14ac:dyDescent="0.2">
      <c r="B99" s="1"/>
      <c r="I99" s="1">
        <v>37428712022.189903</v>
      </c>
      <c r="J99" s="1">
        <v>37358719903.674301</v>
      </c>
      <c r="K99" s="1">
        <v>37458077435.3088</v>
      </c>
      <c r="L99" s="1">
        <f t="shared" si="12"/>
        <v>69992118.515602112</v>
      </c>
      <c r="M99" s="1">
        <f t="shared" si="13"/>
        <v>29365413.118896484</v>
      </c>
    </row>
    <row r="100" spans="2:13" x14ac:dyDescent="0.2">
      <c r="B100" s="1"/>
      <c r="I100" s="1">
        <v>37451405216.133102</v>
      </c>
      <c r="J100" s="1">
        <v>37380446997.461601</v>
      </c>
      <c r="K100" s="1">
        <v>37477563547.900803</v>
      </c>
      <c r="L100" s="1">
        <f t="shared" si="12"/>
        <v>70958218.67150116</v>
      </c>
      <c r="M100" s="1">
        <f t="shared" si="13"/>
        <v>26158331.767700195</v>
      </c>
    </row>
    <row r="101" spans="2:13" x14ac:dyDescent="0.2">
      <c r="B101" s="1"/>
      <c r="I101" s="1">
        <v>37454867284.974297</v>
      </c>
      <c r="J101" s="1">
        <v>37380508083.943497</v>
      </c>
      <c r="K101" s="1">
        <v>37475286111.509003</v>
      </c>
      <c r="L101" s="1">
        <f t="shared" si="12"/>
        <v>74359201.030799866</v>
      </c>
      <c r="M101" s="1">
        <f t="shared" si="13"/>
        <v>20418826.534706116</v>
      </c>
    </row>
    <row r="102" spans="2:13" x14ac:dyDescent="0.2">
      <c r="B102" s="1"/>
      <c r="I102" s="1">
        <v>37422063848.307999</v>
      </c>
      <c r="J102" s="1">
        <v>37345227747.778702</v>
      </c>
      <c r="K102" s="1">
        <v>37438453248.621696</v>
      </c>
      <c r="L102" s="1">
        <f t="shared" si="12"/>
        <v>76836100.529296875</v>
      </c>
      <c r="M102" s="1">
        <f t="shared" si="13"/>
        <v>16389400.313697815</v>
      </c>
    </row>
    <row r="103" spans="2:13" x14ac:dyDescent="0.2">
      <c r="B103" s="1"/>
      <c r="I103" s="1">
        <v>37388939823.641296</v>
      </c>
      <c r="J103" s="1">
        <v>37314221150.5187</v>
      </c>
      <c r="K103" s="1">
        <v>37406516955.779503</v>
      </c>
      <c r="L103" s="1">
        <f t="shared" si="12"/>
        <v>74718673.122596741</v>
      </c>
      <c r="M103" s="1">
        <f t="shared" si="13"/>
        <v>17577132.138206482</v>
      </c>
    </row>
    <row r="104" spans="2:13" x14ac:dyDescent="0.2">
      <c r="B104" s="1"/>
      <c r="I104" s="1">
        <v>37354213096.931503</v>
      </c>
      <c r="J104" s="1">
        <v>37286126588.553299</v>
      </c>
      <c r="K104" s="1">
        <v>37377420919.526001</v>
      </c>
      <c r="L104" s="1">
        <f t="shared" si="12"/>
        <v>68086508.378204346</v>
      </c>
      <c r="M104" s="1">
        <f t="shared" si="13"/>
        <v>23207822.594497681</v>
      </c>
    </row>
    <row r="105" spans="2:13" x14ac:dyDescent="0.2">
      <c r="B105" s="1"/>
      <c r="I105" s="1">
        <v>37327154518.585098</v>
      </c>
      <c r="J105" s="1">
        <v>37265925387.626198</v>
      </c>
      <c r="K105" s="1">
        <v>37356109533.9394</v>
      </c>
      <c r="L105" s="1">
        <f t="shared" si="12"/>
        <v>61229130.958900452</v>
      </c>
      <c r="M105" s="1">
        <f t="shared" si="13"/>
        <v>28955015.354301453</v>
      </c>
    </row>
    <row r="106" spans="2:13" x14ac:dyDescent="0.2">
      <c r="B106" s="1"/>
      <c r="I106" s="1">
        <v>37346815929.725197</v>
      </c>
      <c r="J106" s="1">
        <v>37288037387.646301</v>
      </c>
      <c r="K106" s="1">
        <v>37377189257.459999</v>
      </c>
      <c r="L106" s="1">
        <f t="shared" si="12"/>
        <v>58778542.078895569</v>
      </c>
      <c r="M106" s="1">
        <f t="shared" si="13"/>
        <v>30373327.734802246</v>
      </c>
    </row>
    <row r="107" spans="2:13" x14ac:dyDescent="0.2">
      <c r="B107" s="1"/>
      <c r="I107" s="1">
        <v>37366518708.353798</v>
      </c>
      <c r="J107" s="1">
        <v>37305237724.230301</v>
      </c>
      <c r="K107" s="1">
        <v>37393904391.977798</v>
      </c>
      <c r="L107" s="1">
        <f t="shared" si="12"/>
        <v>61280984.123497009</v>
      </c>
      <c r="M107" s="1">
        <f t="shared" si="13"/>
        <v>27385683.624000549</v>
      </c>
    </row>
    <row r="108" spans="2:13" x14ac:dyDescent="0.2">
      <c r="B108" s="1"/>
      <c r="I108" s="1">
        <v>37393449079.0047</v>
      </c>
      <c r="J108" s="1">
        <v>37327293324.5485</v>
      </c>
      <c r="K108" s="1">
        <v>37417800490.156097</v>
      </c>
      <c r="L108" s="1">
        <f t="shared" si="12"/>
        <v>66155754.456199646</v>
      </c>
      <c r="M108" s="1">
        <f t="shared" si="13"/>
        <v>24351411.151397705</v>
      </c>
    </row>
    <row r="109" spans="2:13" x14ac:dyDescent="0.2">
      <c r="B109" s="1"/>
      <c r="I109" s="1">
        <v>37390267907.114197</v>
      </c>
      <c r="J109" s="1">
        <v>37320712647.461601</v>
      </c>
      <c r="K109" s="1">
        <v>37414905987.643303</v>
      </c>
      <c r="L109" s="1">
        <f t="shared" si="12"/>
        <v>69555259.65259552</v>
      </c>
      <c r="M109" s="1">
        <f t="shared" si="13"/>
        <v>24638080.52910614</v>
      </c>
    </row>
    <row r="110" spans="2:13" x14ac:dyDescent="0.2">
      <c r="B110" s="1"/>
      <c r="I110" s="1">
        <v>37404982484.562103</v>
      </c>
      <c r="J110" s="1">
        <v>37335863454.4422</v>
      </c>
      <c r="K110" s="1">
        <v>37431675474.824097</v>
      </c>
      <c r="L110" s="1">
        <f t="shared" si="12"/>
        <v>69119030.119903564</v>
      </c>
      <c r="M110" s="1">
        <f t="shared" si="13"/>
        <v>26692990.261993408</v>
      </c>
    </row>
    <row r="111" spans="2:13" x14ac:dyDescent="0.2">
      <c r="B111" s="1"/>
      <c r="I111" s="1">
        <v>37436255591.750099</v>
      </c>
      <c r="J111" s="1">
        <v>37369147808.566002</v>
      </c>
      <c r="K111" s="1">
        <v>37462741486.618401</v>
      </c>
      <c r="L111" s="1">
        <f t="shared" si="12"/>
        <v>67107783.18409729</v>
      </c>
      <c r="M111" s="1">
        <f t="shared" si="13"/>
        <v>26485894.868301392</v>
      </c>
    </row>
    <row r="112" spans="2:13" x14ac:dyDescent="0.2">
      <c r="B112" s="1"/>
      <c r="I112" s="1">
        <v>37477608839.483002</v>
      </c>
      <c r="J112" s="1">
        <v>37410551650.3862</v>
      </c>
      <c r="K112" s="1">
        <v>37499944349.0952</v>
      </c>
      <c r="L112" s="1">
        <f t="shared" si="12"/>
        <v>67057189.096801758</v>
      </c>
      <c r="M112" s="1">
        <f t="shared" si="13"/>
        <v>22335509.612197876</v>
      </c>
    </row>
    <row r="113" spans="2:13" x14ac:dyDescent="0.2">
      <c r="B113" s="1"/>
      <c r="I113" s="1">
        <v>37449053774.122902</v>
      </c>
      <c r="J113" s="1">
        <v>37366403134.639297</v>
      </c>
      <c r="K113" s="1">
        <v>37460659345.504997</v>
      </c>
      <c r="L113" s="1">
        <f t="shared" si="12"/>
        <v>82650639.483604431</v>
      </c>
      <c r="M113" s="1">
        <f t="shared" si="13"/>
        <v>11605571.382095337</v>
      </c>
    </row>
    <row r="114" spans="2:13" x14ac:dyDescent="0.2">
      <c r="B114" s="1"/>
      <c r="I114" s="1">
        <v>37456457569.953102</v>
      </c>
      <c r="J114" s="1">
        <v>37393149919.325996</v>
      </c>
      <c r="K114" s="1">
        <v>37464090328.0541</v>
      </c>
      <c r="L114" s="1">
        <f t="shared" si="12"/>
        <v>63307650.627105713</v>
      </c>
      <c r="M114" s="1">
        <f t="shared" si="13"/>
        <v>7632758.1009979248</v>
      </c>
    </row>
    <row r="115" spans="2:13" x14ac:dyDescent="0.2">
      <c r="B115" s="1"/>
      <c r="I115" s="1">
        <v>37400752498.6259</v>
      </c>
      <c r="J115" s="1">
        <v>37344878451.102501</v>
      </c>
      <c r="K115" s="1">
        <v>37422725101.538101</v>
      </c>
      <c r="L115" s="1">
        <f t="shared" si="12"/>
        <v>55874047.523399353</v>
      </c>
      <c r="M115" s="1">
        <f t="shared" si="13"/>
        <v>21972602.912200928</v>
      </c>
    </row>
    <row r="116" spans="2:13" x14ac:dyDescent="0.2">
      <c r="B116" s="1"/>
      <c r="I116" s="1">
        <v>37368847845.677696</v>
      </c>
      <c r="J116" s="1">
        <v>37331034448.325401</v>
      </c>
      <c r="K116" s="1">
        <v>37406360778.228104</v>
      </c>
      <c r="L116" s="1">
        <f t="shared" si="12"/>
        <v>37813397.352294922</v>
      </c>
      <c r="M116" s="1">
        <f t="shared" si="13"/>
        <v>37512932.55040741</v>
      </c>
    </row>
    <row r="117" spans="2:13" x14ac:dyDescent="0.2">
      <c r="B117" s="1"/>
      <c r="I117" s="1">
        <v>37357312009.979698</v>
      </c>
      <c r="J117" s="1">
        <v>37343741762.752197</v>
      </c>
      <c r="K117" s="1">
        <v>37415311733.108803</v>
      </c>
      <c r="L117" s="1">
        <f t="shared" si="12"/>
        <v>13570247.227500916</v>
      </c>
      <c r="M117" s="1">
        <f t="shared" si="13"/>
        <v>57999723.129104614</v>
      </c>
    </row>
    <row r="118" spans="2:13" x14ac:dyDescent="0.2">
      <c r="B118" s="1"/>
      <c r="I118" s="1">
        <v>37359884518.357903</v>
      </c>
      <c r="J118" s="1">
        <v>37324356589.434097</v>
      </c>
      <c r="K118" s="1">
        <v>37404535619.377998</v>
      </c>
      <c r="L118" s="1">
        <f t="shared" si="12"/>
        <v>35527928.923805237</v>
      </c>
      <c r="M118" s="1">
        <f t="shared" si="13"/>
        <v>44651101.020095825</v>
      </c>
    </row>
    <row r="119" spans="2:13" x14ac:dyDescent="0.2">
      <c r="B119" s="1"/>
      <c r="I119" s="1">
        <v>37389822480.899696</v>
      </c>
      <c r="J119" s="1">
        <v>37346405896.736198</v>
      </c>
      <c r="K119" s="1">
        <v>37437704737.091499</v>
      </c>
      <c r="L119" s="1">
        <f t="shared" si="12"/>
        <v>43416584.163497925</v>
      </c>
      <c r="M119" s="1">
        <f t="shared" si="13"/>
        <v>47882256.191802979</v>
      </c>
    </row>
    <row r="120" spans="2:13" x14ac:dyDescent="0.2">
      <c r="B120" s="1"/>
      <c r="I120" s="1">
        <v>37402607206.136497</v>
      </c>
      <c r="J120" s="1">
        <v>37341224038.099602</v>
      </c>
      <c r="K120" s="1">
        <v>37427313109.435097</v>
      </c>
      <c r="L120" s="1">
        <f t="shared" si="12"/>
        <v>61383168.036895752</v>
      </c>
      <c r="M120" s="1">
        <f t="shared" si="13"/>
        <v>24705903.298599243</v>
      </c>
    </row>
    <row r="121" spans="2:13" x14ac:dyDescent="0.2">
      <c r="B121" s="1"/>
      <c r="I121" s="1">
        <v>37406636610.534698</v>
      </c>
      <c r="J121" s="1">
        <v>37354219284.604897</v>
      </c>
      <c r="K121" s="1">
        <v>37438855054.690903</v>
      </c>
      <c r="L121" s="1">
        <f t="shared" si="12"/>
        <v>52417325.929801941</v>
      </c>
      <c r="M121" s="1">
        <f t="shared" si="13"/>
        <v>32218444.156204224</v>
      </c>
    </row>
    <row r="122" spans="2:13" x14ac:dyDescent="0.2">
      <c r="B122" s="1"/>
      <c r="I122" s="1">
        <v>37443192645.440697</v>
      </c>
      <c r="J122" s="1">
        <v>37393021577.609596</v>
      </c>
      <c r="K122" s="1">
        <v>37466821591.673302</v>
      </c>
      <c r="L122" s="1">
        <f t="shared" si="12"/>
        <v>50171067.831100464</v>
      </c>
      <c r="M122" s="1">
        <f t="shared" si="13"/>
        <v>23628946.23260498</v>
      </c>
    </row>
    <row r="123" spans="2:13" x14ac:dyDescent="0.2">
      <c r="B123" s="1"/>
      <c r="I123" s="1">
        <v>37427616777.191101</v>
      </c>
      <c r="J123" s="1">
        <v>37419846136.316399</v>
      </c>
      <c r="K123" s="1">
        <v>37489303872.062401</v>
      </c>
      <c r="L123" s="1">
        <f t="shared" si="12"/>
        <v>7770640.8747024536</v>
      </c>
      <c r="M123" s="1">
        <f t="shared" si="13"/>
        <v>61687094.871299744</v>
      </c>
    </row>
    <row r="124" spans="2:13" x14ac:dyDescent="0.2">
      <c r="B124" s="1"/>
      <c r="I124" s="1">
        <v>37446682053.565903</v>
      </c>
      <c r="J124" s="1">
        <v>37421506671.0839</v>
      </c>
      <c r="K124" s="1">
        <v>37490750946.2593</v>
      </c>
      <c r="L124" s="1">
        <f t="shared" si="12"/>
        <v>25175382.482002258</v>
      </c>
      <c r="M124" s="1">
        <f t="shared" si="13"/>
        <v>44068892.693397522</v>
      </c>
    </row>
    <row r="125" spans="2:13" x14ac:dyDescent="0.2">
      <c r="B125" s="1"/>
      <c r="I125" s="1">
        <v>37472398542.311203</v>
      </c>
      <c r="J125" s="1">
        <v>37431942849.985901</v>
      </c>
      <c r="K125" s="1">
        <v>37501862772.201797</v>
      </c>
      <c r="L125" s="1">
        <f t="shared" si="12"/>
        <v>40455692.325302124</v>
      </c>
      <c r="M125" s="1">
        <f t="shared" si="13"/>
        <v>29464229.890594482</v>
      </c>
    </row>
    <row r="126" spans="2:13" x14ac:dyDescent="0.2">
      <c r="B126" s="1"/>
      <c r="I126" s="1">
        <v>37456050623.587303</v>
      </c>
      <c r="J126" s="1">
        <v>37412129900.245796</v>
      </c>
      <c r="K126" s="1">
        <v>37498339625.316704</v>
      </c>
      <c r="L126" s="1">
        <f t="shared" si="12"/>
        <v>43920723.341506958</v>
      </c>
      <c r="M126" s="1">
        <f t="shared" si="13"/>
        <v>42289001.729400635</v>
      </c>
    </row>
    <row r="127" spans="2:13" x14ac:dyDescent="0.2">
      <c r="B127" s="1"/>
      <c r="I127" s="1">
        <v>37424792665.538498</v>
      </c>
      <c r="J127" s="1">
        <v>37387443804.574097</v>
      </c>
      <c r="K127" s="1">
        <v>37463467992.584297</v>
      </c>
      <c r="L127" s="1">
        <f t="shared" si="12"/>
        <v>37348860.964401245</v>
      </c>
      <c r="M127" s="1">
        <f t="shared" si="13"/>
        <v>38675327.045799255</v>
      </c>
    </row>
    <row r="128" spans="2:13" x14ac:dyDescent="0.2">
      <c r="B128" s="1"/>
      <c r="I128" s="1">
        <v>37384425585.205498</v>
      </c>
      <c r="J128" s="1">
        <v>37333341533.629501</v>
      </c>
      <c r="K128" s="1">
        <v>37410027621.802101</v>
      </c>
      <c r="L128" s="1">
        <f t="shared" si="12"/>
        <v>51084051.575996399</v>
      </c>
      <c r="M128" s="1">
        <f t="shared" si="13"/>
        <v>25602036.596603394</v>
      </c>
    </row>
    <row r="129" spans="2:13" x14ac:dyDescent="0.2">
      <c r="B129" s="1"/>
      <c r="I129" s="1">
        <v>37394188179.740501</v>
      </c>
      <c r="J129" s="1">
        <v>37360627994.321297</v>
      </c>
      <c r="K129" s="1">
        <v>37436851258.634804</v>
      </c>
      <c r="L129" s="1">
        <f t="shared" si="12"/>
        <v>33560185.419204712</v>
      </c>
      <c r="M129" s="1">
        <f t="shared" si="13"/>
        <v>42663078.894302368</v>
      </c>
    </row>
    <row r="130" spans="2:13" x14ac:dyDescent="0.2">
      <c r="B130" s="1"/>
      <c r="I130" s="1">
        <v>37414956728.373703</v>
      </c>
      <c r="J130" s="1">
        <v>37373941576.628998</v>
      </c>
      <c r="K130" s="1">
        <v>37452978483.654999</v>
      </c>
      <c r="L130" s="1">
        <f t="shared" si="12"/>
        <v>41015151.7447052</v>
      </c>
      <c r="M130" s="1">
        <f t="shared" si="13"/>
        <v>38021755.281295776</v>
      </c>
    </row>
    <row r="131" spans="2:13" x14ac:dyDescent="0.2">
      <c r="B131" s="1"/>
      <c r="I131" s="1">
        <v>37424135133.403503</v>
      </c>
      <c r="J131" s="1">
        <v>37405666262.7658</v>
      </c>
      <c r="K131" s="1">
        <v>37470357857.492798</v>
      </c>
      <c r="L131" s="1">
        <f t="shared" si="12"/>
        <v>18468870.637702942</v>
      </c>
      <c r="M131" s="1">
        <f t="shared" si="13"/>
        <v>46222724.089294434</v>
      </c>
    </row>
    <row r="132" spans="2:13" x14ac:dyDescent="0.2">
      <c r="B132" s="1"/>
      <c r="I132" s="1">
        <v>37449548866.088799</v>
      </c>
      <c r="J132" s="1">
        <v>37412414324.724197</v>
      </c>
      <c r="K132" s="1">
        <v>37488663430.337402</v>
      </c>
      <c r="L132" s="1">
        <f t="shared" si="12"/>
        <v>37134541.364601135</v>
      </c>
      <c r="M132" s="1">
        <f t="shared" si="13"/>
        <v>39114564.248603821</v>
      </c>
    </row>
    <row r="133" spans="2:13" x14ac:dyDescent="0.2">
      <c r="B133" s="1"/>
      <c r="I133" s="1">
        <v>37452462273.528198</v>
      </c>
      <c r="J133" s="1">
        <v>37407035429.4925</v>
      </c>
      <c r="K133" s="1">
        <v>37475395064.825401</v>
      </c>
      <c r="L133" s="1">
        <f t="shared" si="12"/>
        <v>45426844.035697937</v>
      </c>
      <c r="M133" s="1">
        <f t="shared" si="13"/>
        <v>22932791.297203064</v>
      </c>
    </row>
    <row r="134" spans="2:13" x14ac:dyDescent="0.2">
      <c r="B134" s="1"/>
      <c r="I134" s="1">
        <v>37447141337.177902</v>
      </c>
      <c r="J134" s="1">
        <v>37408578786.609299</v>
      </c>
      <c r="K134" s="1">
        <v>37507713910.912598</v>
      </c>
      <c r="L134" s="1">
        <f t="shared" si="12"/>
        <v>38562550.568603516</v>
      </c>
      <c r="M134" s="1">
        <f t="shared" si="13"/>
        <v>60572573.734695435</v>
      </c>
    </row>
    <row r="135" spans="2:13" x14ac:dyDescent="0.2">
      <c r="B135" s="1"/>
      <c r="I135" s="1">
        <v>37485849011.654198</v>
      </c>
      <c r="J135" s="1">
        <v>37436593145.068298</v>
      </c>
      <c r="K135" s="1">
        <v>37504526739.096001</v>
      </c>
      <c r="L135" s="1">
        <f t="shared" si="12"/>
        <v>49255866.585899353</v>
      </c>
      <c r="M135" s="1">
        <f t="shared" si="13"/>
        <v>18677727.441802979</v>
      </c>
    </row>
    <row r="136" spans="2:13" x14ac:dyDescent="0.2">
      <c r="B136" s="1"/>
      <c r="I136" s="1">
        <v>37500793650.201202</v>
      </c>
      <c r="J136" s="1">
        <v>37478616716.988098</v>
      </c>
      <c r="K136" s="1">
        <v>37546035930.048798</v>
      </c>
      <c r="L136" s="1">
        <f t="shared" si="12"/>
        <v>22176933.213104248</v>
      </c>
      <c r="M136" s="1">
        <f t="shared" si="13"/>
        <v>45242279.847595215</v>
      </c>
    </row>
    <row r="137" spans="2:13" x14ac:dyDescent="0.2">
      <c r="B137" s="1"/>
      <c r="I137" s="1">
        <v>37485514896.0867</v>
      </c>
      <c r="J137" s="1">
        <v>37466295242.189301</v>
      </c>
      <c r="K137" s="1">
        <v>37527762615.120499</v>
      </c>
      <c r="L137" s="1">
        <f t="shared" si="12"/>
        <v>19219653.897399902</v>
      </c>
      <c r="M137" s="1">
        <f t="shared" si="13"/>
        <v>42247719.033798218</v>
      </c>
    </row>
    <row r="138" spans="2:13" x14ac:dyDescent="0.2">
      <c r="B138" s="1"/>
      <c r="I138" s="1">
        <v>37453396403.531502</v>
      </c>
      <c r="J138" s="1">
        <v>37433949677.395401</v>
      </c>
      <c r="K138" s="1">
        <v>37496951441.522202</v>
      </c>
      <c r="L138" s="1">
        <f t="shared" si="12"/>
        <v>19446726.136100769</v>
      </c>
      <c r="M138" s="1">
        <f t="shared" si="13"/>
        <v>43555037.990699768</v>
      </c>
    </row>
    <row r="139" spans="2:13" x14ac:dyDescent="0.2">
      <c r="B139" s="1"/>
      <c r="I139" s="1">
        <v>37440836143.392502</v>
      </c>
      <c r="J139" s="1">
        <v>37391272681.127403</v>
      </c>
      <c r="K139" s="1">
        <v>37480480120.431396</v>
      </c>
      <c r="L139" s="1">
        <f t="shared" si="12"/>
        <v>49563462.265098572</v>
      </c>
      <c r="M139" s="1">
        <f t="shared" si="13"/>
        <v>39643977.038894653</v>
      </c>
    </row>
    <row r="140" spans="2:13" x14ac:dyDescent="0.2">
      <c r="B140" s="1"/>
      <c r="I140" s="1">
        <v>37388879758.812401</v>
      </c>
      <c r="J140" s="1">
        <v>37341448662.2742</v>
      </c>
      <c r="K140" s="1">
        <v>37409947916.520302</v>
      </c>
      <c r="L140" s="1">
        <f t="shared" si="12"/>
        <v>47431096.538200378</v>
      </c>
      <c r="M140" s="1">
        <f t="shared" si="13"/>
        <v>21068157.707901001</v>
      </c>
    </row>
    <row r="141" spans="2:13" x14ac:dyDescent="0.2">
      <c r="B141" s="1"/>
      <c r="I141" s="1">
        <v>37384334113.839798</v>
      </c>
      <c r="J141" s="1">
        <v>37337256726.700798</v>
      </c>
      <c r="K141" s="1">
        <v>37408367337.916801</v>
      </c>
      <c r="L141" s="1">
        <f t="shared" si="12"/>
        <v>47077387.138999939</v>
      </c>
      <c r="M141" s="1">
        <f t="shared" si="13"/>
        <v>24033224.077003479</v>
      </c>
    </row>
    <row r="142" spans="2:13" x14ac:dyDescent="0.2">
      <c r="B142" s="1"/>
      <c r="I142" s="1">
        <v>37407364680.341003</v>
      </c>
      <c r="J142" s="1">
        <v>37351792713.314201</v>
      </c>
      <c r="K142" s="1">
        <v>37423925691.617302</v>
      </c>
      <c r="L142" s="1">
        <f t="shared" si="12"/>
        <v>55571967.026802063</v>
      </c>
      <c r="M142" s="1">
        <f t="shared" si="13"/>
        <v>16561011.276298523</v>
      </c>
    </row>
    <row r="143" spans="2:13" x14ac:dyDescent="0.2">
      <c r="B143" s="1"/>
      <c r="I143" s="1">
        <v>37435713515.692101</v>
      </c>
      <c r="J143" s="1">
        <v>37390422080.665802</v>
      </c>
      <c r="K143" s="1">
        <v>37460969875.399101</v>
      </c>
      <c r="L143" s="1">
        <f t="shared" si="12"/>
        <v>45291435.026298523</v>
      </c>
      <c r="M143" s="1">
        <f t="shared" si="13"/>
        <v>25256359.707000732</v>
      </c>
    </row>
    <row r="144" spans="2:13" x14ac:dyDescent="0.2">
      <c r="B144" s="1"/>
      <c r="I144" s="1">
        <v>37451399320.004898</v>
      </c>
      <c r="J144" s="1">
        <v>37414032296.259499</v>
      </c>
      <c r="K144" s="1">
        <v>37480939378.191498</v>
      </c>
      <c r="L144" s="1">
        <f t="shared" si="12"/>
        <v>37367023.745399475</v>
      </c>
      <c r="M144" s="1">
        <f t="shared" si="13"/>
        <v>29540058.186599731</v>
      </c>
    </row>
    <row r="145" spans="2:13" x14ac:dyDescent="0.2">
      <c r="B145" s="1"/>
      <c r="I145" s="1">
        <v>37459152571.540199</v>
      </c>
      <c r="J145" s="1">
        <v>37435821815.5131</v>
      </c>
      <c r="K145" s="1">
        <v>37503916164.619003</v>
      </c>
      <c r="L145" s="1">
        <f t="shared" si="12"/>
        <v>23330756.027099609</v>
      </c>
      <c r="M145" s="1">
        <f t="shared" si="13"/>
        <v>44763593.078804016</v>
      </c>
    </row>
    <row r="146" spans="2:13" x14ac:dyDescent="0.2">
      <c r="B146" s="1"/>
      <c r="I146" s="1">
        <v>37479389469.680496</v>
      </c>
      <c r="J146" s="1">
        <v>37442865774.5979</v>
      </c>
      <c r="K146" s="1">
        <v>37515913164.7631</v>
      </c>
      <c r="L146" s="1">
        <f t="shared" ref="L146:L209" si="14">I146-J146</f>
        <v>36523695.082595825</v>
      </c>
      <c r="M146" s="1">
        <f t="shared" ref="M146:M209" si="15">K146-I146</f>
        <v>36523695.082603455</v>
      </c>
    </row>
    <row r="147" spans="2:13" x14ac:dyDescent="0.2">
      <c r="B147" s="1"/>
      <c r="I147" s="1">
        <v>37494274059.427399</v>
      </c>
      <c r="J147" s="1">
        <v>37429514772.6679</v>
      </c>
      <c r="K147" s="1">
        <v>37535490551.135597</v>
      </c>
      <c r="L147" s="1">
        <f t="shared" si="14"/>
        <v>64759286.759498596</v>
      </c>
      <c r="M147" s="1">
        <f t="shared" si="15"/>
        <v>41216491.708198547</v>
      </c>
    </row>
    <row r="148" spans="2:13" x14ac:dyDescent="0.2">
      <c r="B148" s="1"/>
      <c r="I148" s="1">
        <v>37507238913.948601</v>
      </c>
      <c r="J148" s="1">
        <v>37450338986.924599</v>
      </c>
      <c r="K148" s="1">
        <v>37545829009.467598</v>
      </c>
      <c r="L148" s="1">
        <f t="shared" si="14"/>
        <v>56899927.024002075</v>
      </c>
      <c r="M148" s="1">
        <f t="shared" si="15"/>
        <v>38590095.518997192</v>
      </c>
    </row>
    <row r="149" spans="2:13" x14ac:dyDescent="0.2">
      <c r="B149" s="1"/>
      <c r="I149" s="1">
        <v>37487076325.176102</v>
      </c>
      <c r="J149" s="1">
        <v>37438228383.2229</v>
      </c>
      <c r="K149" s="1">
        <v>37524756922.224998</v>
      </c>
      <c r="L149" s="1">
        <f t="shared" si="14"/>
        <v>48847941.953201294</v>
      </c>
      <c r="M149" s="1">
        <f t="shared" si="15"/>
        <v>37680597.04889679</v>
      </c>
    </row>
    <row r="150" spans="2:13" x14ac:dyDescent="0.2">
      <c r="B150" s="1"/>
      <c r="I150" s="1">
        <v>37491528091.435501</v>
      </c>
      <c r="J150" s="1">
        <v>37418758022.406403</v>
      </c>
      <c r="K150" s="1">
        <v>37514418063.714401</v>
      </c>
      <c r="L150" s="1">
        <f t="shared" si="14"/>
        <v>72770069.029098511</v>
      </c>
      <c r="M150" s="1">
        <f t="shared" si="15"/>
        <v>22889972.278900146</v>
      </c>
    </row>
    <row r="151" spans="2:13" x14ac:dyDescent="0.2">
      <c r="B151" s="1"/>
      <c r="I151" s="1">
        <v>37420993369.262398</v>
      </c>
      <c r="J151" s="1">
        <v>37396818045.481598</v>
      </c>
      <c r="K151" s="1">
        <v>37463223618.240196</v>
      </c>
      <c r="L151" s="1">
        <f t="shared" si="14"/>
        <v>24175323.780799866</v>
      </c>
      <c r="M151" s="1">
        <f t="shared" si="15"/>
        <v>42230248.977798462</v>
      </c>
    </row>
    <row r="152" spans="2:13" x14ac:dyDescent="0.2">
      <c r="B152" s="1"/>
      <c r="I152" s="1">
        <v>37402920607.355797</v>
      </c>
      <c r="J152" s="1">
        <v>37387911542.059097</v>
      </c>
      <c r="K152" s="1">
        <v>37452610733.852303</v>
      </c>
      <c r="L152" s="1">
        <f t="shared" si="14"/>
        <v>15009065.296699524</v>
      </c>
      <c r="M152" s="1">
        <f t="shared" si="15"/>
        <v>49690126.496505737</v>
      </c>
    </row>
    <row r="153" spans="2:13" x14ac:dyDescent="0.2">
      <c r="B153" s="1"/>
      <c r="I153" s="1">
        <v>37376333850.1642</v>
      </c>
      <c r="J153" s="1">
        <v>37352928343.693298</v>
      </c>
      <c r="K153" s="1">
        <v>37420682463.334801</v>
      </c>
      <c r="L153" s="1">
        <f t="shared" si="14"/>
        <v>23405506.470901489</v>
      </c>
      <c r="M153" s="1">
        <f t="shared" si="15"/>
        <v>44348613.170600891</v>
      </c>
    </row>
    <row r="154" spans="2:13" x14ac:dyDescent="0.2">
      <c r="B154" s="1"/>
      <c r="I154" s="1">
        <v>37410939146.159599</v>
      </c>
      <c r="J154" s="1">
        <v>37373716851.991096</v>
      </c>
      <c r="K154" s="1">
        <v>37442613847.390701</v>
      </c>
      <c r="L154" s="1">
        <f t="shared" si="14"/>
        <v>37222294.168502808</v>
      </c>
      <c r="M154" s="1">
        <f t="shared" si="15"/>
        <v>31674701.23110199</v>
      </c>
    </row>
    <row r="155" spans="2:13" x14ac:dyDescent="0.2">
      <c r="B155" s="1"/>
      <c r="I155" s="1">
        <v>37480062395.735703</v>
      </c>
      <c r="J155" s="1">
        <v>37426757711.220901</v>
      </c>
      <c r="K155" s="1">
        <v>37497823044.124001</v>
      </c>
      <c r="L155" s="1">
        <f t="shared" si="14"/>
        <v>53304684.514801025</v>
      </c>
      <c r="M155" s="1">
        <f t="shared" si="15"/>
        <v>17760648.388298035</v>
      </c>
    </row>
    <row r="156" spans="2:13" x14ac:dyDescent="0.2">
      <c r="B156" s="1"/>
      <c r="I156" s="1">
        <v>37460763126.503899</v>
      </c>
      <c r="J156" s="1">
        <v>37446531782.8153</v>
      </c>
      <c r="K156" s="1">
        <v>37510979191.262497</v>
      </c>
      <c r="L156" s="1">
        <f t="shared" si="14"/>
        <v>14231343.688598633</v>
      </c>
      <c r="M156" s="1">
        <f t="shared" si="15"/>
        <v>50216064.758598328</v>
      </c>
    </row>
    <row r="157" spans="2:13" x14ac:dyDescent="0.2">
      <c r="B157" s="1"/>
      <c r="I157" s="1">
        <v>37488978856.239601</v>
      </c>
      <c r="J157" s="1">
        <v>37471334979.026703</v>
      </c>
      <c r="K157" s="1">
        <v>37535298574.640701</v>
      </c>
      <c r="L157" s="1">
        <f t="shared" si="14"/>
        <v>17643877.212898254</v>
      </c>
      <c r="M157" s="1">
        <f t="shared" si="15"/>
        <v>46319718.401100159</v>
      </c>
    </row>
    <row r="158" spans="2:13" x14ac:dyDescent="0.2">
      <c r="B158" s="1"/>
      <c r="I158" s="1">
        <v>37497970302.863197</v>
      </c>
      <c r="J158" s="1">
        <v>37454269925.312897</v>
      </c>
      <c r="K158" s="1">
        <v>37526529867.035698</v>
      </c>
      <c r="L158" s="1">
        <f t="shared" si="14"/>
        <v>43700377.550300598</v>
      </c>
      <c r="M158" s="1">
        <f t="shared" si="15"/>
        <v>28559564.17250061</v>
      </c>
    </row>
    <row r="159" spans="2:13" x14ac:dyDescent="0.2">
      <c r="B159" s="1"/>
      <c r="I159" s="1">
        <v>37515547635.943901</v>
      </c>
      <c r="J159" s="1">
        <v>37492505083.7696</v>
      </c>
      <c r="K159" s="1">
        <v>37556977102.4842</v>
      </c>
      <c r="L159" s="1">
        <f t="shared" si="14"/>
        <v>23042552.174301147</v>
      </c>
      <c r="M159" s="1">
        <f t="shared" si="15"/>
        <v>41429466.540298462</v>
      </c>
    </row>
    <row r="160" spans="2:13" x14ac:dyDescent="0.2">
      <c r="B160" s="1"/>
      <c r="I160" s="1">
        <v>37522449108.866203</v>
      </c>
      <c r="J160" s="1">
        <v>37501288136.266899</v>
      </c>
      <c r="K160" s="1">
        <v>37562054685.974197</v>
      </c>
      <c r="L160" s="1">
        <f t="shared" si="14"/>
        <v>21160972.599304199</v>
      </c>
      <c r="M160" s="1">
        <f t="shared" si="15"/>
        <v>39605577.10799408</v>
      </c>
    </row>
    <row r="161" spans="2:13" x14ac:dyDescent="0.2">
      <c r="B161" s="1"/>
      <c r="I161" s="1">
        <v>37547476869.216797</v>
      </c>
      <c r="J161" s="1">
        <v>37515309352.853401</v>
      </c>
      <c r="K161" s="1">
        <v>37574049308.8283</v>
      </c>
      <c r="L161" s="1">
        <f t="shared" si="14"/>
        <v>32167516.363395691</v>
      </c>
      <c r="M161" s="1">
        <f t="shared" si="15"/>
        <v>26572439.611503601</v>
      </c>
    </row>
    <row r="162" spans="2:13" x14ac:dyDescent="0.2">
      <c r="B162" s="1"/>
      <c r="I162" s="1">
        <v>37516052157.849197</v>
      </c>
      <c r="J162" s="1">
        <v>37510264621.927399</v>
      </c>
      <c r="K162" s="1">
        <v>37572775692.597198</v>
      </c>
      <c r="L162" s="1">
        <f t="shared" si="14"/>
        <v>5787535.9217987061</v>
      </c>
      <c r="M162" s="1">
        <f t="shared" si="15"/>
        <v>56723534.748001099</v>
      </c>
    </row>
    <row r="163" spans="2:13" x14ac:dyDescent="0.2">
      <c r="B163" s="1"/>
      <c r="I163" s="1">
        <v>37522059883.344398</v>
      </c>
      <c r="J163" s="1">
        <v>37484291400.217796</v>
      </c>
      <c r="K163" s="1">
        <v>37550191544.541199</v>
      </c>
      <c r="L163" s="1">
        <f t="shared" si="14"/>
        <v>37768483.126602173</v>
      </c>
      <c r="M163" s="1">
        <f t="shared" si="15"/>
        <v>28131661.196800232</v>
      </c>
    </row>
    <row r="164" spans="2:13" x14ac:dyDescent="0.2">
      <c r="B164" s="1"/>
      <c r="I164" s="1">
        <v>37440483796.740196</v>
      </c>
      <c r="J164" s="1">
        <v>37425845689.656799</v>
      </c>
      <c r="K164" s="1">
        <v>37490053340.949097</v>
      </c>
      <c r="L164" s="1">
        <f t="shared" si="14"/>
        <v>14638107.083396912</v>
      </c>
      <c r="M164" s="1">
        <f t="shared" si="15"/>
        <v>49569544.208900452</v>
      </c>
    </row>
    <row r="165" spans="2:13" x14ac:dyDescent="0.2">
      <c r="B165" s="1"/>
      <c r="I165" s="1">
        <v>37427875478.745598</v>
      </c>
      <c r="J165" s="1">
        <v>37398078985.260399</v>
      </c>
      <c r="K165" s="1">
        <v>37463550684.147102</v>
      </c>
      <c r="L165" s="1">
        <f t="shared" si="14"/>
        <v>29796493.485198975</v>
      </c>
      <c r="M165" s="1">
        <f t="shared" si="15"/>
        <v>35675205.401504517</v>
      </c>
    </row>
    <row r="166" spans="2:13" x14ac:dyDescent="0.2">
      <c r="B166" s="1"/>
      <c r="I166" s="1">
        <v>37482503571.516899</v>
      </c>
      <c r="J166" s="1">
        <v>37455893348.722</v>
      </c>
      <c r="K166" s="1">
        <v>37516686764.947899</v>
      </c>
      <c r="L166" s="1">
        <f t="shared" si="14"/>
        <v>26610222.794898987</v>
      </c>
      <c r="M166" s="1">
        <f t="shared" si="15"/>
        <v>34183193.430999756</v>
      </c>
    </row>
    <row r="167" spans="2:13" x14ac:dyDescent="0.2">
      <c r="B167" s="1"/>
      <c r="I167" s="1">
        <v>37481047545.095001</v>
      </c>
      <c r="J167" s="1">
        <v>37494793705.066498</v>
      </c>
      <c r="K167" s="1">
        <v>37554814157.543503</v>
      </c>
      <c r="L167" s="1">
        <f t="shared" si="14"/>
        <v>-13746159.971496582</v>
      </c>
      <c r="M167" s="1">
        <f t="shared" si="15"/>
        <v>73766612.448501587</v>
      </c>
    </row>
    <row r="168" spans="2:13" x14ac:dyDescent="0.2">
      <c r="B168" s="1"/>
      <c r="I168" s="1">
        <v>37514547660.335197</v>
      </c>
      <c r="J168" s="1">
        <v>37480357602.350098</v>
      </c>
      <c r="K168" s="1">
        <v>37544624629.441704</v>
      </c>
      <c r="L168" s="1">
        <f t="shared" si="14"/>
        <v>34190057.985099792</v>
      </c>
      <c r="M168" s="1">
        <f t="shared" si="15"/>
        <v>30076969.106506348</v>
      </c>
    </row>
    <row r="169" spans="2:13" x14ac:dyDescent="0.2">
      <c r="B169" s="1"/>
      <c r="I169" s="1">
        <v>37537455451.129204</v>
      </c>
      <c r="J169" s="1">
        <v>37500471304.6782</v>
      </c>
      <c r="K169" s="1">
        <v>37568982730.472</v>
      </c>
      <c r="L169" s="1">
        <f t="shared" si="14"/>
        <v>36984146.451004028</v>
      </c>
      <c r="M169" s="1">
        <f t="shared" si="15"/>
        <v>31527279.342796326</v>
      </c>
    </row>
    <row r="170" spans="2:13" x14ac:dyDescent="0.2">
      <c r="B170" s="1"/>
      <c r="I170" s="1">
        <v>37567888872.944199</v>
      </c>
      <c r="J170" s="1">
        <v>37519228876.864899</v>
      </c>
      <c r="K170" s="1">
        <v>37591515352.071602</v>
      </c>
      <c r="L170" s="1">
        <f t="shared" si="14"/>
        <v>48659996.079299927</v>
      </c>
      <c r="M170" s="1">
        <f t="shared" si="15"/>
        <v>23626479.127403259</v>
      </c>
    </row>
    <row r="171" spans="2:13" x14ac:dyDescent="0.2">
      <c r="B171" s="1"/>
      <c r="I171" s="1">
        <v>37523392791.007103</v>
      </c>
      <c r="J171" s="1">
        <v>37497050937.272499</v>
      </c>
      <c r="K171" s="1">
        <v>37565342212.525101</v>
      </c>
      <c r="L171" s="1">
        <f t="shared" si="14"/>
        <v>26341853.734603882</v>
      </c>
      <c r="M171" s="1">
        <f t="shared" si="15"/>
        <v>41949421.517997742</v>
      </c>
    </row>
    <row r="172" spans="2:13" x14ac:dyDescent="0.2">
      <c r="B172" s="1"/>
      <c r="I172" s="1">
        <v>37567834402.376602</v>
      </c>
      <c r="J172" s="1">
        <v>37536709424.404701</v>
      </c>
      <c r="K172" s="1">
        <v>37605087888.289398</v>
      </c>
      <c r="L172" s="1">
        <f t="shared" si="14"/>
        <v>31124977.97190094</v>
      </c>
      <c r="M172" s="1">
        <f t="shared" si="15"/>
        <v>37253485.912796021</v>
      </c>
    </row>
    <row r="173" spans="2:13" x14ac:dyDescent="0.2">
      <c r="B173" s="1"/>
      <c r="I173" s="1">
        <v>37585902750.612801</v>
      </c>
      <c r="J173" s="1">
        <v>37555977225.062599</v>
      </c>
      <c r="K173" s="1">
        <v>37622898298.187202</v>
      </c>
      <c r="L173" s="1">
        <f t="shared" si="14"/>
        <v>29925525.550201416</v>
      </c>
      <c r="M173" s="1">
        <f t="shared" si="15"/>
        <v>36995547.574401855</v>
      </c>
    </row>
    <row r="174" spans="2:13" x14ac:dyDescent="0.2">
      <c r="B174" s="1"/>
      <c r="I174" s="1">
        <v>37548857781.786102</v>
      </c>
      <c r="J174" s="1">
        <v>37527009062.079002</v>
      </c>
      <c r="K174" s="1">
        <v>37588769186.431396</v>
      </c>
      <c r="L174" s="1">
        <f t="shared" si="14"/>
        <v>21848719.707099915</v>
      </c>
      <c r="M174" s="1">
        <f t="shared" si="15"/>
        <v>39911404.645294189</v>
      </c>
    </row>
    <row r="175" spans="2:13" x14ac:dyDescent="0.2">
      <c r="B175" s="1"/>
      <c r="I175" s="1">
        <v>37476406745.329102</v>
      </c>
      <c r="J175" s="1">
        <v>37451482781.507103</v>
      </c>
      <c r="K175" s="1">
        <v>37519308195.541199</v>
      </c>
      <c r="L175" s="1">
        <f t="shared" si="14"/>
        <v>24923963.821998596</v>
      </c>
      <c r="M175" s="1">
        <f t="shared" si="15"/>
        <v>42901450.212097168</v>
      </c>
    </row>
    <row r="176" spans="2:13" x14ac:dyDescent="0.2">
      <c r="B176" s="1"/>
      <c r="I176" s="1">
        <v>37444582897.385498</v>
      </c>
      <c r="J176" s="1">
        <v>37415266066.7826</v>
      </c>
      <c r="K176" s="1">
        <v>37482695682.171204</v>
      </c>
      <c r="L176" s="1">
        <f t="shared" si="14"/>
        <v>29316830.602897644</v>
      </c>
      <c r="M176" s="1">
        <f t="shared" si="15"/>
        <v>38112784.785705566</v>
      </c>
    </row>
    <row r="177" spans="2:13" x14ac:dyDescent="0.2">
      <c r="B177" s="1"/>
      <c r="I177" s="1">
        <v>37417427756.191902</v>
      </c>
      <c r="J177" s="1">
        <v>37389400938.770203</v>
      </c>
      <c r="K177" s="1">
        <v>37450934543.8423</v>
      </c>
      <c r="L177" s="1">
        <f t="shared" si="14"/>
        <v>28026817.421699524</v>
      </c>
      <c r="M177" s="1">
        <f t="shared" si="15"/>
        <v>33506787.650398254</v>
      </c>
    </row>
    <row r="178" spans="2:13" x14ac:dyDescent="0.2">
      <c r="B178" s="1"/>
      <c r="I178" s="1">
        <v>37462833512.566002</v>
      </c>
      <c r="J178" s="1">
        <v>37440912453.532799</v>
      </c>
      <c r="K178" s="1">
        <v>37499816656.270599</v>
      </c>
      <c r="L178" s="1">
        <f t="shared" si="14"/>
        <v>21921059.033203125</v>
      </c>
      <c r="M178" s="1">
        <f t="shared" si="15"/>
        <v>36983143.704597473</v>
      </c>
    </row>
    <row r="179" spans="2:13" x14ac:dyDescent="0.2">
      <c r="B179" s="1"/>
      <c r="I179" s="1">
        <v>37471118718.798203</v>
      </c>
      <c r="J179" s="1">
        <v>37461531296.611603</v>
      </c>
      <c r="K179" s="1">
        <v>37522703798.813797</v>
      </c>
      <c r="L179" s="1">
        <f t="shared" si="14"/>
        <v>9587422.1865997314</v>
      </c>
      <c r="M179" s="1">
        <f t="shared" si="15"/>
        <v>51585080.015594482</v>
      </c>
    </row>
    <row r="180" spans="2:13" x14ac:dyDescent="0.2">
      <c r="B180" s="1"/>
      <c r="I180" s="1">
        <v>37501150253.926003</v>
      </c>
      <c r="J180" s="1">
        <v>37488186885.343102</v>
      </c>
      <c r="K180" s="1">
        <v>37555820323.786598</v>
      </c>
      <c r="L180" s="1">
        <f t="shared" si="14"/>
        <v>12963368.582901001</v>
      </c>
      <c r="M180" s="1">
        <f t="shared" si="15"/>
        <v>54670069.860595703</v>
      </c>
    </row>
    <row r="181" spans="2:13" x14ac:dyDescent="0.2">
      <c r="B181" s="1"/>
      <c r="I181" s="1">
        <v>37510317492.7976</v>
      </c>
      <c r="J181" s="1">
        <v>37483850487.642799</v>
      </c>
      <c r="K181" s="1">
        <v>37545047659.643898</v>
      </c>
      <c r="L181" s="1">
        <f t="shared" si="14"/>
        <v>26467005.154800415</v>
      </c>
      <c r="M181" s="1">
        <f t="shared" si="15"/>
        <v>34730166.846298218</v>
      </c>
    </row>
    <row r="182" spans="2:13" x14ac:dyDescent="0.2">
      <c r="B182" s="1"/>
      <c r="I182" s="1">
        <v>37489586661.502998</v>
      </c>
      <c r="J182" s="1">
        <v>37486695514.468597</v>
      </c>
      <c r="K182" s="1">
        <v>37551074281.168297</v>
      </c>
      <c r="L182" s="1">
        <f t="shared" si="14"/>
        <v>2891147.0344009399</v>
      </c>
      <c r="M182" s="1">
        <f t="shared" si="15"/>
        <v>61487619.665298462</v>
      </c>
    </row>
    <row r="183" spans="2:13" x14ac:dyDescent="0.2">
      <c r="B183" s="1"/>
      <c r="I183" s="1">
        <v>37563628692.680801</v>
      </c>
      <c r="J183" s="1">
        <v>37520292112.969803</v>
      </c>
      <c r="K183" s="1">
        <v>37583366848.193901</v>
      </c>
      <c r="L183" s="1">
        <f t="shared" si="14"/>
        <v>43336579.710998535</v>
      </c>
      <c r="M183" s="1">
        <f t="shared" si="15"/>
        <v>19738155.51309967</v>
      </c>
    </row>
    <row r="184" spans="2:13" x14ac:dyDescent="0.2">
      <c r="B184" s="1"/>
      <c r="I184" s="1">
        <v>37544995460.427498</v>
      </c>
      <c r="J184" s="1">
        <v>37529705955.635002</v>
      </c>
      <c r="K184" s="1">
        <v>37588825288.118103</v>
      </c>
      <c r="L184" s="1">
        <f t="shared" si="14"/>
        <v>15289504.792495728</v>
      </c>
      <c r="M184" s="1">
        <f t="shared" si="15"/>
        <v>43829827.690605164</v>
      </c>
    </row>
    <row r="185" spans="2:13" x14ac:dyDescent="0.2">
      <c r="B185" s="1"/>
      <c r="I185" s="1">
        <v>37579023016.112396</v>
      </c>
      <c r="J185" s="1">
        <v>37537313451.042099</v>
      </c>
      <c r="K185" s="1">
        <v>37596028713.596603</v>
      </c>
      <c r="L185" s="1">
        <f t="shared" si="14"/>
        <v>41709565.070297241</v>
      </c>
      <c r="M185" s="1">
        <f t="shared" si="15"/>
        <v>17005697.484207153</v>
      </c>
    </row>
    <row r="186" spans="2:13" x14ac:dyDescent="0.2">
      <c r="B186" s="1"/>
      <c r="I186" s="1">
        <v>37551737577.582901</v>
      </c>
      <c r="J186" s="1">
        <v>37542253044.133003</v>
      </c>
      <c r="K186" s="1">
        <v>37609160164.311203</v>
      </c>
      <c r="L186" s="1">
        <f t="shared" si="14"/>
        <v>9484533.4498977661</v>
      </c>
      <c r="M186" s="1">
        <f t="shared" si="15"/>
        <v>57422586.728302002</v>
      </c>
    </row>
    <row r="187" spans="2:13" x14ac:dyDescent="0.2">
      <c r="B187" s="1"/>
      <c r="I187" s="1">
        <v>37518541142.3424</v>
      </c>
      <c r="J187" s="1">
        <v>37513988448.248901</v>
      </c>
      <c r="K187" s="1">
        <v>37572203870.542</v>
      </c>
      <c r="L187" s="1">
        <f t="shared" si="14"/>
        <v>4552694.09349823</v>
      </c>
      <c r="M187" s="1">
        <f t="shared" si="15"/>
        <v>53662728.19960022</v>
      </c>
    </row>
    <row r="188" spans="2:13" x14ac:dyDescent="0.2">
      <c r="B188" s="1"/>
      <c r="I188" s="1">
        <v>37475955022.484901</v>
      </c>
      <c r="J188" s="1">
        <v>37459662409.606102</v>
      </c>
      <c r="K188" s="1">
        <v>37518220673.0569</v>
      </c>
      <c r="L188" s="1">
        <f t="shared" si="14"/>
        <v>16292612.878799438</v>
      </c>
      <c r="M188" s="1">
        <f t="shared" si="15"/>
        <v>42265650.571998596</v>
      </c>
    </row>
    <row r="189" spans="2:13" x14ac:dyDescent="0.2">
      <c r="B189" s="1"/>
      <c r="I189" s="1">
        <v>37463984445.673798</v>
      </c>
      <c r="J189" s="1">
        <v>37420424042.245903</v>
      </c>
      <c r="K189" s="1">
        <v>37478462682.902298</v>
      </c>
      <c r="L189" s="1">
        <f t="shared" si="14"/>
        <v>43560403.427894592</v>
      </c>
      <c r="M189" s="1">
        <f t="shared" si="15"/>
        <v>14478237.228500366</v>
      </c>
    </row>
    <row r="190" spans="2:13" x14ac:dyDescent="0.2">
      <c r="B190" s="1"/>
      <c r="I190" s="1">
        <v>37489023245.250397</v>
      </c>
      <c r="J190" s="1">
        <v>37457019247.2257</v>
      </c>
      <c r="K190" s="1">
        <v>37517335243.511902</v>
      </c>
      <c r="L190" s="1">
        <f t="shared" si="14"/>
        <v>32003998.02469635</v>
      </c>
      <c r="M190" s="1">
        <f t="shared" si="15"/>
        <v>28311998.261505127</v>
      </c>
    </row>
    <row r="191" spans="2:13" x14ac:dyDescent="0.2">
      <c r="B191" s="1"/>
      <c r="I191" s="1">
        <v>37510704014.487999</v>
      </c>
      <c r="J191" s="1">
        <v>37501304015.030296</v>
      </c>
      <c r="K191" s="1">
        <v>37572069611.952301</v>
      </c>
      <c r="L191" s="1">
        <f t="shared" si="14"/>
        <v>9399999.4577026367</v>
      </c>
      <c r="M191" s="1">
        <f t="shared" si="15"/>
        <v>61365597.464302063</v>
      </c>
    </row>
    <row r="192" spans="2:13" x14ac:dyDescent="0.2">
      <c r="B192" s="1"/>
      <c r="I192" s="1">
        <v>37539159361.502296</v>
      </c>
      <c r="J192" s="1">
        <v>37537572488.847198</v>
      </c>
      <c r="K192" s="1">
        <v>37600333884.855499</v>
      </c>
      <c r="L192" s="1">
        <f t="shared" si="14"/>
        <v>1586872.6550979614</v>
      </c>
      <c r="M192" s="1">
        <f t="shared" si="15"/>
        <v>61174523.35320282</v>
      </c>
    </row>
    <row r="193" spans="2:13" x14ac:dyDescent="0.2">
      <c r="B193" s="1"/>
      <c r="I193" s="1">
        <v>37569206896.3992</v>
      </c>
      <c r="J193" s="1">
        <v>37548486013.216797</v>
      </c>
      <c r="K193" s="1">
        <v>37618574425.099297</v>
      </c>
      <c r="L193" s="1">
        <f t="shared" si="14"/>
        <v>20720883.182403564</v>
      </c>
      <c r="M193" s="1">
        <f t="shared" si="15"/>
        <v>49367528.70009613</v>
      </c>
    </row>
    <row r="194" spans="2:13" x14ac:dyDescent="0.2">
      <c r="B194" s="1"/>
      <c r="I194" s="1">
        <v>37560151567.094902</v>
      </c>
      <c r="J194" s="1">
        <v>37532765015.046303</v>
      </c>
      <c r="K194" s="1">
        <v>37597635110.686798</v>
      </c>
      <c r="L194" s="1">
        <f t="shared" si="14"/>
        <v>27386552.048599243</v>
      </c>
      <c r="M194" s="1">
        <f t="shared" si="15"/>
        <v>37483543.591896057</v>
      </c>
    </row>
    <row r="195" spans="2:13" x14ac:dyDescent="0.2">
      <c r="B195" s="1"/>
      <c r="I195" s="1">
        <v>37559972621.919502</v>
      </c>
      <c r="J195" s="1">
        <v>37541163396.967102</v>
      </c>
      <c r="K195" s="1">
        <v>37615372442.085503</v>
      </c>
      <c r="L195" s="1">
        <f t="shared" si="14"/>
        <v>18809224.952400208</v>
      </c>
      <c r="M195" s="1">
        <f t="shared" si="15"/>
        <v>55399820.166000366</v>
      </c>
    </row>
    <row r="196" spans="2:13" x14ac:dyDescent="0.2">
      <c r="B196" s="1"/>
      <c r="I196" s="1">
        <v>37602533918.880501</v>
      </c>
      <c r="J196" s="1">
        <v>37592503935.837303</v>
      </c>
      <c r="K196" s="1">
        <v>37658337600.079102</v>
      </c>
      <c r="L196" s="1">
        <f t="shared" si="14"/>
        <v>10029983.043197632</v>
      </c>
      <c r="M196" s="1">
        <f t="shared" si="15"/>
        <v>55803681.198600769</v>
      </c>
    </row>
    <row r="197" spans="2:13" x14ac:dyDescent="0.2">
      <c r="B197" s="1"/>
      <c r="I197" s="1">
        <v>37625973242.174301</v>
      </c>
      <c r="J197" s="1">
        <v>37600831389.530899</v>
      </c>
      <c r="K197" s="1">
        <v>37665586375.795502</v>
      </c>
      <c r="L197" s="1">
        <f t="shared" si="14"/>
        <v>25141852.6434021</v>
      </c>
      <c r="M197" s="1">
        <f t="shared" si="15"/>
        <v>39613133.621200562</v>
      </c>
    </row>
    <row r="198" spans="2:13" x14ac:dyDescent="0.2">
      <c r="B198" s="1"/>
      <c r="I198" s="1">
        <v>37608145741.552696</v>
      </c>
      <c r="J198" s="1">
        <v>37592022185.100098</v>
      </c>
      <c r="K198" s="1">
        <v>37648991647.534798</v>
      </c>
      <c r="L198" s="1">
        <f t="shared" si="14"/>
        <v>16123556.452598572</v>
      </c>
      <c r="M198" s="1">
        <f t="shared" si="15"/>
        <v>40845905.98210144</v>
      </c>
    </row>
    <row r="199" spans="2:13" x14ac:dyDescent="0.2">
      <c r="B199" s="1"/>
      <c r="I199" s="1">
        <v>37533636136.001801</v>
      </c>
      <c r="J199" s="1">
        <v>37524620087.478203</v>
      </c>
      <c r="K199" s="1">
        <v>37584080553.200302</v>
      </c>
      <c r="L199" s="1">
        <f t="shared" si="14"/>
        <v>9016048.5235977173</v>
      </c>
      <c r="M199" s="1">
        <f t="shared" si="15"/>
        <v>50444417.198501587</v>
      </c>
    </row>
    <row r="200" spans="2:13" x14ac:dyDescent="0.2">
      <c r="B200" s="1"/>
      <c r="I200" s="1">
        <v>37503770899.436096</v>
      </c>
      <c r="J200" s="1">
        <v>37487726206.898003</v>
      </c>
      <c r="K200" s="1">
        <v>37547244498.178101</v>
      </c>
      <c r="L200" s="1">
        <f t="shared" si="14"/>
        <v>16044692.538093567</v>
      </c>
      <c r="M200" s="1">
        <f t="shared" si="15"/>
        <v>43473598.742004395</v>
      </c>
    </row>
    <row r="201" spans="2:13" x14ac:dyDescent="0.2">
      <c r="B201" s="1"/>
      <c r="I201" s="1">
        <v>37504754659.327301</v>
      </c>
      <c r="J201" s="1">
        <v>37488857144.747803</v>
      </c>
      <c r="K201" s="1">
        <v>37550496893.574699</v>
      </c>
      <c r="L201" s="1">
        <f t="shared" si="14"/>
        <v>15897514.579498291</v>
      </c>
      <c r="M201" s="1">
        <f t="shared" si="15"/>
        <v>45742234.247398376</v>
      </c>
    </row>
    <row r="202" spans="2:13" x14ac:dyDescent="0.2">
      <c r="B202" s="1"/>
      <c r="I202" s="1">
        <v>37552108648.424202</v>
      </c>
      <c r="J202" s="1">
        <v>37517299171.370903</v>
      </c>
      <c r="K202" s="1">
        <v>37575325087.156799</v>
      </c>
      <c r="L202" s="1">
        <f t="shared" si="14"/>
        <v>34809477.05329895</v>
      </c>
      <c r="M202" s="1">
        <f t="shared" si="15"/>
        <v>23216438.732597351</v>
      </c>
    </row>
    <row r="203" spans="2:13" x14ac:dyDescent="0.2">
      <c r="B203" s="1"/>
      <c r="I203" s="1">
        <v>37531989955.467697</v>
      </c>
      <c r="J203" s="1">
        <v>37539012593.103203</v>
      </c>
      <c r="K203" s="1">
        <v>37598961098.881104</v>
      </c>
      <c r="L203" s="1">
        <f t="shared" si="14"/>
        <v>-7022637.6355056763</v>
      </c>
      <c r="M203" s="1">
        <f t="shared" si="15"/>
        <v>66971143.413406372</v>
      </c>
    </row>
    <row r="204" spans="2:13" x14ac:dyDescent="0.2">
      <c r="B204" s="1"/>
      <c r="I204" s="1">
        <v>37563522783.481598</v>
      </c>
      <c r="J204" s="1">
        <v>37555938012.339401</v>
      </c>
      <c r="K204" s="1">
        <v>37622125541.3759</v>
      </c>
      <c r="L204" s="1">
        <f t="shared" si="14"/>
        <v>7584771.1421966553</v>
      </c>
      <c r="M204" s="1">
        <f t="shared" si="15"/>
        <v>58602757.894302368</v>
      </c>
    </row>
    <row r="205" spans="2:13" x14ac:dyDescent="0.2">
      <c r="B205" s="1"/>
      <c r="I205" s="1">
        <v>37561315161.618896</v>
      </c>
      <c r="J205" s="1">
        <v>37553163136.1325</v>
      </c>
      <c r="K205" s="1">
        <v>37612970021.3293</v>
      </c>
      <c r="L205" s="1">
        <f t="shared" si="14"/>
        <v>8152025.4863967896</v>
      </c>
      <c r="M205" s="1">
        <f t="shared" si="15"/>
        <v>51654859.710403442</v>
      </c>
    </row>
    <row r="206" spans="2:13" x14ac:dyDescent="0.2">
      <c r="B206" s="1"/>
      <c r="I206" s="1">
        <v>37596217780.727798</v>
      </c>
      <c r="J206" s="1">
        <v>37536330408.579697</v>
      </c>
      <c r="K206" s="1">
        <v>37603348129.225197</v>
      </c>
      <c r="L206" s="1">
        <f t="shared" si="14"/>
        <v>59887372.148101807</v>
      </c>
      <c r="M206" s="1">
        <f t="shared" si="15"/>
        <v>7130348.4973983765</v>
      </c>
    </row>
    <row r="207" spans="2:13" x14ac:dyDescent="0.2">
      <c r="B207" s="1"/>
      <c r="I207" s="1">
        <v>37567686775.459099</v>
      </c>
      <c r="J207" s="1">
        <v>37557587577.428902</v>
      </c>
      <c r="K207" s="1">
        <v>37627573076.500999</v>
      </c>
      <c r="L207" s="1">
        <f t="shared" si="14"/>
        <v>10099198.030197144</v>
      </c>
      <c r="M207" s="1">
        <f t="shared" si="15"/>
        <v>59886301.041900635</v>
      </c>
    </row>
    <row r="208" spans="2:13" x14ac:dyDescent="0.2">
      <c r="B208" s="1"/>
      <c r="I208" s="1">
        <v>37608486174.043602</v>
      </c>
      <c r="J208" s="1">
        <v>37598044584.250298</v>
      </c>
      <c r="K208" s="1">
        <v>37655150696.769501</v>
      </c>
      <c r="L208" s="1">
        <f t="shared" si="14"/>
        <v>10441589.793304443</v>
      </c>
      <c r="M208" s="1">
        <f t="shared" si="15"/>
        <v>46664522.725898743</v>
      </c>
    </row>
    <row r="209" spans="2:13" x14ac:dyDescent="0.2">
      <c r="B209" s="1"/>
      <c r="I209" s="1">
        <v>37630769694.740402</v>
      </c>
      <c r="J209" s="1">
        <v>37598093347.3731</v>
      </c>
      <c r="K209" s="1">
        <v>37657501204.911301</v>
      </c>
      <c r="L209" s="1">
        <f t="shared" si="14"/>
        <v>32676347.367301941</v>
      </c>
      <c r="M209" s="1">
        <f t="shared" si="15"/>
        <v>26731510.170898438</v>
      </c>
    </row>
    <row r="210" spans="2:13" x14ac:dyDescent="0.2">
      <c r="B210" s="1"/>
      <c r="I210" s="1">
        <v>37609408128.6847</v>
      </c>
      <c r="J210" s="1">
        <v>37586891748.7668</v>
      </c>
      <c r="K210" s="1">
        <v>37645842530.199097</v>
      </c>
      <c r="L210" s="1">
        <f t="shared" ref="L210:L273" si="16">I210-J210</f>
        <v>22516379.917900085</v>
      </c>
      <c r="M210" s="1">
        <f t="shared" ref="M210:M273" si="17">K210-I210</f>
        <v>36434401.514396667</v>
      </c>
    </row>
    <row r="211" spans="2:13" x14ac:dyDescent="0.2">
      <c r="B211" s="1"/>
      <c r="I211" s="1">
        <v>37550621776.357002</v>
      </c>
      <c r="J211" s="1">
        <v>37558122945.994102</v>
      </c>
      <c r="K211" s="1">
        <v>37625424419.458603</v>
      </c>
      <c r="L211" s="1">
        <f t="shared" si="16"/>
        <v>-7501169.6371002197</v>
      </c>
      <c r="M211" s="1">
        <f t="shared" si="17"/>
        <v>74802643.101600647</v>
      </c>
    </row>
    <row r="212" spans="2:13" x14ac:dyDescent="0.2">
      <c r="B212" s="1"/>
      <c r="I212" s="1">
        <v>37539168253.044601</v>
      </c>
      <c r="J212" s="1">
        <v>37513388262.576302</v>
      </c>
      <c r="K212" s="1">
        <v>37588764327.828201</v>
      </c>
      <c r="L212" s="1">
        <f t="shared" si="16"/>
        <v>25779990.468299866</v>
      </c>
      <c r="M212" s="1">
        <f t="shared" si="17"/>
        <v>49596074.783599854</v>
      </c>
    </row>
    <row r="213" spans="2:13" x14ac:dyDescent="0.2">
      <c r="B213" s="1"/>
      <c r="I213" s="1">
        <v>37512800517.049698</v>
      </c>
      <c r="J213" s="1">
        <v>37494895369.5242</v>
      </c>
      <c r="K213" s="1">
        <v>37556208317.518402</v>
      </c>
      <c r="L213" s="1">
        <f t="shared" si="16"/>
        <v>17905147.525497437</v>
      </c>
      <c r="M213" s="1">
        <f t="shared" si="17"/>
        <v>43407800.468704224</v>
      </c>
    </row>
    <row r="214" spans="2:13" x14ac:dyDescent="0.2">
      <c r="B214" s="1"/>
      <c r="I214" s="1">
        <v>37505298099.2621</v>
      </c>
      <c r="J214" s="1">
        <v>37493340693.373596</v>
      </c>
      <c r="K214" s="1">
        <v>37556660742.237801</v>
      </c>
      <c r="L214" s="1">
        <f t="shared" si="16"/>
        <v>11957405.888504028</v>
      </c>
      <c r="M214" s="1">
        <f t="shared" si="17"/>
        <v>51362642.975700378</v>
      </c>
    </row>
    <row r="215" spans="2:13" x14ac:dyDescent="0.2">
      <c r="B215" s="1"/>
      <c r="I215" s="1">
        <v>37524084268.801498</v>
      </c>
      <c r="J215" s="1">
        <v>37520064040.171898</v>
      </c>
      <c r="K215" s="1">
        <v>37582035863.434502</v>
      </c>
      <c r="L215" s="1">
        <f t="shared" si="16"/>
        <v>4020228.6296005249</v>
      </c>
      <c r="M215" s="1">
        <f t="shared" si="17"/>
        <v>57951594.633003235</v>
      </c>
    </row>
    <row r="216" spans="2:13" x14ac:dyDescent="0.2">
      <c r="B216" s="1"/>
      <c r="I216" s="1">
        <v>37535782661.023903</v>
      </c>
      <c r="J216" s="1">
        <v>37518925907.353996</v>
      </c>
      <c r="K216" s="1">
        <v>37581043522.900101</v>
      </c>
      <c r="L216" s="1">
        <f t="shared" si="16"/>
        <v>16856753.669906616</v>
      </c>
      <c r="M216" s="1">
        <f t="shared" si="17"/>
        <v>45260861.876197815</v>
      </c>
    </row>
    <row r="217" spans="2:13" x14ac:dyDescent="0.2">
      <c r="B217" s="1"/>
      <c r="I217" s="1">
        <v>37540629151.491501</v>
      </c>
      <c r="J217" s="1">
        <v>37517982331.698799</v>
      </c>
      <c r="K217" s="1">
        <v>37578597959.716301</v>
      </c>
      <c r="L217" s="1">
        <f t="shared" si="16"/>
        <v>22646819.792701721</v>
      </c>
      <c r="M217" s="1">
        <f t="shared" si="17"/>
        <v>37968808.22480011</v>
      </c>
    </row>
    <row r="218" spans="2:13" x14ac:dyDescent="0.2">
      <c r="B218" s="1"/>
      <c r="I218" s="1">
        <v>37580016492.886703</v>
      </c>
      <c r="J218" s="1">
        <v>37552639538.272797</v>
      </c>
      <c r="K218" s="1">
        <v>37612900686.242302</v>
      </c>
      <c r="L218" s="1">
        <f t="shared" si="16"/>
        <v>27376954.61390686</v>
      </c>
      <c r="M218" s="1">
        <f t="shared" si="17"/>
        <v>32884193.35559845</v>
      </c>
    </row>
    <row r="219" spans="2:13" x14ac:dyDescent="0.2">
      <c r="B219" s="1"/>
      <c r="I219" s="1">
        <v>37574800552.923302</v>
      </c>
      <c r="J219" s="1">
        <v>37554160229.135101</v>
      </c>
      <c r="K219" s="1">
        <v>37616649964.650902</v>
      </c>
      <c r="L219" s="1">
        <f t="shared" si="16"/>
        <v>20640323.788200378</v>
      </c>
      <c r="M219" s="1">
        <f t="shared" si="17"/>
        <v>41849411.727600098</v>
      </c>
    </row>
    <row r="220" spans="2:13" x14ac:dyDescent="0.2">
      <c r="B220" s="1"/>
      <c r="I220" s="1">
        <v>37604347542.129799</v>
      </c>
      <c r="J220" s="1">
        <v>37592106366.481102</v>
      </c>
      <c r="K220" s="1">
        <v>37650882406.485497</v>
      </c>
      <c r="L220" s="1">
        <f t="shared" si="16"/>
        <v>12241175.648696899</v>
      </c>
      <c r="M220" s="1">
        <f t="shared" si="17"/>
        <v>46534864.355697632</v>
      </c>
    </row>
    <row r="221" spans="2:13" x14ac:dyDescent="0.2">
      <c r="B221" s="1"/>
      <c r="I221" s="1">
        <v>37622819644.362198</v>
      </c>
      <c r="J221" s="1">
        <v>37591515214.664299</v>
      </c>
      <c r="K221" s="1">
        <v>37652760383.657303</v>
      </c>
      <c r="L221" s="1">
        <f t="shared" si="16"/>
        <v>31304429.697898865</v>
      </c>
      <c r="M221" s="1">
        <f t="shared" si="17"/>
        <v>29940739.29510498</v>
      </c>
    </row>
    <row r="222" spans="2:13" x14ac:dyDescent="0.2">
      <c r="B222" s="1"/>
      <c r="I222" s="1">
        <v>37607456184.603996</v>
      </c>
      <c r="J222" s="1">
        <v>37583750394.125504</v>
      </c>
      <c r="K222" s="1">
        <v>37646905325.734497</v>
      </c>
      <c r="L222" s="1">
        <f t="shared" si="16"/>
        <v>23705790.478492737</v>
      </c>
      <c r="M222" s="1">
        <f t="shared" si="17"/>
        <v>39449141.130500793</v>
      </c>
    </row>
    <row r="223" spans="2:13" x14ac:dyDescent="0.2">
      <c r="B223" s="1"/>
      <c r="I223" s="1">
        <v>37570462667.878197</v>
      </c>
      <c r="J223" s="1">
        <v>37546053423.165199</v>
      </c>
      <c r="K223" s="1">
        <v>37609385037.453201</v>
      </c>
      <c r="L223" s="1">
        <f t="shared" si="16"/>
        <v>24409244.712997437</v>
      </c>
      <c r="M223" s="1">
        <f t="shared" si="17"/>
        <v>38922369.575004578</v>
      </c>
    </row>
    <row r="224" spans="2:13" x14ac:dyDescent="0.2">
      <c r="B224" s="1"/>
      <c r="I224" s="1">
        <v>37509648399.494003</v>
      </c>
      <c r="J224" s="1">
        <v>37498317715.43</v>
      </c>
      <c r="K224" s="1">
        <v>37560462089.960297</v>
      </c>
      <c r="L224" s="1">
        <f t="shared" si="16"/>
        <v>11330684.064002991</v>
      </c>
      <c r="M224" s="1">
        <f t="shared" si="17"/>
        <v>50813690.466293335</v>
      </c>
    </row>
    <row r="225" spans="2:13" x14ac:dyDescent="0.2">
      <c r="B225" s="1"/>
      <c r="I225" s="1">
        <v>37506606496.824097</v>
      </c>
      <c r="J225" s="1">
        <v>37482020784.557098</v>
      </c>
      <c r="K225" s="1">
        <v>37550885195.651497</v>
      </c>
      <c r="L225" s="1">
        <f t="shared" si="16"/>
        <v>24585712.266998291</v>
      </c>
      <c r="M225" s="1">
        <f t="shared" si="17"/>
        <v>44278698.827400208</v>
      </c>
    </row>
    <row r="226" spans="2:13" x14ac:dyDescent="0.2">
      <c r="B226" s="1"/>
      <c r="I226" s="1">
        <v>37517722327.374397</v>
      </c>
      <c r="J226" s="1">
        <v>37498399034.172798</v>
      </c>
      <c r="K226" s="1">
        <v>37565481025.9282</v>
      </c>
      <c r="L226" s="1">
        <f t="shared" si="16"/>
        <v>19323293.201599121</v>
      </c>
      <c r="M226" s="1">
        <f t="shared" si="17"/>
        <v>47758698.55380249</v>
      </c>
    </row>
    <row r="227" spans="2:13" x14ac:dyDescent="0.2">
      <c r="B227" s="1"/>
      <c r="I227" s="1">
        <v>37544378386.916603</v>
      </c>
      <c r="J227" s="1">
        <v>37537457754.922997</v>
      </c>
      <c r="K227" s="1">
        <v>37596747765.097801</v>
      </c>
      <c r="L227" s="1">
        <f t="shared" si="16"/>
        <v>6920631.9936065674</v>
      </c>
      <c r="M227" s="1">
        <f t="shared" si="17"/>
        <v>52369378.18119812</v>
      </c>
    </row>
    <row r="228" spans="2:13" x14ac:dyDescent="0.2">
      <c r="B228" s="1"/>
      <c r="I228" s="1">
        <v>37595084987.780403</v>
      </c>
      <c r="J228" s="1">
        <v>37576300738.735397</v>
      </c>
      <c r="K228" s="1">
        <v>37640692826.8908</v>
      </c>
      <c r="L228" s="1">
        <f t="shared" si="16"/>
        <v>18784249.045005798</v>
      </c>
      <c r="M228" s="1">
        <f t="shared" si="17"/>
        <v>45607839.110397339</v>
      </c>
    </row>
    <row r="229" spans="2:13" x14ac:dyDescent="0.2">
      <c r="B229" s="1"/>
      <c r="I229" s="1">
        <v>37634411383.226997</v>
      </c>
      <c r="J229" s="1">
        <v>37603808049.005402</v>
      </c>
      <c r="K229" s="1">
        <v>37669519564.798401</v>
      </c>
      <c r="L229" s="1">
        <f t="shared" si="16"/>
        <v>30603334.221595764</v>
      </c>
      <c r="M229" s="1">
        <f t="shared" si="17"/>
        <v>35108181.571403503</v>
      </c>
    </row>
    <row r="230" spans="2:13" x14ac:dyDescent="0.2">
      <c r="B230" s="1"/>
      <c r="I230" s="1">
        <v>37651881694.045197</v>
      </c>
      <c r="J230" s="1">
        <v>37636355013.328598</v>
      </c>
      <c r="K230" s="1">
        <v>37704619360.548401</v>
      </c>
      <c r="L230" s="1">
        <f t="shared" si="16"/>
        <v>15526680.716598511</v>
      </c>
      <c r="M230" s="1">
        <f t="shared" si="17"/>
        <v>52737666.503204346</v>
      </c>
    </row>
    <row r="231" spans="2:13" x14ac:dyDescent="0.2">
      <c r="B231" s="1"/>
      <c r="I231" s="1">
        <v>37666621636.496498</v>
      </c>
      <c r="J231" s="1">
        <v>37661089299.699699</v>
      </c>
      <c r="K231" s="1">
        <v>37745687697.632698</v>
      </c>
      <c r="L231" s="1">
        <f t="shared" si="16"/>
        <v>5532336.7967987061</v>
      </c>
      <c r="M231" s="1">
        <f t="shared" si="17"/>
        <v>79066061.136199951</v>
      </c>
    </row>
    <row r="232" spans="2:13" x14ac:dyDescent="0.2">
      <c r="B232" s="1"/>
      <c r="I232" s="1">
        <v>37680800945.885597</v>
      </c>
      <c r="J232" s="1">
        <v>37657598414.980202</v>
      </c>
      <c r="K232" s="1">
        <v>37745480191.6558</v>
      </c>
      <c r="L232" s="1">
        <f t="shared" si="16"/>
        <v>23202530.905395508</v>
      </c>
      <c r="M232" s="1">
        <f t="shared" si="17"/>
        <v>64679245.770202637</v>
      </c>
    </row>
    <row r="233" spans="2:13" x14ac:dyDescent="0.2">
      <c r="B233" s="1"/>
      <c r="I233" s="1">
        <v>37694032693.592697</v>
      </c>
      <c r="J233" s="1">
        <v>37664170944.5644</v>
      </c>
      <c r="K233" s="1">
        <v>37729551242.494904</v>
      </c>
      <c r="L233" s="1">
        <f t="shared" si="16"/>
        <v>29861749.028297424</v>
      </c>
      <c r="M233" s="1">
        <f t="shared" si="17"/>
        <v>35518548.902206421</v>
      </c>
    </row>
    <row r="234" spans="2:13" x14ac:dyDescent="0.2">
      <c r="B234" s="1"/>
      <c r="I234" s="1">
        <v>37671456519.779701</v>
      </c>
      <c r="J234" s="1">
        <v>37648443441.488403</v>
      </c>
      <c r="K234" s="1">
        <v>37713612912.847504</v>
      </c>
      <c r="L234" s="1">
        <f t="shared" si="16"/>
        <v>23013078.291297913</v>
      </c>
      <c r="M234" s="1">
        <f t="shared" si="17"/>
        <v>42156393.067802429</v>
      </c>
    </row>
    <row r="235" spans="2:13" x14ac:dyDescent="0.2">
      <c r="B235" s="1"/>
      <c r="I235" s="1">
        <v>37626040177.025497</v>
      </c>
      <c r="J235" s="1">
        <v>37613642611.157097</v>
      </c>
      <c r="K235" s="1">
        <v>37679669091.648903</v>
      </c>
      <c r="L235" s="1">
        <f t="shared" si="16"/>
        <v>12397565.868400574</v>
      </c>
      <c r="M235" s="1">
        <f t="shared" si="17"/>
        <v>53628914.623405457</v>
      </c>
    </row>
    <row r="236" spans="2:13" x14ac:dyDescent="0.2">
      <c r="B236" s="1"/>
      <c r="I236" s="1">
        <v>37589409270.734398</v>
      </c>
      <c r="J236" s="1">
        <v>37579670233.035202</v>
      </c>
      <c r="K236" s="1">
        <v>37654070425.724899</v>
      </c>
      <c r="L236" s="1">
        <f t="shared" si="16"/>
        <v>9739037.6991958618</v>
      </c>
      <c r="M236" s="1">
        <f t="shared" si="17"/>
        <v>64661154.990501404</v>
      </c>
    </row>
    <row r="237" spans="2:13" x14ac:dyDescent="0.2">
      <c r="B237" s="1"/>
      <c r="I237" s="1">
        <v>37577222366.288101</v>
      </c>
      <c r="J237" s="1">
        <v>37570017932.1418</v>
      </c>
      <c r="K237" s="1">
        <v>37631321929.657402</v>
      </c>
      <c r="L237" s="1">
        <f t="shared" si="16"/>
        <v>7204434.1463012695</v>
      </c>
      <c r="M237" s="1">
        <f t="shared" si="17"/>
        <v>54099563.369300842</v>
      </c>
    </row>
    <row r="238" spans="2:13" x14ac:dyDescent="0.2">
      <c r="B238" s="1"/>
      <c r="I238" s="1">
        <v>37598887611.308296</v>
      </c>
      <c r="J238" s="1">
        <v>37571285331.152802</v>
      </c>
      <c r="K238" s="1">
        <v>37635381836.891098</v>
      </c>
      <c r="L238" s="1">
        <f t="shared" si="16"/>
        <v>27602280.15549469</v>
      </c>
      <c r="M238" s="1">
        <f t="shared" si="17"/>
        <v>36494225.582801819</v>
      </c>
    </row>
    <row r="239" spans="2:13" x14ac:dyDescent="0.2">
      <c r="B239" s="1"/>
      <c r="I239" s="1">
        <v>37624293469.153503</v>
      </c>
      <c r="J239" s="1">
        <v>37616727581.466003</v>
      </c>
      <c r="K239" s="1">
        <v>37682569923.669098</v>
      </c>
      <c r="L239" s="1">
        <f t="shared" si="16"/>
        <v>7565887.6875</v>
      </c>
      <c r="M239" s="1">
        <f t="shared" si="17"/>
        <v>58276454.515594482</v>
      </c>
    </row>
    <row r="240" spans="2:13" x14ac:dyDescent="0.2">
      <c r="B240" s="1"/>
      <c r="I240" s="1">
        <v>37641219236.142799</v>
      </c>
      <c r="J240" s="1">
        <v>37628512163.9506</v>
      </c>
      <c r="K240" s="1">
        <v>37692547334.212997</v>
      </c>
      <c r="L240" s="1">
        <f t="shared" si="16"/>
        <v>12707072.192199707</v>
      </c>
      <c r="M240" s="1">
        <f t="shared" si="17"/>
        <v>51328098.070198059</v>
      </c>
    </row>
    <row r="241" spans="2:13" x14ac:dyDescent="0.2">
      <c r="B241" s="1"/>
      <c r="I241" s="1">
        <v>37640055790.1409</v>
      </c>
      <c r="J241" s="1">
        <v>37628644740.001099</v>
      </c>
      <c r="K241" s="1">
        <v>37696811128.373299</v>
      </c>
      <c r="L241" s="1">
        <f t="shared" si="16"/>
        <v>11411050.139801025</v>
      </c>
      <c r="M241" s="1">
        <f t="shared" si="17"/>
        <v>56755338.232398987</v>
      </c>
    </row>
    <row r="242" spans="2:13" x14ac:dyDescent="0.2">
      <c r="B242" s="1"/>
      <c r="I242" s="1">
        <v>37670119017.480103</v>
      </c>
      <c r="J242" s="1">
        <v>37646731148.220596</v>
      </c>
      <c r="K242" s="1">
        <v>37711382288.727898</v>
      </c>
      <c r="L242" s="1">
        <f t="shared" si="16"/>
        <v>23387869.259506226</v>
      </c>
      <c r="M242" s="1">
        <f t="shared" si="17"/>
        <v>41263271.247795105</v>
      </c>
    </row>
    <row r="243" spans="2:13" x14ac:dyDescent="0.2">
      <c r="B243" s="1"/>
      <c r="I243" s="1">
        <v>37682017100.002701</v>
      </c>
      <c r="J243" s="1">
        <v>37670797918.947098</v>
      </c>
      <c r="K243" s="1">
        <v>37732622453.3993</v>
      </c>
      <c r="L243" s="1">
        <f t="shared" si="16"/>
        <v>11219181.055603027</v>
      </c>
      <c r="M243" s="1">
        <f t="shared" si="17"/>
        <v>50605353.396598816</v>
      </c>
    </row>
    <row r="244" spans="2:13" x14ac:dyDescent="0.2">
      <c r="B244" s="1"/>
      <c r="I244" s="1">
        <v>37702893755.994003</v>
      </c>
      <c r="J244" s="1">
        <v>37690508117.184898</v>
      </c>
      <c r="K244" s="1">
        <v>37760541082.069298</v>
      </c>
      <c r="L244" s="1">
        <f t="shared" si="16"/>
        <v>12385638.809104919</v>
      </c>
      <c r="M244" s="1">
        <f t="shared" si="17"/>
        <v>57647326.075294495</v>
      </c>
    </row>
    <row r="245" spans="2:13" x14ac:dyDescent="0.2">
      <c r="B245" s="1"/>
      <c r="I245" s="1">
        <v>37729299412.834</v>
      </c>
      <c r="J245" s="1">
        <v>37697298832.158997</v>
      </c>
      <c r="K245" s="1">
        <v>37764889554.018097</v>
      </c>
      <c r="L245" s="1">
        <f t="shared" si="16"/>
        <v>32000580.675003052</v>
      </c>
      <c r="M245" s="1">
        <f t="shared" si="17"/>
        <v>35590141.18409729</v>
      </c>
    </row>
    <row r="246" spans="2:13" x14ac:dyDescent="0.2">
      <c r="B246" s="1"/>
      <c r="I246" s="1">
        <v>37693356640.0811</v>
      </c>
      <c r="J246" s="1">
        <v>37685209125.782997</v>
      </c>
      <c r="K246" s="1">
        <v>37755439825.216904</v>
      </c>
      <c r="L246" s="1">
        <f t="shared" si="16"/>
        <v>8147514.2981033325</v>
      </c>
      <c r="M246" s="1">
        <f t="shared" si="17"/>
        <v>62083185.135803223</v>
      </c>
    </row>
    <row r="247" spans="2:13" x14ac:dyDescent="0.2">
      <c r="B247" s="1"/>
      <c r="I247" s="1">
        <v>37628783700.736397</v>
      </c>
      <c r="J247" s="1">
        <v>37612517085.986397</v>
      </c>
      <c r="K247" s="1">
        <v>37684105267.976799</v>
      </c>
      <c r="L247" s="1">
        <f t="shared" si="16"/>
        <v>16266614.75</v>
      </c>
      <c r="M247" s="1">
        <f t="shared" si="17"/>
        <v>55321567.240402222</v>
      </c>
    </row>
    <row r="248" spans="2:13" x14ac:dyDescent="0.2">
      <c r="B248" s="1"/>
      <c r="I248" s="1">
        <v>37595242371.072899</v>
      </c>
      <c r="J248" s="1">
        <v>37587467703.222198</v>
      </c>
      <c r="K248" s="1">
        <v>37657129847.053001</v>
      </c>
      <c r="L248" s="1">
        <f t="shared" si="16"/>
        <v>7774667.8507003784</v>
      </c>
      <c r="M248" s="1">
        <f t="shared" si="17"/>
        <v>61887475.980102539</v>
      </c>
    </row>
    <row r="249" spans="2:13" x14ac:dyDescent="0.2">
      <c r="B249" s="1"/>
      <c r="I249" s="1">
        <v>37580620256.659798</v>
      </c>
      <c r="J249" s="1">
        <v>37560256923.324898</v>
      </c>
      <c r="K249" s="1">
        <v>37631980051.669197</v>
      </c>
      <c r="L249" s="1">
        <f t="shared" si="16"/>
        <v>20363333.334899902</v>
      </c>
      <c r="M249" s="1">
        <f t="shared" si="17"/>
        <v>51359795.009399414</v>
      </c>
    </row>
    <row r="250" spans="2:13" x14ac:dyDescent="0.2">
      <c r="B250" s="1"/>
      <c r="I250" s="1">
        <v>37596057299.237297</v>
      </c>
      <c r="J250" s="1">
        <v>37576549889.994698</v>
      </c>
      <c r="K250" s="1">
        <v>37647132223.529099</v>
      </c>
      <c r="L250" s="1">
        <f t="shared" si="16"/>
        <v>19507409.242599487</v>
      </c>
      <c r="M250" s="1">
        <f t="shared" si="17"/>
        <v>51074924.291801453</v>
      </c>
    </row>
    <row r="251" spans="2:13" x14ac:dyDescent="0.2">
      <c r="B251" s="1"/>
      <c r="I251" s="1">
        <v>37644564205.792503</v>
      </c>
      <c r="J251" s="1">
        <v>37620418316.228104</v>
      </c>
      <c r="K251" s="1">
        <v>37686496851.847099</v>
      </c>
      <c r="L251" s="1">
        <f t="shared" si="16"/>
        <v>24145889.564399719</v>
      </c>
      <c r="M251" s="1">
        <f t="shared" si="17"/>
        <v>41932646.054595947</v>
      </c>
    </row>
    <row r="252" spans="2:13" x14ac:dyDescent="0.2">
      <c r="B252" s="1"/>
      <c r="I252" s="1">
        <v>37656783024.157799</v>
      </c>
      <c r="J252" s="1">
        <v>37644350761.733902</v>
      </c>
      <c r="K252" s="1">
        <v>37725456142.589401</v>
      </c>
      <c r="L252" s="1">
        <f t="shared" si="16"/>
        <v>12432262.42389679</v>
      </c>
      <c r="M252" s="1">
        <f t="shared" si="17"/>
        <v>68673118.431602478</v>
      </c>
    </row>
    <row r="253" spans="2:13" x14ac:dyDescent="0.2">
      <c r="B253" s="1"/>
      <c r="I253" s="1">
        <v>37672081871.309402</v>
      </c>
      <c r="J253" s="1">
        <v>37653166644.1185</v>
      </c>
      <c r="K253" s="1">
        <v>37731298021.101402</v>
      </c>
      <c r="L253" s="1">
        <f t="shared" si="16"/>
        <v>18915227.19090271</v>
      </c>
      <c r="M253" s="1">
        <f t="shared" si="17"/>
        <v>59216149.791999817</v>
      </c>
    </row>
    <row r="254" spans="2:13" x14ac:dyDescent="0.2">
      <c r="B254" s="1"/>
      <c r="I254" s="1">
        <v>37703134003.868698</v>
      </c>
      <c r="J254" s="1">
        <v>37676657432.913803</v>
      </c>
      <c r="K254" s="1">
        <v>37744776351.414597</v>
      </c>
      <c r="L254" s="1">
        <f t="shared" si="16"/>
        <v>26476570.95489502</v>
      </c>
      <c r="M254" s="1">
        <f t="shared" si="17"/>
        <v>41642347.545898438</v>
      </c>
    </row>
    <row r="255" spans="2:13" x14ac:dyDescent="0.2">
      <c r="B255" s="1"/>
      <c r="I255" s="1">
        <v>37725198220.038101</v>
      </c>
      <c r="J255" s="1">
        <v>37699188120.989799</v>
      </c>
      <c r="K255" s="1">
        <v>37772019204.920898</v>
      </c>
      <c r="L255" s="1">
        <f t="shared" si="16"/>
        <v>26010099.048301697</v>
      </c>
      <c r="M255" s="1">
        <f t="shared" si="17"/>
        <v>46820984.882797241</v>
      </c>
    </row>
    <row r="256" spans="2:13" x14ac:dyDescent="0.2">
      <c r="B256" s="1"/>
      <c r="I256" s="1">
        <v>37741983930.095398</v>
      </c>
      <c r="J256" s="1">
        <v>37729449455.143402</v>
      </c>
      <c r="K256" s="1">
        <v>37801852326.966003</v>
      </c>
      <c r="L256" s="1">
        <f t="shared" si="16"/>
        <v>12534474.95199585</v>
      </c>
      <c r="M256" s="1">
        <f t="shared" si="17"/>
        <v>59868396.870605469</v>
      </c>
    </row>
    <row r="257" spans="2:13" x14ac:dyDescent="0.2">
      <c r="B257" s="1"/>
      <c r="I257" s="1">
        <v>37741475288.696701</v>
      </c>
      <c r="J257" s="1">
        <v>37717302284.601898</v>
      </c>
      <c r="K257" s="1">
        <v>37796194579.126701</v>
      </c>
      <c r="L257" s="1">
        <f t="shared" si="16"/>
        <v>24173004.094802856</v>
      </c>
      <c r="M257" s="1">
        <f t="shared" si="17"/>
        <v>54719290.430000305</v>
      </c>
    </row>
    <row r="258" spans="2:13" x14ac:dyDescent="0.2">
      <c r="B258" s="1"/>
      <c r="I258" s="1">
        <v>37722176928.480103</v>
      </c>
      <c r="J258" s="1">
        <v>37693325449.601097</v>
      </c>
      <c r="K258" s="1">
        <v>37763810453.646301</v>
      </c>
      <c r="L258" s="1">
        <f t="shared" si="16"/>
        <v>28851478.879005432</v>
      </c>
      <c r="M258" s="1">
        <f t="shared" si="17"/>
        <v>41633525.16619873</v>
      </c>
    </row>
    <row r="259" spans="2:13" x14ac:dyDescent="0.2">
      <c r="B259" s="1"/>
      <c r="I259" s="1">
        <v>37672470337.345596</v>
      </c>
      <c r="J259" s="1">
        <v>37653759946.375198</v>
      </c>
      <c r="K259" s="1">
        <v>37732090274.9468</v>
      </c>
      <c r="L259" s="1">
        <f t="shared" si="16"/>
        <v>18710390.970397949</v>
      </c>
      <c r="M259" s="1">
        <f t="shared" si="17"/>
        <v>59619937.601203918</v>
      </c>
    </row>
    <row r="260" spans="2:13" x14ac:dyDescent="0.2">
      <c r="B260" s="1"/>
      <c r="I260" s="1">
        <v>37649443332.704102</v>
      </c>
      <c r="J260" s="1">
        <v>37634238204.943802</v>
      </c>
      <c r="K260" s="1">
        <v>37718023523.150803</v>
      </c>
      <c r="L260" s="1">
        <f t="shared" si="16"/>
        <v>15205127.760299683</v>
      </c>
      <c r="M260" s="1">
        <f t="shared" si="17"/>
        <v>68580190.44670105</v>
      </c>
    </row>
    <row r="261" spans="2:13" x14ac:dyDescent="0.2">
      <c r="B261" s="1"/>
      <c r="I261" s="1">
        <v>37628290728.7267</v>
      </c>
      <c r="J261" s="1">
        <v>37621838062.155197</v>
      </c>
      <c r="K261" s="1">
        <v>37699413506.815697</v>
      </c>
      <c r="L261" s="1">
        <f t="shared" si="16"/>
        <v>6452666.5715026855</v>
      </c>
      <c r="M261" s="1">
        <f t="shared" si="17"/>
        <v>71122778.088996887</v>
      </c>
    </row>
    <row r="262" spans="2:13" x14ac:dyDescent="0.2">
      <c r="B262" s="1"/>
      <c r="I262" s="1">
        <v>37652623188.176697</v>
      </c>
      <c r="J262" s="1">
        <v>37637874187.189003</v>
      </c>
      <c r="K262" s="1">
        <v>37725434907.703003</v>
      </c>
      <c r="L262" s="1">
        <f t="shared" si="16"/>
        <v>14749000.987693787</v>
      </c>
      <c r="M262" s="1">
        <f t="shared" si="17"/>
        <v>72811719.526306152</v>
      </c>
    </row>
    <row r="263" spans="2:13" x14ac:dyDescent="0.2">
      <c r="B263" s="1"/>
      <c r="I263" s="1">
        <v>37690946482.086403</v>
      </c>
      <c r="J263" s="1">
        <v>37681243883.341202</v>
      </c>
      <c r="K263" s="1">
        <v>37751771534.692802</v>
      </c>
      <c r="L263" s="1">
        <f t="shared" si="16"/>
        <v>9702598.7452011108</v>
      </c>
      <c r="M263" s="1">
        <f t="shared" si="17"/>
        <v>60825052.606399536</v>
      </c>
    </row>
    <row r="264" spans="2:13" x14ac:dyDescent="0.2">
      <c r="B264" s="1"/>
      <c r="I264" s="1">
        <v>37710719116.268097</v>
      </c>
      <c r="J264" s="1">
        <v>37680946084.235001</v>
      </c>
      <c r="K264" s="1">
        <v>37753813979.132896</v>
      </c>
      <c r="L264" s="1">
        <f t="shared" si="16"/>
        <v>29773032.033096313</v>
      </c>
      <c r="M264" s="1">
        <f t="shared" si="17"/>
        <v>43094862.8647995</v>
      </c>
    </row>
    <row r="265" spans="2:13" x14ac:dyDescent="0.2">
      <c r="B265" s="1"/>
      <c r="I265" s="1">
        <v>37717317847.7407</v>
      </c>
      <c r="J265" s="1">
        <v>37687748678.595802</v>
      </c>
      <c r="K265" s="1">
        <v>37766462424.689697</v>
      </c>
      <c r="L265" s="1">
        <f t="shared" si="16"/>
        <v>29569169.144897461</v>
      </c>
      <c r="M265" s="1">
        <f t="shared" si="17"/>
        <v>49144576.948997498</v>
      </c>
    </row>
    <row r="266" spans="2:13" x14ac:dyDescent="0.2">
      <c r="B266" s="1"/>
      <c r="I266" s="1">
        <v>37732518681.625504</v>
      </c>
      <c r="J266" s="1">
        <v>37707523583.582703</v>
      </c>
      <c r="K266" s="1">
        <v>37785295326.022697</v>
      </c>
      <c r="L266" s="1">
        <f t="shared" si="16"/>
        <v>24995098.042800903</v>
      </c>
      <c r="M266" s="1">
        <f t="shared" si="17"/>
        <v>52776644.397193909</v>
      </c>
    </row>
    <row r="267" spans="2:13" x14ac:dyDescent="0.2">
      <c r="B267" s="1"/>
      <c r="I267" s="1">
        <v>37746444550.800102</v>
      </c>
      <c r="J267" s="1">
        <v>37746666834.016098</v>
      </c>
      <c r="K267" s="1">
        <v>37826081342.402199</v>
      </c>
      <c r="L267" s="1">
        <f t="shared" si="16"/>
        <v>-222283.21599578857</v>
      </c>
      <c r="M267" s="1">
        <f t="shared" si="17"/>
        <v>79636791.602096558</v>
      </c>
    </row>
    <row r="268" spans="2:13" x14ac:dyDescent="0.2">
      <c r="B268" s="1"/>
      <c r="I268" s="1">
        <v>37774489835.300102</v>
      </c>
      <c r="J268" s="1">
        <v>37759120475.156601</v>
      </c>
      <c r="K268" s="1">
        <v>37846724918.291397</v>
      </c>
      <c r="L268" s="1">
        <f t="shared" si="16"/>
        <v>15369360.143501282</v>
      </c>
      <c r="M268" s="1">
        <f t="shared" si="17"/>
        <v>72235082.991294861</v>
      </c>
    </row>
    <row r="269" spans="2:13" x14ac:dyDescent="0.2">
      <c r="B269" s="1"/>
      <c r="I269" s="1">
        <v>37773668817.309303</v>
      </c>
      <c r="J269" s="1">
        <v>37752554732.8591</v>
      </c>
      <c r="K269" s="1">
        <v>37834418735.143501</v>
      </c>
      <c r="L269" s="1">
        <f t="shared" si="16"/>
        <v>21114084.450202942</v>
      </c>
      <c r="M269" s="1">
        <f t="shared" si="17"/>
        <v>60749917.834197998</v>
      </c>
    </row>
    <row r="270" spans="2:13" x14ac:dyDescent="0.2">
      <c r="B270" s="1"/>
      <c r="I270" s="1">
        <v>37770839793.107498</v>
      </c>
      <c r="J270" s="1">
        <v>37748923284.540604</v>
      </c>
      <c r="K270" s="1">
        <v>37825600211.823196</v>
      </c>
      <c r="L270" s="1">
        <f t="shared" si="16"/>
        <v>21916508.566894531</v>
      </c>
      <c r="M270" s="1">
        <f t="shared" si="17"/>
        <v>54760418.715698242</v>
      </c>
    </row>
    <row r="271" spans="2:13" x14ac:dyDescent="0.2">
      <c r="B271" s="1"/>
      <c r="I271" s="1">
        <v>37725983477.325401</v>
      </c>
      <c r="J271" s="1">
        <v>37687306696.1166</v>
      </c>
      <c r="K271" s="1">
        <v>37768141795.1455</v>
      </c>
      <c r="L271" s="1">
        <f t="shared" si="16"/>
        <v>38676781.20880127</v>
      </c>
      <c r="M271" s="1">
        <f t="shared" si="17"/>
        <v>42158317.820098877</v>
      </c>
    </row>
    <row r="272" spans="2:13" x14ac:dyDescent="0.2">
      <c r="B272" s="1"/>
      <c r="I272" s="1">
        <v>37721471683.728798</v>
      </c>
      <c r="J272" s="1">
        <v>37675899498.562103</v>
      </c>
      <c r="K272" s="1">
        <v>37746199912.445999</v>
      </c>
      <c r="L272" s="1">
        <f t="shared" si="16"/>
        <v>45572185.166694641</v>
      </c>
      <c r="M272" s="1">
        <f t="shared" si="17"/>
        <v>24728228.717201233</v>
      </c>
    </row>
    <row r="273" spans="2:13" x14ac:dyDescent="0.2">
      <c r="B273" s="1"/>
      <c r="I273" s="1">
        <v>37659384732.667099</v>
      </c>
      <c r="J273" s="1">
        <v>37668664978.471298</v>
      </c>
      <c r="K273" s="1">
        <v>37738850555.906502</v>
      </c>
      <c r="L273" s="1">
        <f t="shared" si="16"/>
        <v>-9280245.8041992188</v>
      </c>
      <c r="M273" s="1">
        <f t="shared" si="17"/>
        <v>79465823.239402771</v>
      </c>
    </row>
    <row r="274" spans="2:13" x14ac:dyDescent="0.2">
      <c r="B274" s="1"/>
      <c r="I274" s="1">
        <v>37708834568.631897</v>
      </c>
      <c r="J274" s="1">
        <v>37714594002.582703</v>
      </c>
      <c r="K274" s="1">
        <v>37792384590.568398</v>
      </c>
      <c r="L274" s="1">
        <f t="shared" ref="L274:L337" si="18">I274-J274</f>
        <v>-5759433.9508056641</v>
      </c>
      <c r="M274" s="1">
        <f t="shared" ref="M274:M337" si="19">K274-I274</f>
        <v>83550021.936500549</v>
      </c>
    </row>
    <row r="275" spans="2:13" x14ac:dyDescent="0.2">
      <c r="B275" s="1"/>
      <c r="I275" s="1">
        <v>37750208157.094902</v>
      </c>
      <c r="J275" s="1">
        <v>37736757722.869904</v>
      </c>
      <c r="K275" s="1">
        <v>37820796699.376198</v>
      </c>
      <c r="L275" s="1">
        <f t="shared" si="18"/>
        <v>13450434.224998474</v>
      </c>
      <c r="M275" s="1">
        <f t="shared" si="19"/>
        <v>70588542.281295776</v>
      </c>
    </row>
    <row r="276" spans="2:13" x14ac:dyDescent="0.2">
      <c r="B276" s="1"/>
      <c r="I276" s="1">
        <v>37768986509.173897</v>
      </c>
      <c r="J276" s="1">
        <v>37738135837.473602</v>
      </c>
      <c r="K276" s="1">
        <v>37823142857.651398</v>
      </c>
      <c r="L276" s="1">
        <f t="shared" si="18"/>
        <v>30850671.700294495</v>
      </c>
      <c r="M276" s="1">
        <f t="shared" si="19"/>
        <v>54156348.477500916</v>
      </c>
    </row>
    <row r="277" spans="2:13" x14ac:dyDescent="0.2">
      <c r="B277" s="1"/>
      <c r="I277" s="1">
        <v>37765272647.544899</v>
      </c>
      <c r="J277" s="1">
        <v>37714505960.981003</v>
      </c>
      <c r="K277" s="1">
        <v>37819118391.097702</v>
      </c>
      <c r="L277" s="1">
        <f t="shared" si="18"/>
        <v>50766686.563896179</v>
      </c>
      <c r="M277" s="1">
        <f t="shared" si="19"/>
        <v>53845743.55280304</v>
      </c>
    </row>
    <row r="278" spans="2:13" x14ac:dyDescent="0.2">
      <c r="B278" s="1"/>
      <c r="I278" s="1">
        <v>37740062819.357399</v>
      </c>
      <c r="J278" s="1">
        <v>37713385406.2743</v>
      </c>
      <c r="K278" s="1">
        <v>37810930497.5933</v>
      </c>
      <c r="L278" s="1">
        <f t="shared" si="18"/>
        <v>26677413.083099365</v>
      </c>
      <c r="M278" s="1">
        <f t="shared" si="19"/>
        <v>70867678.235900879</v>
      </c>
    </row>
    <row r="279" spans="2:13" x14ac:dyDescent="0.2">
      <c r="B279" s="1"/>
      <c r="I279" s="1">
        <v>37770780324.207603</v>
      </c>
      <c r="J279" s="1">
        <v>37760684002.811699</v>
      </c>
      <c r="K279" s="1">
        <v>37867995408.617996</v>
      </c>
      <c r="L279" s="1">
        <f t="shared" si="18"/>
        <v>10096321.395904541</v>
      </c>
      <c r="M279" s="1">
        <f t="shared" si="19"/>
        <v>97215084.410392761</v>
      </c>
    </row>
    <row r="280" spans="2:13" x14ac:dyDescent="0.2">
      <c r="B280" s="1"/>
      <c r="I280" s="1">
        <v>37780193017.660202</v>
      </c>
      <c r="J280" s="1">
        <v>37763652435.825699</v>
      </c>
      <c r="K280" s="1">
        <v>37889764850.920197</v>
      </c>
      <c r="L280" s="1">
        <f t="shared" si="18"/>
        <v>16540581.834503174</v>
      </c>
      <c r="M280" s="1">
        <f t="shared" si="19"/>
        <v>109571833.25999451</v>
      </c>
    </row>
    <row r="281" spans="2:13" x14ac:dyDescent="0.2">
      <c r="B281" s="1"/>
      <c r="I281" s="1">
        <v>37780085468.326897</v>
      </c>
      <c r="J281" s="1">
        <v>37774733421.642502</v>
      </c>
      <c r="K281" s="1">
        <v>37859147736.334198</v>
      </c>
      <c r="L281" s="1">
        <f t="shared" si="18"/>
        <v>5352046.6843948364</v>
      </c>
      <c r="M281" s="1">
        <f t="shared" si="19"/>
        <v>79062268.007301331</v>
      </c>
    </row>
    <row r="282" spans="2:13" x14ac:dyDescent="0.2">
      <c r="B282" s="1"/>
      <c r="I282" s="1">
        <v>37771813157.434402</v>
      </c>
      <c r="J282" s="1">
        <v>37740520926.915802</v>
      </c>
      <c r="K282" s="1">
        <v>37846383624.522697</v>
      </c>
      <c r="L282" s="1">
        <f t="shared" si="18"/>
        <v>31292230.518600464</v>
      </c>
      <c r="M282" s="1">
        <f t="shared" si="19"/>
        <v>74570467.088294983</v>
      </c>
    </row>
    <row r="283" spans="2:13" x14ac:dyDescent="0.2">
      <c r="B283" s="1"/>
      <c r="I283" s="1">
        <v>37726235407.070602</v>
      </c>
      <c r="J283" s="1">
        <v>37694334146.5914</v>
      </c>
      <c r="K283" s="1">
        <v>37803228280.912201</v>
      </c>
      <c r="L283" s="1">
        <f t="shared" si="18"/>
        <v>31901260.479202271</v>
      </c>
      <c r="M283" s="1">
        <f t="shared" si="19"/>
        <v>76992873.841598511</v>
      </c>
    </row>
    <row r="284" spans="2:13" x14ac:dyDescent="0.2">
      <c r="B284" s="1"/>
      <c r="I284" s="1">
        <v>37676881878.675003</v>
      </c>
      <c r="J284" s="1">
        <v>37657848373.536797</v>
      </c>
      <c r="K284" s="1">
        <v>37760949642.378998</v>
      </c>
      <c r="L284" s="1">
        <f t="shared" si="18"/>
        <v>19033505.138206482</v>
      </c>
      <c r="M284" s="1">
        <f t="shared" si="19"/>
        <v>84067763.703994751</v>
      </c>
    </row>
    <row r="285" spans="2:13" x14ac:dyDescent="0.2">
      <c r="B285" s="1"/>
      <c r="I285" s="1">
        <v>37646320970.199303</v>
      </c>
      <c r="J285" s="1">
        <v>37634393308.331398</v>
      </c>
      <c r="K285" s="1">
        <v>37730640469.658897</v>
      </c>
      <c r="L285" s="1">
        <f t="shared" si="18"/>
        <v>11927661.867904663</v>
      </c>
      <c r="M285" s="1">
        <f t="shared" si="19"/>
        <v>84319499.459594727</v>
      </c>
    </row>
    <row r="286" spans="2:13" x14ac:dyDescent="0.2">
      <c r="B286" s="1"/>
      <c r="I286" s="1">
        <v>37679803530.825302</v>
      </c>
      <c r="J286" s="1">
        <v>37663232101.972298</v>
      </c>
      <c r="K286" s="1">
        <v>37754001501.677498</v>
      </c>
      <c r="L286" s="1">
        <f t="shared" si="18"/>
        <v>16571428.853004456</v>
      </c>
      <c r="M286" s="1">
        <f t="shared" si="19"/>
        <v>74197970.85219574</v>
      </c>
    </row>
    <row r="287" spans="2:13" x14ac:dyDescent="0.2">
      <c r="B287" s="1"/>
      <c r="I287" s="1">
        <v>37720970789.741302</v>
      </c>
      <c r="J287" s="1">
        <v>37712219324.122704</v>
      </c>
      <c r="K287" s="1">
        <v>37800976981.221397</v>
      </c>
      <c r="L287" s="1">
        <f t="shared" si="18"/>
        <v>8751465.618598938</v>
      </c>
      <c r="M287" s="1">
        <f t="shared" si="19"/>
        <v>80006191.48009491</v>
      </c>
    </row>
    <row r="288" spans="2:13" x14ac:dyDescent="0.2">
      <c r="B288" s="1"/>
      <c r="I288" s="1">
        <v>37779660045.466599</v>
      </c>
      <c r="J288" s="1">
        <v>37755021700.0746</v>
      </c>
      <c r="K288" s="1">
        <v>37850617824.025002</v>
      </c>
      <c r="L288" s="1">
        <f t="shared" si="18"/>
        <v>24638345.391998291</v>
      </c>
      <c r="M288" s="1">
        <f t="shared" si="19"/>
        <v>70957778.558403015</v>
      </c>
    </row>
    <row r="289" spans="2:13" x14ac:dyDescent="0.2">
      <c r="B289" s="1"/>
      <c r="I289" s="1">
        <v>37739194298.2976</v>
      </c>
      <c r="J289" s="1">
        <v>37750535836.714996</v>
      </c>
      <c r="K289" s="1">
        <v>37850416218.1343</v>
      </c>
      <c r="L289" s="1">
        <f t="shared" si="18"/>
        <v>-11341538.417396545</v>
      </c>
      <c r="M289" s="1">
        <f t="shared" si="19"/>
        <v>111221919.83670044</v>
      </c>
    </row>
    <row r="290" spans="2:13" x14ac:dyDescent="0.2">
      <c r="B290" s="1"/>
      <c r="I290" s="1">
        <v>37828315252.208099</v>
      </c>
      <c r="J290" s="1">
        <v>37763147324.963898</v>
      </c>
      <c r="K290" s="1">
        <v>37842526645.704102</v>
      </c>
      <c r="L290" s="1">
        <f t="shared" si="18"/>
        <v>65167927.24420166</v>
      </c>
      <c r="M290" s="1">
        <f t="shared" si="19"/>
        <v>14211393.496002197</v>
      </c>
    </row>
    <row r="291" spans="2:13" x14ac:dyDescent="0.2">
      <c r="B291" s="1"/>
      <c r="I291" s="1">
        <v>37813382151.0448</v>
      </c>
      <c r="J291" s="1">
        <v>37757717180.368896</v>
      </c>
      <c r="K291" s="1">
        <v>37847797945.626503</v>
      </c>
      <c r="L291" s="1">
        <f t="shared" si="18"/>
        <v>55664970.67590332</v>
      </c>
      <c r="M291" s="1">
        <f t="shared" si="19"/>
        <v>34415794.581703186</v>
      </c>
    </row>
    <row r="292" spans="2:13" x14ac:dyDescent="0.2">
      <c r="B292" s="1"/>
      <c r="I292" s="1">
        <v>37830213698.140099</v>
      </c>
      <c r="J292" s="1">
        <v>37803917134.704903</v>
      </c>
      <c r="K292" s="1">
        <v>37898601139.9851</v>
      </c>
      <c r="L292" s="1">
        <f t="shared" si="18"/>
        <v>26296563.435195923</v>
      </c>
      <c r="M292" s="1">
        <f t="shared" si="19"/>
        <v>68387441.845001221</v>
      </c>
    </row>
    <row r="293" spans="2:13" x14ac:dyDescent="0.2">
      <c r="B293" s="1"/>
      <c r="I293" s="1">
        <v>37816469468.4478</v>
      </c>
      <c r="J293" s="1">
        <v>37810728516.540398</v>
      </c>
      <c r="K293" s="1">
        <v>37921539819.497498</v>
      </c>
      <c r="L293" s="1">
        <f t="shared" si="18"/>
        <v>5740951.9074020386</v>
      </c>
      <c r="M293" s="1">
        <f t="shared" si="19"/>
        <v>105070351.04969788</v>
      </c>
    </row>
    <row r="294" spans="2:13" x14ac:dyDescent="0.2">
      <c r="B294" s="1"/>
      <c r="I294" s="1">
        <v>37788572835.806602</v>
      </c>
      <c r="J294" s="1">
        <v>37780318784.692001</v>
      </c>
      <c r="K294" s="1">
        <v>37861667138.070198</v>
      </c>
      <c r="L294" s="1">
        <f t="shared" si="18"/>
        <v>8254051.1146011353</v>
      </c>
      <c r="M294" s="1">
        <f t="shared" si="19"/>
        <v>73094302.263595581</v>
      </c>
    </row>
    <row r="295" spans="2:13" x14ac:dyDescent="0.2">
      <c r="B295" s="1"/>
      <c r="I295" s="1">
        <v>37770826636.150902</v>
      </c>
      <c r="J295" s="1">
        <v>37732791947.131401</v>
      </c>
      <c r="K295" s="1">
        <v>37821190187.583801</v>
      </c>
      <c r="L295" s="1">
        <f t="shared" si="18"/>
        <v>38034689.019500732</v>
      </c>
      <c r="M295" s="1">
        <f t="shared" si="19"/>
        <v>50363551.432899475</v>
      </c>
    </row>
    <row r="296" spans="2:13" x14ac:dyDescent="0.2">
      <c r="B296" s="1"/>
      <c r="I296" s="1">
        <v>37732342079.917198</v>
      </c>
      <c r="J296" s="1">
        <v>37695631754.168701</v>
      </c>
      <c r="K296" s="1">
        <v>37794161804.755203</v>
      </c>
      <c r="L296" s="1">
        <f t="shared" si="18"/>
        <v>36710325.748497009</v>
      </c>
      <c r="M296" s="1">
        <f t="shared" si="19"/>
        <v>61819724.838005066</v>
      </c>
    </row>
    <row r="297" spans="2:13" x14ac:dyDescent="0.2">
      <c r="B297" s="1"/>
      <c r="I297" s="1">
        <v>37741620120.880898</v>
      </c>
      <c r="J297" s="1">
        <v>37708832618.713303</v>
      </c>
      <c r="K297" s="1">
        <v>37802795400.227402</v>
      </c>
      <c r="L297" s="1">
        <f t="shared" si="18"/>
        <v>32787502.16759491</v>
      </c>
      <c r="M297" s="1">
        <f t="shared" si="19"/>
        <v>61175279.346504211</v>
      </c>
    </row>
    <row r="298" spans="2:13" x14ac:dyDescent="0.2">
      <c r="B298" s="1"/>
      <c r="I298" s="1">
        <v>37766137357.706497</v>
      </c>
      <c r="J298" s="1">
        <v>37726658106.939201</v>
      </c>
      <c r="K298" s="1">
        <v>37822264342.981102</v>
      </c>
      <c r="L298" s="1">
        <f t="shared" si="18"/>
        <v>39479250.767295837</v>
      </c>
      <c r="M298" s="1">
        <f t="shared" si="19"/>
        <v>56126985.274604797</v>
      </c>
    </row>
    <row r="299" spans="2:13" x14ac:dyDescent="0.2">
      <c r="B299" s="1"/>
      <c r="I299" s="1">
        <v>37782710900.691498</v>
      </c>
      <c r="J299" s="1">
        <v>37755434243.901604</v>
      </c>
      <c r="K299" s="1">
        <v>37848826749.174599</v>
      </c>
      <c r="L299" s="1">
        <f t="shared" si="18"/>
        <v>27276656.789894104</v>
      </c>
      <c r="M299" s="1">
        <f t="shared" si="19"/>
        <v>66115848.483100891</v>
      </c>
    </row>
    <row r="300" spans="2:13" x14ac:dyDescent="0.2">
      <c r="B300" s="1"/>
      <c r="I300" s="1">
        <v>37813657280.798103</v>
      </c>
      <c r="J300" s="1">
        <v>37780834191.830399</v>
      </c>
      <c r="K300" s="1">
        <v>37877996546.861</v>
      </c>
      <c r="L300" s="1">
        <f t="shared" si="18"/>
        <v>32823088.967704773</v>
      </c>
      <c r="M300" s="1">
        <f t="shared" si="19"/>
        <v>64339266.062896729</v>
      </c>
    </row>
    <row r="301" spans="2:13" x14ac:dyDescent="0.2">
      <c r="B301" s="1"/>
      <c r="I301" s="1">
        <v>37821201006.695</v>
      </c>
      <c r="J301" s="1">
        <v>37786427758.066704</v>
      </c>
      <c r="K301" s="1">
        <v>37885971773.224701</v>
      </c>
      <c r="L301" s="1">
        <f t="shared" si="18"/>
        <v>34773248.628295898</v>
      </c>
      <c r="M301" s="1">
        <f t="shared" si="19"/>
        <v>64770766.529701233</v>
      </c>
    </row>
    <row r="302" spans="2:13" x14ac:dyDescent="0.2">
      <c r="B302" s="1"/>
      <c r="I302" s="1">
        <v>37839380421.616402</v>
      </c>
      <c r="J302" s="1">
        <v>37794938830.143501</v>
      </c>
      <c r="K302" s="1">
        <v>37903195825.846199</v>
      </c>
      <c r="L302" s="1">
        <f t="shared" si="18"/>
        <v>44441591.472900391</v>
      </c>
      <c r="M302" s="1">
        <f t="shared" si="19"/>
        <v>63815404.229797363</v>
      </c>
    </row>
    <row r="303" spans="2:13" x14ac:dyDescent="0.2">
      <c r="B303" s="1"/>
      <c r="I303" s="1">
        <v>37840003748.844498</v>
      </c>
      <c r="J303" s="1">
        <v>37811126277.137199</v>
      </c>
      <c r="K303" s="1">
        <v>37908994271.7994</v>
      </c>
      <c r="L303" s="1">
        <f t="shared" si="18"/>
        <v>28877471.707298279</v>
      </c>
      <c r="M303" s="1">
        <f t="shared" si="19"/>
        <v>68990522.954902649</v>
      </c>
    </row>
    <row r="304" spans="2:13" x14ac:dyDescent="0.2">
      <c r="B304" s="1"/>
      <c r="I304" s="1">
        <v>37823707574.816704</v>
      </c>
      <c r="J304" s="1">
        <v>37796729340.721901</v>
      </c>
      <c r="K304" s="1">
        <v>37896196547.334297</v>
      </c>
      <c r="L304" s="1">
        <f t="shared" si="18"/>
        <v>26978234.094802856</v>
      </c>
      <c r="M304" s="1">
        <f t="shared" si="19"/>
        <v>72488972.517593384</v>
      </c>
    </row>
    <row r="305" spans="2:13" x14ac:dyDescent="0.2">
      <c r="B305" s="1"/>
      <c r="I305" s="1">
        <v>37857819575.2705</v>
      </c>
      <c r="J305" s="1">
        <v>37818918015.9925</v>
      </c>
      <c r="K305" s="1">
        <v>37918536928.518997</v>
      </c>
      <c r="L305" s="1">
        <f t="shared" si="18"/>
        <v>38901559.277999878</v>
      </c>
      <c r="M305" s="1">
        <f t="shared" si="19"/>
        <v>60717353.248497009</v>
      </c>
    </row>
    <row r="306" spans="2:13" x14ac:dyDescent="0.2">
      <c r="B306" s="1"/>
      <c r="I306" s="1">
        <v>37826066925.493896</v>
      </c>
      <c r="J306" s="1">
        <v>37791315919.739799</v>
      </c>
      <c r="K306" s="1">
        <v>37889515284.690804</v>
      </c>
      <c r="L306" s="1">
        <f t="shared" si="18"/>
        <v>34751005.754096985</v>
      </c>
      <c r="M306" s="1">
        <f t="shared" si="19"/>
        <v>63448359.196907043</v>
      </c>
    </row>
    <row r="307" spans="2:13" x14ac:dyDescent="0.2">
      <c r="B307" s="1"/>
      <c r="I307" s="1">
        <v>37775801910.735703</v>
      </c>
      <c r="J307" s="1">
        <v>37758909416.769302</v>
      </c>
      <c r="K307" s="1">
        <v>37840532095.881699</v>
      </c>
      <c r="L307" s="1">
        <f t="shared" si="18"/>
        <v>16892493.966400146</v>
      </c>
      <c r="M307" s="1">
        <f t="shared" si="19"/>
        <v>64730185.145996094</v>
      </c>
    </row>
    <row r="308" spans="2:13" x14ac:dyDescent="0.2">
      <c r="B308" s="1"/>
      <c r="I308" s="1">
        <v>37750286960.697304</v>
      </c>
      <c r="J308" s="1">
        <v>37733541223.919502</v>
      </c>
      <c r="K308" s="1">
        <v>37812691979.181</v>
      </c>
      <c r="L308" s="1">
        <f t="shared" si="18"/>
        <v>16745736.777801514</v>
      </c>
      <c r="M308" s="1">
        <f t="shared" si="19"/>
        <v>62405018.483695984</v>
      </c>
    </row>
    <row r="309" spans="2:13" x14ac:dyDescent="0.2">
      <c r="B309" s="1"/>
      <c r="I309" s="1">
        <v>37735196913.688904</v>
      </c>
      <c r="J309" s="1">
        <v>37715378445.330498</v>
      </c>
      <c r="K309" s="1">
        <v>37817265308.568001</v>
      </c>
      <c r="L309" s="1">
        <f t="shared" si="18"/>
        <v>19818468.358406067</v>
      </c>
      <c r="M309" s="1">
        <f t="shared" si="19"/>
        <v>82068394.879096985</v>
      </c>
    </row>
    <row r="310" spans="2:13" x14ac:dyDescent="0.2">
      <c r="B310" s="1"/>
      <c r="I310" s="1">
        <v>37757879506.747101</v>
      </c>
      <c r="J310" s="1">
        <v>37735367661.251602</v>
      </c>
      <c r="K310" s="1">
        <v>37838060970.875</v>
      </c>
      <c r="L310" s="1">
        <f t="shared" si="18"/>
        <v>22511845.495498657</v>
      </c>
      <c r="M310" s="1">
        <f t="shared" si="19"/>
        <v>80181464.12789917</v>
      </c>
    </row>
    <row r="311" spans="2:13" x14ac:dyDescent="0.2">
      <c r="B311" s="1"/>
      <c r="I311" s="1">
        <v>37814216862.077003</v>
      </c>
      <c r="J311" s="1">
        <v>37802440719.926003</v>
      </c>
      <c r="K311" s="1">
        <v>37894522613.197403</v>
      </c>
      <c r="L311" s="1">
        <f t="shared" si="18"/>
        <v>11776142.151000977</v>
      </c>
      <c r="M311" s="1">
        <f t="shared" si="19"/>
        <v>80305751.120399475</v>
      </c>
    </row>
    <row r="312" spans="2:13" x14ac:dyDescent="0.2">
      <c r="B312" s="1"/>
      <c r="I312" s="1">
        <v>37830565581.981102</v>
      </c>
      <c r="J312" s="1">
        <v>37804913661.987503</v>
      </c>
      <c r="K312" s="1">
        <v>37905275443.8302</v>
      </c>
      <c r="L312" s="1">
        <f t="shared" si="18"/>
        <v>25651919.993598938</v>
      </c>
      <c r="M312" s="1">
        <f t="shared" si="19"/>
        <v>74709861.849098206</v>
      </c>
    </row>
    <row r="313" spans="2:13" x14ac:dyDescent="0.2">
      <c r="B313" s="1"/>
      <c r="I313" s="1">
        <v>37845419018.155098</v>
      </c>
      <c r="J313" s="1">
        <v>37800556459.741096</v>
      </c>
      <c r="K313" s="1">
        <v>37912652585.2612</v>
      </c>
      <c r="L313" s="1">
        <f t="shared" si="18"/>
        <v>44862558.414001465</v>
      </c>
      <c r="M313" s="1">
        <f t="shared" si="19"/>
        <v>67233567.10610199</v>
      </c>
    </row>
    <row r="314" spans="2:13" x14ac:dyDescent="0.2">
      <c r="B314" s="1"/>
      <c r="I314" s="1">
        <v>37836496304.044502</v>
      </c>
      <c r="J314" s="1">
        <v>37811160830.875198</v>
      </c>
      <c r="K314" s="1">
        <v>37952610602.503197</v>
      </c>
      <c r="L314" s="1">
        <f t="shared" si="18"/>
        <v>25335473.169303894</v>
      </c>
      <c r="M314" s="1">
        <f t="shared" si="19"/>
        <v>116114298.45869446</v>
      </c>
    </row>
    <row r="315" spans="2:13" x14ac:dyDescent="0.2">
      <c r="B315" s="1"/>
      <c r="I315" s="1">
        <v>37891087070.242302</v>
      </c>
      <c r="J315" s="1">
        <v>37853902877.112396</v>
      </c>
      <c r="K315" s="1">
        <v>37986983993.063301</v>
      </c>
      <c r="L315" s="1">
        <f t="shared" si="18"/>
        <v>37184193.129905701</v>
      </c>
      <c r="M315" s="1">
        <f t="shared" si="19"/>
        <v>95896922.820999146</v>
      </c>
    </row>
    <row r="316" spans="2:13" x14ac:dyDescent="0.2">
      <c r="B316" s="1"/>
      <c r="I316" s="1">
        <v>37897663255.137398</v>
      </c>
      <c r="J316" s="1">
        <v>37877288987.199997</v>
      </c>
      <c r="K316" s="1">
        <v>38023744092.966301</v>
      </c>
      <c r="L316" s="1">
        <f t="shared" si="18"/>
        <v>20374267.937400818</v>
      </c>
      <c r="M316" s="1">
        <f t="shared" si="19"/>
        <v>126080837.8289032</v>
      </c>
    </row>
    <row r="317" spans="2:13" x14ac:dyDescent="0.2">
      <c r="B317" s="1"/>
      <c r="I317" s="1">
        <v>37922959466.880798</v>
      </c>
      <c r="J317" s="1">
        <v>37883494752.639</v>
      </c>
      <c r="K317" s="1">
        <v>38005615532.922203</v>
      </c>
      <c r="L317" s="1">
        <f t="shared" si="18"/>
        <v>39464714.241798401</v>
      </c>
      <c r="M317" s="1">
        <f t="shared" si="19"/>
        <v>82656066.041404724</v>
      </c>
    </row>
    <row r="318" spans="2:13" x14ac:dyDescent="0.2">
      <c r="B318" s="1"/>
      <c r="I318" s="1">
        <v>37885839665.067101</v>
      </c>
      <c r="J318" s="1">
        <v>37855170238.797699</v>
      </c>
      <c r="K318" s="1">
        <v>37961813397.3834</v>
      </c>
      <c r="L318" s="1">
        <f t="shared" si="18"/>
        <v>30669426.26940155</v>
      </c>
      <c r="M318" s="1">
        <f t="shared" si="19"/>
        <v>75973732.316299438</v>
      </c>
    </row>
    <row r="319" spans="2:13" x14ac:dyDescent="0.2">
      <c r="B319" s="1"/>
      <c r="I319" s="1">
        <v>37816325147.268501</v>
      </c>
      <c r="J319" s="1">
        <v>37795152315.516403</v>
      </c>
      <c r="K319" s="1">
        <v>37905293097.408798</v>
      </c>
      <c r="L319" s="1">
        <f t="shared" si="18"/>
        <v>21172831.752098083</v>
      </c>
      <c r="M319" s="1">
        <f t="shared" si="19"/>
        <v>88967950.140296936</v>
      </c>
    </row>
    <row r="320" spans="2:13" x14ac:dyDescent="0.2">
      <c r="B320" s="1"/>
      <c r="I320" s="1">
        <v>37790214908.662399</v>
      </c>
      <c r="J320" s="1">
        <v>37765209573.241699</v>
      </c>
      <c r="K320" s="1">
        <v>37897903150.411102</v>
      </c>
      <c r="L320" s="1">
        <f t="shared" si="18"/>
        <v>25005335.420700073</v>
      </c>
      <c r="M320" s="1">
        <f t="shared" si="19"/>
        <v>107688241.748703</v>
      </c>
    </row>
    <row r="321" spans="2:13" x14ac:dyDescent="0.2">
      <c r="B321" s="1"/>
      <c r="I321" s="1">
        <v>37795077538.4599</v>
      </c>
      <c r="J321" s="1">
        <v>37772104682.284798</v>
      </c>
      <c r="K321" s="1">
        <v>37876027111.727699</v>
      </c>
      <c r="L321" s="1">
        <f t="shared" si="18"/>
        <v>22972856.175102234</v>
      </c>
      <c r="M321" s="1">
        <f t="shared" si="19"/>
        <v>80949573.267799377</v>
      </c>
    </row>
    <row r="322" spans="2:13" x14ac:dyDescent="0.2">
      <c r="B322" s="1"/>
      <c r="I322" s="1">
        <v>37829977461.792198</v>
      </c>
      <c r="J322" s="1">
        <v>37809943839.3992</v>
      </c>
      <c r="K322" s="1">
        <v>37916001305.297699</v>
      </c>
      <c r="L322" s="1">
        <f t="shared" si="18"/>
        <v>20033622.392997742</v>
      </c>
      <c r="M322" s="1">
        <f t="shared" si="19"/>
        <v>86023843.505500793</v>
      </c>
    </row>
    <row r="323" spans="2:13" x14ac:dyDescent="0.2">
      <c r="B323" s="1"/>
      <c r="I323" s="1">
        <v>37874594209.756599</v>
      </c>
      <c r="J323" s="1">
        <v>37841544221.569099</v>
      </c>
      <c r="K323" s="1">
        <v>37938353229.651901</v>
      </c>
      <c r="L323" s="1">
        <f t="shared" si="18"/>
        <v>33049988.1875</v>
      </c>
      <c r="M323" s="1">
        <f t="shared" si="19"/>
        <v>63759019.895301819</v>
      </c>
    </row>
    <row r="324" spans="2:13" x14ac:dyDescent="0.2">
      <c r="B324" s="1"/>
      <c r="I324" s="1">
        <v>37873329801.3629</v>
      </c>
      <c r="J324" s="1">
        <v>37864166064.256104</v>
      </c>
      <c r="K324" s="1">
        <v>37969260369.265099</v>
      </c>
      <c r="L324" s="1">
        <f t="shared" si="18"/>
        <v>9163737.1067962646</v>
      </c>
      <c r="M324" s="1">
        <f t="shared" si="19"/>
        <v>95930567.902198792</v>
      </c>
    </row>
    <row r="325" spans="2:13" x14ac:dyDescent="0.2">
      <c r="B325" s="1"/>
      <c r="I325" s="1">
        <v>37887668519.019699</v>
      </c>
      <c r="J325" s="1">
        <v>37862039688.721298</v>
      </c>
      <c r="K325" s="1">
        <v>37979375240.393997</v>
      </c>
      <c r="L325" s="1">
        <f t="shared" si="18"/>
        <v>25628830.298400879</v>
      </c>
      <c r="M325" s="1">
        <f t="shared" si="19"/>
        <v>91706721.374298096</v>
      </c>
    </row>
    <row r="326" spans="2:13" x14ac:dyDescent="0.2">
      <c r="B326" s="1"/>
      <c r="I326" s="1">
        <v>37887881089.757004</v>
      </c>
      <c r="J326" s="1">
        <v>37843180322.830299</v>
      </c>
      <c r="K326" s="1">
        <v>37958088440.536003</v>
      </c>
      <c r="L326" s="1">
        <f t="shared" si="18"/>
        <v>44700766.926704407</v>
      </c>
      <c r="M326" s="1">
        <f t="shared" si="19"/>
        <v>70207350.778999329</v>
      </c>
    </row>
    <row r="327" spans="2:13" x14ac:dyDescent="0.2">
      <c r="B327" s="1"/>
      <c r="I327" s="1">
        <v>37932436732.062798</v>
      </c>
      <c r="J327" s="1">
        <v>37887903551.893402</v>
      </c>
      <c r="K327" s="1">
        <v>37994339656.671898</v>
      </c>
      <c r="L327" s="1">
        <f t="shared" si="18"/>
        <v>44533180.169395447</v>
      </c>
      <c r="M327" s="1">
        <f t="shared" si="19"/>
        <v>61902924.609100342</v>
      </c>
    </row>
    <row r="328" spans="2:13" x14ac:dyDescent="0.2">
      <c r="B328" s="1"/>
      <c r="I328" s="1">
        <v>37920859524.629997</v>
      </c>
      <c r="J328" s="1">
        <v>37900743703.420197</v>
      </c>
      <c r="K328" s="1">
        <v>38018251551.153603</v>
      </c>
      <c r="L328" s="1">
        <f t="shared" si="18"/>
        <v>20115821.20980072</v>
      </c>
      <c r="M328" s="1">
        <f t="shared" si="19"/>
        <v>97392026.523605347</v>
      </c>
    </row>
    <row r="329" spans="2:13" x14ac:dyDescent="0.2">
      <c r="B329" s="1"/>
      <c r="I329" s="1">
        <v>37968578535.717102</v>
      </c>
      <c r="J329" s="1">
        <v>37933031151.783798</v>
      </c>
      <c r="K329" s="1">
        <v>38045850140.781097</v>
      </c>
      <c r="L329" s="1">
        <f t="shared" si="18"/>
        <v>35547383.933303833</v>
      </c>
      <c r="M329" s="1">
        <f t="shared" si="19"/>
        <v>77271605.063995361</v>
      </c>
    </row>
    <row r="330" spans="2:13" x14ac:dyDescent="0.2">
      <c r="B330" s="1"/>
      <c r="I330" s="1">
        <v>37918463216.1763</v>
      </c>
      <c r="J330" s="1">
        <v>37893974593.244202</v>
      </c>
      <c r="K330" s="1">
        <v>38011083259.465401</v>
      </c>
      <c r="L330" s="1">
        <f t="shared" si="18"/>
        <v>24488622.932098389</v>
      </c>
      <c r="M330" s="1">
        <f t="shared" si="19"/>
        <v>92620043.289100647</v>
      </c>
    </row>
    <row r="331" spans="2:13" x14ac:dyDescent="0.2">
      <c r="B331" s="1"/>
      <c r="I331" s="1">
        <v>37854458876.655403</v>
      </c>
      <c r="J331" s="1">
        <v>37848003802.023598</v>
      </c>
      <c r="K331" s="1">
        <v>37979803334.485397</v>
      </c>
      <c r="L331" s="1">
        <f t="shared" si="18"/>
        <v>6455074.6318054199</v>
      </c>
      <c r="M331" s="1">
        <f t="shared" si="19"/>
        <v>125344457.8299942</v>
      </c>
    </row>
    <row r="332" spans="2:13" x14ac:dyDescent="0.2">
      <c r="B332" s="1"/>
      <c r="I332" s="1">
        <v>37834773333.242104</v>
      </c>
      <c r="J332" s="1">
        <v>37826111404.492897</v>
      </c>
      <c r="K332" s="1">
        <v>37965450575.171898</v>
      </c>
      <c r="L332" s="1">
        <f t="shared" si="18"/>
        <v>8661928.749206543</v>
      </c>
      <c r="M332" s="1">
        <f t="shared" si="19"/>
        <v>130677241.92979431</v>
      </c>
    </row>
    <row r="333" spans="2:13" x14ac:dyDescent="0.2">
      <c r="B333" s="1"/>
      <c r="I333" s="1">
        <v>37859314693.677902</v>
      </c>
      <c r="J333" s="1">
        <v>37816066067.935097</v>
      </c>
      <c r="K333" s="1">
        <v>37941405494.817703</v>
      </c>
      <c r="L333" s="1">
        <f t="shared" si="18"/>
        <v>43248625.742805481</v>
      </c>
      <c r="M333" s="1">
        <f t="shared" si="19"/>
        <v>82090801.139801025</v>
      </c>
    </row>
    <row r="334" spans="2:13" x14ac:dyDescent="0.2">
      <c r="B334" s="1"/>
      <c r="I334" s="1">
        <v>37880542726.315399</v>
      </c>
      <c r="J334" s="1">
        <v>37836230059.8022</v>
      </c>
      <c r="K334" s="1">
        <v>37945769576.655296</v>
      </c>
      <c r="L334" s="1">
        <f t="shared" si="18"/>
        <v>44312666.513198853</v>
      </c>
      <c r="M334" s="1">
        <f t="shared" si="19"/>
        <v>65226850.339897156</v>
      </c>
    </row>
    <row r="335" spans="2:13" x14ac:dyDescent="0.2">
      <c r="B335" s="1"/>
      <c r="I335" s="1">
        <v>37865669446.892601</v>
      </c>
      <c r="J335" s="1">
        <v>37851979245.9869</v>
      </c>
      <c r="K335" s="1">
        <v>37964684014.629799</v>
      </c>
      <c r="L335" s="1">
        <f t="shared" si="18"/>
        <v>13690200.905700684</v>
      </c>
      <c r="M335" s="1">
        <f t="shared" si="19"/>
        <v>99014567.737197876</v>
      </c>
    </row>
    <row r="336" spans="2:13" x14ac:dyDescent="0.2">
      <c r="B336" s="1"/>
      <c r="I336" s="1">
        <v>37887406821.456497</v>
      </c>
      <c r="J336" s="1">
        <v>37881726162.587196</v>
      </c>
      <c r="K336" s="1">
        <v>37998082744.047096</v>
      </c>
      <c r="L336" s="1">
        <f t="shared" si="18"/>
        <v>5680658.8693008423</v>
      </c>
      <c r="M336" s="1">
        <f t="shared" si="19"/>
        <v>110675922.59059906</v>
      </c>
    </row>
    <row r="337" spans="2:13" x14ac:dyDescent="0.2">
      <c r="B337" s="1"/>
      <c r="I337" s="1">
        <v>37893296326.771301</v>
      </c>
      <c r="J337" s="1">
        <v>37865783093.195198</v>
      </c>
      <c r="K337" s="1">
        <v>38004515498.319504</v>
      </c>
      <c r="L337" s="1">
        <f t="shared" si="18"/>
        <v>27513233.57610321</v>
      </c>
      <c r="M337" s="1">
        <f t="shared" si="19"/>
        <v>111219171.54820251</v>
      </c>
    </row>
    <row r="338" spans="2:13" x14ac:dyDescent="0.2">
      <c r="B338" s="1"/>
      <c r="I338" s="1">
        <v>37933846650.920898</v>
      </c>
      <c r="J338" s="1">
        <v>37898929784.559303</v>
      </c>
      <c r="K338" s="1">
        <v>38024416908.6689</v>
      </c>
      <c r="L338" s="1">
        <f t="shared" ref="L338:L354" si="20">I338-J338</f>
        <v>34916866.361595154</v>
      </c>
      <c r="M338" s="1">
        <f t="shared" ref="M338:M354" si="21">K338-I338</f>
        <v>90570257.748001099</v>
      </c>
    </row>
    <row r="339" spans="2:13" x14ac:dyDescent="0.2">
      <c r="B339" s="1"/>
      <c r="I339" s="1">
        <v>37939974029.034897</v>
      </c>
      <c r="J339" s="1">
        <v>37881625781.559502</v>
      </c>
      <c r="K339" s="1">
        <v>38003443067.715897</v>
      </c>
      <c r="L339" s="1">
        <f t="shared" si="20"/>
        <v>58348247.475395203</v>
      </c>
      <c r="M339" s="1">
        <f t="shared" si="21"/>
        <v>63469038.680999756</v>
      </c>
    </row>
    <row r="340" spans="2:13" x14ac:dyDescent="0.2">
      <c r="B340" s="1"/>
      <c r="I340" s="1">
        <v>37973781770.425301</v>
      </c>
      <c r="J340" s="1">
        <v>37920030521.494301</v>
      </c>
      <c r="K340" s="1">
        <v>38056807587.201797</v>
      </c>
      <c r="L340" s="1">
        <f t="shared" si="20"/>
        <v>53751248.930999756</v>
      </c>
      <c r="M340" s="1">
        <f t="shared" si="21"/>
        <v>83025816.776496887</v>
      </c>
    </row>
    <row r="341" spans="2:13" x14ac:dyDescent="0.2">
      <c r="B341" s="1"/>
      <c r="I341" s="1">
        <v>37972136495.938499</v>
      </c>
      <c r="J341" s="1">
        <v>37963128320.380798</v>
      </c>
      <c r="K341" s="1">
        <v>38074330053.229103</v>
      </c>
      <c r="L341" s="1">
        <f t="shared" si="20"/>
        <v>9008175.5577011108</v>
      </c>
      <c r="M341" s="1">
        <f t="shared" si="21"/>
        <v>102193557.29060364</v>
      </c>
    </row>
    <row r="342" spans="2:13" x14ac:dyDescent="0.2">
      <c r="B342" s="1"/>
      <c r="I342" s="1">
        <v>37958892391.9468</v>
      </c>
      <c r="J342" s="1">
        <v>37938958423.575302</v>
      </c>
      <c r="K342" s="1">
        <v>38062950141.019402</v>
      </c>
      <c r="L342" s="1">
        <f t="shared" si="20"/>
        <v>19933968.371498108</v>
      </c>
      <c r="M342" s="1">
        <f t="shared" si="21"/>
        <v>104057749.07260132</v>
      </c>
    </row>
    <row r="343" spans="2:13" x14ac:dyDescent="0.2">
      <c r="B343" s="1"/>
      <c r="I343" s="1">
        <v>37877422802.367798</v>
      </c>
      <c r="J343" s="1">
        <v>37861944429.325104</v>
      </c>
      <c r="K343" s="1">
        <v>37993935078.565903</v>
      </c>
      <c r="L343" s="1">
        <f t="shared" si="20"/>
        <v>15478373.042694092</v>
      </c>
      <c r="M343" s="1">
        <f t="shared" si="21"/>
        <v>116512276.19810486</v>
      </c>
    </row>
    <row r="344" spans="2:13" x14ac:dyDescent="0.2">
      <c r="B344" s="1"/>
      <c r="I344" s="1">
        <v>37874951822.479202</v>
      </c>
      <c r="J344" s="1">
        <v>37835340207.295799</v>
      </c>
      <c r="K344" s="1">
        <v>37962100196.212997</v>
      </c>
      <c r="L344" s="1">
        <f t="shared" si="20"/>
        <v>39611615.183403015</v>
      </c>
      <c r="M344" s="1">
        <f t="shared" si="21"/>
        <v>87148373.733795166</v>
      </c>
    </row>
    <row r="345" spans="2:13" x14ac:dyDescent="0.2">
      <c r="B345" s="1"/>
      <c r="I345" s="1">
        <v>37855826349.139099</v>
      </c>
      <c r="J345" s="1">
        <v>37840918883.1782</v>
      </c>
      <c r="K345" s="1">
        <v>37959649097.7855</v>
      </c>
      <c r="L345" s="1">
        <f t="shared" si="20"/>
        <v>14907465.960899353</v>
      </c>
      <c r="M345" s="1">
        <f t="shared" si="21"/>
        <v>103822748.64640045</v>
      </c>
    </row>
    <row r="346" spans="2:13" x14ac:dyDescent="0.2">
      <c r="B346" s="1"/>
      <c r="I346" s="1">
        <v>37863728787.117699</v>
      </c>
      <c r="J346" s="1">
        <v>37845739640.054604</v>
      </c>
      <c r="K346" s="1">
        <v>37950004866.265099</v>
      </c>
      <c r="L346" s="1">
        <f t="shared" si="20"/>
        <v>17989147.063095093</v>
      </c>
      <c r="M346" s="1">
        <f t="shared" si="21"/>
        <v>86276079.147399902</v>
      </c>
    </row>
    <row r="347" spans="2:13" x14ac:dyDescent="0.2">
      <c r="B347" s="1"/>
      <c r="I347" s="1">
        <v>37900963190.378998</v>
      </c>
      <c r="J347" s="1">
        <v>37887608736.711998</v>
      </c>
      <c r="K347" s="1">
        <v>38005964443.936401</v>
      </c>
      <c r="L347" s="1">
        <f t="shared" si="20"/>
        <v>13354453.666999817</v>
      </c>
      <c r="M347" s="1">
        <f t="shared" si="21"/>
        <v>105001253.55740356</v>
      </c>
    </row>
    <row r="348" spans="2:13" x14ac:dyDescent="0.2">
      <c r="B348" s="1"/>
      <c r="I348" s="1">
        <v>37941057566.368896</v>
      </c>
      <c r="J348" s="1">
        <v>37898329808.7276</v>
      </c>
      <c r="K348" s="1">
        <v>38028054264.514397</v>
      </c>
      <c r="L348" s="1">
        <f t="shared" si="20"/>
        <v>42727757.641296387</v>
      </c>
      <c r="M348" s="1">
        <f t="shared" si="21"/>
        <v>86996698.145500183</v>
      </c>
    </row>
    <row r="349" spans="2:13" x14ac:dyDescent="0.2">
      <c r="B349" s="1"/>
      <c r="I349" s="1">
        <v>37945287019.5345</v>
      </c>
      <c r="J349" s="1">
        <v>37907418333.865997</v>
      </c>
      <c r="K349" s="1">
        <v>38043913281.121803</v>
      </c>
      <c r="L349" s="1">
        <f t="shared" si="20"/>
        <v>37868685.668502808</v>
      </c>
      <c r="M349" s="1">
        <f t="shared" si="21"/>
        <v>98626261.587303162</v>
      </c>
    </row>
    <row r="350" spans="2:13" x14ac:dyDescent="0.2">
      <c r="B350" s="1"/>
      <c r="I350" s="1">
        <v>37961756792.509804</v>
      </c>
      <c r="J350" s="1">
        <v>37933474908.534897</v>
      </c>
      <c r="K350" s="1">
        <v>38065311718.687599</v>
      </c>
      <c r="L350" s="1">
        <f t="shared" si="20"/>
        <v>28281883.974906921</v>
      </c>
      <c r="M350" s="1">
        <f t="shared" si="21"/>
        <v>103554926.17779541</v>
      </c>
    </row>
    <row r="351" spans="2:13" x14ac:dyDescent="0.2">
      <c r="B351" s="1"/>
      <c r="I351" s="1">
        <v>37953147809.055099</v>
      </c>
      <c r="J351" s="1">
        <v>37948395536.520699</v>
      </c>
      <c r="K351" s="1">
        <v>38091669167.228996</v>
      </c>
      <c r="L351" s="1">
        <f t="shared" si="20"/>
        <v>4752272.5344009399</v>
      </c>
      <c r="M351" s="1">
        <f t="shared" si="21"/>
        <v>138521358.17389679</v>
      </c>
    </row>
    <row r="352" spans="2:13" x14ac:dyDescent="0.2">
      <c r="B352" s="1"/>
      <c r="I352" s="1">
        <v>38023018884.989899</v>
      </c>
      <c r="J352" s="1">
        <v>37983986921.878197</v>
      </c>
      <c r="K352" s="1">
        <v>38114110766.250198</v>
      </c>
      <c r="L352" s="1">
        <f t="shared" si="20"/>
        <v>39031963.111701965</v>
      </c>
      <c r="M352" s="1">
        <f t="shared" si="21"/>
        <v>91091881.260299683</v>
      </c>
    </row>
    <row r="353" spans="2:13" x14ac:dyDescent="0.2">
      <c r="B353" s="1"/>
      <c r="I353" s="1">
        <v>38022700348.051804</v>
      </c>
      <c r="J353" s="1">
        <v>37976529268.365997</v>
      </c>
      <c r="K353" s="1">
        <v>38107314745.492104</v>
      </c>
      <c r="L353" s="1">
        <f t="shared" si="20"/>
        <v>46171079.685806274</v>
      </c>
      <c r="M353" s="1">
        <f t="shared" si="21"/>
        <v>84614397.440299988</v>
      </c>
    </row>
    <row r="354" spans="2:13" x14ac:dyDescent="0.2">
      <c r="B354" s="1"/>
      <c r="I354" s="1">
        <v>37994622852.4095</v>
      </c>
      <c r="J354" s="1">
        <v>37944457054.165298</v>
      </c>
      <c r="K354" s="1">
        <v>38058594566.8088</v>
      </c>
      <c r="L354" s="1">
        <f t="shared" si="20"/>
        <v>50165798.24420166</v>
      </c>
      <c r="M354" s="1">
        <f t="shared" si="21"/>
        <v>63971714.399299622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2025-10-22T21:10:35Z</dcterms:created>
  <dcterms:modified xsi:type="dcterms:W3CDTF">2025-10-23T03:02:54Z</dcterms:modified>
</cp:coreProperties>
</file>