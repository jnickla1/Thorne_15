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IAP/"/>
    </mc:Choice>
  </mc:AlternateContent>
  <xr:revisionPtr revIDLastSave="0" documentId="13_ncr:1_{BB0ECF3C-1E57-0447-8C4E-55192208620A}" xr6:coauthVersionLast="47" xr6:coauthVersionMax="47" xr10:uidLastSave="{00000000-0000-0000-0000-000000000000}"/>
  <bookViews>
    <workbookView xWindow="3120" yWindow="14800" windowWidth="35840" windowHeight="21800" xr2:uid="{FD986EB9-4D8C-6342-932A-1A6FC5371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7" i="1" l="1"/>
  <c r="P87" i="1" a="1"/>
  <c r="P87" i="1" s="1"/>
  <c r="X87" i="1" s="1"/>
  <c r="Q87" i="1"/>
  <c r="R87" i="1" a="1"/>
  <c r="R87" i="1" s="1"/>
  <c r="S87" i="1"/>
  <c r="AH87" i="1" s="1"/>
  <c r="T87" i="1"/>
  <c r="V87" i="1"/>
  <c r="W87" i="1"/>
  <c r="Y87" i="1"/>
  <c r="O3" i="1"/>
  <c r="W3" i="1" s="1"/>
  <c r="P3" i="1" a="1"/>
  <c r="P3" i="1" s="1"/>
  <c r="X3" i="1" s="1"/>
  <c r="O4" i="1"/>
  <c r="W4" i="1" s="1"/>
  <c r="P4" i="1" a="1"/>
  <c r="P4" i="1" s="1"/>
  <c r="X4" i="1" s="1"/>
  <c r="O5" i="1"/>
  <c r="W5" i="1" s="1"/>
  <c r="P5" i="1" a="1"/>
  <c r="P5" i="1" s="1"/>
  <c r="X5" i="1" s="1"/>
  <c r="O6" i="1"/>
  <c r="W6" i="1" s="1"/>
  <c r="P6" i="1" a="1"/>
  <c r="P6" i="1" s="1"/>
  <c r="X6" i="1" s="1"/>
  <c r="O7" i="1"/>
  <c r="W7" i="1" s="1"/>
  <c r="P7" i="1" a="1"/>
  <c r="P7" i="1" s="1"/>
  <c r="X7" i="1" s="1"/>
  <c r="O8" i="1"/>
  <c r="W8" i="1" s="1"/>
  <c r="P8" i="1" a="1"/>
  <c r="P8" i="1" s="1"/>
  <c r="X8" i="1" s="1"/>
  <c r="O9" i="1"/>
  <c r="W9" i="1" s="1"/>
  <c r="P9" i="1" a="1"/>
  <c r="P9" i="1" s="1"/>
  <c r="X9" i="1" s="1"/>
  <c r="O10" i="1"/>
  <c r="W10" i="1" s="1"/>
  <c r="P10" i="1" a="1"/>
  <c r="P10" i="1" s="1"/>
  <c r="X10" i="1" s="1"/>
  <c r="O11" i="1"/>
  <c r="W11" i="1" s="1"/>
  <c r="P11" i="1" a="1"/>
  <c r="P11" i="1" s="1"/>
  <c r="X11" i="1" s="1"/>
  <c r="O12" i="1"/>
  <c r="W12" i="1" s="1"/>
  <c r="P12" i="1" a="1"/>
  <c r="P12" i="1" s="1"/>
  <c r="X12" i="1" s="1"/>
  <c r="O13" i="1"/>
  <c r="W13" i="1" s="1"/>
  <c r="P13" i="1" a="1"/>
  <c r="P13" i="1" s="1"/>
  <c r="X13" i="1" s="1"/>
  <c r="O14" i="1"/>
  <c r="W14" i="1" s="1"/>
  <c r="P14" i="1" a="1"/>
  <c r="P14" i="1" s="1"/>
  <c r="X14" i="1" s="1"/>
  <c r="O15" i="1"/>
  <c r="W15" i="1" s="1"/>
  <c r="P15" i="1" a="1"/>
  <c r="P15" i="1" s="1"/>
  <c r="X15" i="1" s="1"/>
  <c r="O16" i="1"/>
  <c r="W16" i="1" s="1"/>
  <c r="P16" i="1" a="1"/>
  <c r="P16" i="1" s="1"/>
  <c r="X16" i="1" s="1"/>
  <c r="O17" i="1"/>
  <c r="W17" i="1" s="1"/>
  <c r="P17" i="1" a="1"/>
  <c r="P17" i="1" s="1"/>
  <c r="X17" i="1" s="1"/>
  <c r="O18" i="1"/>
  <c r="W18" i="1" s="1"/>
  <c r="P18" i="1" a="1"/>
  <c r="P18" i="1" s="1"/>
  <c r="X18" i="1" s="1"/>
  <c r="O19" i="1"/>
  <c r="W19" i="1" s="1"/>
  <c r="P19" i="1" a="1"/>
  <c r="P19" i="1" s="1"/>
  <c r="X19" i="1" s="1"/>
  <c r="O20" i="1"/>
  <c r="W20" i="1" s="1"/>
  <c r="P20" i="1" a="1"/>
  <c r="P20" i="1" s="1"/>
  <c r="X20" i="1" s="1"/>
  <c r="O21" i="1"/>
  <c r="W21" i="1" s="1"/>
  <c r="P21" i="1" a="1"/>
  <c r="P21" i="1" s="1"/>
  <c r="X21" i="1" s="1"/>
  <c r="O22" i="1"/>
  <c r="W22" i="1" s="1"/>
  <c r="P22" i="1" a="1"/>
  <c r="P22" i="1" s="1"/>
  <c r="X22" i="1" s="1"/>
  <c r="O23" i="1"/>
  <c r="W23" i="1" s="1"/>
  <c r="P23" i="1" a="1"/>
  <c r="P23" i="1" s="1"/>
  <c r="X23" i="1" s="1"/>
  <c r="O24" i="1"/>
  <c r="W24" i="1" s="1"/>
  <c r="P24" i="1" a="1"/>
  <c r="P24" i="1" s="1"/>
  <c r="X24" i="1" s="1"/>
  <c r="O25" i="1"/>
  <c r="W25" i="1" s="1"/>
  <c r="P25" i="1" a="1"/>
  <c r="P25" i="1" s="1"/>
  <c r="X25" i="1" s="1"/>
  <c r="O26" i="1"/>
  <c r="W26" i="1" s="1"/>
  <c r="P26" i="1" a="1"/>
  <c r="P26" i="1" s="1"/>
  <c r="X26" i="1" s="1"/>
  <c r="O27" i="1"/>
  <c r="W27" i="1" s="1"/>
  <c r="P27" i="1" a="1"/>
  <c r="P27" i="1" s="1"/>
  <c r="X27" i="1" s="1"/>
  <c r="O28" i="1"/>
  <c r="W28" i="1" s="1"/>
  <c r="P28" i="1" a="1"/>
  <c r="P28" i="1" s="1"/>
  <c r="X28" i="1" s="1"/>
  <c r="O29" i="1"/>
  <c r="W29" i="1" s="1"/>
  <c r="P29" i="1" a="1"/>
  <c r="P29" i="1" s="1"/>
  <c r="X29" i="1" s="1"/>
  <c r="O30" i="1"/>
  <c r="W30" i="1" s="1"/>
  <c r="P30" i="1" a="1"/>
  <c r="P30" i="1" s="1"/>
  <c r="X30" i="1" s="1"/>
  <c r="O31" i="1"/>
  <c r="W31" i="1" s="1"/>
  <c r="P31" i="1" a="1"/>
  <c r="P31" i="1" s="1"/>
  <c r="X31" i="1" s="1"/>
  <c r="O32" i="1"/>
  <c r="W32" i="1" s="1"/>
  <c r="P32" i="1" a="1"/>
  <c r="P32" i="1" s="1"/>
  <c r="X32" i="1" s="1"/>
  <c r="O33" i="1"/>
  <c r="W33" i="1" s="1"/>
  <c r="P33" i="1" a="1"/>
  <c r="P33" i="1" s="1"/>
  <c r="X33" i="1" s="1"/>
  <c r="O34" i="1"/>
  <c r="W34" i="1" s="1"/>
  <c r="P34" i="1" a="1"/>
  <c r="P34" i="1" s="1"/>
  <c r="X34" i="1" s="1"/>
  <c r="O35" i="1"/>
  <c r="W35" i="1" s="1"/>
  <c r="P35" i="1" a="1"/>
  <c r="P35" i="1" s="1"/>
  <c r="X35" i="1" s="1"/>
  <c r="O36" i="1"/>
  <c r="W36" i="1" s="1"/>
  <c r="P36" i="1" a="1"/>
  <c r="P36" i="1" s="1"/>
  <c r="X36" i="1" s="1"/>
  <c r="O37" i="1"/>
  <c r="W37" i="1" s="1"/>
  <c r="P37" i="1" a="1"/>
  <c r="P37" i="1" s="1"/>
  <c r="X37" i="1" s="1"/>
  <c r="O38" i="1"/>
  <c r="W38" i="1" s="1"/>
  <c r="P38" i="1" a="1"/>
  <c r="P38" i="1" s="1"/>
  <c r="X38" i="1" s="1"/>
  <c r="O39" i="1"/>
  <c r="W39" i="1" s="1"/>
  <c r="P39" i="1" a="1"/>
  <c r="P39" i="1" s="1"/>
  <c r="X39" i="1" s="1"/>
  <c r="O40" i="1"/>
  <c r="W40" i="1" s="1"/>
  <c r="P40" i="1" a="1"/>
  <c r="P40" i="1" s="1"/>
  <c r="X40" i="1" s="1"/>
  <c r="O41" i="1"/>
  <c r="W41" i="1" s="1"/>
  <c r="P41" i="1" a="1"/>
  <c r="P41" i="1" s="1"/>
  <c r="X41" i="1" s="1"/>
  <c r="O42" i="1"/>
  <c r="W42" i="1" s="1"/>
  <c r="P42" i="1" a="1"/>
  <c r="P42" i="1" s="1"/>
  <c r="X42" i="1" s="1"/>
  <c r="O43" i="1"/>
  <c r="W43" i="1" s="1"/>
  <c r="P43" i="1" a="1"/>
  <c r="P43" i="1" s="1"/>
  <c r="X43" i="1" s="1"/>
  <c r="O44" i="1"/>
  <c r="W44" i="1" s="1"/>
  <c r="P44" i="1" a="1"/>
  <c r="P44" i="1" s="1"/>
  <c r="X44" i="1" s="1"/>
  <c r="O45" i="1"/>
  <c r="W45" i="1" s="1"/>
  <c r="P45" i="1" a="1"/>
  <c r="P45" i="1" s="1"/>
  <c r="X45" i="1" s="1"/>
  <c r="O46" i="1"/>
  <c r="W46" i="1" s="1"/>
  <c r="P46" i="1" a="1"/>
  <c r="P46" i="1" s="1"/>
  <c r="X46" i="1" s="1"/>
  <c r="O47" i="1"/>
  <c r="W47" i="1" s="1"/>
  <c r="P47" i="1" a="1"/>
  <c r="P47" i="1" s="1"/>
  <c r="X47" i="1" s="1"/>
  <c r="O48" i="1"/>
  <c r="W48" i="1" s="1"/>
  <c r="P48" i="1" a="1"/>
  <c r="P48" i="1" s="1"/>
  <c r="X48" i="1" s="1"/>
  <c r="O49" i="1"/>
  <c r="W49" i="1" s="1"/>
  <c r="P49" i="1" a="1"/>
  <c r="P49" i="1" s="1"/>
  <c r="X49" i="1" s="1"/>
  <c r="O50" i="1"/>
  <c r="W50" i="1" s="1"/>
  <c r="P50" i="1" a="1"/>
  <c r="P50" i="1" s="1"/>
  <c r="X50" i="1" s="1"/>
  <c r="O51" i="1"/>
  <c r="W51" i="1" s="1"/>
  <c r="P51" i="1" a="1"/>
  <c r="P51" i="1" s="1"/>
  <c r="X51" i="1" s="1"/>
  <c r="O52" i="1"/>
  <c r="W52" i="1" s="1"/>
  <c r="P52" i="1" a="1"/>
  <c r="P52" i="1" s="1"/>
  <c r="X52" i="1" s="1"/>
  <c r="O53" i="1"/>
  <c r="W53" i="1" s="1"/>
  <c r="P53" i="1" a="1"/>
  <c r="P53" i="1" s="1"/>
  <c r="X53" i="1" s="1"/>
  <c r="O54" i="1"/>
  <c r="W54" i="1" s="1"/>
  <c r="P54" i="1" a="1"/>
  <c r="P54" i="1" s="1"/>
  <c r="X54" i="1" s="1"/>
  <c r="O55" i="1"/>
  <c r="W55" i="1" s="1"/>
  <c r="P55" i="1" a="1"/>
  <c r="P55" i="1" s="1"/>
  <c r="X55" i="1" s="1"/>
  <c r="O56" i="1"/>
  <c r="W56" i="1" s="1"/>
  <c r="P56" i="1" a="1"/>
  <c r="P56" i="1" s="1"/>
  <c r="X56" i="1" s="1"/>
  <c r="O57" i="1"/>
  <c r="W57" i="1" s="1"/>
  <c r="P57" i="1" a="1"/>
  <c r="P57" i="1" s="1"/>
  <c r="X57" i="1" s="1"/>
  <c r="O58" i="1"/>
  <c r="W58" i="1" s="1"/>
  <c r="P58" i="1" a="1"/>
  <c r="P58" i="1" s="1"/>
  <c r="X58" i="1" s="1"/>
  <c r="O59" i="1"/>
  <c r="W59" i="1" s="1"/>
  <c r="P59" i="1" a="1"/>
  <c r="P59" i="1" s="1"/>
  <c r="X59" i="1" s="1"/>
  <c r="O60" i="1"/>
  <c r="W60" i="1" s="1"/>
  <c r="P60" i="1" a="1"/>
  <c r="P60" i="1" s="1"/>
  <c r="X60" i="1" s="1"/>
  <c r="O61" i="1"/>
  <c r="W61" i="1" s="1"/>
  <c r="P61" i="1" a="1"/>
  <c r="P61" i="1" s="1"/>
  <c r="X61" i="1" s="1"/>
  <c r="O62" i="1"/>
  <c r="W62" i="1" s="1"/>
  <c r="P62" i="1" a="1"/>
  <c r="P62" i="1" s="1"/>
  <c r="X62" i="1" s="1"/>
  <c r="O63" i="1"/>
  <c r="W63" i="1" s="1"/>
  <c r="P63" i="1" a="1"/>
  <c r="P63" i="1" s="1"/>
  <c r="X63" i="1" s="1"/>
  <c r="O64" i="1"/>
  <c r="W64" i="1" s="1"/>
  <c r="P64" i="1" a="1"/>
  <c r="P64" i="1" s="1"/>
  <c r="X64" i="1" s="1"/>
  <c r="O65" i="1"/>
  <c r="W65" i="1" s="1"/>
  <c r="P65" i="1" a="1"/>
  <c r="P65" i="1" s="1"/>
  <c r="X65" i="1" s="1"/>
  <c r="O66" i="1"/>
  <c r="W66" i="1" s="1"/>
  <c r="P66" i="1" a="1"/>
  <c r="P66" i="1" s="1"/>
  <c r="X66" i="1" s="1"/>
  <c r="O67" i="1"/>
  <c r="W67" i="1" s="1"/>
  <c r="P67" i="1" a="1"/>
  <c r="P67" i="1" s="1"/>
  <c r="X67" i="1" s="1"/>
  <c r="O68" i="1"/>
  <c r="W68" i="1" s="1"/>
  <c r="P68" i="1" a="1"/>
  <c r="P68" i="1" s="1"/>
  <c r="X68" i="1" s="1"/>
  <c r="O69" i="1"/>
  <c r="W69" i="1" s="1"/>
  <c r="P69" i="1" a="1"/>
  <c r="P69" i="1" s="1"/>
  <c r="X69" i="1" s="1"/>
  <c r="O70" i="1"/>
  <c r="W70" i="1" s="1"/>
  <c r="P70" i="1" a="1"/>
  <c r="P70" i="1" s="1"/>
  <c r="X70" i="1" s="1"/>
  <c r="O71" i="1"/>
  <c r="W71" i="1" s="1"/>
  <c r="P71" i="1" a="1"/>
  <c r="P71" i="1" s="1"/>
  <c r="X71" i="1" s="1"/>
  <c r="O72" i="1"/>
  <c r="W72" i="1" s="1"/>
  <c r="P72" i="1" a="1"/>
  <c r="P72" i="1" s="1"/>
  <c r="X72" i="1" s="1"/>
  <c r="O73" i="1"/>
  <c r="W73" i="1" s="1"/>
  <c r="P73" i="1" a="1"/>
  <c r="P73" i="1" s="1"/>
  <c r="X73" i="1" s="1"/>
  <c r="O74" i="1"/>
  <c r="W74" i="1" s="1"/>
  <c r="P74" i="1" a="1"/>
  <c r="P74" i="1" s="1"/>
  <c r="X74" i="1" s="1"/>
  <c r="O75" i="1"/>
  <c r="W75" i="1" s="1"/>
  <c r="P75" i="1" a="1"/>
  <c r="P75" i="1" s="1"/>
  <c r="X75" i="1" s="1"/>
  <c r="O76" i="1"/>
  <c r="W76" i="1" s="1"/>
  <c r="P76" i="1" a="1"/>
  <c r="P76" i="1" s="1"/>
  <c r="X76" i="1" s="1"/>
  <c r="O77" i="1"/>
  <c r="W77" i="1" s="1"/>
  <c r="P77" i="1" a="1"/>
  <c r="P77" i="1" s="1"/>
  <c r="X77" i="1" s="1"/>
  <c r="O78" i="1"/>
  <c r="W78" i="1" s="1"/>
  <c r="P78" i="1" a="1"/>
  <c r="P78" i="1" s="1"/>
  <c r="X78" i="1" s="1"/>
  <c r="O79" i="1"/>
  <c r="W79" i="1" s="1"/>
  <c r="P79" i="1" a="1"/>
  <c r="P79" i="1" s="1"/>
  <c r="X79" i="1" s="1"/>
  <c r="O80" i="1"/>
  <c r="W80" i="1" s="1"/>
  <c r="P80" i="1" a="1"/>
  <c r="P80" i="1" s="1"/>
  <c r="X80" i="1" s="1"/>
  <c r="O81" i="1"/>
  <c r="W81" i="1" s="1"/>
  <c r="P81" i="1" a="1"/>
  <c r="P81" i="1" s="1"/>
  <c r="X81" i="1" s="1"/>
  <c r="O82" i="1"/>
  <c r="W82" i="1" s="1"/>
  <c r="P82" i="1" a="1"/>
  <c r="P82" i="1" s="1"/>
  <c r="X82" i="1" s="1"/>
  <c r="O83" i="1"/>
  <c r="W83" i="1" s="1"/>
  <c r="P83" i="1" a="1"/>
  <c r="P83" i="1" s="1"/>
  <c r="X83" i="1" s="1"/>
  <c r="O84" i="1"/>
  <c r="W84" i="1" s="1"/>
  <c r="P84" i="1" a="1"/>
  <c r="P84" i="1" s="1"/>
  <c r="X84" i="1" s="1"/>
  <c r="O85" i="1"/>
  <c r="W85" i="1" s="1"/>
  <c r="P85" i="1" a="1"/>
  <c r="P85" i="1" s="1"/>
  <c r="X85" i="1" s="1"/>
  <c r="O86" i="1"/>
  <c r="W86" i="1" s="1"/>
  <c r="P86" i="1" a="1"/>
  <c r="P86" i="1" s="1"/>
  <c r="X86" i="1" s="1"/>
  <c r="P2" i="1" a="1"/>
  <c r="P2" i="1" s="1"/>
  <c r="X2" i="1" s="1"/>
  <c r="O2" i="1"/>
  <c r="W2" i="1" s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2" i="1"/>
  <c r="Q85" i="1"/>
  <c r="Y85" i="1" s="1"/>
  <c r="R85" i="1" a="1"/>
  <c r="R85" i="1" s="1"/>
  <c r="Z85" i="1" s="1"/>
  <c r="S85" i="1"/>
  <c r="T85" i="1"/>
  <c r="Q86" i="1"/>
  <c r="Y86" i="1" s="1"/>
  <c r="R86" i="1" a="1"/>
  <c r="R86" i="1" s="1"/>
  <c r="Z86" i="1" s="1"/>
  <c r="S86" i="1"/>
  <c r="T86" i="1"/>
  <c r="Q82" i="1"/>
  <c r="Y82" i="1" s="1"/>
  <c r="R82" i="1" a="1"/>
  <c r="R82" i="1" s="1"/>
  <c r="Z82" i="1" s="1"/>
  <c r="S82" i="1"/>
  <c r="T82" i="1"/>
  <c r="Q83" i="1"/>
  <c r="Y83" i="1" s="1"/>
  <c r="R83" i="1" a="1"/>
  <c r="R83" i="1" s="1"/>
  <c r="Z83" i="1" s="1"/>
  <c r="S83" i="1"/>
  <c r="T83" i="1"/>
  <c r="Q84" i="1"/>
  <c r="Y84" i="1" s="1"/>
  <c r="R84" i="1" a="1"/>
  <c r="R84" i="1" s="1"/>
  <c r="Z84" i="1" s="1"/>
  <c r="S84" i="1"/>
  <c r="T84" i="1"/>
  <c r="Q80" i="1"/>
  <c r="Y80" i="1" s="1"/>
  <c r="R80" i="1" a="1"/>
  <c r="R80" i="1" s="1"/>
  <c r="Z80" i="1" s="1"/>
  <c r="S80" i="1"/>
  <c r="T80" i="1"/>
  <c r="Q81" i="1"/>
  <c r="Y81" i="1" s="1"/>
  <c r="R81" i="1" a="1"/>
  <c r="R81" i="1" s="1"/>
  <c r="Z81" i="1" s="1"/>
  <c r="S81" i="1"/>
  <c r="T81" i="1"/>
  <c r="Q76" i="1"/>
  <c r="Y76" i="1" s="1"/>
  <c r="R76" i="1" a="1"/>
  <c r="R76" i="1" s="1"/>
  <c r="Z76" i="1" s="1"/>
  <c r="S76" i="1"/>
  <c r="T76" i="1"/>
  <c r="Q77" i="1"/>
  <c r="Y77" i="1" s="1"/>
  <c r="R77" i="1" a="1"/>
  <c r="R77" i="1" s="1"/>
  <c r="Z77" i="1" s="1"/>
  <c r="S77" i="1"/>
  <c r="T77" i="1"/>
  <c r="Q78" i="1"/>
  <c r="Y78" i="1" s="1"/>
  <c r="R78" i="1" a="1"/>
  <c r="R78" i="1" s="1"/>
  <c r="Z78" i="1" s="1"/>
  <c r="S78" i="1"/>
  <c r="T78" i="1"/>
  <c r="Q79" i="1"/>
  <c r="Y79" i="1" s="1"/>
  <c r="R79" i="1" a="1"/>
  <c r="R79" i="1" s="1"/>
  <c r="Z79" i="1" s="1"/>
  <c r="S79" i="1"/>
  <c r="T79" i="1"/>
  <c r="Q70" i="1"/>
  <c r="Y70" i="1" s="1"/>
  <c r="R70" i="1" a="1"/>
  <c r="R70" i="1" s="1"/>
  <c r="Z70" i="1" s="1"/>
  <c r="S70" i="1"/>
  <c r="T70" i="1"/>
  <c r="Q71" i="1"/>
  <c r="Y71" i="1" s="1"/>
  <c r="R71" i="1" a="1"/>
  <c r="R71" i="1" s="1"/>
  <c r="Z71" i="1" s="1"/>
  <c r="S71" i="1"/>
  <c r="T71" i="1"/>
  <c r="Q72" i="1"/>
  <c r="Y72" i="1" s="1"/>
  <c r="R72" i="1" a="1"/>
  <c r="R72" i="1" s="1"/>
  <c r="Z72" i="1" s="1"/>
  <c r="S72" i="1"/>
  <c r="T72" i="1"/>
  <c r="Q73" i="1"/>
  <c r="Y73" i="1" s="1"/>
  <c r="R73" i="1" a="1"/>
  <c r="R73" i="1" s="1"/>
  <c r="Z73" i="1" s="1"/>
  <c r="S73" i="1"/>
  <c r="T73" i="1"/>
  <c r="Q74" i="1"/>
  <c r="Y74" i="1" s="1"/>
  <c r="R74" i="1" a="1"/>
  <c r="R74" i="1" s="1"/>
  <c r="Z74" i="1" s="1"/>
  <c r="S74" i="1"/>
  <c r="T74" i="1"/>
  <c r="Q75" i="1"/>
  <c r="Y75" i="1" s="1"/>
  <c r="R75" i="1" a="1"/>
  <c r="R75" i="1" s="1"/>
  <c r="Z75" i="1" s="1"/>
  <c r="S75" i="1"/>
  <c r="T75" i="1"/>
  <c r="Q67" i="1"/>
  <c r="Y67" i="1" s="1"/>
  <c r="R67" i="1" a="1"/>
  <c r="R67" i="1" s="1"/>
  <c r="Z67" i="1" s="1"/>
  <c r="S67" i="1"/>
  <c r="T67" i="1"/>
  <c r="Q68" i="1"/>
  <c r="Y68" i="1" s="1"/>
  <c r="R68" i="1" a="1"/>
  <c r="R68" i="1" s="1"/>
  <c r="Z68" i="1" s="1"/>
  <c r="S68" i="1"/>
  <c r="T68" i="1"/>
  <c r="Q69" i="1"/>
  <c r="Y69" i="1" s="1"/>
  <c r="R69" i="1" a="1"/>
  <c r="R69" i="1" s="1"/>
  <c r="Z69" i="1" s="1"/>
  <c r="S69" i="1"/>
  <c r="T69" i="1"/>
  <c r="Q63" i="1"/>
  <c r="Y63" i="1" s="1"/>
  <c r="R63" i="1" a="1"/>
  <c r="R63" i="1" s="1"/>
  <c r="Z63" i="1" s="1"/>
  <c r="S63" i="1"/>
  <c r="T63" i="1"/>
  <c r="Q64" i="1"/>
  <c r="Y64" i="1" s="1"/>
  <c r="R64" i="1" a="1"/>
  <c r="R64" i="1" s="1"/>
  <c r="Z64" i="1" s="1"/>
  <c r="S64" i="1"/>
  <c r="T64" i="1"/>
  <c r="Q65" i="1"/>
  <c r="Y65" i="1" s="1"/>
  <c r="R65" i="1" a="1"/>
  <c r="R65" i="1" s="1"/>
  <c r="Z65" i="1" s="1"/>
  <c r="S65" i="1"/>
  <c r="T65" i="1"/>
  <c r="Q66" i="1"/>
  <c r="Y66" i="1" s="1"/>
  <c r="R66" i="1" a="1"/>
  <c r="R66" i="1" s="1"/>
  <c r="Z66" i="1" s="1"/>
  <c r="S66" i="1"/>
  <c r="T66" i="1"/>
  <c r="Q36" i="1"/>
  <c r="Y36" i="1" s="1"/>
  <c r="R36" i="1" a="1"/>
  <c r="R36" i="1" s="1"/>
  <c r="Z36" i="1" s="1"/>
  <c r="S36" i="1"/>
  <c r="AA36" i="1" s="1"/>
  <c r="T36" i="1"/>
  <c r="AB36" i="1" s="1"/>
  <c r="Q37" i="1"/>
  <c r="Y37" i="1" s="1"/>
  <c r="R37" i="1" a="1"/>
  <c r="R37" i="1" s="1"/>
  <c r="Z37" i="1" s="1"/>
  <c r="S37" i="1"/>
  <c r="AA37" i="1" s="1"/>
  <c r="T37" i="1"/>
  <c r="AB37" i="1" s="1"/>
  <c r="Q38" i="1"/>
  <c r="Y38" i="1" s="1"/>
  <c r="R38" i="1" a="1"/>
  <c r="R38" i="1" s="1"/>
  <c r="Z38" i="1" s="1"/>
  <c r="S38" i="1"/>
  <c r="AA38" i="1" s="1"/>
  <c r="T38" i="1"/>
  <c r="AB38" i="1" s="1"/>
  <c r="Q39" i="1"/>
  <c r="Y39" i="1" s="1"/>
  <c r="R39" i="1" a="1"/>
  <c r="R39" i="1" s="1"/>
  <c r="Z39" i="1" s="1"/>
  <c r="S39" i="1"/>
  <c r="AA39" i="1" s="1"/>
  <c r="T39" i="1"/>
  <c r="AB39" i="1" s="1"/>
  <c r="Q40" i="1"/>
  <c r="Y40" i="1" s="1"/>
  <c r="R40" i="1" a="1"/>
  <c r="R40" i="1" s="1"/>
  <c r="Z40" i="1" s="1"/>
  <c r="S40" i="1"/>
  <c r="AA40" i="1" s="1"/>
  <c r="T40" i="1"/>
  <c r="AB40" i="1" s="1"/>
  <c r="Q41" i="1"/>
  <c r="Y41" i="1" s="1"/>
  <c r="R41" i="1" a="1"/>
  <c r="R41" i="1" s="1"/>
  <c r="Z41" i="1" s="1"/>
  <c r="S41" i="1"/>
  <c r="AA41" i="1" s="1"/>
  <c r="T41" i="1"/>
  <c r="AB41" i="1" s="1"/>
  <c r="Q42" i="1"/>
  <c r="Y42" i="1" s="1"/>
  <c r="R42" i="1" a="1"/>
  <c r="R42" i="1" s="1"/>
  <c r="Z42" i="1" s="1"/>
  <c r="S42" i="1"/>
  <c r="AA42" i="1" s="1"/>
  <c r="T42" i="1"/>
  <c r="AB42" i="1" s="1"/>
  <c r="Q43" i="1"/>
  <c r="Y43" i="1" s="1"/>
  <c r="R43" i="1" a="1"/>
  <c r="R43" i="1" s="1"/>
  <c r="Z43" i="1" s="1"/>
  <c r="S43" i="1"/>
  <c r="AA43" i="1" s="1"/>
  <c r="T43" i="1"/>
  <c r="AB43" i="1" s="1"/>
  <c r="Q44" i="1"/>
  <c r="Y44" i="1" s="1"/>
  <c r="R44" i="1" a="1"/>
  <c r="R44" i="1" s="1"/>
  <c r="Z44" i="1" s="1"/>
  <c r="S44" i="1"/>
  <c r="AA44" i="1" s="1"/>
  <c r="T44" i="1"/>
  <c r="AB44" i="1" s="1"/>
  <c r="Q45" i="1"/>
  <c r="Y45" i="1" s="1"/>
  <c r="R45" i="1" a="1"/>
  <c r="R45" i="1" s="1"/>
  <c r="Z45" i="1" s="1"/>
  <c r="S45" i="1"/>
  <c r="AA45" i="1" s="1"/>
  <c r="T45" i="1"/>
  <c r="AB45" i="1" s="1"/>
  <c r="Q46" i="1"/>
  <c r="Y46" i="1" s="1"/>
  <c r="R46" i="1" a="1"/>
  <c r="R46" i="1" s="1"/>
  <c r="Z46" i="1" s="1"/>
  <c r="S46" i="1"/>
  <c r="AA46" i="1" s="1"/>
  <c r="T46" i="1"/>
  <c r="AB46" i="1" s="1"/>
  <c r="Q47" i="1"/>
  <c r="Y47" i="1" s="1"/>
  <c r="R47" i="1" a="1"/>
  <c r="R47" i="1" s="1"/>
  <c r="Z47" i="1" s="1"/>
  <c r="S47" i="1"/>
  <c r="AA47" i="1" s="1"/>
  <c r="T47" i="1"/>
  <c r="AB47" i="1" s="1"/>
  <c r="Q48" i="1"/>
  <c r="Y48" i="1" s="1"/>
  <c r="R48" i="1" a="1"/>
  <c r="R48" i="1" s="1"/>
  <c r="Z48" i="1" s="1"/>
  <c r="S48" i="1"/>
  <c r="AA48" i="1" s="1"/>
  <c r="T48" i="1"/>
  <c r="AB48" i="1" s="1"/>
  <c r="Q49" i="1"/>
  <c r="Y49" i="1" s="1"/>
  <c r="R49" i="1" a="1"/>
  <c r="R49" i="1" s="1"/>
  <c r="Z49" i="1" s="1"/>
  <c r="S49" i="1"/>
  <c r="AA49" i="1" s="1"/>
  <c r="T49" i="1"/>
  <c r="AB49" i="1" s="1"/>
  <c r="Q50" i="1"/>
  <c r="Y50" i="1" s="1"/>
  <c r="R50" i="1" a="1"/>
  <c r="R50" i="1" s="1"/>
  <c r="Z50" i="1" s="1"/>
  <c r="S50" i="1"/>
  <c r="AA50" i="1" s="1"/>
  <c r="T50" i="1"/>
  <c r="AB50" i="1" s="1"/>
  <c r="Q51" i="1"/>
  <c r="Y51" i="1" s="1"/>
  <c r="R51" i="1" a="1"/>
  <c r="R51" i="1" s="1"/>
  <c r="Z51" i="1" s="1"/>
  <c r="S51" i="1"/>
  <c r="AA51" i="1" s="1"/>
  <c r="T51" i="1"/>
  <c r="AB51" i="1" s="1"/>
  <c r="Q52" i="1"/>
  <c r="Y52" i="1" s="1"/>
  <c r="R52" i="1" a="1"/>
  <c r="R52" i="1" s="1"/>
  <c r="Z52" i="1" s="1"/>
  <c r="S52" i="1"/>
  <c r="AA52" i="1" s="1"/>
  <c r="T52" i="1"/>
  <c r="AB52" i="1" s="1"/>
  <c r="Q53" i="1"/>
  <c r="Y53" i="1" s="1"/>
  <c r="R53" i="1" a="1"/>
  <c r="R53" i="1" s="1"/>
  <c r="Z53" i="1" s="1"/>
  <c r="S53" i="1"/>
  <c r="AA53" i="1" s="1"/>
  <c r="T53" i="1"/>
  <c r="AB53" i="1" s="1"/>
  <c r="Q54" i="1"/>
  <c r="Y54" i="1" s="1"/>
  <c r="R54" i="1" a="1"/>
  <c r="R54" i="1" s="1"/>
  <c r="Z54" i="1" s="1"/>
  <c r="S54" i="1"/>
  <c r="T54" i="1"/>
  <c r="Q55" i="1"/>
  <c r="Y55" i="1" s="1"/>
  <c r="R55" i="1" a="1"/>
  <c r="R55" i="1" s="1"/>
  <c r="Z55" i="1" s="1"/>
  <c r="S55" i="1"/>
  <c r="T55" i="1"/>
  <c r="Q56" i="1"/>
  <c r="Y56" i="1" s="1"/>
  <c r="R56" i="1" a="1"/>
  <c r="R56" i="1" s="1"/>
  <c r="Z56" i="1" s="1"/>
  <c r="S56" i="1"/>
  <c r="T56" i="1"/>
  <c r="Q57" i="1"/>
  <c r="Y57" i="1" s="1"/>
  <c r="R57" i="1" a="1"/>
  <c r="R57" i="1" s="1"/>
  <c r="Z57" i="1" s="1"/>
  <c r="S57" i="1"/>
  <c r="T57" i="1"/>
  <c r="Q58" i="1"/>
  <c r="Y58" i="1" s="1"/>
  <c r="R58" i="1" a="1"/>
  <c r="R58" i="1" s="1"/>
  <c r="Z58" i="1" s="1"/>
  <c r="S58" i="1"/>
  <c r="T58" i="1"/>
  <c r="Q59" i="1"/>
  <c r="Y59" i="1" s="1"/>
  <c r="R59" i="1" a="1"/>
  <c r="R59" i="1" s="1"/>
  <c r="Z59" i="1" s="1"/>
  <c r="S59" i="1"/>
  <c r="T59" i="1"/>
  <c r="Q60" i="1"/>
  <c r="Y60" i="1" s="1"/>
  <c r="R60" i="1" a="1"/>
  <c r="R60" i="1" s="1"/>
  <c r="Z60" i="1" s="1"/>
  <c r="S60" i="1"/>
  <c r="T60" i="1"/>
  <c r="Q61" i="1"/>
  <c r="Y61" i="1" s="1"/>
  <c r="R61" i="1" a="1"/>
  <c r="R61" i="1" s="1"/>
  <c r="Z61" i="1" s="1"/>
  <c r="S61" i="1"/>
  <c r="T61" i="1"/>
  <c r="Q62" i="1"/>
  <c r="Y62" i="1" s="1"/>
  <c r="R62" i="1" a="1"/>
  <c r="R62" i="1" s="1"/>
  <c r="Z62" i="1" s="1"/>
  <c r="S62" i="1"/>
  <c r="T62" i="1"/>
  <c r="Q3" i="1"/>
  <c r="Y3" i="1" s="1"/>
  <c r="R3" i="1" a="1"/>
  <c r="R3" i="1" s="1"/>
  <c r="Z3" i="1" s="1"/>
  <c r="S3" i="1"/>
  <c r="AA3" i="1" s="1"/>
  <c r="T3" i="1"/>
  <c r="AB3" i="1" s="1"/>
  <c r="Q4" i="1"/>
  <c r="Y4" i="1" s="1"/>
  <c r="R4" i="1" a="1"/>
  <c r="R4" i="1" s="1"/>
  <c r="Z4" i="1" s="1"/>
  <c r="S4" i="1"/>
  <c r="AA4" i="1" s="1"/>
  <c r="T4" i="1"/>
  <c r="AB4" i="1" s="1"/>
  <c r="Q5" i="1"/>
  <c r="Y5" i="1" s="1"/>
  <c r="R5" i="1" a="1"/>
  <c r="R5" i="1" s="1"/>
  <c r="Z5" i="1" s="1"/>
  <c r="S5" i="1"/>
  <c r="AA5" i="1" s="1"/>
  <c r="T5" i="1"/>
  <c r="AB5" i="1" s="1"/>
  <c r="Q6" i="1"/>
  <c r="Y6" i="1" s="1"/>
  <c r="R6" i="1" a="1"/>
  <c r="R6" i="1" s="1"/>
  <c r="Z6" i="1" s="1"/>
  <c r="S6" i="1"/>
  <c r="AA6" i="1" s="1"/>
  <c r="T6" i="1"/>
  <c r="AB6" i="1" s="1"/>
  <c r="Q7" i="1"/>
  <c r="Y7" i="1" s="1"/>
  <c r="R7" i="1" a="1"/>
  <c r="R7" i="1" s="1"/>
  <c r="Z7" i="1" s="1"/>
  <c r="S7" i="1"/>
  <c r="AA7" i="1" s="1"/>
  <c r="T7" i="1"/>
  <c r="AB7" i="1" s="1"/>
  <c r="Q8" i="1"/>
  <c r="Y8" i="1" s="1"/>
  <c r="R8" i="1" a="1"/>
  <c r="R8" i="1" s="1"/>
  <c r="Z8" i="1" s="1"/>
  <c r="S8" i="1"/>
  <c r="AA8" i="1" s="1"/>
  <c r="T8" i="1"/>
  <c r="AB8" i="1" s="1"/>
  <c r="Q9" i="1"/>
  <c r="Y9" i="1" s="1"/>
  <c r="R9" i="1" a="1"/>
  <c r="R9" i="1" s="1"/>
  <c r="Z9" i="1" s="1"/>
  <c r="S9" i="1"/>
  <c r="AA9" i="1" s="1"/>
  <c r="T9" i="1"/>
  <c r="AB9" i="1" s="1"/>
  <c r="Q10" i="1"/>
  <c r="Y10" i="1" s="1"/>
  <c r="R10" i="1" a="1"/>
  <c r="R10" i="1" s="1"/>
  <c r="Z10" i="1" s="1"/>
  <c r="S10" i="1"/>
  <c r="AA10" i="1" s="1"/>
  <c r="T10" i="1"/>
  <c r="AB10" i="1" s="1"/>
  <c r="Q11" i="1"/>
  <c r="Y11" i="1" s="1"/>
  <c r="R11" i="1" a="1"/>
  <c r="R11" i="1" s="1"/>
  <c r="Z11" i="1" s="1"/>
  <c r="S11" i="1"/>
  <c r="AA11" i="1" s="1"/>
  <c r="T11" i="1"/>
  <c r="AB11" i="1" s="1"/>
  <c r="Q12" i="1"/>
  <c r="Y12" i="1" s="1"/>
  <c r="R12" i="1" a="1"/>
  <c r="R12" i="1" s="1"/>
  <c r="Z12" i="1" s="1"/>
  <c r="S12" i="1"/>
  <c r="AA12" i="1" s="1"/>
  <c r="T12" i="1"/>
  <c r="AB12" i="1" s="1"/>
  <c r="Q13" i="1"/>
  <c r="Y13" i="1" s="1"/>
  <c r="R13" i="1" a="1"/>
  <c r="R13" i="1" s="1"/>
  <c r="Z13" i="1" s="1"/>
  <c r="S13" i="1"/>
  <c r="AA13" i="1" s="1"/>
  <c r="T13" i="1"/>
  <c r="AB13" i="1" s="1"/>
  <c r="Q14" i="1"/>
  <c r="Y14" i="1" s="1"/>
  <c r="R14" i="1" a="1"/>
  <c r="R14" i="1" s="1"/>
  <c r="Z14" i="1" s="1"/>
  <c r="S14" i="1"/>
  <c r="AA14" i="1" s="1"/>
  <c r="T14" i="1"/>
  <c r="AB14" i="1" s="1"/>
  <c r="Q15" i="1"/>
  <c r="Y15" i="1" s="1"/>
  <c r="R15" i="1" a="1"/>
  <c r="R15" i="1" s="1"/>
  <c r="Z15" i="1" s="1"/>
  <c r="S15" i="1"/>
  <c r="AA15" i="1" s="1"/>
  <c r="T15" i="1"/>
  <c r="AB15" i="1" s="1"/>
  <c r="Q16" i="1"/>
  <c r="Y16" i="1" s="1"/>
  <c r="R16" i="1" a="1"/>
  <c r="R16" i="1" s="1"/>
  <c r="Z16" i="1" s="1"/>
  <c r="S16" i="1"/>
  <c r="AA16" i="1" s="1"/>
  <c r="T16" i="1"/>
  <c r="AB16" i="1" s="1"/>
  <c r="Q17" i="1"/>
  <c r="Y17" i="1" s="1"/>
  <c r="R17" i="1" a="1"/>
  <c r="R17" i="1" s="1"/>
  <c r="Z17" i="1" s="1"/>
  <c r="S17" i="1"/>
  <c r="AA17" i="1" s="1"/>
  <c r="T17" i="1"/>
  <c r="AB17" i="1" s="1"/>
  <c r="Q18" i="1"/>
  <c r="Y18" i="1" s="1"/>
  <c r="R18" i="1" a="1"/>
  <c r="R18" i="1" s="1"/>
  <c r="Z18" i="1" s="1"/>
  <c r="S18" i="1"/>
  <c r="AA18" i="1" s="1"/>
  <c r="T18" i="1"/>
  <c r="AB18" i="1" s="1"/>
  <c r="Q19" i="1"/>
  <c r="Y19" i="1" s="1"/>
  <c r="R19" i="1" a="1"/>
  <c r="R19" i="1" s="1"/>
  <c r="Z19" i="1" s="1"/>
  <c r="S19" i="1"/>
  <c r="AA19" i="1" s="1"/>
  <c r="T19" i="1"/>
  <c r="AB19" i="1" s="1"/>
  <c r="Q20" i="1"/>
  <c r="Y20" i="1" s="1"/>
  <c r="R20" i="1" a="1"/>
  <c r="R20" i="1" s="1"/>
  <c r="Z20" i="1" s="1"/>
  <c r="S20" i="1"/>
  <c r="AA20" i="1" s="1"/>
  <c r="T20" i="1"/>
  <c r="AB20" i="1" s="1"/>
  <c r="Q21" i="1"/>
  <c r="Y21" i="1" s="1"/>
  <c r="R21" i="1" a="1"/>
  <c r="R21" i="1" s="1"/>
  <c r="Z21" i="1" s="1"/>
  <c r="S21" i="1"/>
  <c r="AA21" i="1" s="1"/>
  <c r="T21" i="1"/>
  <c r="AB21" i="1" s="1"/>
  <c r="Q22" i="1"/>
  <c r="Y22" i="1" s="1"/>
  <c r="R22" i="1" a="1"/>
  <c r="R22" i="1" s="1"/>
  <c r="Z22" i="1" s="1"/>
  <c r="S22" i="1"/>
  <c r="AA22" i="1" s="1"/>
  <c r="T22" i="1"/>
  <c r="AB22" i="1" s="1"/>
  <c r="Q23" i="1"/>
  <c r="Y23" i="1" s="1"/>
  <c r="R23" i="1" a="1"/>
  <c r="R23" i="1" s="1"/>
  <c r="Z23" i="1" s="1"/>
  <c r="S23" i="1"/>
  <c r="AA23" i="1" s="1"/>
  <c r="T23" i="1"/>
  <c r="AB23" i="1" s="1"/>
  <c r="Q24" i="1"/>
  <c r="Y24" i="1" s="1"/>
  <c r="R24" i="1" a="1"/>
  <c r="R24" i="1" s="1"/>
  <c r="Z24" i="1" s="1"/>
  <c r="S24" i="1"/>
  <c r="AA24" i="1" s="1"/>
  <c r="T24" i="1"/>
  <c r="AB24" i="1" s="1"/>
  <c r="Q25" i="1"/>
  <c r="Y25" i="1" s="1"/>
  <c r="R25" i="1" a="1"/>
  <c r="R25" i="1" s="1"/>
  <c r="Z25" i="1" s="1"/>
  <c r="S25" i="1"/>
  <c r="AA25" i="1" s="1"/>
  <c r="T25" i="1"/>
  <c r="AB25" i="1" s="1"/>
  <c r="Q26" i="1"/>
  <c r="Y26" i="1" s="1"/>
  <c r="R26" i="1" a="1"/>
  <c r="R26" i="1" s="1"/>
  <c r="Z26" i="1" s="1"/>
  <c r="S26" i="1"/>
  <c r="AA26" i="1" s="1"/>
  <c r="T26" i="1"/>
  <c r="AB26" i="1" s="1"/>
  <c r="Q27" i="1"/>
  <c r="Y27" i="1" s="1"/>
  <c r="R27" i="1" a="1"/>
  <c r="R27" i="1" s="1"/>
  <c r="Z27" i="1" s="1"/>
  <c r="S27" i="1"/>
  <c r="AA27" i="1" s="1"/>
  <c r="T27" i="1"/>
  <c r="AB27" i="1" s="1"/>
  <c r="Q28" i="1"/>
  <c r="Y28" i="1" s="1"/>
  <c r="R28" i="1" a="1"/>
  <c r="R28" i="1" s="1"/>
  <c r="Z28" i="1" s="1"/>
  <c r="S28" i="1"/>
  <c r="AA28" i="1" s="1"/>
  <c r="T28" i="1"/>
  <c r="AB28" i="1" s="1"/>
  <c r="Q29" i="1"/>
  <c r="Y29" i="1" s="1"/>
  <c r="R29" i="1" a="1"/>
  <c r="R29" i="1" s="1"/>
  <c r="Z29" i="1" s="1"/>
  <c r="S29" i="1"/>
  <c r="AA29" i="1" s="1"/>
  <c r="T29" i="1"/>
  <c r="AB29" i="1" s="1"/>
  <c r="Q30" i="1"/>
  <c r="Y30" i="1" s="1"/>
  <c r="R30" i="1" a="1"/>
  <c r="R30" i="1" s="1"/>
  <c r="Z30" i="1" s="1"/>
  <c r="S30" i="1"/>
  <c r="AA30" i="1" s="1"/>
  <c r="T30" i="1"/>
  <c r="AB30" i="1" s="1"/>
  <c r="Q31" i="1"/>
  <c r="Y31" i="1" s="1"/>
  <c r="R31" i="1" a="1"/>
  <c r="R31" i="1" s="1"/>
  <c r="Z31" i="1" s="1"/>
  <c r="S31" i="1"/>
  <c r="AA31" i="1" s="1"/>
  <c r="T31" i="1"/>
  <c r="AB31" i="1" s="1"/>
  <c r="Q32" i="1"/>
  <c r="Y32" i="1" s="1"/>
  <c r="R32" i="1" a="1"/>
  <c r="R32" i="1" s="1"/>
  <c r="Z32" i="1" s="1"/>
  <c r="S32" i="1"/>
  <c r="AA32" i="1" s="1"/>
  <c r="T32" i="1"/>
  <c r="AB32" i="1" s="1"/>
  <c r="Q33" i="1"/>
  <c r="Y33" i="1" s="1"/>
  <c r="R33" i="1" a="1"/>
  <c r="R33" i="1" s="1"/>
  <c r="Z33" i="1" s="1"/>
  <c r="S33" i="1"/>
  <c r="AA33" i="1" s="1"/>
  <c r="T33" i="1"/>
  <c r="AB33" i="1" s="1"/>
  <c r="Q34" i="1"/>
  <c r="Y34" i="1" s="1"/>
  <c r="R34" i="1" a="1"/>
  <c r="R34" i="1" s="1"/>
  <c r="Z34" i="1" s="1"/>
  <c r="S34" i="1"/>
  <c r="AA34" i="1" s="1"/>
  <c r="T34" i="1"/>
  <c r="AB34" i="1" s="1"/>
  <c r="Q35" i="1"/>
  <c r="Y35" i="1" s="1"/>
  <c r="R35" i="1" a="1"/>
  <c r="R35" i="1" s="1"/>
  <c r="Z35" i="1" s="1"/>
  <c r="S35" i="1"/>
  <c r="AA35" i="1" s="1"/>
  <c r="T35" i="1"/>
  <c r="AB35" i="1" s="1"/>
  <c r="T2" i="1"/>
  <c r="AB2" i="1" s="1"/>
  <c r="R2" i="1" a="1"/>
  <c r="R2" i="1" s="1"/>
  <c r="Z2" i="1" s="1"/>
  <c r="S2" i="1"/>
  <c r="AA2" i="1" s="1"/>
  <c r="Q2" i="1"/>
  <c r="Y2" i="1" s="1"/>
  <c r="AG87" i="1" l="1"/>
  <c r="AA87" i="1"/>
  <c r="AE87" i="1" s="1"/>
  <c r="Z87" i="1"/>
  <c r="AB87" i="1"/>
  <c r="AF87" i="1" s="1"/>
  <c r="AG62" i="1"/>
  <c r="AH62" i="1"/>
  <c r="AG58" i="1"/>
  <c r="AH58" i="1"/>
  <c r="AG65" i="1"/>
  <c r="AH65" i="1"/>
  <c r="AG68" i="1"/>
  <c r="AH68" i="1"/>
  <c r="AG73" i="1"/>
  <c r="AH73" i="1"/>
  <c r="AG79" i="1"/>
  <c r="AH79" i="1"/>
  <c r="AG81" i="1"/>
  <c r="AH81" i="1"/>
  <c r="AG82" i="1"/>
  <c r="AH82" i="1"/>
  <c r="AG61" i="1"/>
  <c r="AH61" i="1"/>
  <c r="AG57" i="1"/>
  <c r="AH57" i="1"/>
  <c r="AG64" i="1"/>
  <c r="AH64" i="1"/>
  <c r="AG67" i="1"/>
  <c r="AH67" i="1"/>
  <c r="AG72" i="1"/>
  <c r="AH72" i="1"/>
  <c r="AG78" i="1"/>
  <c r="AH78" i="1"/>
  <c r="AG80" i="1"/>
  <c r="AH80" i="1"/>
  <c r="AG86" i="1"/>
  <c r="AH86" i="1"/>
  <c r="AG60" i="1"/>
  <c r="AH60" i="1"/>
  <c r="AG56" i="1"/>
  <c r="AH56" i="1"/>
  <c r="AG63" i="1"/>
  <c r="AH63" i="1"/>
  <c r="AG75" i="1"/>
  <c r="AH75" i="1"/>
  <c r="AG71" i="1"/>
  <c r="AH71" i="1"/>
  <c r="AG77" i="1"/>
  <c r="AH77" i="1"/>
  <c r="AG84" i="1"/>
  <c r="AH84" i="1"/>
  <c r="AG85" i="1"/>
  <c r="AH85" i="1"/>
  <c r="AG59" i="1"/>
  <c r="AH59" i="1"/>
  <c r="AG55" i="1"/>
  <c r="AH55" i="1"/>
  <c r="AG66" i="1"/>
  <c r="AH66" i="1"/>
  <c r="AG69" i="1"/>
  <c r="AH69" i="1"/>
  <c r="AG74" i="1"/>
  <c r="AH74" i="1"/>
  <c r="AG70" i="1"/>
  <c r="AH70" i="1"/>
  <c r="AG76" i="1"/>
  <c r="AH76" i="1"/>
  <c r="AG83" i="1"/>
  <c r="AH83" i="1"/>
  <c r="AG54" i="1"/>
  <c r="AH54" i="1"/>
  <c r="AE30" i="1"/>
  <c r="AE14" i="1"/>
  <c r="AE46" i="1"/>
  <c r="AF14" i="1"/>
  <c r="AF33" i="1"/>
  <c r="AF17" i="1"/>
  <c r="AF30" i="1"/>
  <c r="AF46" i="1"/>
  <c r="AE22" i="1"/>
  <c r="AF9" i="1"/>
  <c r="AF6" i="1"/>
  <c r="AF38" i="1"/>
  <c r="AE38" i="1"/>
  <c r="AF15" i="1"/>
  <c r="AF7" i="1"/>
  <c r="AF39" i="1"/>
  <c r="AF31" i="1"/>
  <c r="AF23" i="1"/>
  <c r="AF47" i="1"/>
  <c r="AF51" i="1"/>
  <c r="AF43" i="1"/>
  <c r="AF27" i="1"/>
  <c r="AF19" i="1"/>
  <c r="AF11" i="1"/>
  <c r="AF3" i="1"/>
  <c r="AF35" i="1"/>
  <c r="AF21" i="1"/>
  <c r="AF13" i="1"/>
  <c r="AF29" i="1"/>
  <c r="AF22" i="1"/>
  <c r="AF32" i="1"/>
  <c r="AF24" i="1"/>
  <c r="AF16" i="1"/>
  <c r="AF8" i="1"/>
  <c r="AF52" i="1"/>
  <c r="AF44" i="1"/>
  <c r="AF36" i="1"/>
  <c r="AF28" i="1"/>
  <c r="AF20" i="1"/>
  <c r="AF12" i="1"/>
  <c r="AF48" i="1"/>
  <c r="AF40" i="1"/>
  <c r="AF26" i="1"/>
  <c r="AF18" i="1"/>
  <c r="AF25" i="1"/>
  <c r="AF34" i="1"/>
  <c r="AF49" i="1"/>
  <c r="AF41" i="1"/>
  <c r="AF50" i="1"/>
  <c r="AF42" i="1"/>
  <c r="AF4" i="1"/>
  <c r="AE6" i="1"/>
  <c r="AF10" i="1"/>
  <c r="AF5" i="1"/>
  <c r="AF53" i="1"/>
  <c r="AF45" i="1"/>
  <c r="AF37" i="1"/>
  <c r="AH47" i="1"/>
  <c r="AH49" i="1"/>
  <c r="AF2" i="1"/>
  <c r="AH50" i="1"/>
  <c r="AH41" i="1"/>
  <c r="AH39" i="1"/>
  <c r="AH34" i="1"/>
  <c r="AH33" i="1"/>
  <c r="AH26" i="1"/>
  <c r="AH25" i="1"/>
  <c r="AH18" i="1"/>
  <c r="AH42" i="1"/>
  <c r="AH17" i="1"/>
  <c r="AH10" i="1"/>
  <c r="AH9" i="1"/>
  <c r="AG18" i="1"/>
  <c r="AG49" i="1"/>
  <c r="AG41" i="1"/>
  <c r="AG33" i="1"/>
  <c r="AG25" i="1"/>
  <c r="AG17" i="1"/>
  <c r="AG9" i="1"/>
  <c r="AH48" i="1"/>
  <c r="AH40" i="1"/>
  <c r="AH32" i="1"/>
  <c r="AH24" i="1"/>
  <c r="AH16" i="1"/>
  <c r="AH8" i="1"/>
  <c r="AG48" i="1"/>
  <c r="AG40" i="1"/>
  <c r="AG32" i="1"/>
  <c r="AG24" i="1"/>
  <c r="AG16" i="1"/>
  <c r="AG8" i="1"/>
  <c r="AH31" i="1"/>
  <c r="AH23" i="1"/>
  <c r="AH15" i="1"/>
  <c r="AH7" i="1"/>
  <c r="AG47" i="1"/>
  <c r="AG39" i="1"/>
  <c r="AG31" i="1"/>
  <c r="AG23" i="1"/>
  <c r="AG15" i="1"/>
  <c r="AG7" i="1"/>
  <c r="AG10" i="1"/>
  <c r="AH46" i="1"/>
  <c r="AH38" i="1"/>
  <c r="AH30" i="1"/>
  <c r="AH22" i="1"/>
  <c r="AH14" i="1"/>
  <c r="AH6" i="1"/>
  <c r="AG46" i="1"/>
  <c r="AG38" i="1"/>
  <c r="AG30" i="1"/>
  <c r="AG22" i="1"/>
  <c r="AG14" i="1"/>
  <c r="AG6" i="1"/>
  <c r="AH53" i="1"/>
  <c r="AH45" i="1"/>
  <c r="AH37" i="1"/>
  <c r="AH29" i="1"/>
  <c r="AH21" i="1"/>
  <c r="AH13" i="1"/>
  <c r="AH5" i="1"/>
  <c r="AG50" i="1"/>
  <c r="AG53" i="1"/>
  <c r="AG45" i="1"/>
  <c r="AG37" i="1"/>
  <c r="AG29" i="1"/>
  <c r="AG21" i="1"/>
  <c r="AG13" i="1"/>
  <c r="AG5" i="1"/>
  <c r="AG34" i="1"/>
  <c r="AH52" i="1"/>
  <c r="AH44" i="1"/>
  <c r="AH36" i="1"/>
  <c r="AH28" i="1"/>
  <c r="AH20" i="1"/>
  <c r="AH12" i="1"/>
  <c r="AH4" i="1"/>
  <c r="AG42" i="1"/>
  <c r="AG52" i="1"/>
  <c r="AG44" i="1"/>
  <c r="AG36" i="1"/>
  <c r="AG28" i="1"/>
  <c r="AG20" i="1"/>
  <c r="AG12" i="1"/>
  <c r="AG4" i="1"/>
  <c r="AH51" i="1"/>
  <c r="AH43" i="1"/>
  <c r="AH35" i="1"/>
  <c r="AH27" i="1"/>
  <c r="AH19" i="1"/>
  <c r="AH11" i="1"/>
  <c r="AH3" i="1"/>
  <c r="AG26" i="1"/>
  <c r="AG51" i="1"/>
  <c r="AG43" i="1"/>
  <c r="AG35" i="1"/>
  <c r="AG27" i="1"/>
  <c r="AG19" i="1"/>
  <c r="AG11" i="1"/>
  <c r="AG3" i="1"/>
  <c r="AG2" i="1"/>
  <c r="AH2" i="1"/>
  <c r="AE28" i="1"/>
  <c r="AE20" i="1"/>
  <c r="AE35" i="1"/>
  <c r="AE27" i="1"/>
  <c r="AE19" i="1"/>
  <c r="AE11" i="1"/>
  <c r="AE3" i="1"/>
  <c r="AE51" i="1"/>
  <c r="AE43" i="1"/>
  <c r="AE4" i="1"/>
  <c r="AE12" i="1"/>
  <c r="AE34" i="1"/>
  <c r="AE26" i="1"/>
  <c r="AE18" i="1"/>
  <c r="AE10" i="1"/>
  <c r="AE50" i="1"/>
  <c r="AE42" i="1"/>
  <c r="AE31" i="1"/>
  <c r="AE23" i="1"/>
  <c r="AE15" i="1"/>
  <c r="AE7" i="1"/>
  <c r="AE47" i="1"/>
  <c r="AE39" i="1"/>
  <c r="AE33" i="1"/>
  <c r="AE25" i="1"/>
  <c r="AE17" i="1"/>
  <c r="AE9" i="1"/>
  <c r="AE49" i="1"/>
  <c r="AE41" i="1"/>
  <c r="AE52" i="1"/>
  <c r="AE44" i="1"/>
  <c r="AE36" i="1"/>
  <c r="AE29" i="1"/>
  <c r="AE21" i="1"/>
  <c r="AE13" i="1"/>
  <c r="AE5" i="1"/>
  <c r="AE53" i="1"/>
  <c r="AE45" i="1"/>
  <c r="AE37" i="1"/>
  <c r="AE32" i="1"/>
  <c r="AE24" i="1"/>
  <c r="AE16" i="1"/>
  <c r="AE8" i="1"/>
  <c r="AE48" i="1"/>
  <c r="AE40" i="1"/>
  <c r="AE2" i="1"/>
  <c r="AA60" i="1"/>
  <c r="AA56" i="1"/>
  <c r="AA63" i="1"/>
  <c r="AA75" i="1"/>
  <c r="AA71" i="1"/>
  <c r="AA77" i="1"/>
  <c r="AA84" i="1"/>
  <c r="AA85" i="1"/>
  <c r="AB60" i="1"/>
  <c r="AF60" i="1" s="1"/>
  <c r="AB63" i="1"/>
  <c r="AF63" i="1" s="1"/>
  <c r="AB75" i="1"/>
  <c r="AF75" i="1" s="1"/>
  <c r="AB71" i="1"/>
  <c r="AF71" i="1" s="1"/>
  <c r="AB77" i="1"/>
  <c r="AF77" i="1" s="1"/>
  <c r="AB84" i="1"/>
  <c r="AF84" i="1" s="1"/>
  <c r="AB85" i="1"/>
  <c r="AF85" i="1" s="1"/>
  <c r="AB66" i="1"/>
  <c r="AF66" i="1" s="1"/>
  <c r="AB74" i="1"/>
  <c r="AF74" i="1" s="1"/>
  <c r="AB86" i="1"/>
  <c r="AF86" i="1" s="1"/>
  <c r="AA59" i="1"/>
  <c r="AA55" i="1"/>
  <c r="AA66" i="1"/>
  <c r="AA69" i="1"/>
  <c r="AA74" i="1"/>
  <c r="AA70" i="1"/>
  <c r="AA76" i="1"/>
  <c r="AA83" i="1"/>
  <c r="AB56" i="1"/>
  <c r="AF56" i="1" s="1"/>
  <c r="AB61" i="1"/>
  <c r="AF61" i="1" s="1"/>
  <c r="AB57" i="1"/>
  <c r="AF57" i="1" s="1"/>
  <c r="AB64" i="1"/>
  <c r="AF64" i="1" s="1"/>
  <c r="AB67" i="1"/>
  <c r="AF67" i="1" s="1"/>
  <c r="AB72" i="1"/>
  <c r="AF72" i="1" s="1"/>
  <c r="AB78" i="1"/>
  <c r="AF78" i="1" s="1"/>
  <c r="AB80" i="1"/>
  <c r="AF80" i="1" s="1"/>
  <c r="AA61" i="1"/>
  <c r="AA57" i="1"/>
  <c r="AA64" i="1"/>
  <c r="AA67" i="1"/>
  <c r="AA72" i="1"/>
  <c r="AA78" i="1"/>
  <c r="AA80" i="1"/>
  <c r="AA86" i="1"/>
  <c r="AB70" i="1"/>
  <c r="AF70" i="1" s="1"/>
  <c r="AB59" i="1"/>
  <c r="AF59" i="1" s="1"/>
  <c r="AB69" i="1"/>
  <c r="AF69" i="1" s="1"/>
  <c r="AB76" i="1"/>
  <c r="AF76" i="1" s="1"/>
  <c r="AB83" i="1"/>
  <c r="AF83" i="1" s="1"/>
  <c r="AB68" i="1"/>
  <c r="AF68" i="1" s="1"/>
  <c r="AA62" i="1"/>
  <c r="AA54" i="1"/>
  <c r="AA68" i="1"/>
  <c r="AB81" i="1"/>
  <c r="AF81" i="1" s="1"/>
  <c r="AB73" i="1"/>
  <c r="AF73" i="1" s="1"/>
  <c r="AB65" i="1"/>
  <c r="AF65" i="1" s="1"/>
  <c r="AA81" i="1"/>
  <c r="AA73" i="1"/>
  <c r="AA65" i="1"/>
  <c r="AA58" i="1"/>
  <c r="AA82" i="1"/>
  <c r="AB79" i="1"/>
  <c r="AF79" i="1" s="1"/>
  <c r="AB55" i="1"/>
  <c r="AF55" i="1" s="1"/>
  <c r="AB82" i="1"/>
  <c r="AF82" i="1" s="1"/>
  <c r="AA79" i="1"/>
  <c r="AB62" i="1"/>
  <c r="AF62" i="1" s="1"/>
  <c r="AB54" i="1"/>
  <c r="AF54" i="1" s="1"/>
  <c r="AB58" i="1"/>
  <c r="AF58" i="1" s="1"/>
  <c r="AE75" i="1" l="1"/>
  <c r="AE57" i="1"/>
  <c r="AE55" i="1"/>
  <c r="AE68" i="1"/>
  <c r="AE61" i="1"/>
  <c r="AE59" i="1"/>
  <c r="AE63" i="1"/>
  <c r="AE54" i="1"/>
  <c r="AE56" i="1"/>
  <c r="AE62" i="1"/>
  <c r="AE60" i="1"/>
  <c r="AE79" i="1"/>
  <c r="AE82" i="1"/>
  <c r="AE58" i="1"/>
  <c r="AE86" i="1"/>
  <c r="AE83" i="1"/>
  <c r="AE65" i="1"/>
  <c r="AE80" i="1"/>
  <c r="AE76" i="1"/>
  <c r="AE73" i="1"/>
  <c r="AE78" i="1"/>
  <c r="AE70" i="1"/>
  <c r="AE85" i="1"/>
  <c r="AE81" i="1"/>
  <c r="AE72" i="1"/>
  <c r="AE74" i="1"/>
  <c r="AE84" i="1"/>
  <c r="AE67" i="1"/>
  <c r="AE69" i="1"/>
  <c r="AE77" i="1"/>
  <c r="AE64" i="1"/>
  <c r="AE66" i="1"/>
  <c r="AE7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<sst xmlns="http://schemas.openxmlformats.org/spreadsheetml/2006/main" count="1942" uniqueCount="27">
  <si>
    <t xml:space="preserve"> NaN</t>
  </si>
  <si>
    <t>[year]</t>
  </si>
  <si>
    <t>[month]</t>
  </si>
  <si>
    <t>[OHC0-700m]</t>
  </si>
  <si>
    <t>[Smoothed</t>
  </si>
  <si>
    <t>[Error</t>
  </si>
  <si>
    <t>[Smoothed OHC0-700m]</t>
  </si>
  <si>
    <t>[Error95% CI is OHC+/-Error]</t>
  </si>
  <si>
    <t>[OHC700-2000m]</t>
  </si>
  <si>
    <t>Smoothed700-2000</t>
  </si>
  <si>
    <t>[Error, 95%</t>
  </si>
  <si>
    <t>[OHC0-2000m]</t>
  </si>
  <si>
    <t>[SmoothedOHC0-2000m]</t>
  </si>
  <si>
    <t>Error</t>
  </si>
  <si>
    <t>[OHC2000-6000m]</t>
  </si>
  <si>
    <t>0-6000m_allLat</t>
  </si>
  <si>
    <t>0-6000m_allLat_se</t>
  </si>
  <si>
    <t>0-2000m_allLat</t>
  </si>
  <si>
    <t>0-2000m_allLat_se</t>
  </si>
  <si>
    <t>0-700m_allLat</t>
  </si>
  <si>
    <t>0-700m_allLat_se</t>
  </si>
  <si>
    <t>700-6000_allLat</t>
  </si>
  <si>
    <t>700-6000_allLat_se</t>
  </si>
  <si>
    <t>2000-6000_allLat</t>
  </si>
  <si>
    <t>2000-6000_allLat_se</t>
  </si>
  <si>
    <t>2000-6000m_allLat</t>
  </si>
  <si>
    <t>2000-6000m_allLat_se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</si>
</sst>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7D50-FE4C-E246-9BAC-CEEC2C08AF13}">
  <dimension ref="A1:AH1033"/>
  <sheetViews>
    <sheetView tabSelected="1" topLeftCell="H60" zoomScale="60" workbookViewId="0">
      <selection activeCell="AC97" sqref="AC97"/>
    </sheetView>
  </sheetViews>
  <sheetFormatPr baseColWidth="10" defaultRowHeight="16" x14ac:dyDescent="0.2"/>
  <cols>
    <col min="4" max="4" width="16.33203125" customWidth="1"/>
  </cols>
  <sheetData>
    <row r="1" spans="1:34" x14ac:dyDescent="0.2">
      <c r="A1" t="s">
        <v>1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s="1" t="s">
        <v>11</v>
      </c>
      <c r="J1" t="s">
        <v>12</v>
      </c>
      <c r="K1" t="s">
        <v>13</v>
      </c>
      <c r="L1" t="s">
        <v>14</v>
      </c>
      <c r="M1" t="s">
        <v>4</v>
      </c>
      <c r="N1" t="s">
        <v>5</v>
      </c>
      <c r="Q1" t="s">
        <v>17</v>
      </c>
      <c r="R1" t="s">
        <v>18</v>
      </c>
      <c r="S1" t="s">
        <v>25</v>
      </c>
      <c r="T1" t="s">
        <v>26</v>
      </c>
      <c r="W1" s="2" t="s">
        <v>19</v>
      </c>
      <c r="X1" s="2" t="s">
        <v>20</v>
      </c>
      <c r="Y1" t="s">
        <v>17</v>
      </c>
      <c r="Z1" t="s">
        <v>18</v>
      </c>
      <c r="AA1" t="s">
        <v>15</v>
      </c>
      <c r="AB1" t="s">
        <v>16</v>
      </c>
      <c r="AE1" t="s">
        <v>21</v>
      </c>
      <c r="AF1" t="s">
        <v>22</v>
      </c>
      <c r="AG1" t="s">
        <v>23</v>
      </c>
      <c r="AH1" t="s">
        <v>24</v>
      </c>
    </row>
    <row r="2" spans="1:34" x14ac:dyDescent="0.2">
      <c r="A2">
        <v>1940</v>
      </c>
      <c r="B2">
        <v>1</v>
      </c>
      <c r="C2">
        <v>-24.04</v>
      </c>
      <c r="D2" t="s">
        <v>0</v>
      </c>
      <c r="E2">
        <v>10.52</v>
      </c>
      <c r="F2">
        <v>-10.09</v>
      </c>
      <c r="G2" t="s">
        <v>0</v>
      </c>
      <c r="H2">
        <v>9.48</v>
      </c>
      <c r="I2">
        <v>-34.130000000000003</v>
      </c>
      <c r="J2" t="s">
        <v>0</v>
      </c>
      <c r="K2">
        <v>16.28</v>
      </c>
      <c r="L2" t="s">
        <v>0</v>
      </c>
      <c r="M2" t="s">
        <v>0</v>
      </c>
      <c r="N2" t="s">
        <v>0</v>
      </c>
      <c r="O2">
        <f ca="1">AVERAGE(OFFSET($C$2,(ROW(A1)-1)*12,0,12,1))</f>
        <v>-24.507500000000004</v>
      </c>
      <c r="P2" cm="1">
        <f t="array" aca="1" ref="P2" ca="1">SQRT(AVERAGE(OFFSET($E$2,(ROW(A1)-1)*12,0,12,1)^2))</f>
        <v>10.114269622666781</v>
      </c>
      <c r="Q2">
        <f ca="1">AVERAGE(OFFSET($I$2,(ROW(A1)-1)*12,0,12,1))</f>
        <v>-34.827499999999993</v>
      </c>
      <c r="R2" cm="1">
        <f t="array" aca="1" ref="R2" ca="1">SQRT(AVERAGE(OFFSET($K$2,(ROW(A1)-1)*12,0,12,1)^2))</f>
        <v>15.78689672903872</v>
      </c>
      <c r="S2" t="e">
        <f ca="1">AVERAGE(OFFSET($L$2,(ROW(A1)-1)*12,0,12,1))</f>
        <v>#DIV/0!</v>
      </c>
      <c r="T2" t="e">
        <f ca="1">SQRT(AVERAGE(OFFSET($N$2,(ROW(A1)-1)*12,0,12,1))^2)</f>
        <v>#DIV/0!</v>
      </c>
      <c r="V2">
        <f>1940.5</f>
        <v>1940.5</v>
      </c>
      <c r="W2">
        <f t="shared" ref="W2" ca="1" si="0">O2*10</f>
        <v>-245.07500000000005</v>
      </c>
      <c r="X2">
        <f ca="1">P2*5</f>
        <v>50.571348113333904</v>
      </c>
      <c r="Y2">
        <f ca="1">Q2*10</f>
        <v>-348.27499999999992</v>
      </c>
      <c r="Z2">
        <f ca="1">R2*10/2</f>
        <v>78.934483645193595</v>
      </c>
      <c r="AA2" t="str">
        <f ca="1">IF(ISNUMBER(S2),(S2+Q2)*10,"NaN")</f>
        <v>NaN</v>
      </c>
      <c r="AB2" t="str">
        <f ca="1">IF(ISNUMBER(T2),SQRT(T2^2+R2^2)*10/2,"NaN")</f>
        <v>NaN</v>
      </c>
      <c r="AE2" t="e">
        <f ca="1">AA2-W2</f>
        <v>#VALUE!</v>
      </c>
      <c r="AF2" t="e">
        <f ca="1">SQRT(AB2^2-X2^2)</f>
        <v>#VALUE!</v>
      </c>
      <c r="AG2" t="e">
        <f ca="1">S2*10</f>
        <v>#DIV/0!</v>
      </c>
      <c r="AH2" t="e">
        <f ca="1">S2*5</f>
        <v>#DIV/0!</v>
      </c>
    </row>
    <row r="3" spans="1:34" x14ac:dyDescent="0.2">
      <c r="A3">
        <v>1940</v>
      </c>
      <c r="B3">
        <v>2</v>
      </c>
      <c r="C3">
        <v>-23.65</v>
      </c>
      <c r="D3" t="s">
        <v>0</v>
      </c>
      <c r="E3">
        <v>10.17</v>
      </c>
      <c r="F3">
        <v>-10.11</v>
      </c>
      <c r="G3" t="s">
        <v>0</v>
      </c>
      <c r="H3">
        <v>9.44</v>
      </c>
      <c r="I3">
        <v>-33.76</v>
      </c>
      <c r="J3" t="s">
        <v>0</v>
      </c>
      <c r="K3">
        <v>16.02</v>
      </c>
      <c r="L3" t="s">
        <v>0</v>
      </c>
      <c r="M3" t="s">
        <v>0</v>
      </c>
      <c r="N3" t="s">
        <v>0</v>
      </c>
      <c r="O3">
        <f t="shared" ref="O3:O66" ca="1" si="1">AVERAGE(OFFSET($C$2,(ROW(A2)-1)*12,0,12,1))</f>
        <v>-25.075833333333339</v>
      </c>
      <c r="P3" cm="1">
        <f t="array" aca="1" ref="P3" ca="1">SQRT(AVERAGE(OFFSET($E$2,(ROW(A2)-1)*12,0,12,1)^2))</f>
        <v>9.2434828392765453</v>
      </c>
      <c r="Q3">
        <f t="shared" ref="Q3:Q35" ca="1" si="2">AVERAGE(OFFSET($I$2,(ROW(A2)-1)*12,0,12,1))</f>
        <v>-35.589166666666664</v>
      </c>
      <c r="R3" cm="1">
        <f t="array" aca="1" ref="R3" ca="1">SQRT(AVERAGE(OFFSET($K$2,(ROW(A2)-1)*12,0,12,1)^2))</f>
        <v>14.555953821947453</v>
      </c>
      <c r="S3" t="e">
        <f t="shared" ref="S3:S35" ca="1" si="3">AVERAGE(OFFSET($L$2,(ROW(A2)-1)*12,0,12,1))</f>
        <v>#DIV/0!</v>
      </c>
      <c r="T3" t="e">
        <f t="shared" ref="T3:T35" ca="1" si="4">SQRT(AVERAGE(OFFSET($N$2,(ROW(A2)-1)*12,0,12,1))^2)</f>
        <v>#DIV/0!</v>
      </c>
      <c r="V3">
        <f>V2+1</f>
        <v>1941.5</v>
      </c>
      <c r="W3">
        <f t="shared" ref="W3:W66" ca="1" si="5">O3*10</f>
        <v>-250.75833333333338</v>
      </c>
      <c r="X3">
        <f t="shared" ref="X3:X66" ca="1" si="6">P3*5</f>
        <v>46.217414196382727</v>
      </c>
      <c r="Y3">
        <f t="shared" ref="Y3:Y66" ca="1" si="7">Q3*10</f>
        <v>-355.89166666666665</v>
      </c>
      <c r="Z3">
        <f t="shared" ref="Z3:Z66" ca="1" si="8">R3*10/2</f>
        <v>72.779769109737259</v>
      </c>
      <c r="AA3" t="str">
        <f t="shared" ref="AA3:AA66" ca="1" si="9">IF(ISNUMBER(S3),(S3+Q3)*10,"NaN")</f>
        <v>NaN</v>
      </c>
      <c r="AB3" t="str">
        <f t="shared" ref="AB3:AB66" ca="1" si="10">IF(ISNUMBER(T3),SQRT(T3^2+R3^2)*10/2,"NaN")</f>
        <v>NaN</v>
      </c>
      <c r="AE3" t="e">
        <f t="shared" ref="AE3:AE66" ca="1" si="11">AA3-W3</f>
        <v>#VALUE!</v>
      </c>
      <c r="AF3" t="e">
        <f t="shared" ref="AF3:AF66" ca="1" si="12">SQRT(AB3^2-X3^2)</f>
        <v>#VALUE!</v>
      </c>
      <c r="AG3" t="e">
        <f t="shared" ref="AG3:AG66" ca="1" si="13">S3*10</f>
        <v>#DIV/0!</v>
      </c>
      <c r="AH3" t="e">
        <f t="shared" ref="AH3:AH53" ca="1" si="14">S3*5</f>
        <v>#DIV/0!</v>
      </c>
    </row>
    <row r="4" spans="1:34" x14ac:dyDescent="0.2">
      <c r="A4">
        <v>1940</v>
      </c>
      <c r="B4">
        <v>3</v>
      </c>
      <c r="C4">
        <v>-24.1</v>
      </c>
      <c r="D4" t="s">
        <v>0</v>
      </c>
      <c r="E4">
        <v>10.02</v>
      </c>
      <c r="F4">
        <v>-10.210000000000001</v>
      </c>
      <c r="G4" t="s">
        <v>0</v>
      </c>
      <c r="H4">
        <v>9.35</v>
      </c>
      <c r="I4">
        <v>-34.31</v>
      </c>
      <c r="J4" t="s">
        <v>0</v>
      </c>
      <c r="K4">
        <v>15.82</v>
      </c>
      <c r="L4" t="s">
        <v>0</v>
      </c>
      <c r="M4" t="s">
        <v>0</v>
      </c>
      <c r="N4" t="s">
        <v>0</v>
      </c>
      <c r="O4">
        <f t="shared" ca="1" si="1"/>
        <v>-22.495000000000001</v>
      </c>
      <c r="P4" cm="1">
        <f t="array" aca="1" ref="P4" ca="1">SQRT(AVERAGE(OFFSET($E$2,(ROW(A3)-1)*12,0,12,1)^2))</f>
        <v>9.3968868958465901</v>
      </c>
      <c r="Q4">
        <f t="shared" ca="1" si="2"/>
        <v>-32.494166666666672</v>
      </c>
      <c r="R4" cm="1">
        <f t="array" aca="1" ref="R4" ca="1">SQRT(AVERAGE(OFFSET($K$2,(ROW(A3)-1)*12,0,12,1)^2))</f>
        <v>14.844410844938688</v>
      </c>
      <c r="S4" t="e">
        <f t="shared" ca="1" si="3"/>
        <v>#DIV/0!</v>
      </c>
      <c r="T4" t="e">
        <f t="shared" ca="1" si="4"/>
        <v>#DIV/0!</v>
      </c>
      <c r="V4">
        <f t="shared" ref="V4:V67" si="15">V3+1</f>
        <v>1942.5</v>
      </c>
      <c r="W4">
        <f t="shared" ca="1" si="5"/>
        <v>-224.95000000000002</v>
      </c>
      <c r="X4">
        <f t="shared" ca="1" si="6"/>
        <v>46.984434479232952</v>
      </c>
      <c r="Y4">
        <f t="shared" ca="1" si="7"/>
        <v>-324.94166666666672</v>
      </c>
      <c r="Z4">
        <f t="shared" ca="1" si="8"/>
        <v>74.222054224693437</v>
      </c>
      <c r="AA4" t="str">
        <f t="shared" ca="1" si="9"/>
        <v>NaN</v>
      </c>
      <c r="AB4" t="str">
        <f t="shared" ca="1" si="10"/>
        <v>NaN</v>
      </c>
      <c r="AE4" t="e">
        <f t="shared" ca="1" si="11"/>
        <v>#VALUE!</v>
      </c>
      <c r="AF4" t="e">
        <f t="shared" ca="1" si="12"/>
        <v>#VALUE!</v>
      </c>
      <c r="AG4" t="e">
        <f t="shared" ca="1" si="13"/>
        <v>#DIV/0!</v>
      </c>
      <c r="AH4" t="e">
        <f t="shared" ca="1" si="14"/>
        <v>#DIV/0!</v>
      </c>
    </row>
    <row r="5" spans="1:34" x14ac:dyDescent="0.2">
      <c r="A5">
        <v>1940</v>
      </c>
      <c r="B5">
        <v>4</v>
      </c>
      <c r="C5">
        <v>-23.84</v>
      </c>
      <c r="D5" t="s">
        <v>0</v>
      </c>
      <c r="E5">
        <v>9.92</v>
      </c>
      <c r="F5">
        <v>-10.31</v>
      </c>
      <c r="G5" t="s">
        <v>0</v>
      </c>
      <c r="H5">
        <v>9.27</v>
      </c>
      <c r="I5">
        <v>-34.15</v>
      </c>
      <c r="J5" t="s">
        <v>0</v>
      </c>
      <c r="K5">
        <v>15.63</v>
      </c>
      <c r="L5" t="s">
        <v>0</v>
      </c>
      <c r="M5" t="s">
        <v>0</v>
      </c>
      <c r="N5" t="s">
        <v>0</v>
      </c>
      <c r="O5">
        <f t="shared" ca="1" si="1"/>
        <v>-21.489166666666666</v>
      </c>
      <c r="P5" cm="1">
        <f t="array" aca="1" ref="P5" ca="1">SQRT(AVERAGE(OFFSET($E$2,(ROW(A4)-1)*12,0,12,1)^2))</f>
        <v>9.6102636106751351</v>
      </c>
      <c r="Q5">
        <f t="shared" ca="1" si="2"/>
        <v>-31.100833333333327</v>
      </c>
      <c r="R5" cm="1">
        <f t="array" aca="1" ref="R5" ca="1">SQRT(AVERAGE(OFFSET($K$2,(ROW(A4)-1)*12,0,12,1)^2))</f>
        <v>15.686850384956184</v>
      </c>
      <c r="S5" t="e">
        <f t="shared" ca="1" si="3"/>
        <v>#DIV/0!</v>
      </c>
      <c r="T5" t="e">
        <f t="shared" ca="1" si="4"/>
        <v>#DIV/0!</v>
      </c>
      <c r="V5">
        <f t="shared" si="15"/>
        <v>1943.5</v>
      </c>
      <c r="W5">
        <f t="shared" ca="1" si="5"/>
        <v>-214.89166666666665</v>
      </c>
      <c r="X5">
        <f t="shared" ca="1" si="6"/>
        <v>48.051318053375674</v>
      </c>
      <c r="Y5">
        <f t="shared" ca="1" si="7"/>
        <v>-311.00833333333327</v>
      </c>
      <c r="Z5">
        <f t="shared" ca="1" si="8"/>
        <v>78.434251924780924</v>
      </c>
      <c r="AA5" t="str">
        <f t="shared" ca="1" si="9"/>
        <v>NaN</v>
      </c>
      <c r="AB5" t="str">
        <f t="shared" ca="1" si="10"/>
        <v>NaN</v>
      </c>
      <c r="AE5" t="e">
        <f t="shared" ca="1" si="11"/>
        <v>#VALUE!</v>
      </c>
      <c r="AF5" t="e">
        <f t="shared" ca="1" si="12"/>
        <v>#VALUE!</v>
      </c>
      <c r="AG5" t="e">
        <f t="shared" ca="1" si="13"/>
        <v>#DIV/0!</v>
      </c>
      <c r="AH5" t="e">
        <f t="shared" ca="1" si="14"/>
        <v>#DIV/0!</v>
      </c>
    </row>
    <row r="6" spans="1:34" x14ac:dyDescent="0.2">
      <c r="A6">
        <v>1940</v>
      </c>
      <c r="B6">
        <v>5</v>
      </c>
      <c r="C6">
        <v>-24.06</v>
      </c>
      <c r="D6" t="s">
        <v>0</v>
      </c>
      <c r="E6">
        <v>10.08</v>
      </c>
      <c r="F6">
        <v>-10.36</v>
      </c>
      <c r="G6" t="s">
        <v>0</v>
      </c>
      <c r="H6">
        <v>9.1999999999999993</v>
      </c>
      <c r="I6">
        <v>-34.42</v>
      </c>
      <c r="J6" t="s">
        <v>0</v>
      </c>
      <c r="K6">
        <v>15.71</v>
      </c>
      <c r="L6" t="s">
        <v>0</v>
      </c>
      <c r="M6" t="s">
        <v>0</v>
      </c>
      <c r="N6" t="s">
        <v>0</v>
      </c>
      <c r="O6">
        <f t="shared" ca="1" si="1"/>
        <v>-21.747500000000002</v>
      </c>
      <c r="P6" cm="1">
        <f t="array" aca="1" ref="P6" ca="1">SQRT(AVERAGE(OFFSET($E$2,(ROW(A5)-1)*12,0,12,1)^2))</f>
        <v>9.3825334176507642</v>
      </c>
      <c r="Q6">
        <f t="shared" ca="1" si="2"/>
        <v>-31.410833333333329</v>
      </c>
      <c r="R6" cm="1">
        <f t="array" aca="1" ref="R6" ca="1">SQRT(AVERAGE(OFFSET($K$2,(ROW(A5)-1)*12,0,12,1)^2))</f>
        <v>15.641759012336177</v>
      </c>
      <c r="S6" t="e">
        <f t="shared" ca="1" si="3"/>
        <v>#DIV/0!</v>
      </c>
      <c r="T6" t="e">
        <f t="shared" ca="1" si="4"/>
        <v>#DIV/0!</v>
      </c>
      <c r="V6">
        <f t="shared" si="15"/>
        <v>1944.5</v>
      </c>
      <c r="W6">
        <f t="shared" ca="1" si="5"/>
        <v>-217.47500000000002</v>
      </c>
      <c r="X6">
        <f t="shared" ca="1" si="6"/>
        <v>46.912667088253819</v>
      </c>
      <c r="Y6">
        <f t="shared" ca="1" si="7"/>
        <v>-314.10833333333329</v>
      </c>
      <c r="Z6">
        <f t="shared" ca="1" si="8"/>
        <v>78.208795061680888</v>
      </c>
      <c r="AA6" t="str">
        <f t="shared" ca="1" si="9"/>
        <v>NaN</v>
      </c>
      <c r="AB6" t="str">
        <f t="shared" ca="1" si="10"/>
        <v>NaN</v>
      </c>
      <c r="AE6" t="e">
        <f t="shared" ca="1" si="11"/>
        <v>#VALUE!</v>
      </c>
      <c r="AF6" t="e">
        <f t="shared" ca="1" si="12"/>
        <v>#VALUE!</v>
      </c>
      <c r="AG6" t="e">
        <f t="shared" ca="1" si="13"/>
        <v>#DIV/0!</v>
      </c>
      <c r="AH6" t="e">
        <f t="shared" ca="1" si="14"/>
        <v>#DIV/0!</v>
      </c>
    </row>
    <row r="7" spans="1:34" x14ac:dyDescent="0.2">
      <c r="A7">
        <v>1940</v>
      </c>
      <c r="B7">
        <v>6</v>
      </c>
      <c r="C7">
        <v>-24.93</v>
      </c>
      <c r="D7" t="s">
        <v>0</v>
      </c>
      <c r="E7">
        <v>10.1</v>
      </c>
      <c r="F7">
        <v>-10.33</v>
      </c>
      <c r="G7" t="s">
        <v>0</v>
      </c>
      <c r="H7">
        <v>9.1199999999999992</v>
      </c>
      <c r="I7">
        <v>-35.26</v>
      </c>
      <c r="J7" t="s">
        <v>0</v>
      </c>
      <c r="K7">
        <v>15.67</v>
      </c>
      <c r="L7" t="s">
        <v>0</v>
      </c>
      <c r="M7" t="s">
        <v>0</v>
      </c>
      <c r="N7" t="s">
        <v>0</v>
      </c>
      <c r="O7">
        <f t="shared" ca="1" si="1"/>
        <v>-21.282499999999999</v>
      </c>
      <c r="P7" cm="1">
        <f t="array" aca="1" ref="P7" ca="1">SQRT(AVERAGE(OFFSET($E$2,(ROW(A6)-1)*12,0,12,1)^2))</f>
        <v>9.7930038803219102</v>
      </c>
      <c r="Q7">
        <f t="shared" ca="1" si="2"/>
        <v>-31.297499999999999</v>
      </c>
      <c r="R7" cm="1">
        <f t="array" aca="1" ref="R7" ca="1">SQRT(AVERAGE(OFFSET($K$2,(ROW(A6)-1)*12,0,12,1)^2))</f>
        <v>15.762218012280716</v>
      </c>
      <c r="S7" t="e">
        <f t="shared" ca="1" si="3"/>
        <v>#DIV/0!</v>
      </c>
      <c r="T7" t="e">
        <f t="shared" ca="1" si="4"/>
        <v>#DIV/0!</v>
      </c>
      <c r="V7">
        <f t="shared" si="15"/>
        <v>1945.5</v>
      </c>
      <c r="W7">
        <f t="shared" ca="1" si="5"/>
        <v>-212.82499999999999</v>
      </c>
      <c r="X7">
        <f t="shared" ca="1" si="6"/>
        <v>48.965019401609553</v>
      </c>
      <c r="Y7">
        <f t="shared" ca="1" si="7"/>
        <v>-312.97500000000002</v>
      </c>
      <c r="Z7">
        <f t="shared" ca="1" si="8"/>
        <v>78.811090061403576</v>
      </c>
      <c r="AA7" t="str">
        <f t="shared" ca="1" si="9"/>
        <v>NaN</v>
      </c>
      <c r="AB7" t="str">
        <f t="shared" ca="1" si="10"/>
        <v>NaN</v>
      </c>
      <c r="AE7" t="e">
        <f t="shared" ca="1" si="11"/>
        <v>#VALUE!</v>
      </c>
      <c r="AF7" t="e">
        <f t="shared" ca="1" si="12"/>
        <v>#VALUE!</v>
      </c>
      <c r="AG7" t="e">
        <f t="shared" ca="1" si="13"/>
        <v>#DIV/0!</v>
      </c>
      <c r="AH7" t="e">
        <f t="shared" ca="1" si="14"/>
        <v>#DIV/0!</v>
      </c>
    </row>
    <row r="8" spans="1:34" x14ac:dyDescent="0.2">
      <c r="A8">
        <v>1940</v>
      </c>
      <c r="B8">
        <v>7</v>
      </c>
      <c r="C8">
        <v>-25.13</v>
      </c>
      <c r="D8">
        <v>-24.58</v>
      </c>
      <c r="E8">
        <v>10.11</v>
      </c>
      <c r="F8">
        <v>-10.24</v>
      </c>
      <c r="G8">
        <v>-10.33</v>
      </c>
      <c r="H8">
        <v>9.1199999999999992</v>
      </c>
      <c r="I8">
        <v>-35.369999999999997</v>
      </c>
      <c r="J8">
        <v>-34.909999999999997</v>
      </c>
      <c r="K8">
        <v>15.7</v>
      </c>
      <c r="L8" t="s">
        <v>0</v>
      </c>
      <c r="M8" t="s">
        <v>0</v>
      </c>
      <c r="N8" t="s">
        <v>0</v>
      </c>
      <c r="O8">
        <f t="shared" ca="1" si="1"/>
        <v>-20.672500000000003</v>
      </c>
      <c r="P8" cm="1">
        <f t="array" aca="1" ref="P8" ca="1">SQRT(AVERAGE(OFFSET($E$2,(ROW(A7)-1)*12,0,12,1)^2))</f>
        <v>8.9575266303446366</v>
      </c>
      <c r="Q8">
        <f t="shared" ca="1" si="2"/>
        <v>-29.742499999999996</v>
      </c>
      <c r="R8" cm="1">
        <f t="array" aca="1" ref="R8" ca="1">SQRT(AVERAGE(OFFSET($K$2,(ROW(A7)-1)*12,0,12,1)^2))</f>
        <v>14.454183650417621</v>
      </c>
      <c r="S8" t="e">
        <f t="shared" ca="1" si="3"/>
        <v>#DIV/0!</v>
      </c>
      <c r="T8" t="e">
        <f t="shared" ca="1" si="4"/>
        <v>#DIV/0!</v>
      </c>
      <c r="V8">
        <f t="shared" si="15"/>
        <v>1946.5</v>
      </c>
      <c r="W8">
        <f t="shared" ca="1" si="5"/>
        <v>-206.72500000000002</v>
      </c>
      <c r="X8">
        <f t="shared" ca="1" si="6"/>
        <v>44.787633151723185</v>
      </c>
      <c r="Y8">
        <f t="shared" ca="1" si="7"/>
        <v>-297.42499999999995</v>
      </c>
      <c r="Z8">
        <f t="shared" ca="1" si="8"/>
        <v>72.270918252088109</v>
      </c>
      <c r="AA8" t="str">
        <f t="shared" ca="1" si="9"/>
        <v>NaN</v>
      </c>
      <c r="AB8" t="str">
        <f t="shared" ca="1" si="10"/>
        <v>NaN</v>
      </c>
      <c r="AE8" t="e">
        <f t="shared" ca="1" si="11"/>
        <v>#VALUE!</v>
      </c>
      <c r="AF8" t="e">
        <f t="shared" ca="1" si="12"/>
        <v>#VALUE!</v>
      </c>
      <c r="AG8" t="e">
        <f t="shared" ca="1" si="13"/>
        <v>#DIV/0!</v>
      </c>
      <c r="AH8" t="e">
        <f t="shared" ca="1" si="14"/>
        <v>#DIV/0!</v>
      </c>
    </row>
    <row r="9" spans="1:34" x14ac:dyDescent="0.2">
      <c r="A9">
        <v>1940</v>
      </c>
      <c r="B9">
        <v>8</v>
      </c>
      <c r="C9">
        <v>-25.33</v>
      </c>
      <c r="D9">
        <v>-24.74</v>
      </c>
      <c r="E9">
        <v>10.15</v>
      </c>
      <c r="F9">
        <v>-10.32</v>
      </c>
      <c r="G9">
        <v>-10.35</v>
      </c>
      <c r="H9">
        <v>9.09</v>
      </c>
      <c r="I9">
        <v>-35.65</v>
      </c>
      <c r="J9">
        <v>-35.090000000000003</v>
      </c>
      <c r="K9">
        <v>15.72</v>
      </c>
      <c r="L9" t="s">
        <v>0</v>
      </c>
      <c r="M9" t="s">
        <v>0</v>
      </c>
      <c r="N9" t="s">
        <v>0</v>
      </c>
      <c r="O9">
        <f t="shared" ca="1" si="1"/>
        <v>-18.949166666666667</v>
      </c>
      <c r="P9" cm="1">
        <f t="array" aca="1" ref="P9" ca="1">SQRT(AVERAGE(OFFSET($E$2,(ROW(A8)-1)*12,0,12,1)^2))</f>
        <v>8.0178841764312523</v>
      </c>
      <c r="Q9">
        <f t="shared" ca="1" si="2"/>
        <v>-27.860833333333328</v>
      </c>
      <c r="R9" cm="1">
        <f t="array" aca="1" ref="R9" ca="1">SQRT(AVERAGE(OFFSET($K$2,(ROW(A8)-1)*12,0,12,1)^2))</f>
        <v>13.178038865223206</v>
      </c>
      <c r="S9" t="e">
        <f t="shared" ca="1" si="3"/>
        <v>#DIV/0!</v>
      </c>
      <c r="T9" t="e">
        <f t="shared" ca="1" si="4"/>
        <v>#DIV/0!</v>
      </c>
      <c r="V9">
        <f t="shared" si="15"/>
        <v>1947.5</v>
      </c>
      <c r="W9">
        <f t="shared" ca="1" si="5"/>
        <v>-189.49166666666667</v>
      </c>
      <c r="X9">
        <f t="shared" ca="1" si="6"/>
        <v>40.089420882156261</v>
      </c>
      <c r="Y9">
        <f t="shared" ca="1" si="7"/>
        <v>-278.60833333333329</v>
      </c>
      <c r="Z9">
        <f t="shared" ca="1" si="8"/>
        <v>65.890194326116031</v>
      </c>
      <c r="AA9" t="str">
        <f t="shared" ca="1" si="9"/>
        <v>NaN</v>
      </c>
      <c r="AB9" t="str">
        <f t="shared" ca="1" si="10"/>
        <v>NaN</v>
      </c>
      <c r="AE9" t="e">
        <f t="shared" ca="1" si="11"/>
        <v>#VALUE!</v>
      </c>
      <c r="AF9" t="e">
        <f t="shared" ca="1" si="12"/>
        <v>#VALUE!</v>
      </c>
      <c r="AG9" t="e">
        <f t="shared" ca="1" si="13"/>
        <v>#DIV/0!</v>
      </c>
      <c r="AH9" t="e">
        <f t="shared" ca="1" si="14"/>
        <v>#DIV/0!</v>
      </c>
    </row>
    <row r="10" spans="1:34" x14ac:dyDescent="0.2">
      <c r="A10">
        <v>1940</v>
      </c>
      <c r="B10">
        <v>9</v>
      </c>
      <c r="C10">
        <v>-24.24</v>
      </c>
      <c r="D10">
        <v>-24.89</v>
      </c>
      <c r="E10">
        <v>10.050000000000001</v>
      </c>
      <c r="F10">
        <v>-10.38</v>
      </c>
      <c r="G10">
        <v>-10.38</v>
      </c>
      <c r="H10">
        <v>9.08</v>
      </c>
      <c r="I10">
        <v>-34.630000000000003</v>
      </c>
      <c r="J10">
        <v>-35.270000000000003</v>
      </c>
      <c r="K10">
        <v>15.63</v>
      </c>
      <c r="L10" t="s">
        <v>0</v>
      </c>
      <c r="M10" t="s">
        <v>0</v>
      </c>
      <c r="N10" t="s">
        <v>0</v>
      </c>
      <c r="O10">
        <f t="shared" ca="1" si="1"/>
        <v>-22.307500000000001</v>
      </c>
      <c r="P10" cm="1">
        <f t="array" aca="1" ref="P10" ca="1">SQRT(AVERAGE(OFFSET($E$2,(ROW(A9)-1)*12,0,12,1)^2))</f>
        <v>8.028513768645686</v>
      </c>
      <c r="Q10">
        <f t="shared" ca="1" si="2"/>
        <v>-31.032499999999999</v>
      </c>
      <c r="R10" cm="1">
        <f t="array" aca="1" ref="R10" ca="1">SQRT(AVERAGE(OFFSET($K$2,(ROW(A9)-1)*12,0,12,1)^2))</f>
        <v>12.781465421982462</v>
      </c>
      <c r="S10" t="e">
        <f t="shared" ca="1" si="3"/>
        <v>#DIV/0!</v>
      </c>
      <c r="T10" t="e">
        <f t="shared" ca="1" si="4"/>
        <v>#DIV/0!</v>
      </c>
      <c r="V10">
        <f t="shared" si="15"/>
        <v>1948.5</v>
      </c>
      <c r="W10">
        <f t="shared" ca="1" si="5"/>
        <v>-223.07500000000002</v>
      </c>
      <c r="X10">
        <f t="shared" ca="1" si="6"/>
        <v>40.142568843228432</v>
      </c>
      <c r="Y10">
        <f t="shared" ca="1" si="7"/>
        <v>-310.32499999999999</v>
      </c>
      <c r="Z10">
        <f t="shared" ca="1" si="8"/>
        <v>63.907327109912309</v>
      </c>
      <c r="AA10" t="str">
        <f t="shared" ca="1" si="9"/>
        <v>NaN</v>
      </c>
      <c r="AB10" t="str">
        <f t="shared" ca="1" si="10"/>
        <v>NaN</v>
      </c>
      <c r="AE10" t="e">
        <f t="shared" ca="1" si="11"/>
        <v>#VALUE!</v>
      </c>
      <c r="AF10" t="e">
        <f t="shared" ca="1" si="12"/>
        <v>#VALUE!</v>
      </c>
      <c r="AG10" t="e">
        <f t="shared" ca="1" si="13"/>
        <v>#DIV/0!</v>
      </c>
      <c r="AH10" t="e">
        <f t="shared" ca="1" si="14"/>
        <v>#DIV/0!</v>
      </c>
    </row>
    <row r="11" spans="1:34" x14ac:dyDescent="0.2">
      <c r="A11">
        <v>1940</v>
      </c>
      <c r="B11">
        <v>10</v>
      </c>
      <c r="C11">
        <v>-24.03</v>
      </c>
      <c r="D11">
        <v>-25.08</v>
      </c>
      <c r="E11">
        <v>10.039999999999999</v>
      </c>
      <c r="F11">
        <v>-10.41</v>
      </c>
      <c r="G11">
        <v>-10.4</v>
      </c>
      <c r="H11">
        <v>9.08</v>
      </c>
      <c r="I11">
        <v>-34.450000000000003</v>
      </c>
      <c r="J11">
        <v>-35.49</v>
      </c>
      <c r="K11">
        <v>15.64</v>
      </c>
      <c r="L11" t="s">
        <v>0</v>
      </c>
      <c r="M11" t="s">
        <v>0</v>
      </c>
      <c r="N11" t="s">
        <v>0</v>
      </c>
      <c r="O11">
        <f t="shared" ca="1" si="1"/>
        <v>-22.184999999999999</v>
      </c>
      <c r="P11" cm="1">
        <f t="array" aca="1" ref="P11" ca="1">SQRT(AVERAGE(OFFSET($E$2,(ROW(A10)-1)*12,0,12,1)^2))</f>
        <v>7.7903760071856185</v>
      </c>
      <c r="Q11">
        <f t="shared" ca="1" si="2"/>
        <v>-30.981666666666666</v>
      </c>
      <c r="R11" cm="1">
        <f t="array" aca="1" ref="R11" ca="1">SQRT(AVERAGE(OFFSET($K$2,(ROW(A10)-1)*12,0,12,1)^2))</f>
        <v>12.021473841976837</v>
      </c>
      <c r="S11" t="e">
        <f t="shared" ca="1" si="3"/>
        <v>#DIV/0!</v>
      </c>
      <c r="T11" t="e">
        <f t="shared" ca="1" si="4"/>
        <v>#DIV/0!</v>
      </c>
      <c r="V11">
        <f t="shared" si="15"/>
        <v>1949.5</v>
      </c>
      <c r="W11">
        <f t="shared" ca="1" si="5"/>
        <v>-221.85</v>
      </c>
      <c r="X11">
        <f t="shared" ca="1" si="6"/>
        <v>38.951880035928092</v>
      </c>
      <c r="Y11">
        <f t="shared" ca="1" si="7"/>
        <v>-309.81666666666666</v>
      </c>
      <c r="Z11">
        <f t="shared" ca="1" si="8"/>
        <v>60.107369209884183</v>
      </c>
      <c r="AA11" t="str">
        <f t="shared" ca="1" si="9"/>
        <v>NaN</v>
      </c>
      <c r="AB11" t="str">
        <f t="shared" ca="1" si="10"/>
        <v>NaN</v>
      </c>
      <c r="AE11" t="e">
        <f t="shared" ca="1" si="11"/>
        <v>#VALUE!</v>
      </c>
      <c r="AF11" t="e">
        <f t="shared" ca="1" si="12"/>
        <v>#VALUE!</v>
      </c>
      <c r="AG11" t="e">
        <f t="shared" ca="1" si="13"/>
        <v>#DIV/0!</v>
      </c>
      <c r="AH11" t="e">
        <f t="shared" ca="1" si="14"/>
        <v>#DIV/0!</v>
      </c>
    </row>
    <row r="12" spans="1:34" x14ac:dyDescent="0.2">
      <c r="A12">
        <v>1940</v>
      </c>
      <c r="B12">
        <v>11</v>
      </c>
      <c r="C12">
        <v>-24.77</v>
      </c>
      <c r="D12">
        <v>-25.3</v>
      </c>
      <c r="E12">
        <v>10.11</v>
      </c>
      <c r="F12">
        <v>-10.42</v>
      </c>
      <c r="G12">
        <v>-10.43</v>
      </c>
      <c r="H12">
        <v>9.1199999999999992</v>
      </c>
      <c r="I12">
        <v>-35.19</v>
      </c>
      <c r="J12">
        <v>-35.729999999999997</v>
      </c>
      <c r="K12">
        <v>15.83</v>
      </c>
      <c r="L12" t="s">
        <v>0</v>
      </c>
      <c r="M12" t="s">
        <v>0</v>
      </c>
      <c r="N12" t="s">
        <v>0</v>
      </c>
      <c r="O12">
        <f t="shared" ca="1" si="1"/>
        <v>-22.274166666666662</v>
      </c>
      <c r="P12" cm="1">
        <f t="array" aca="1" ref="P12" ca="1">SQRT(AVERAGE(OFFSET($E$2,(ROW(A11)-1)*12,0,12,1)^2))</f>
        <v>6.8294179839866294</v>
      </c>
      <c r="Q12">
        <f t="shared" ca="1" si="2"/>
        <v>-31.485833333333328</v>
      </c>
      <c r="R12" cm="1">
        <f t="array" aca="1" ref="R12" ca="1">SQRT(AVERAGE(OFFSET($K$2,(ROW(A11)-1)*12,0,12,1)^2))</f>
        <v>11.004838329874122</v>
      </c>
      <c r="S12" t="e">
        <f t="shared" ca="1" si="3"/>
        <v>#DIV/0!</v>
      </c>
      <c r="T12" t="e">
        <f t="shared" ca="1" si="4"/>
        <v>#DIV/0!</v>
      </c>
      <c r="V12">
        <f t="shared" si="15"/>
        <v>1950.5</v>
      </c>
      <c r="W12">
        <f t="shared" ca="1" si="5"/>
        <v>-222.74166666666662</v>
      </c>
      <c r="X12">
        <f t="shared" ca="1" si="6"/>
        <v>34.147089919933144</v>
      </c>
      <c r="Y12">
        <f t="shared" ca="1" si="7"/>
        <v>-314.85833333333329</v>
      </c>
      <c r="Z12">
        <f t="shared" ca="1" si="8"/>
        <v>55.024191649370607</v>
      </c>
      <c r="AA12" t="str">
        <f t="shared" ca="1" si="9"/>
        <v>NaN</v>
      </c>
      <c r="AB12" t="str">
        <f t="shared" ca="1" si="10"/>
        <v>NaN</v>
      </c>
      <c r="AE12" t="e">
        <f t="shared" ca="1" si="11"/>
        <v>#VALUE!</v>
      </c>
      <c r="AF12" t="e">
        <f t="shared" ca="1" si="12"/>
        <v>#VALUE!</v>
      </c>
      <c r="AG12" t="e">
        <f t="shared" ca="1" si="13"/>
        <v>#DIV/0!</v>
      </c>
      <c r="AH12" t="e">
        <f t="shared" ca="1" si="14"/>
        <v>#DIV/0!</v>
      </c>
    </row>
    <row r="13" spans="1:34" x14ac:dyDescent="0.2">
      <c r="A13">
        <v>1940</v>
      </c>
      <c r="B13">
        <v>12</v>
      </c>
      <c r="C13">
        <v>-25.97</v>
      </c>
      <c r="D13">
        <v>-25.45</v>
      </c>
      <c r="E13">
        <v>10.09</v>
      </c>
      <c r="F13">
        <v>-10.64</v>
      </c>
      <c r="G13">
        <v>-10.45</v>
      </c>
      <c r="H13">
        <v>9.1</v>
      </c>
      <c r="I13">
        <v>-36.61</v>
      </c>
      <c r="J13">
        <v>-35.9</v>
      </c>
      <c r="K13">
        <v>15.78</v>
      </c>
      <c r="L13" t="s">
        <v>0</v>
      </c>
      <c r="M13" t="s">
        <v>0</v>
      </c>
      <c r="N13" t="s">
        <v>0</v>
      </c>
      <c r="O13">
        <f t="shared" ca="1" si="1"/>
        <v>-18.254166666666666</v>
      </c>
      <c r="P13" cm="1">
        <f t="array" aca="1" ref="P13" ca="1">SQRT(AVERAGE(OFFSET($E$2,(ROW(A12)-1)*12,0,12,1)^2))</f>
        <v>6.2256398600197445</v>
      </c>
      <c r="Q13">
        <f t="shared" ca="1" si="2"/>
        <v>-27.392500000000002</v>
      </c>
      <c r="R13" cm="1">
        <f t="array" aca="1" ref="R13" ca="1">SQRT(AVERAGE(OFFSET($K$2,(ROW(A12)-1)*12,0,12,1)^2))</f>
        <v>10.312049586123345</v>
      </c>
      <c r="S13" t="e">
        <f t="shared" ca="1" si="3"/>
        <v>#DIV/0!</v>
      </c>
      <c r="T13" t="e">
        <f t="shared" ca="1" si="4"/>
        <v>#DIV/0!</v>
      </c>
      <c r="V13">
        <f t="shared" si="15"/>
        <v>1951.5</v>
      </c>
      <c r="W13">
        <f t="shared" ca="1" si="5"/>
        <v>-182.54166666666666</v>
      </c>
      <c r="X13">
        <f t="shared" ca="1" si="6"/>
        <v>31.128199300098721</v>
      </c>
      <c r="Y13">
        <f t="shared" ca="1" si="7"/>
        <v>-273.92500000000001</v>
      </c>
      <c r="Z13">
        <f t="shared" ca="1" si="8"/>
        <v>51.560247930616725</v>
      </c>
      <c r="AA13" t="str">
        <f t="shared" ca="1" si="9"/>
        <v>NaN</v>
      </c>
      <c r="AB13" t="str">
        <f t="shared" ca="1" si="10"/>
        <v>NaN</v>
      </c>
      <c r="AE13" t="e">
        <f t="shared" ca="1" si="11"/>
        <v>#VALUE!</v>
      </c>
      <c r="AF13" t="e">
        <f t="shared" ca="1" si="12"/>
        <v>#VALUE!</v>
      </c>
      <c r="AG13" t="e">
        <f t="shared" ca="1" si="13"/>
        <v>#DIV/0!</v>
      </c>
      <c r="AH13" t="e">
        <f t="shared" ca="1" si="14"/>
        <v>#DIV/0!</v>
      </c>
    </row>
    <row r="14" spans="1:34" x14ac:dyDescent="0.2">
      <c r="A14">
        <v>1941</v>
      </c>
      <c r="B14">
        <v>1</v>
      </c>
      <c r="C14">
        <v>-25.89</v>
      </c>
      <c r="D14">
        <v>-25.51</v>
      </c>
      <c r="E14">
        <v>9.69</v>
      </c>
      <c r="F14">
        <v>-10.34</v>
      </c>
      <c r="G14">
        <v>-10.47</v>
      </c>
      <c r="H14">
        <v>8.9700000000000006</v>
      </c>
      <c r="I14">
        <v>-36.22</v>
      </c>
      <c r="J14">
        <v>-35.979999999999997</v>
      </c>
      <c r="K14">
        <v>15.18</v>
      </c>
      <c r="L14" t="s">
        <v>0</v>
      </c>
      <c r="M14" t="s">
        <v>0</v>
      </c>
      <c r="N14" t="s">
        <v>0</v>
      </c>
      <c r="O14">
        <f t="shared" ca="1" si="1"/>
        <v>-19.872500000000002</v>
      </c>
      <c r="P14" cm="1">
        <f t="array" aca="1" ref="P14" ca="1">SQRT(AVERAGE(OFFSET($E$2,(ROW(A13)-1)*12,0,12,1)^2))</f>
        <v>6.4007831552084316</v>
      </c>
      <c r="Q14">
        <f t="shared" ca="1" si="2"/>
        <v>-28.7775</v>
      </c>
      <c r="R14" cm="1">
        <f t="array" aca="1" ref="R14" ca="1">SQRT(AVERAGE(OFFSET($K$2,(ROW(A13)-1)*12,0,12,1)^2))</f>
        <v>10.487876731413911</v>
      </c>
      <c r="S14" t="e">
        <f t="shared" ca="1" si="3"/>
        <v>#DIV/0!</v>
      </c>
      <c r="T14" t="e">
        <f t="shared" ca="1" si="4"/>
        <v>#DIV/0!</v>
      </c>
      <c r="V14">
        <f t="shared" si="15"/>
        <v>1952.5</v>
      </c>
      <c r="W14">
        <f t="shared" ca="1" si="5"/>
        <v>-198.72500000000002</v>
      </c>
      <c r="X14">
        <f t="shared" ca="1" si="6"/>
        <v>32.003915776042156</v>
      </c>
      <c r="Y14">
        <f t="shared" ca="1" si="7"/>
        <v>-287.77499999999998</v>
      </c>
      <c r="Z14">
        <f t="shared" ca="1" si="8"/>
        <v>52.439383657069556</v>
      </c>
      <c r="AA14" t="str">
        <f t="shared" ca="1" si="9"/>
        <v>NaN</v>
      </c>
      <c r="AB14" t="str">
        <f t="shared" ca="1" si="10"/>
        <v>NaN</v>
      </c>
      <c r="AE14" t="e">
        <f t="shared" ca="1" si="11"/>
        <v>#VALUE!</v>
      </c>
      <c r="AF14" t="e">
        <f t="shared" ca="1" si="12"/>
        <v>#VALUE!</v>
      </c>
      <c r="AG14" t="e">
        <f t="shared" ca="1" si="13"/>
        <v>#DIV/0!</v>
      </c>
      <c r="AH14" t="e">
        <f t="shared" ca="1" si="14"/>
        <v>#DIV/0!</v>
      </c>
    </row>
    <row r="15" spans="1:34" x14ac:dyDescent="0.2">
      <c r="A15">
        <v>1941</v>
      </c>
      <c r="B15">
        <v>2</v>
      </c>
      <c r="C15">
        <v>-25.56</v>
      </c>
      <c r="D15">
        <v>-25.47</v>
      </c>
      <c r="E15">
        <v>9.75</v>
      </c>
      <c r="F15">
        <v>-10.42</v>
      </c>
      <c r="G15">
        <v>-10.49</v>
      </c>
      <c r="H15">
        <v>8.93</v>
      </c>
      <c r="I15">
        <v>-35.979999999999997</v>
      </c>
      <c r="J15">
        <v>-35.96</v>
      </c>
      <c r="K15">
        <v>15.14</v>
      </c>
      <c r="L15" t="s">
        <v>0</v>
      </c>
      <c r="M15" t="s">
        <v>0</v>
      </c>
      <c r="N15" t="s">
        <v>0</v>
      </c>
      <c r="O15">
        <f t="shared" ca="1" si="1"/>
        <v>-19.394166666666667</v>
      </c>
      <c r="P15" cm="1">
        <f t="array" aca="1" ref="P15" ca="1">SQRT(AVERAGE(OFFSET($E$2,(ROW(A14)-1)*12,0,12,1)^2))</f>
        <v>6.8163125417388741</v>
      </c>
      <c r="Q15">
        <f t="shared" ca="1" si="2"/>
        <v>-27.780833333333334</v>
      </c>
      <c r="R15" cm="1">
        <f t="array" aca="1" ref="R15" ca="1">SQRT(AVERAGE(OFFSET($K$2,(ROW(A14)-1)*12,0,12,1)^2))</f>
        <v>10.995606319495678</v>
      </c>
      <c r="S15" t="e">
        <f t="shared" ca="1" si="3"/>
        <v>#DIV/0!</v>
      </c>
      <c r="T15" t="e">
        <f t="shared" ca="1" si="4"/>
        <v>#DIV/0!</v>
      </c>
      <c r="V15">
        <f t="shared" si="15"/>
        <v>1953.5</v>
      </c>
      <c r="W15">
        <f t="shared" ca="1" si="5"/>
        <v>-193.94166666666666</v>
      </c>
      <c r="X15">
        <f t="shared" ca="1" si="6"/>
        <v>34.081562708694371</v>
      </c>
      <c r="Y15">
        <f t="shared" ca="1" si="7"/>
        <v>-277.80833333333334</v>
      </c>
      <c r="Z15">
        <f t="shared" ca="1" si="8"/>
        <v>54.978031597478392</v>
      </c>
      <c r="AA15" t="str">
        <f t="shared" ca="1" si="9"/>
        <v>NaN</v>
      </c>
      <c r="AB15" t="str">
        <f t="shared" ca="1" si="10"/>
        <v>NaN</v>
      </c>
      <c r="AE15" t="e">
        <f t="shared" ca="1" si="11"/>
        <v>#VALUE!</v>
      </c>
      <c r="AF15" t="e">
        <f t="shared" ca="1" si="12"/>
        <v>#VALUE!</v>
      </c>
      <c r="AG15" t="e">
        <f t="shared" ca="1" si="13"/>
        <v>#DIV/0!</v>
      </c>
      <c r="AH15" t="e">
        <f t="shared" ca="1" si="14"/>
        <v>#DIV/0!</v>
      </c>
    </row>
    <row r="16" spans="1:34" x14ac:dyDescent="0.2">
      <c r="A16">
        <v>1941</v>
      </c>
      <c r="B16">
        <v>3</v>
      </c>
      <c r="C16">
        <v>-25.76</v>
      </c>
      <c r="D16">
        <v>-25.42</v>
      </c>
      <c r="E16">
        <v>9.51</v>
      </c>
      <c r="F16">
        <v>-10.53</v>
      </c>
      <c r="G16">
        <v>-10.5</v>
      </c>
      <c r="H16">
        <v>8.86</v>
      </c>
      <c r="I16">
        <v>-36.29</v>
      </c>
      <c r="J16">
        <v>-35.92</v>
      </c>
      <c r="K16">
        <v>14.83</v>
      </c>
      <c r="L16" t="s">
        <v>0</v>
      </c>
      <c r="M16" t="s">
        <v>0</v>
      </c>
      <c r="N16" t="s">
        <v>0</v>
      </c>
      <c r="O16">
        <f t="shared" ca="1" si="1"/>
        <v>-17.940000000000001</v>
      </c>
      <c r="P16" cm="1">
        <f t="array" aca="1" ref="P16" ca="1">SQRT(AVERAGE(OFFSET($E$2,(ROW(A15)-1)*12,0,12,1)^2))</f>
        <v>6.6969234229856118</v>
      </c>
      <c r="Q16">
        <f t="shared" ca="1" si="2"/>
        <v>-26.361666666666668</v>
      </c>
      <c r="R16" cm="1">
        <f t="array" aca="1" ref="R16" ca="1">SQRT(AVERAGE(OFFSET($K$2,(ROW(A15)-1)*12,0,12,1)^2))</f>
        <v>10.817307120227905</v>
      </c>
      <c r="S16" t="e">
        <f t="shared" ca="1" si="3"/>
        <v>#DIV/0!</v>
      </c>
      <c r="T16" t="e">
        <f t="shared" ca="1" si="4"/>
        <v>#DIV/0!</v>
      </c>
      <c r="V16">
        <f t="shared" si="15"/>
        <v>1954.5</v>
      </c>
      <c r="W16">
        <f t="shared" ca="1" si="5"/>
        <v>-179.4</v>
      </c>
      <c r="X16">
        <f t="shared" ca="1" si="6"/>
        <v>33.484617114928056</v>
      </c>
      <c r="Y16">
        <f t="shared" ca="1" si="7"/>
        <v>-263.61666666666667</v>
      </c>
      <c r="Z16">
        <f t="shared" ca="1" si="8"/>
        <v>54.086535601139531</v>
      </c>
      <c r="AA16" t="str">
        <f t="shared" ca="1" si="9"/>
        <v>NaN</v>
      </c>
      <c r="AB16" t="str">
        <f t="shared" ca="1" si="10"/>
        <v>NaN</v>
      </c>
      <c r="AE16" t="e">
        <f t="shared" ca="1" si="11"/>
        <v>#VALUE!</v>
      </c>
      <c r="AF16" t="e">
        <f t="shared" ca="1" si="12"/>
        <v>#VALUE!</v>
      </c>
      <c r="AG16" t="e">
        <f t="shared" ca="1" si="13"/>
        <v>#DIV/0!</v>
      </c>
      <c r="AH16" t="e">
        <f t="shared" ca="1" si="14"/>
        <v>#DIV/0!</v>
      </c>
    </row>
    <row r="17" spans="1:34" x14ac:dyDescent="0.2">
      <c r="A17">
        <v>1941</v>
      </c>
      <c r="B17">
        <v>4</v>
      </c>
      <c r="C17">
        <v>-26.8</v>
      </c>
      <c r="D17">
        <v>-25.37</v>
      </c>
      <c r="E17">
        <v>9.43</v>
      </c>
      <c r="F17">
        <v>-10.6</v>
      </c>
      <c r="G17">
        <v>-10.51</v>
      </c>
      <c r="H17">
        <v>8.8000000000000007</v>
      </c>
      <c r="I17">
        <v>-37.4</v>
      </c>
      <c r="J17">
        <v>-35.880000000000003</v>
      </c>
      <c r="K17">
        <v>14.64</v>
      </c>
      <c r="L17" t="s">
        <v>0</v>
      </c>
      <c r="M17" t="s">
        <v>0</v>
      </c>
      <c r="N17" t="s">
        <v>0</v>
      </c>
      <c r="O17">
        <f t="shared" ca="1" si="1"/>
        <v>-20.306666666666668</v>
      </c>
      <c r="P17" cm="1">
        <f t="array" aca="1" ref="P17" ca="1">SQRT(AVERAGE(OFFSET($E$2,(ROW(A16)-1)*12,0,12,1)^2))</f>
        <v>5.9537530180550817</v>
      </c>
      <c r="Q17">
        <f t="shared" ca="1" si="2"/>
        <v>-29.654999999999998</v>
      </c>
      <c r="R17" cm="1">
        <f t="array" aca="1" ref="R17" ca="1">SQRT(AVERAGE(OFFSET($K$2,(ROW(A16)-1)*12,0,12,1)^2))</f>
        <v>9.6589375709753931</v>
      </c>
      <c r="S17" t="e">
        <f t="shared" ca="1" si="3"/>
        <v>#DIV/0!</v>
      </c>
      <c r="T17" t="e">
        <f t="shared" ca="1" si="4"/>
        <v>#DIV/0!</v>
      </c>
      <c r="V17">
        <f t="shared" si="15"/>
        <v>1955.5</v>
      </c>
      <c r="W17">
        <f t="shared" ca="1" si="5"/>
        <v>-203.06666666666669</v>
      </c>
      <c r="X17">
        <f t="shared" ca="1" si="6"/>
        <v>29.768765090275409</v>
      </c>
      <c r="Y17">
        <f t="shared" ca="1" si="7"/>
        <v>-296.54999999999995</v>
      </c>
      <c r="Z17">
        <f t="shared" ca="1" si="8"/>
        <v>48.294687854876969</v>
      </c>
      <c r="AA17" t="str">
        <f t="shared" ca="1" si="9"/>
        <v>NaN</v>
      </c>
      <c r="AB17" t="str">
        <f t="shared" ca="1" si="10"/>
        <v>NaN</v>
      </c>
      <c r="AE17" t="e">
        <f t="shared" ca="1" si="11"/>
        <v>#VALUE!</v>
      </c>
      <c r="AF17" t="e">
        <f t="shared" ca="1" si="12"/>
        <v>#VALUE!</v>
      </c>
      <c r="AG17" t="e">
        <f t="shared" ca="1" si="13"/>
        <v>#DIV/0!</v>
      </c>
      <c r="AH17" t="e">
        <f t="shared" ca="1" si="14"/>
        <v>#DIV/0!</v>
      </c>
    </row>
    <row r="18" spans="1:34" x14ac:dyDescent="0.2">
      <c r="A18">
        <v>1941</v>
      </c>
      <c r="B18">
        <v>5</v>
      </c>
      <c r="C18">
        <v>-26.34</v>
      </c>
      <c r="D18">
        <v>-25.28</v>
      </c>
      <c r="E18">
        <v>9.32</v>
      </c>
      <c r="F18">
        <v>-10.64</v>
      </c>
      <c r="G18">
        <v>-10.52</v>
      </c>
      <c r="H18">
        <v>8.7799999999999994</v>
      </c>
      <c r="I18">
        <v>-36.979999999999997</v>
      </c>
      <c r="J18">
        <v>-35.799999999999997</v>
      </c>
      <c r="K18">
        <v>14.47</v>
      </c>
      <c r="L18" t="s">
        <v>0</v>
      </c>
      <c r="M18" t="s">
        <v>0</v>
      </c>
      <c r="N18" t="s">
        <v>0</v>
      </c>
      <c r="O18">
        <f t="shared" ca="1" si="1"/>
        <v>-19.713333333333335</v>
      </c>
      <c r="P18" cm="1">
        <f t="array" aca="1" ref="P18" ca="1">SQRT(AVERAGE(OFFSET($E$2,(ROW(A17)-1)*12,0,12,1)^2))</f>
        <v>4.7450026343512182</v>
      </c>
      <c r="Q18">
        <f t="shared" ca="1" si="2"/>
        <v>-29.581666666666663</v>
      </c>
      <c r="R18" cm="1">
        <f t="array" aca="1" ref="R18" ca="1">SQRT(AVERAGE(OFFSET($K$2,(ROW(A17)-1)*12,0,12,1)^2))</f>
        <v>7.9482865029724072</v>
      </c>
      <c r="S18" t="e">
        <f t="shared" ca="1" si="3"/>
        <v>#DIV/0!</v>
      </c>
      <c r="T18" t="e">
        <f t="shared" ca="1" si="4"/>
        <v>#DIV/0!</v>
      </c>
      <c r="V18">
        <f t="shared" si="15"/>
        <v>1956.5</v>
      </c>
      <c r="W18">
        <f t="shared" ca="1" si="5"/>
        <v>-197.13333333333335</v>
      </c>
      <c r="X18">
        <f t="shared" ca="1" si="6"/>
        <v>23.725013171756089</v>
      </c>
      <c r="Y18">
        <f t="shared" ca="1" si="7"/>
        <v>-295.81666666666661</v>
      </c>
      <c r="Z18">
        <f t="shared" ca="1" si="8"/>
        <v>39.741432514862034</v>
      </c>
      <c r="AA18" t="str">
        <f t="shared" ca="1" si="9"/>
        <v>NaN</v>
      </c>
      <c r="AB18" t="str">
        <f t="shared" ca="1" si="10"/>
        <v>NaN</v>
      </c>
      <c r="AE18" t="e">
        <f t="shared" ca="1" si="11"/>
        <v>#VALUE!</v>
      </c>
      <c r="AF18" t="e">
        <f t="shared" ca="1" si="12"/>
        <v>#VALUE!</v>
      </c>
      <c r="AG18" t="e">
        <f t="shared" ca="1" si="13"/>
        <v>#DIV/0!</v>
      </c>
      <c r="AH18" t="e">
        <f t="shared" ca="1" si="14"/>
        <v>#DIV/0!</v>
      </c>
    </row>
    <row r="19" spans="1:34" x14ac:dyDescent="0.2">
      <c r="A19">
        <v>1941</v>
      </c>
      <c r="B19">
        <v>6</v>
      </c>
      <c r="C19">
        <v>-26.24</v>
      </c>
      <c r="D19">
        <v>-25.15</v>
      </c>
      <c r="E19">
        <v>9.19</v>
      </c>
      <c r="F19">
        <v>-10.58</v>
      </c>
      <c r="G19">
        <v>-10.52</v>
      </c>
      <c r="H19">
        <v>8.77</v>
      </c>
      <c r="I19">
        <v>-36.82</v>
      </c>
      <c r="J19">
        <v>-35.67</v>
      </c>
      <c r="K19">
        <v>14.26</v>
      </c>
      <c r="L19" t="s">
        <v>0</v>
      </c>
      <c r="M19" t="s">
        <v>0</v>
      </c>
      <c r="N19" t="s">
        <v>0</v>
      </c>
      <c r="O19">
        <f t="shared" ca="1" si="1"/>
        <v>-18.746666666666663</v>
      </c>
      <c r="P19" cm="1">
        <f t="array" aca="1" ref="P19" ca="1">SQRT(AVERAGE(OFFSET($E$2,(ROW(A18)-1)*12,0,12,1)^2))</f>
        <v>4.1246413985541421</v>
      </c>
      <c r="Q19">
        <f t="shared" ca="1" si="2"/>
        <v>-28.465000000000003</v>
      </c>
      <c r="R19" cm="1">
        <f t="array" aca="1" ref="R19" ca="1">SQRT(AVERAGE(OFFSET($K$2,(ROW(A18)-1)*12,0,12,1)^2))</f>
        <v>7.2022536982067864</v>
      </c>
      <c r="S19" t="e">
        <f t="shared" ca="1" si="3"/>
        <v>#DIV/0!</v>
      </c>
      <c r="T19" t="e">
        <f t="shared" ca="1" si="4"/>
        <v>#DIV/0!</v>
      </c>
      <c r="V19">
        <f t="shared" si="15"/>
        <v>1957.5</v>
      </c>
      <c r="W19">
        <f t="shared" ca="1" si="5"/>
        <v>-187.46666666666664</v>
      </c>
      <c r="X19">
        <f t="shared" ca="1" si="6"/>
        <v>20.623206992770712</v>
      </c>
      <c r="Y19">
        <f t="shared" ca="1" si="7"/>
        <v>-284.65000000000003</v>
      </c>
      <c r="Z19">
        <f t="shared" ca="1" si="8"/>
        <v>36.011268491033931</v>
      </c>
      <c r="AA19" t="str">
        <f t="shared" ca="1" si="9"/>
        <v>NaN</v>
      </c>
      <c r="AB19" t="str">
        <f t="shared" ca="1" si="10"/>
        <v>NaN</v>
      </c>
      <c r="AE19" t="e">
        <f t="shared" ca="1" si="11"/>
        <v>#VALUE!</v>
      </c>
      <c r="AF19" t="e">
        <f t="shared" ca="1" si="12"/>
        <v>#VALUE!</v>
      </c>
      <c r="AG19" t="e">
        <f t="shared" ca="1" si="13"/>
        <v>#DIV/0!</v>
      </c>
      <c r="AH19" t="e">
        <f t="shared" ca="1" si="14"/>
        <v>#DIV/0!</v>
      </c>
    </row>
    <row r="20" spans="1:34" x14ac:dyDescent="0.2">
      <c r="A20">
        <v>1941</v>
      </c>
      <c r="B20">
        <v>7</v>
      </c>
      <c r="C20">
        <v>-25.21</v>
      </c>
      <c r="D20">
        <v>-24.99</v>
      </c>
      <c r="E20">
        <v>9.07</v>
      </c>
      <c r="F20">
        <v>-10.5</v>
      </c>
      <c r="G20">
        <v>-10.51</v>
      </c>
      <c r="H20">
        <v>8.83</v>
      </c>
      <c r="I20">
        <v>-35.71</v>
      </c>
      <c r="J20">
        <v>-35.49</v>
      </c>
      <c r="K20">
        <v>14.22</v>
      </c>
      <c r="L20" t="s">
        <v>0</v>
      </c>
      <c r="M20" t="s">
        <v>0</v>
      </c>
      <c r="N20" t="s">
        <v>0</v>
      </c>
      <c r="O20">
        <f t="shared" ca="1" si="1"/>
        <v>-15.849166666666669</v>
      </c>
      <c r="P20" cm="1">
        <f t="array" aca="1" ref="P20" ca="1">SQRT(AVERAGE(OFFSET($E$2,(ROW(A19)-1)*12,0,12,1)^2))</f>
        <v>4.9157781683066215</v>
      </c>
      <c r="Q20">
        <f t="shared" ca="1" si="2"/>
        <v>-25.48</v>
      </c>
      <c r="R20" cm="1">
        <f t="array" aca="1" ref="R20" ca="1">SQRT(AVERAGE(OFFSET($K$2,(ROW(A19)-1)*12,0,12,1)^2))</f>
        <v>8.2178915584635615</v>
      </c>
      <c r="S20" t="e">
        <f t="shared" ca="1" si="3"/>
        <v>#DIV/0!</v>
      </c>
      <c r="T20" t="e">
        <f t="shared" ca="1" si="4"/>
        <v>#DIV/0!</v>
      </c>
      <c r="V20">
        <f t="shared" si="15"/>
        <v>1958.5</v>
      </c>
      <c r="W20">
        <f t="shared" ca="1" si="5"/>
        <v>-158.49166666666667</v>
      </c>
      <c r="X20">
        <f t="shared" ca="1" si="6"/>
        <v>24.578890841533109</v>
      </c>
      <c r="Y20">
        <f t="shared" ca="1" si="7"/>
        <v>-254.8</v>
      </c>
      <c r="Z20">
        <f t="shared" ca="1" si="8"/>
        <v>41.089457792317809</v>
      </c>
      <c r="AA20" t="str">
        <f t="shared" ca="1" si="9"/>
        <v>NaN</v>
      </c>
      <c r="AB20" t="str">
        <f t="shared" ca="1" si="10"/>
        <v>NaN</v>
      </c>
      <c r="AE20" t="e">
        <f t="shared" ca="1" si="11"/>
        <v>#VALUE!</v>
      </c>
      <c r="AF20" t="e">
        <f t="shared" ca="1" si="12"/>
        <v>#VALUE!</v>
      </c>
      <c r="AG20" t="e">
        <f t="shared" ca="1" si="13"/>
        <v>#DIV/0!</v>
      </c>
      <c r="AH20" t="e">
        <f t="shared" ca="1" si="14"/>
        <v>#DIV/0!</v>
      </c>
    </row>
    <row r="21" spans="1:34" x14ac:dyDescent="0.2">
      <c r="A21">
        <v>1941</v>
      </c>
      <c r="B21">
        <v>8</v>
      </c>
      <c r="C21">
        <v>-24.36</v>
      </c>
      <c r="D21">
        <v>-24.83</v>
      </c>
      <c r="E21">
        <v>8.98</v>
      </c>
      <c r="F21">
        <v>-10.54</v>
      </c>
      <c r="G21">
        <v>-10.48</v>
      </c>
      <c r="H21">
        <v>8.8800000000000008</v>
      </c>
      <c r="I21">
        <v>-34.9</v>
      </c>
      <c r="J21">
        <v>-35.31</v>
      </c>
      <c r="K21">
        <v>14.26</v>
      </c>
      <c r="L21" t="s">
        <v>0</v>
      </c>
      <c r="M21" t="s">
        <v>0</v>
      </c>
      <c r="N21" t="s">
        <v>0</v>
      </c>
      <c r="O21">
        <f t="shared" ca="1" si="1"/>
        <v>-17.204999999999998</v>
      </c>
      <c r="P21" cm="1">
        <f t="array" aca="1" ref="P21" ca="1">SQRT(AVERAGE(OFFSET($E$2,(ROW(A20)-1)*12,0,12,1)^2))</f>
        <v>5.0424068327205278</v>
      </c>
      <c r="Q21">
        <f t="shared" ca="1" si="2"/>
        <v>-26.914999999999996</v>
      </c>
      <c r="R21" cm="1">
        <f t="array" aca="1" ref="R21" ca="1">SQRT(AVERAGE(OFFSET($K$2,(ROW(A20)-1)*12,0,12,1)^2))</f>
        <v>8.021435345373046</v>
      </c>
      <c r="S21" t="e">
        <f t="shared" ca="1" si="3"/>
        <v>#DIV/0!</v>
      </c>
      <c r="T21" t="e">
        <f t="shared" ca="1" si="4"/>
        <v>#DIV/0!</v>
      </c>
      <c r="V21">
        <f t="shared" si="15"/>
        <v>1959.5</v>
      </c>
      <c r="W21">
        <f t="shared" ca="1" si="5"/>
        <v>-172.04999999999998</v>
      </c>
      <c r="X21">
        <f t="shared" ca="1" si="6"/>
        <v>25.212034163602638</v>
      </c>
      <c r="Y21">
        <f t="shared" ca="1" si="7"/>
        <v>-269.14999999999998</v>
      </c>
      <c r="Z21">
        <f t="shared" ca="1" si="8"/>
        <v>40.107176726865234</v>
      </c>
      <c r="AA21" t="str">
        <f t="shared" ca="1" si="9"/>
        <v>NaN</v>
      </c>
      <c r="AB21" t="str">
        <f t="shared" ca="1" si="10"/>
        <v>NaN</v>
      </c>
      <c r="AE21" t="e">
        <f t="shared" ca="1" si="11"/>
        <v>#VALUE!</v>
      </c>
      <c r="AF21" t="e">
        <f t="shared" ca="1" si="12"/>
        <v>#VALUE!</v>
      </c>
      <c r="AG21" t="e">
        <f t="shared" ca="1" si="13"/>
        <v>#DIV/0!</v>
      </c>
      <c r="AH21" t="e">
        <f t="shared" ca="1" si="14"/>
        <v>#DIV/0!</v>
      </c>
    </row>
    <row r="22" spans="1:34" x14ac:dyDescent="0.2">
      <c r="A22">
        <v>1941</v>
      </c>
      <c r="B22">
        <v>9</v>
      </c>
      <c r="C22">
        <v>-23.86</v>
      </c>
      <c r="D22">
        <v>-24.66</v>
      </c>
      <c r="E22">
        <v>8.93</v>
      </c>
      <c r="F22">
        <v>-10.49</v>
      </c>
      <c r="G22">
        <v>-10.45</v>
      </c>
      <c r="H22">
        <v>8.9499999999999993</v>
      </c>
      <c r="I22">
        <v>-34.35</v>
      </c>
      <c r="J22">
        <v>-35.11</v>
      </c>
      <c r="K22">
        <v>14.36</v>
      </c>
      <c r="L22" t="s">
        <v>0</v>
      </c>
      <c r="M22" t="s">
        <v>0</v>
      </c>
      <c r="N22" t="s">
        <v>0</v>
      </c>
      <c r="O22">
        <f t="shared" ca="1" si="1"/>
        <v>-16.101666666666667</v>
      </c>
      <c r="P22" cm="1">
        <f t="array" aca="1" ref="P22" ca="1">SQRT(AVERAGE(OFFSET($E$2,(ROW(A21)-1)*12,0,12,1)^2))</f>
        <v>4.6112154941331172</v>
      </c>
      <c r="Q22">
        <f t="shared" ca="1" si="2"/>
        <v>-25.085833333333337</v>
      </c>
      <c r="R22" cm="1">
        <f t="array" aca="1" ref="R22" ca="1">SQRT(AVERAGE(OFFSET($K$2,(ROW(A21)-1)*12,0,12,1)^2))</f>
        <v>7.7252729185878382</v>
      </c>
      <c r="S22" t="e">
        <f t="shared" ca="1" si="3"/>
        <v>#DIV/0!</v>
      </c>
      <c r="T22" t="e">
        <f t="shared" ca="1" si="4"/>
        <v>#DIV/0!</v>
      </c>
      <c r="V22">
        <f t="shared" si="15"/>
        <v>1960.5</v>
      </c>
      <c r="W22">
        <f t="shared" ca="1" si="5"/>
        <v>-161.01666666666665</v>
      </c>
      <c r="X22">
        <f t="shared" ca="1" si="6"/>
        <v>23.056077470665585</v>
      </c>
      <c r="Y22">
        <f t="shared" ca="1" si="7"/>
        <v>-250.85833333333338</v>
      </c>
      <c r="Z22">
        <f t="shared" ca="1" si="8"/>
        <v>38.62636459293919</v>
      </c>
      <c r="AA22" t="str">
        <f t="shared" ca="1" si="9"/>
        <v>NaN</v>
      </c>
      <c r="AB22" t="str">
        <f t="shared" ca="1" si="10"/>
        <v>NaN</v>
      </c>
      <c r="AE22" t="e">
        <f t="shared" ca="1" si="11"/>
        <v>#VALUE!</v>
      </c>
      <c r="AF22" t="e">
        <f t="shared" ca="1" si="12"/>
        <v>#VALUE!</v>
      </c>
      <c r="AG22" t="e">
        <f t="shared" ca="1" si="13"/>
        <v>#DIV/0!</v>
      </c>
      <c r="AH22" t="e">
        <f t="shared" ca="1" si="14"/>
        <v>#DIV/0!</v>
      </c>
    </row>
    <row r="23" spans="1:34" x14ac:dyDescent="0.2">
      <c r="A23">
        <v>1941</v>
      </c>
      <c r="B23">
        <v>10</v>
      </c>
      <c r="C23">
        <v>-23.4</v>
      </c>
      <c r="D23">
        <v>-24.37</v>
      </c>
      <c r="E23">
        <v>8.92</v>
      </c>
      <c r="F23">
        <v>-10.46</v>
      </c>
      <c r="G23">
        <v>-10.41</v>
      </c>
      <c r="H23">
        <v>9</v>
      </c>
      <c r="I23">
        <v>-33.86</v>
      </c>
      <c r="J23">
        <v>-34.78</v>
      </c>
      <c r="K23">
        <v>14.36</v>
      </c>
      <c r="L23" t="s">
        <v>0</v>
      </c>
      <c r="M23" t="s">
        <v>0</v>
      </c>
      <c r="N23" t="s">
        <v>0</v>
      </c>
      <c r="O23">
        <f t="shared" ca="1" si="1"/>
        <v>-18.106666666666666</v>
      </c>
      <c r="P23" cm="1">
        <f t="array" aca="1" ref="P23" ca="1">SQRT(AVERAGE(OFFSET($E$2,(ROW(A22)-1)*12,0,12,1)^2))</f>
        <v>4.6114693970577321</v>
      </c>
      <c r="Q23">
        <f t="shared" ca="1" si="2"/>
        <v>-26.294166666666669</v>
      </c>
      <c r="R23" cm="1">
        <f t="array" aca="1" ref="R23" ca="1">SQRT(AVERAGE(OFFSET($K$2,(ROW(A22)-1)*12,0,12,1)^2))</f>
        <v>7.6868079634310273</v>
      </c>
      <c r="S23" t="e">
        <f t="shared" ca="1" si="3"/>
        <v>#DIV/0!</v>
      </c>
      <c r="T23" t="e">
        <f t="shared" ca="1" si="4"/>
        <v>#DIV/0!</v>
      </c>
      <c r="V23">
        <f t="shared" si="15"/>
        <v>1961.5</v>
      </c>
      <c r="W23">
        <f t="shared" ca="1" si="5"/>
        <v>-181.06666666666666</v>
      </c>
      <c r="X23">
        <f t="shared" ca="1" si="6"/>
        <v>23.05734698528866</v>
      </c>
      <c r="Y23">
        <f t="shared" ca="1" si="7"/>
        <v>-262.94166666666672</v>
      </c>
      <c r="Z23">
        <f t="shared" ca="1" si="8"/>
        <v>38.434039817155139</v>
      </c>
      <c r="AA23" t="str">
        <f t="shared" ca="1" si="9"/>
        <v>NaN</v>
      </c>
      <c r="AB23" t="str">
        <f t="shared" ca="1" si="10"/>
        <v>NaN</v>
      </c>
      <c r="AE23" t="e">
        <f t="shared" ca="1" si="11"/>
        <v>#VALUE!</v>
      </c>
      <c r="AF23" t="e">
        <f t="shared" ca="1" si="12"/>
        <v>#VALUE!</v>
      </c>
      <c r="AG23" t="e">
        <f t="shared" ca="1" si="13"/>
        <v>#DIV/0!</v>
      </c>
      <c r="AH23" t="e">
        <f t="shared" ca="1" si="14"/>
        <v>#DIV/0!</v>
      </c>
    </row>
    <row r="24" spans="1:34" x14ac:dyDescent="0.2">
      <c r="A24">
        <v>1941</v>
      </c>
      <c r="B24">
        <v>11</v>
      </c>
      <c r="C24">
        <v>-23.27</v>
      </c>
      <c r="D24">
        <v>-23.98</v>
      </c>
      <c r="E24">
        <v>9.01</v>
      </c>
      <c r="F24">
        <v>-10.52</v>
      </c>
      <c r="G24">
        <v>-10.37</v>
      </c>
      <c r="H24">
        <v>9.0299999999999994</v>
      </c>
      <c r="I24">
        <v>-33.79</v>
      </c>
      <c r="J24">
        <v>-34.36</v>
      </c>
      <c r="K24">
        <v>14.43</v>
      </c>
      <c r="L24" t="s">
        <v>0</v>
      </c>
      <c r="M24" t="s">
        <v>0</v>
      </c>
      <c r="N24" t="s">
        <v>0</v>
      </c>
      <c r="O24">
        <f t="shared" ca="1" si="1"/>
        <v>-14.453333333333331</v>
      </c>
      <c r="P24" cm="1">
        <f t="array" aca="1" ref="P24" ca="1">SQRT(AVERAGE(OFFSET($E$2,(ROW(A23)-1)*12,0,12,1)^2))</f>
        <v>4.1556848613275124</v>
      </c>
      <c r="Q24">
        <f t="shared" ca="1" si="2"/>
        <v>-21.858333333333334</v>
      </c>
      <c r="R24" cm="1">
        <f t="array" aca="1" ref="R24" ca="1">SQRT(AVERAGE(OFFSET($K$2,(ROW(A23)-1)*12,0,12,1)^2))</f>
        <v>7.0036252517297548</v>
      </c>
      <c r="S24" t="e">
        <f t="shared" ca="1" si="3"/>
        <v>#DIV/0!</v>
      </c>
      <c r="T24" t="e">
        <f t="shared" ca="1" si="4"/>
        <v>#DIV/0!</v>
      </c>
      <c r="V24">
        <f t="shared" si="15"/>
        <v>1962.5</v>
      </c>
      <c r="W24">
        <f t="shared" ca="1" si="5"/>
        <v>-144.5333333333333</v>
      </c>
      <c r="X24">
        <f t="shared" ca="1" si="6"/>
        <v>20.778424306637561</v>
      </c>
      <c r="Y24">
        <f t="shared" ca="1" si="7"/>
        <v>-218.58333333333334</v>
      </c>
      <c r="Z24">
        <f t="shared" ca="1" si="8"/>
        <v>35.018126258648778</v>
      </c>
      <c r="AA24" t="str">
        <f t="shared" ca="1" si="9"/>
        <v>NaN</v>
      </c>
      <c r="AB24" t="str">
        <f t="shared" ca="1" si="10"/>
        <v>NaN</v>
      </c>
      <c r="AE24" t="e">
        <f t="shared" ca="1" si="11"/>
        <v>#VALUE!</v>
      </c>
      <c r="AF24" t="e">
        <f t="shared" ca="1" si="12"/>
        <v>#VALUE!</v>
      </c>
      <c r="AG24" t="e">
        <f t="shared" ca="1" si="13"/>
        <v>#DIV/0!</v>
      </c>
      <c r="AH24" t="e">
        <f t="shared" ca="1" si="14"/>
        <v>#DIV/0!</v>
      </c>
    </row>
    <row r="25" spans="1:34" x14ac:dyDescent="0.2">
      <c r="A25">
        <v>1941</v>
      </c>
      <c r="B25">
        <v>12</v>
      </c>
      <c r="C25">
        <v>-24.22</v>
      </c>
      <c r="D25">
        <v>-23.62</v>
      </c>
      <c r="E25">
        <v>9.07</v>
      </c>
      <c r="F25">
        <v>-10.55</v>
      </c>
      <c r="G25">
        <v>-10.34</v>
      </c>
      <c r="H25">
        <v>9.07</v>
      </c>
      <c r="I25">
        <v>-34.770000000000003</v>
      </c>
      <c r="J25">
        <v>-33.96</v>
      </c>
      <c r="K25">
        <v>14.48</v>
      </c>
      <c r="L25" t="s">
        <v>0</v>
      </c>
      <c r="M25" t="s">
        <v>0</v>
      </c>
      <c r="N25" t="s">
        <v>0</v>
      </c>
      <c r="O25">
        <f t="shared" ca="1" si="1"/>
        <v>-15.992499999999998</v>
      </c>
      <c r="P25" cm="1">
        <f t="array" aca="1" ref="P25" ca="1">SQRT(AVERAGE(OFFSET($E$2,(ROW(A24)-1)*12,0,12,1)^2))</f>
        <v>3.7708255064375495</v>
      </c>
      <c r="Q25">
        <f t="shared" ca="1" si="2"/>
        <v>-23.379166666666666</v>
      </c>
      <c r="R25" cm="1">
        <f t="array" aca="1" ref="R25" ca="1">SQRT(AVERAGE(OFFSET($K$2,(ROW(A24)-1)*12,0,12,1)^2))</f>
        <v>6.4497493491349474</v>
      </c>
      <c r="S25" t="e">
        <f t="shared" ca="1" si="3"/>
        <v>#DIV/0!</v>
      </c>
      <c r="T25" t="e">
        <f t="shared" ca="1" si="4"/>
        <v>#DIV/0!</v>
      </c>
      <c r="V25">
        <f t="shared" si="15"/>
        <v>1963.5</v>
      </c>
      <c r="W25">
        <f t="shared" ca="1" si="5"/>
        <v>-159.92499999999998</v>
      </c>
      <c r="X25">
        <f t="shared" ca="1" si="6"/>
        <v>18.854127532187746</v>
      </c>
      <c r="Y25">
        <f t="shared" ca="1" si="7"/>
        <v>-233.79166666666666</v>
      </c>
      <c r="Z25">
        <f t="shared" ca="1" si="8"/>
        <v>32.248746745674737</v>
      </c>
      <c r="AA25" t="str">
        <f t="shared" ca="1" si="9"/>
        <v>NaN</v>
      </c>
      <c r="AB25" t="str">
        <f t="shared" ca="1" si="10"/>
        <v>NaN</v>
      </c>
      <c r="AE25" t="e">
        <f t="shared" ca="1" si="11"/>
        <v>#VALUE!</v>
      </c>
      <c r="AF25" t="e">
        <f t="shared" ca="1" si="12"/>
        <v>#VALUE!</v>
      </c>
      <c r="AG25" t="e">
        <f t="shared" ca="1" si="13"/>
        <v>#DIV/0!</v>
      </c>
      <c r="AH25" t="e">
        <f t="shared" ca="1" si="14"/>
        <v>#DIV/0!</v>
      </c>
    </row>
    <row r="26" spans="1:34" x14ac:dyDescent="0.2">
      <c r="A26">
        <v>1942</v>
      </c>
      <c r="B26">
        <v>1</v>
      </c>
      <c r="C26">
        <v>-23.74</v>
      </c>
      <c r="D26">
        <v>-23.29</v>
      </c>
      <c r="E26">
        <v>8.82</v>
      </c>
      <c r="F26">
        <v>-10.119999999999999</v>
      </c>
      <c r="G26">
        <v>-10.3</v>
      </c>
      <c r="H26">
        <v>8.94</v>
      </c>
      <c r="I26">
        <v>-33.869999999999997</v>
      </c>
      <c r="J26">
        <v>-33.590000000000003</v>
      </c>
      <c r="K26">
        <v>14.19</v>
      </c>
      <c r="L26" t="s">
        <v>0</v>
      </c>
      <c r="M26" t="s">
        <v>0</v>
      </c>
      <c r="N26" t="s">
        <v>0</v>
      </c>
      <c r="O26">
        <f t="shared" ca="1" si="1"/>
        <v>-17.896666666666661</v>
      </c>
      <c r="P26" cm="1">
        <f t="array" aca="1" ref="P26" ca="1">SQRT(AVERAGE(OFFSET($E$2,(ROW(A25)-1)*12,0,12,1)^2))</f>
        <v>3.8213239416027878</v>
      </c>
      <c r="Q26">
        <f t="shared" ca="1" si="2"/>
        <v>-24.938333333333336</v>
      </c>
      <c r="R26" cm="1">
        <f t="array" aca="1" ref="R26" ca="1">SQRT(AVERAGE(OFFSET($K$2,(ROW(A25)-1)*12,0,12,1)^2))</f>
        <v>6.4855024220692936</v>
      </c>
      <c r="S26" t="e">
        <f t="shared" ca="1" si="3"/>
        <v>#DIV/0!</v>
      </c>
      <c r="T26" t="e">
        <f t="shared" ca="1" si="4"/>
        <v>#DIV/0!</v>
      </c>
      <c r="V26">
        <f t="shared" si="15"/>
        <v>1964.5</v>
      </c>
      <c r="W26">
        <f t="shared" ca="1" si="5"/>
        <v>-178.96666666666661</v>
      </c>
      <c r="X26">
        <f t="shared" ca="1" si="6"/>
        <v>19.106619708013937</v>
      </c>
      <c r="Y26">
        <f t="shared" ca="1" si="7"/>
        <v>-249.38333333333335</v>
      </c>
      <c r="Z26">
        <f t="shared" ca="1" si="8"/>
        <v>32.42751211034647</v>
      </c>
      <c r="AA26" t="str">
        <f t="shared" ca="1" si="9"/>
        <v>NaN</v>
      </c>
      <c r="AB26" t="str">
        <f t="shared" ca="1" si="10"/>
        <v>NaN</v>
      </c>
      <c r="AE26" t="e">
        <f t="shared" ca="1" si="11"/>
        <v>#VALUE!</v>
      </c>
      <c r="AF26" t="e">
        <f t="shared" ca="1" si="12"/>
        <v>#VALUE!</v>
      </c>
      <c r="AG26" t="e">
        <f t="shared" ca="1" si="13"/>
        <v>#DIV/0!</v>
      </c>
      <c r="AH26" t="e">
        <f t="shared" ca="1" si="14"/>
        <v>#DIV/0!</v>
      </c>
    </row>
    <row r="27" spans="1:34" x14ac:dyDescent="0.2">
      <c r="A27">
        <v>1942</v>
      </c>
      <c r="B27">
        <v>2</v>
      </c>
      <c r="C27">
        <v>-23.89</v>
      </c>
      <c r="D27">
        <v>-23.04</v>
      </c>
      <c r="E27">
        <v>8.9499999999999993</v>
      </c>
      <c r="F27">
        <v>-10.06</v>
      </c>
      <c r="G27">
        <v>-10.26</v>
      </c>
      <c r="H27">
        <v>8.9499999999999993</v>
      </c>
      <c r="I27">
        <v>-33.950000000000003</v>
      </c>
      <c r="J27">
        <v>-33.29</v>
      </c>
      <c r="K27">
        <v>14.28</v>
      </c>
      <c r="L27" t="s">
        <v>0</v>
      </c>
      <c r="M27" t="s">
        <v>0</v>
      </c>
      <c r="N27" t="s">
        <v>0</v>
      </c>
      <c r="O27">
        <f t="shared" ca="1" si="1"/>
        <v>-19.353333333333335</v>
      </c>
      <c r="P27" cm="1">
        <f t="array" aca="1" ref="P27" ca="1">SQRT(AVERAGE(OFFSET($E$2,(ROW(A26)-1)*12,0,12,1)^2))</f>
        <v>3.5066508237918415</v>
      </c>
      <c r="Q27">
        <f t="shared" ca="1" si="2"/>
        <v>-26.049166666666668</v>
      </c>
      <c r="R27" cm="1">
        <f t="array" aca="1" ref="R27" ca="1">SQRT(AVERAGE(OFFSET($K$2,(ROW(A26)-1)*12,0,12,1)^2))</f>
        <v>6.119771918407853</v>
      </c>
      <c r="S27" t="e">
        <f t="shared" ca="1" si="3"/>
        <v>#DIV/0!</v>
      </c>
      <c r="T27" t="e">
        <f t="shared" ca="1" si="4"/>
        <v>#DIV/0!</v>
      </c>
      <c r="V27">
        <f t="shared" si="15"/>
        <v>1965.5</v>
      </c>
      <c r="W27">
        <f t="shared" ca="1" si="5"/>
        <v>-193.53333333333336</v>
      </c>
      <c r="X27">
        <f t="shared" ca="1" si="6"/>
        <v>17.533254118959206</v>
      </c>
      <c r="Y27">
        <f t="shared" ca="1" si="7"/>
        <v>-260.49166666666667</v>
      </c>
      <c r="Z27">
        <f t="shared" ca="1" si="8"/>
        <v>30.598859592039265</v>
      </c>
      <c r="AA27" t="str">
        <f t="shared" ca="1" si="9"/>
        <v>NaN</v>
      </c>
      <c r="AB27" t="str">
        <f t="shared" ca="1" si="10"/>
        <v>NaN</v>
      </c>
      <c r="AE27" t="e">
        <f t="shared" ca="1" si="11"/>
        <v>#VALUE!</v>
      </c>
      <c r="AF27" t="e">
        <f t="shared" ca="1" si="12"/>
        <v>#VALUE!</v>
      </c>
      <c r="AG27" t="e">
        <f t="shared" ca="1" si="13"/>
        <v>#DIV/0!</v>
      </c>
      <c r="AH27" t="e">
        <f t="shared" ca="1" si="14"/>
        <v>#DIV/0!</v>
      </c>
    </row>
    <row r="28" spans="1:34" x14ac:dyDescent="0.2">
      <c r="A28">
        <v>1942</v>
      </c>
      <c r="B28">
        <v>3</v>
      </c>
      <c r="C28">
        <v>-23.46</v>
      </c>
      <c r="D28">
        <v>-22.85</v>
      </c>
      <c r="E28">
        <v>9.1</v>
      </c>
      <c r="F28">
        <v>-10.07</v>
      </c>
      <c r="G28">
        <v>-10.210000000000001</v>
      </c>
      <c r="H28">
        <v>8.98</v>
      </c>
      <c r="I28">
        <v>-33.53</v>
      </c>
      <c r="J28">
        <v>-33.049999999999997</v>
      </c>
      <c r="K28">
        <v>14.39</v>
      </c>
      <c r="L28" t="s">
        <v>0</v>
      </c>
      <c r="M28" t="s">
        <v>0</v>
      </c>
      <c r="N28" t="s">
        <v>0</v>
      </c>
      <c r="O28">
        <f t="shared" ca="1" si="1"/>
        <v>-17.247499999999999</v>
      </c>
      <c r="P28" cm="1">
        <f t="array" aca="1" ref="P28" ca="1">SQRT(AVERAGE(OFFSET($E$2,(ROW(A27)-1)*12,0,12,1)^2))</f>
        <v>3.3941788403088013</v>
      </c>
      <c r="Q28">
        <f t="shared" ca="1" si="2"/>
        <v>-23.854166666666668</v>
      </c>
      <c r="R28" cm="1">
        <f t="array" aca="1" ref="R28" ca="1">SQRT(AVERAGE(OFFSET($K$2,(ROW(A27)-1)*12,0,12,1)^2))</f>
        <v>5.8163283091654998</v>
      </c>
      <c r="S28" t="e">
        <f t="shared" ca="1" si="3"/>
        <v>#DIV/0!</v>
      </c>
      <c r="T28" t="e">
        <f t="shared" ca="1" si="4"/>
        <v>#DIV/0!</v>
      </c>
      <c r="V28">
        <f t="shared" si="15"/>
        <v>1966.5</v>
      </c>
      <c r="W28">
        <f t="shared" ca="1" si="5"/>
        <v>-172.47499999999999</v>
      </c>
      <c r="X28">
        <f t="shared" ca="1" si="6"/>
        <v>16.970894201544006</v>
      </c>
      <c r="Y28">
        <f t="shared" ca="1" si="7"/>
        <v>-238.54166666666669</v>
      </c>
      <c r="Z28">
        <f t="shared" ca="1" si="8"/>
        <v>29.081641545827498</v>
      </c>
      <c r="AA28" t="str">
        <f t="shared" ca="1" si="9"/>
        <v>NaN</v>
      </c>
      <c r="AB28" t="str">
        <f t="shared" ca="1" si="10"/>
        <v>NaN</v>
      </c>
      <c r="AE28" t="e">
        <f t="shared" ca="1" si="11"/>
        <v>#VALUE!</v>
      </c>
      <c r="AF28" t="e">
        <f t="shared" ca="1" si="12"/>
        <v>#VALUE!</v>
      </c>
      <c r="AG28" t="e">
        <f t="shared" ca="1" si="13"/>
        <v>#DIV/0!</v>
      </c>
      <c r="AH28" t="e">
        <f t="shared" ca="1" si="14"/>
        <v>#DIV/0!</v>
      </c>
    </row>
    <row r="29" spans="1:34" x14ac:dyDescent="0.2">
      <c r="A29">
        <v>1942</v>
      </c>
      <c r="B29">
        <v>4</v>
      </c>
      <c r="C29">
        <v>-22</v>
      </c>
      <c r="D29">
        <v>-22.71</v>
      </c>
      <c r="E29">
        <v>9.15</v>
      </c>
      <c r="F29">
        <v>-10.16</v>
      </c>
      <c r="G29">
        <v>-10.15</v>
      </c>
      <c r="H29">
        <v>9.02</v>
      </c>
      <c r="I29">
        <v>-32.15</v>
      </c>
      <c r="J29">
        <v>-32.86</v>
      </c>
      <c r="K29">
        <v>14.46</v>
      </c>
      <c r="L29" t="s">
        <v>0</v>
      </c>
      <c r="M29" t="s">
        <v>0</v>
      </c>
      <c r="N29" t="s">
        <v>0</v>
      </c>
      <c r="O29">
        <f t="shared" ca="1" si="1"/>
        <v>-17.54</v>
      </c>
      <c r="P29" cm="1">
        <f t="array" aca="1" ref="P29" ca="1">SQRT(AVERAGE(OFFSET($E$2,(ROW(A28)-1)*12,0,12,1)^2))</f>
        <v>2.9670074710612599</v>
      </c>
      <c r="Q29">
        <f t="shared" ca="1" si="2"/>
        <v>-24.575000000000003</v>
      </c>
      <c r="R29" cm="1">
        <f t="array" aca="1" ref="R29" ca="1">SQRT(AVERAGE(OFFSET($K$2,(ROW(A28)-1)*12,0,12,1)^2))</f>
        <v>5.2344468029901057</v>
      </c>
      <c r="S29" t="e">
        <f t="shared" ca="1" si="3"/>
        <v>#DIV/0!</v>
      </c>
      <c r="T29" t="e">
        <f t="shared" ca="1" si="4"/>
        <v>#DIV/0!</v>
      </c>
      <c r="V29">
        <f t="shared" si="15"/>
        <v>1967.5</v>
      </c>
      <c r="W29">
        <f t="shared" ca="1" si="5"/>
        <v>-175.39999999999998</v>
      </c>
      <c r="X29">
        <f t="shared" ca="1" si="6"/>
        <v>14.8350373553063</v>
      </c>
      <c r="Y29">
        <f t="shared" ca="1" si="7"/>
        <v>-245.75000000000003</v>
      </c>
      <c r="Z29">
        <f t="shared" ca="1" si="8"/>
        <v>26.172234014950529</v>
      </c>
      <c r="AA29" t="str">
        <f t="shared" ca="1" si="9"/>
        <v>NaN</v>
      </c>
      <c r="AB29" t="str">
        <f t="shared" ca="1" si="10"/>
        <v>NaN</v>
      </c>
      <c r="AE29" t="e">
        <f t="shared" ca="1" si="11"/>
        <v>#VALUE!</v>
      </c>
      <c r="AF29" t="e">
        <f t="shared" ca="1" si="12"/>
        <v>#VALUE!</v>
      </c>
      <c r="AG29" t="e">
        <f t="shared" ca="1" si="13"/>
        <v>#DIV/0!</v>
      </c>
      <c r="AH29" t="e">
        <f t="shared" ca="1" si="14"/>
        <v>#DIV/0!</v>
      </c>
    </row>
    <row r="30" spans="1:34" x14ac:dyDescent="0.2">
      <c r="A30">
        <v>1942</v>
      </c>
      <c r="B30">
        <v>5</v>
      </c>
      <c r="C30">
        <v>-21.93</v>
      </c>
      <c r="D30">
        <v>-22.62</v>
      </c>
      <c r="E30">
        <v>9.2100000000000009</v>
      </c>
      <c r="F30">
        <v>-10.210000000000001</v>
      </c>
      <c r="G30">
        <v>-10.09</v>
      </c>
      <c r="H30">
        <v>9.07</v>
      </c>
      <c r="I30">
        <v>-32.14</v>
      </c>
      <c r="J30">
        <v>-32.71</v>
      </c>
      <c r="K30">
        <v>14.61</v>
      </c>
      <c r="L30" t="s">
        <v>0</v>
      </c>
      <c r="M30" t="s">
        <v>0</v>
      </c>
      <c r="N30" t="s">
        <v>0</v>
      </c>
      <c r="O30">
        <f t="shared" ca="1" si="1"/>
        <v>-18.694166666666664</v>
      </c>
      <c r="P30" cm="1">
        <f t="array" aca="1" ref="P30" ca="1">SQRT(AVERAGE(OFFSET($E$2,(ROW(A29)-1)*12,0,12,1)^2))</f>
        <v>2.6511711248679015</v>
      </c>
      <c r="Q30">
        <f t="shared" ca="1" si="2"/>
        <v>-25.916666666666671</v>
      </c>
      <c r="R30" cm="1">
        <f t="array" aca="1" ref="R30" ca="1">SQRT(AVERAGE(OFFSET($K$2,(ROW(A29)-1)*12,0,12,1)^2))</f>
        <v>4.8824686378921065</v>
      </c>
      <c r="S30" t="e">
        <f t="shared" ca="1" si="3"/>
        <v>#DIV/0!</v>
      </c>
      <c r="T30" t="e">
        <f t="shared" ca="1" si="4"/>
        <v>#DIV/0!</v>
      </c>
      <c r="V30">
        <f t="shared" si="15"/>
        <v>1968.5</v>
      </c>
      <c r="W30">
        <f t="shared" ca="1" si="5"/>
        <v>-186.94166666666663</v>
      </c>
      <c r="X30">
        <f t="shared" ca="1" si="6"/>
        <v>13.255855624339507</v>
      </c>
      <c r="Y30">
        <f t="shared" ca="1" si="7"/>
        <v>-259.16666666666674</v>
      </c>
      <c r="Z30">
        <f t="shared" ca="1" si="8"/>
        <v>24.412343189460532</v>
      </c>
      <c r="AA30" t="str">
        <f t="shared" ca="1" si="9"/>
        <v>NaN</v>
      </c>
      <c r="AB30" t="str">
        <f t="shared" ca="1" si="10"/>
        <v>NaN</v>
      </c>
      <c r="AE30" t="e">
        <f t="shared" ca="1" si="11"/>
        <v>#VALUE!</v>
      </c>
      <c r="AF30" t="e">
        <f t="shared" ca="1" si="12"/>
        <v>#VALUE!</v>
      </c>
      <c r="AG30" t="e">
        <f t="shared" ca="1" si="13"/>
        <v>#DIV/0!</v>
      </c>
      <c r="AH30" t="e">
        <f t="shared" ca="1" si="14"/>
        <v>#DIV/0!</v>
      </c>
    </row>
    <row r="31" spans="1:34" x14ac:dyDescent="0.2">
      <c r="A31">
        <v>1942</v>
      </c>
      <c r="B31">
        <v>6</v>
      </c>
      <c r="C31">
        <v>-21.91</v>
      </c>
      <c r="D31">
        <v>-22.55</v>
      </c>
      <c r="E31">
        <v>9.2799999999999994</v>
      </c>
      <c r="F31">
        <v>-10.14</v>
      </c>
      <c r="G31">
        <v>-10.029999999999999</v>
      </c>
      <c r="H31">
        <v>9.08</v>
      </c>
      <c r="I31">
        <v>-32.049999999999997</v>
      </c>
      <c r="J31">
        <v>-32.57</v>
      </c>
      <c r="K31">
        <v>14.69</v>
      </c>
      <c r="L31" t="s">
        <v>0</v>
      </c>
      <c r="M31" t="s">
        <v>0</v>
      </c>
      <c r="N31" t="s">
        <v>0</v>
      </c>
      <c r="O31">
        <f t="shared" ca="1" si="1"/>
        <v>-19.153333333333332</v>
      </c>
      <c r="P31" cm="1">
        <f t="array" aca="1" ref="P31" ca="1">SQRT(AVERAGE(OFFSET($E$2,(ROW(A30)-1)*12,0,12,1)^2))</f>
        <v>2.5642250291267339</v>
      </c>
      <c r="Q31">
        <f t="shared" ca="1" si="2"/>
        <v>-26.472500000000007</v>
      </c>
      <c r="R31" cm="1">
        <f t="array" aca="1" ref="R31" ca="1">SQRT(AVERAGE(OFFSET($K$2,(ROW(A30)-1)*12,0,12,1)^2))</f>
        <v>4.7942187406639398</v>
      </c>
      <c r="S31" t="e">
        <f t="shared" ca="1" si="3"/>
        <v>#DIV/0!</v>
      </c>
      <c r="T31" t="e">
        <f t="shared" ca="1" si="4"/>
        <v>#DIV/0!</v>
      </c>
      <c r="V31">
        <f t="shared" si="15"/>
        <v>1969.5</v>
      </c>
      <c r="W31">
        <f t="shared" ca="1" si="5"/>
        <v>-191.53333333333333</v>
      </c>
      <c r="X31">
        <f t="shared" ca="1" si="6"/>
        <v>12.821125145633669</v>
      </c>
      <c r="Y31">
        <f t="shared" ca="1" si="7"/>
        <v>-264.72500000000008</v>
      </c>
      <c r="Z31">
        <f t="shared" ca="1" si="8"/>
        <v>23.971093703319699</v>
      </c>
      <c r="AA31" t="str">
        <f t="shared" ca="1" si="9"/>
        <v>NaN</v>
      </c>
      <c r="AB31" t="str">
        <f t="shared" ca="1" si="10"/>
        <v>NaN</v>
      </c>
      <c r="AE31" t="e">
        <f t="shared" ca="1" si="11"/>
        <v>#VALUE!</v>
      </c>
      <c r="AF31" t="e">
        <f t="shared" ca="1" si="12"/>
        <v>#VALUE!</v>
      </c>
      <c r="AG31" t="e">
        <f t="shared" ca="1" si="13"/>
        <v>#DIV/0!</v>
      </c>
      <c r="AH31" t="e">
        <f t="shared" ca="1" si="14"/>
        <v>#DIV/0!</v>
      </c>
    </row>
    <row r="32" spans="1:34" x14ac:dyDescent="0.2">
      <c r="A32">
        <v>1942</v>
      </c>
      <c r="B32">
        <v>7</v>
      </c>
      <c r="C32">
        <v>-21.79</v>
      </c>
      <c r="D32">
        <v>-22.46</v>
      </c>
      <c r="E32">
        <v>9.3699999999999992</v>
      </c>
      <c r="F32">
        <v>-10.029999999999999</v>
      </c>
      <c r="G32">
        <v>-9.9700000000000006</v>
      </c>
      <c r="H32">
        <v>9.1199999999999992</v>
      </c>
      <c r="I32">
        <v>-31.82</v>
      </c>
      <c r="J32">
        <v>-32.44</v>
      </c>
      <c r="K32">
        <v>14.83</v>
      </c>
      <c r="L32" t="s">
        <v>0</v>
      </c>
      <c r="M32" t="s">
        <v>0</v>
      </c>
      <c r="N32" t="s">
        <v>0</v>
      </c>
      <c r="O32">
        <f t="shared" ca="1" si="1"/>
        <v>-18.337500000000002</v>
      </c>
      <c r="P32" cm="1">
        <f t="array" aca="1" ref="P32" ca="1">SQRT(AVERAGE(OFFSET($E$2,(ROW(A31)-1)*12,0,12,1)^2))</f>
        <v>3.2664175075047175</v>
      </c>
      <c r="Q32">
        <f t="shared" ca="1" si="2"/>
        <v>-25.07416666666667</v>
      </c>
      <c r="R32" cm="1">
        <f t="array" aca="1" ref="R32" ca="1">SQRT(AVERAGE(OFFSET($K$2,(ROW(A31)-1)*12,0,12,1)^2))</f>
        <v>5.5381291967594972</v>
      </c>
      <c r="S32" t="e">
        <f t="shared" ca="1" si="3"/>
        <v>#DIV/0!</v>
      </c>
      <c r="T32" t="e">
        <f t="shared" ca="1" si="4"/>
        <v>#DIV/0!</v>
      </c>
      <c r="V32">
        <f t="shared" si="15"/>
        <v>1970.5</v>
      </c>
      <c r="W32">
        <f t="shared" ca="1" si="5"/>
        <v>-183.37500000000003</v>
      </c>
      <c r="X32">
        <f t="shared" ca="1" si="6"/>
        <v>16.332087537523588</v>
      </c>
      <c r="Y32">
        <f t="shared" ca="1" si="7"/>
        <v>-250.7416666666667</v>
      </c>
      <c r="Z32">
        <f t="shared" ca="1" si="8"/>
        <v>27.690645983797488</v>
      </c>
      <c r="AA32" t="str">
        <f t="shared" ca="1" si="9"/>
        <v>NaN</v>
      </c>
      <c r="AB32" t="str">
        <f t="shared" ca="1" si="10"/>
        <v>NaN</v>
      </c>
      <c r="AE32" t="e">
        <f t="shared" ca="1" si="11"/>
        <v>#VALUE!</v>
      </c>
      <c r="AF32" t="e">
        <f t="shared" ca="1" si="12"/>
        <v>#VALUE!</v>
      </c>
      <c r="AG32" t="e">
        <f t="shared" ca="1" si="13"/>
        <v>#DIV/0!</v>
      </c>
      <c r="AH32" t="e">
        <f t="shared" ca="1" si="14"/>
        <v>#DIV/0!</v>
      </c>
    </row>
    <row r="33" spans="1:34" x14ac:dyDescent="0.2">
      <c r="A33">
        <v>1942</v>
      </c>
      <c r="B33">
        <v>8</v>
      </c>
      <c r="C33">
        <v>-21.58</v>
      </c>
      <c r="D33">
        <v>-22.39</v>
      </c>
      <c r="E33">
        <v>9.51</v>
      </c>
      <c r="F33">
        <v>-9.9700000000000006</v>
      </c>
      <c r="G33">
        <v>-9.92</v>
      </c>
      <c r="H33">
        <v>9.09</v>
      </c>
      <c r="I33">
        <v>-31.55</v>
      </c>
      <c r="J33">
        <v>-32.31</v>
      </c>
      <c r="K33">
        <v>14.93</v>
      </c>
      <c r="L33" t="s">
        <v>0</v>
      </c>
      <c r="M33" t="s">
        <v>0</v>
      </c>
      <c r="N33" t="s">
        <v>0</v>
      </c>
      <c r="O33">
        <f t="shared" ca="1" si="1"/>
        <v>-17.321666666666669</v>
      </c>
      <c r="P33" cm="1">
        <f t="array" aca="1" ref="P33" ca="1">SQRT(AVERAGE(OFFSET($E$2,(ROW(A32)-1)*12,0,12,1)^2))</f>
        <v>3.0183218295381735</v>
      </c>
      <c r="Q33">
        <f t="shared" ca="1" si="2"/>
        <v>-23.511666666666667</v>
      </c>
      <c r="R33" cm="1">
        <f t="array" aca="1" ref="R33" ca="1">SQRT(AVERAGE(OFFSET($K$2,(ROW(A32)-1)*12,0,12,1)^2))</f>
        <v>5.1955477734947895</v>
      </c>
      <c r="S33" t="e">
        <f t="shared" ca="1" si="3"/>
        <v>#DIV/0!</v>
      </c>
      <c r="T33" t="e">
        <f t="shared" ca="1" si="4"/>
        <v>#DIV/0!</v>
      </c>
      <c r="V33">
        <f t="shared" si="15"/>
        <v>1971.5</v>
      </c>
      <c r="W33">
        <f t="shared" ca="1" si="5"/>
        <v>-173.2166666666667</v>
      </c>
      <c r="X33">
        <f t="shared" ca="1" si="6"/>
        <v>15.091609147690868</v>
      </c>
      <c r="Y33">
        <f t="shared" ca="1" si="7"/>
        <v>-235.11666666666667</v>
      </c>
      <c r="Z33">
        <f t="shared" ca="1" si="8"/>
        <v>25.977738867473946</v>
      </c>
      <c r="AA33" t="str">
        <f t="shared" ca="1" si="9"/>
        <v>NaN</v>
      </c>
      <c r="AB33" t="str">
        <f t="shared" ca="1" si="10"/>
        <v>NaN</v>
      </c>
      <c r="AE33" t="e">
        <f t="shared" ca="1" si="11"/>
        <v>#VALUE!</v>
      </c>
      <c r="AF33" t="e">
        <f t="shared" ca="1" si="12"/>
        <v>#VALUE!</v>
      </c>
      <c r="AG33" t="e">
        <f t="shared" ca="1" si="13"/>
        <v>#DIV/0!</v>
      </c>
      <c r="AH33" t="e">
        <f t="shared" ca="1" si="14"/>
        <v>#DIV/0!</v>
      </c>
    </row>
    <row r="34" spans="1:34" x14ac:dyDescent="0.2">
      <c r="A34">
        <v>1942</v>
      </c>
      <c r="B34">
        <v>9</v>
      </c>
      <c r="C34">
        <v>-22.09</v>
      </c>
      <c r="D34">
        <v>-22.3</v>
      </c>
      <c r="E34">
        <v>9.6</v>
      </c>
      <c r="F34">
        <v>-9.89</v>
      </c>
      <c r="G34">
        <v>-9.8699999999999992</v>
      </c>
      <c r="H34">
        <v>9.14</v>
      </c>
      <c r="I34">
        <v>-31.98</v>
      </c>
      <c r="J34">
        <v>-32.17</v>
      </c>
      <c r="K34">
        <v>15.07</v>
      </c>
      <c r="L34" t="s">
        <v>0</v>
      </c>
      <c r="M34" t="s">
        <v>0</v>
      </c>
      <c r="N34" t="s">
        <v>0</v>
      </c>
      <c r="O34">
        <f t="shared" ca="1" si="1"/>
        <v>-17.078333333333333</v>
      </c>
      <c r="P34" cm="1">
        <f t="array" aca="1" ref="P34" ca="1">SQRT(AVERAGE(OFFSET($E$2,(ROW(A33)-1)*12,0,12,1)^2))</f>
        <v>2.9679426095080301</v>
      </c>
      <c r="Q34">
        <f t="shared" ca="1" si="2"/>
        <v>-23.599166666666672</v>
      </c>
      <c r="R34" cm="1">
        <f t="array" aca="1" ref="R34" ca="1">SQRT(AVERAGE(OFFSET($K$2,(ROW(A33)-1)*12,0,12,1)^2))</f>
        <v>5.2268298231337127</v>
      </c>
      <c r="S34" t="e">
        <f t="shared" ca="1" si="3"/>
        <v>#DIV/0!</v>
      </c>
      <c r="T34" t="e">
        <f t="shared" ca="1" si="4"/>
        <v>#DIV/0!</v>
      </c>
      <c r="V34">
        <f t="shared" si="15"/>
        <v>1972.5</v>
      </c>
      <c r="W34">
        <f t="shared" ca="1" si="5"/>
        <v>-170.78333333333333</v>
      </c>
      <c r="X34">
        <f t="shared" ca="1" si="6"/>
        <v>14.839713047540151</v>
      </c>
      <c r="Y34">
        <f t="shared" ca="1" si="7"/>
        <v>-235.99166666666673</v>
      </c>
      <c r="Z34">
        <f t="shared" ca="1" si="8"/>
        <v>26.134149115668563</v>
      </c>
      <c r="AA34" t="str">
        <f t="shared" ca="1" si="9"/>
        <v>NaN</v>
      </c>
      <c r="AB34" t="str">
        <f t="shared" ca="1" si="10"/>
        <v>NaN</v>
      </c>
      <c r="AE34" t="e">
        <f t="shared" ca="1" si="11"/>
        <v>#VALUE!</v>
      </c>
      <c r="AF34" t="e">
        <f t="shared" ca="1" si="12"/>
        <v>#VALUE!</v>
      </c>
      <c r="AG34" t="e">
        <f t="shared" ca="1" si="13"/>
        <v>#DIV/0!</v>
      </c>
      <c r="AH34" t="e">
        <f t="shared" ca="1" si="14"/>
        <v>#DIV/0!</v>
      </c>
    </row>
    <row r="35" spans="1:34" x14ac:dyDescent="0.2">
      <c r="A35">
        <v>1942</v>
      </c>
      <c r="B35">
        <v>10</v>
      </c>
      <c r="C35">
        <v>-21.81</v>
      </c>
      <c r="D35">
        <v>-22.24</v>
      </c>
      <c r="E35">
        <v>9.7899999999999991</v>
      </c>
      <c r="F35">
        <v>-9.75</v>
      </c>
      <c r="G35">
        <v>-9.82</v>
      </c>
      <c r="H35">
        <v>9.1999999999999993</v>
      </c>
      <c r="I35">
        <v>-31.55</v>
      </c>
      <c r="J35">
        <v>-32.06</v>
      </c>
      <c r="K35">
        <v>15.29</v>
      </c>
      <c r="L35" t="s">
        <v>0</v>
      </c>
      <c r="M35" t="s">
        <v>0</v>
      </c>
      <c r="N35" t="s">
        <v>0</v>
      </c>
      <c r="O35">
        <f t="shared" ca="1" si="1"/>
        <v>-16.746666666666666</v>
      </c>
      <c r="P35" cm="1">
        <f t="array" aca="1" ref="P35" ca="1">SQRT(AVERAGE(OFFSET($E$2,(ROW(A34)-1)*12,0,12,1)^2))</f>
        <v>2.9578370475737841</v>
      </c>
      <c r="Q35">
        <f t="shared" ca="1" si="2"/>
        <v>-23.459999999999997</v>
      </c>
      <c r="R35" cm="1">
        <f t="array" aca="1" ref="R35" ca="1">SQRT(AVERAGE(OFFSET($K$2,(ROW(A34)-1)*12,0,12,1)^2))</f>
        <v>5.3051170266702572</v>
      </c>
      <c r="S35" t="e">
        <f t="shared" ca="1" si="3"/>
        <v>#DIV/0!</v>
      </c>
      <c r="T35" t="e">
        <f t="shared" ca="1" si="4"/>
        <v>#DIV/0!</v>
      </c>
      <c r="V35">
        <f t="shared" si="15"/>
        <v>1973.5</v>
      </c>
      <c r="W35">
        <f t="shared" ca="1" si="5"/>
        <v>-167.46666666666667</v>
      </c>
      <c r="X35">
        <f t="shared" ca="1" si="6"/>
        <v>14.789185237868921</v>
      </c>
      <c r="Y35">
        <f t="shared" ca="1" si="7"/>
        <v>-234.59999999999997</v>
      </c>
      <c r="Z35">
        <f t="shared" ca="1" si="8"/>
        <v>26.525585133351285</v>
      </c>
      <c r="AA35" t="str">
        <f t="shared" ca="1" si="9"/>
        <v>NaN</v>
      </c>
      <c r="AB35" t="str">
        <f t="shared" ca="1" si="10"/>
        <v>NaN</v>
      </c>
      <c r="AE35" t="e">
        <f t="shared" ca="1" si="11"/>
        <v>#VALUE!</v>
      </c>
      <c r="AF35" t="e">
        <f t="shared" ca="1" si="12"/>
        <v>#VALUE!</v>
      </c>
      <c r="AG35" t="e">
        <f t="shared" ca="1" si="13"/>
        <v>#DIV/0!</v>
      </c>
      <c r="AH35" t="e">
        <f t="shared" ca="1" si="14"/>
        <v>#DIV/0!</v>
      </c>
    </row>
    <row r="36" spans="1:34" x14ac:dyDescent="0.2">
      <c r="A36">
        <v>1942</v>
      </c>
      <c r="B36">
        <v>11</v>
      </c>
      <c r="C36">
        <v>-22.76</v>
      </c>
      <c r="D36">
        <v>-22.19</v>
      </c>
      <c r="E36">
        <v>9.98</v>
      </c>
      <c r="F36">
        <v>-9.7200000000000006</v>
      </c>
      <c r="G36">
        <v>-9.76</v>
      </c>
      <c r="H36">
        <v>9.27</v>
      </c>
      <c r="I36">
        <v>-32.479999999999997</v>
      </c>
      <c r="J36">
        <v>-31.95</v>
      </c>
      <c r="K36">
        <v>15.54</v>
      </c>
      <c r="L36" t="s">
        <v>0</v>
      </c>
      <c r="M36" t="s">
        <v>0</v>
      </c>
      <c r="N36" t="s">
        <v>0</v>
      </c>
      <c r="O36">
        <f t="shared" ca="1" si="1"/>
        <v>-16.109999999999996</v>
      </c>
      <c r="P36" cm="1">
        <f t="array" aca="1" ref="P36" ca="1">SQRT(AVERAGE(OFFSET($E$2,(ROW(A35)-1)*12,0,12,1)^2))</f>
        <v>3.1706597630987363</v>
      </c>
      <c r="Q36">
        <f ca="1">AVERAGE(OFFSET($I$2,(ROW(A35)-1)*12,0,12,1))</f>
        <v>-22.025833333333335</v>
      </c>
      <c r="R36" cm="1">
        <f t="array" aca="1" ref="R36" ca="1">SQRT(AVERAGE(OFFSET($K$2,(ROW(A35)-1)*12,0,12,1)^2))</f>
        <v>5.496675510403235</v>
      </c>
      <c r="S36" t="e">
        <f ca="1">AVERAGE(OFFSET($L$2,(ROW(A35)-1)*12,0,12,1))</f>
        <v>#DIV/0!</v>
      </c>
      <c r="T36" t="e">
        <f ca="1">SQRT(AVERAGE(OFFSET($N$2,(ROW(A35)-1)*12,0,12,1))^2)</f>
        <v>#DIV/0!</v>
      </c>
      <c r="V36">
        <f t="shared" si="15"/>
        <v>1974.5</v>
      </c>
      <c r="W36">
        <f t="shared" ca="1" si="5"/>
        <v>-161.09999999999997</v>
      </c>
      <c r="X36">
        <f t="shared" ca="1" si="6"/>
        <v>15.853298815493682</v>
      </c>
      <c r="Y36">
        <f t="shared" ca="1" si="7"/>
        <v>-220.25833333333335</v>
      </c>
      <c r="Z36">
        <f t="shared" ca="1" si="8"/>
        <v>27.483377552016176</v>
      </c>
      <c r="AA36" t="str">
        <f t="shared" ca="1" si="9"/>
        <v>NaN</v>
      </c>
      <c r="AB36" t="str">
        <f t="shared" ca="1" si="10"/>
        <v>NaN</v>
      </c>
      <c r="AE36" t="e">
        <f t="shared" ca="1" si="11"/>
        <v>#VALUE!</v>
      </c>
      <c r="AF36" t="e">
        <f t="shared" ca="1" si="12"/>
        <v>#VALUE!</v>
      </c>
      <c r="AG36" t="e">
        <f t="shared" ca="1" si="13"/>
        <v>#DIV/0!</v>
      </c>
      <c r="AH36" t="e">
        <f t="shared" ca="1" si="14"/>
        <v>#DIV/0!</v>
      </c>
    </row>
    <row r="37" spans="1:34" x14ac:dyDescent="0.2">
      <c r="A37">
        <v>1942</v>
      </c>
      <c r="B37">
        <v>12</v>
      </c>
      <c r="C37">
        <v>-22.98</v>
      </c>
      <c r="D37">
        <v>-22.15</v>
      </c>
      <c r="E37">
        <v>9.92</v>
      </c>
      <c r="F37">
        <v>-9.8800000000000008</v>
      </c>
      <c r="G37">
        <v>-9.6999999999999993</v>
      </c>
      <c r="H37">
        <v>9.52</v>
      </c>
      <c r="I37">
        <v>-32.86</v>
      </c>
      <c r="J37">
        <v>-31.85</v>
      </c>
      <c r="K37">
        <v>15.76</v>
      </c>
      <c r="L37" t="s">
        <v>0</v>
      </c>
      <c r="M37" t="s">
        <v>0</v>
      </c>
      <c r="N37" t="s">
        <v>0</v>
      </c>
      <c r="O37">
        <f t="shared" ca="1" si="1"/>
        <v>-14.989166666666664</v>
      </c>
      <c r="P37" cm="1">
        <f t="array" aca="1" ref="P37" ca="1">SQRT(AVERAGE(OFFSET($E$2,(ROW(A36)-1)*12,0,12,1)^2))</f>
        <v>3.2886065944915535</v>
      </c>
      <c r="Q37">
        <f t="shared" ref="Q37:Q62" ca="1" si="16">AVERAGE(OFFSET($I$2,(ROW(A36)-1)*12,0,12,1))</f>
        <v>-20.517499999999998</v>
      </c>
      <c r="R37" cm="1">
        <f t="array" aca="1" ref="R37" ca="1">SQRT(AVERAGE(OFFSET($K$2,(ROW(A36)-1)*12,0,12,1)^2))</f>
        <v>5.5248944182973609</v>
      </c>
      <c r="S37" t="e">
        <f t="shared" ref="S37:S62" ca="1" si="17">AVERAGE(OFFSET($L$2,(ROW(A36)-1)*12,0,12,1))</f>
        <v>#DIV/0!</v>
      </c>
      <c r="T37" t="e">
        <f t="shared" ref="T37:T62" ca="1" si="18">SQRT(AVERAGE(OFFSET($N$2,(ROW(A36)-1)*12,0,12,1))^2)</f>
        <v>#DIV/0!</v>
      </c>
      <c r="V37">
        <f t="shared" si="15"/>
        <v>1975.5</v>
      </c>
      <c r="W37">
        <f t="shared" ca="1" si="5"/>
        <v>-149.89166666666665</v>
      </c>
      <c r="X37">
        <f t="shared" ca="1" si="6"/>
        <v>16.443032972457768</v>
      </c>
      <c r="Y37">
        <f t="shared" ca="1" si="7"/>
        <v>-205.17499999999998</v>
      </c>
      <c r="Z37">
        <f t="shared" ca="1" si="8"/>
        <v>27.624472091486805</v>
      </c>
      <c r="AA37" t="str">
        <f t="shared" ca="1" si="9"/>
        <v>NaN</v>
      </c>
      <c r="AB37" t="str">
        <f t="shared" ca="1" si="10"/>
        <v>NaN</v>
      </c>
      <c r="AE37" t="e">
        <f t="shared" ca="1" si="11"/>
        <v>#VALUE!</v>
      </c>
      <c r="AF37" t="e">
        <f t="shared" ca="1" si="12"/>
        <v>#VALUE!</v>
      </c>
      <c r="AG37" t="e">
        <f t="shared" ca="1" si="13"/>
        <v>#DIV/0!</v>
      </c>
      <c r="AH37" t="e">
        <f t="shared" ca="1" si="14"/>
        <v>#DIV/0!</v>
      </c>
    </row>
    <row r="38" spans="1:34" x14ac:dyDescent="0.2">
      <c r="A38">
        <v>1943</v>
      </c>
      <c r="B38">
        <v>1</v>
      </c>
      <c r="C38">
        <v>-23</v>
      </c>
      <c r="D38">
        <v>-22.1</v>
      </c>
      <c r="E38">
        <v>9.5299999999999994</v>
      </c>
      <c r="F38">
        <v>-9.48</v>
      </c>
      <c r="G38">
        <v>-9.66</v>
      </c>
      <c r="H38">
        <v>9.42</v>
      </c>
      <c r="I38">
        <v>-32.479999999999997</v>
      </c>
      <c r="J38">
        <v>-31.76</v>
      </c>
      <c r="K38">
        <v>15.35</v>
      </c>
      <c r="L38" t="s">
        <v>0</v>
      </c>
      <c r="M38" t="s">
        <v>0</v>
      </c>
      <c r="N38" t="s">
        <v>0</v>
      </c>
      <c r="O38">
        <f t="shared" ca="1" si="1"/>
        <v>-14.909999999999997</v>
      </c>
      <c r="P38" cm="1">
        <f t="array" aca="1" ref="P38" ca="1">SQRT(AVERAGE(OFFSET($E$2,(ROW(A37)-1)*12,0,12,1)^2))</f>
        <v>3.2788984430750516</v>
      </c>
      <c r="Q38">
        <f t="shared" ca="1" si="16"/>
        <v>-20.180833333333336</v>
      </c>
      <c r="R38" cm="1">
        <f t="array" aca="1" ref="R38" ca="1">SQRT(AVERAGE(OFFSET($K$2,(ROW(A37)-1)*12,0,12,1)^2))</f>
        <v>5.4296232220415925</v>
      </c>
      <c r="S38" t="e">
        <f t="shared" ca="1" si="17"/>
        <v>#DIV/0!</v>
      </c>
      <c r="T38" t="e">
        <f t="shared" ca="1" si="18"/>
        <v>#DIV/0!</v>
      </c>
      <c r="V38">
        <f t="shared" si="15"/>
        <v>1976.5</v>
      </c>
      <c r="W38">
        <f t="shared" ca="1" si="5"/>
        <v>-149.09999999999997</v>
      </c>
      <c r="X38">
        <f t="shared" ca="1" si="6"/>
        <v>16.394492215375259</v>
      </c>
      <c r="Y38">
        <f t="shared" ca="1" si="7"/>
        <v>-201.80833333333337</v>
      </c>
      <c r="Z38">
        <f t="shared" ca="1" si="8"/>
        <v>27.148116110207962</v>
      </c>
      <c r="AA38" t="str">
        <f t="shared" ca="1" si="9"/>
        <v>NaN</v>
      </c>
      <c r="AB38" t="str">
        <f t="shared" ca="1" si="10"/>
        <v>NaN</v>
      </c>
      <c r="AE38" t="e">
        <f t="shared" ca="1" si="11"/>
        <v>#VALUE!</v>
      </c>
      <c r="AF38" t="e">
        <f t="shared" ca="1" si="12"/>
        <v>#VALUE!</v>
      </c>
      <c r="AG38" t="e">
        <f t="shared" ca="1" si="13"/>
        <v>#DIV/0!</v>
      </c>
      <c r="AH38" t="e">
        <f t="shared" ca="1" si="14"/>
        <v>#DIV/0!</v>
      </c>
    </row>
    <row r="39" spans="1:34" x14ac:dyDescent="0.2">
      <c r="A39">
        <v>1943</v>
      </c>
      <c r="B39">
        <v>2</v>
      </c>
      <c r="C39">
        <v>-22.75</v>
      </c>
      <c r="D39">
        <v>-22.04</v>
      </c>
      <c r="E39">
        <v>9.49</v>
      </c>
      <c r="F39">
        <v>-9.5</v>
      </c>
      <c r="G39">
        <v>-9.6300000000000008</v>
      </c>
      <c r="H39">
        <v>9.4600000000000009</v>
      </c>
      <c r="I39">
        <v>-32.25</v>
      </c>
      <c r="J39">
        <v>-31.67</v>
      </c>
      <c r="K39">
        <v>15.37</v>
      </c>
      <c r="L39" t="s">
        <v>0</v>
      </c>
      <c r="M39" t="s">
        <v>0</v>
      </c>
      <c r="N39" t="s">
        <v>0</v>
      </c>
      <c r="O39">
        <f t="shared" ca="1" si="1"/>
        <v>-12.920833333333334</v>
      </c>
      <c r="P39" cm="1">
        <f t="array" aca="1" ref="P39" ca="1">SQRT(AVERAGE(OFFSET($E$2,(ROW(A38)-1)*12,0,12,1)^2))</f>
        <v>3.1742899468490067</v>
      </c>
      <c r="Q39">
        <f t="shared" ca="1" si="16"/>
        <v>-18.142500000000002</v>
      </c>
      <c r="R39" cm="1">
        <f t="array" aca="1" ref="R39" ca="1">SQRT(AVERAGE(OFFSET($K$2,(ROW(A38)-1)*12,0,12,1)^2))</f>
        <v>5.0823591962788308</v>
      </c>
      <c r="S39" t="e">
        <f t="shared" ca="1" si="17"/>
        <v>#DIV/0!</v>
      </c>
      <c r="T39" t="e">
        <f t="shared" ca="1" si="18"/>
        <v>#DIV/0!</v>
      </c>
      <c r="V39">
        <f t="shared" si="15"/>
        <v>1977.5</v>
      </c>
      <c r="W39">
        <f t="shared" ca="1" si="5"/>
        <v>-129.20833333333334</v>
      </c>
      <c r="X39">
        <f t="shared" ca="1" si="6"/>
        <v>15.871449734245033</v>
      </c>
      <c r="Y39">
        <f t="shared" ca="1" si="7"/>
        <v>-181.42500000000001</v>
      </c>
      <c r="Z39">
        <f t="shared" ca="1" si="8"/>
        <v>25.411795981394153</v>
      </c>
      <c r="AA39" t="str">
        <f t="shared" ca="1" si="9"/>
        <v>NaN</v>
      </c>
      <c r="AB39" t="str">
        <f t="shared" ca="1" si="10"/>
        <v>NaN</v>
      </c>
      <c r="AE39" t="e">
        <f t="shared" ca="1" si="11"/>
        <v>#VALUE!</v>
      </c>
      <c r="AF39" t="e">
        <f t="shared" ca="1" si="12"/>
        <v>#VALUE!</v>
      </c>
      <c r="AG39" t="e">
        <f t="shared" ca="1" si="13"/>
        <v>#DIV/0!</v>
      </c>
      <c r="AH39" t="e">
        <f t="shared" ca="1" si="14"/>
        <v>#DIV/0!</v>
      </c>
    </row>
    <row r="40" spans="1:34" x14ac:dyDescent="0.2">
      <c r="A40">
        <v>1943</v>
      </c>
      <c r="B40">
        <v>3</v>
      </c>
      <c r="C40">
        <v>-22.45</v>
      </c>
      <c r="D40">
        <v>-21.99</v>
      </c>
      <c r="E40">
        <v>9.48</v>
      </c>
      <c r="F40">
        <v>-9.41</v>
      </c>
      <c r="G40">
        <v>-9.61</v>
      </c>
      <c r="H40">
        <v>9.5399999999999991</v>
      </c>
      <c r="I40">
        <v>-31.85</v>
      </c>
      <c r="J40">
        <v>-31.6</v>
      </c>
      <c r="K40">
        <v>15.46</v>
      </c>
      <c r="L40" t="s">
        <v>0</v>
      </c>
      <c r="M40" t="s">
        <v>0</v>
      </c>
      <c r="N40" t="s">
        <v>0</v>
      </c>
      <c r="O40">
        <f t="shared" ca="1" si="1"/>
        <v>-13.505833333333333</v>
      </c>
      <c r="P40" cm="1">
        <f t="array" aca="1" ref="P40" ca="1">SQRT(AVERAGE(OFFSET($E$2,(ROW(A39)-1)*12,0,12,1)^2))</f>
        <v>2.8346957508699235</v>
      </c>
      <c r="Q40">
        <f t="shared" ca="1" si="16"/>
        <v>-19.002500000000001</v>
      </c>
      <c r="R40" cm="1">
        <f t="array" aca="1" ref="R40" ca="1">SQRT(AVERAGE(OFFSET($K$2,(ROW(A39)-1)*12,0,12,1)^2))</f>
        <v>4.5956265441540545</v>
      </c>
      <c r="S40" t="e">
        <f t="shared" ca="1" si="17"/>
        <v>#DIV/0!</v>
      </c>
      <c r="T40" t="e">
        <f t="shared" ca="1" si="18"/>
        <v>#DIV/0!</v>
      </c>
      <c r="V40">
        <f t="shared" si="15"/>
        <v>1978.5</v>
      </c>
      <c r="W40">
        <f t="shared" ca="1" si="5"/>
        <v>-135.05833333333334</v>
      </c>
      <c r="X40">
        <f t="shared" ca="1" si="6"/>
        <v>14.173478754349617</v>
      </c>
      <c r="Y40">
        <f t="shared" ca="1" si="7"/>
        <v>-190.02500000000001</v>
      </c>
      <c r="Z40">
        <f t="shared" ca="1" si="8"/>
        <v>22.978132720770272</v>
      </c>
      <c r="AA40" t="str">
        <f t="shared" ca="1" si="9"/>
        <v>NaN</v>
      </c>
      <c r="AB40" t="str">
        <f t="shared" ca="1" si="10"/>
        <v>NaN</v>
      </c>
      <c r="AE40" t="e">
        <f t="shared" ca="1" si="11"/>
        <v>#VALUE!</v>
      </c>
      <c r="AF40" t="e">
        <f t="shared" ca="1" si="12"/>
        <v>#VALUE!</v>
      </c>
      <c r="AG40" t="e">
        <f t="shared" ca="1" si="13"/>
        <v>#DIV/0!</v>
      </c>
      <c r="AH40" t="e">
        <f t="shared" ca="1" si="14"/>
        <v>#DIV/0!</v>
      </c>
    </row>
    <row r="41" spans="1:34" x14ac:dyDescent="0.2">
      <c r="A41">
        <v>1943</v>
      </c>
      <c r="B41">
        <v>4</v>
      </c>
      <c r="C41">
        <v>-21.68</v>
      </c>
      <c r="D41">
        <v>-21.91</v>
      </c>
      <c r="E41">
        <v>9.58</v>
      </c>
      <c r="F41">
        <v>-9.48</v>
      </c>
      <c r="G41">
        <v>-9.61</v>
      </c>
      <c r="H41">
        <v>9.57</v>
      </c>
      <c r="I41">
        <v>-31.16</v>
      </c>
      <c r="J41">
        <v>-31.52</v>
      </c>
      <c r="K41">
        <v>15.65</v>
      </c>
      <c r="L41" t="s">
        <v>0</v>
      </c>
      <c r="M41" t="s">
        <v>0</v>
      </c>
      <c r="N41" t="s">
        <v>0</v>
      </c>
      <c r="O41">
        <f t="shared" ca="1" si="1"/>
        <v>-14.384166666666667</v>
      </c>
      <c r="P41" cm="1">
        <f t="array" aca="1" ref="P41" ca="1">SQRT(AVERAGE(OFFSET($E$2,(ROW(A40)-1)*12,0,12,1)^2))</f>
        <v>2.3789966372401619</v>
      </c>
      <c r="Q41">
        <f t="shared" ca="1" si="16"/>
        <v>-20.334166666666665</v>
      </c>
      <c r="R41" cm="1">
        <f t="array" aca="1" ref="R41" ca="1">SQRT(AVERAGE(OFFSET($K$2,(ROW(A40)-1)*12,0,12,1)^2))</f>
        <v>4.1094798940985218</v>
      </c>
      <c r="S41" t="e">
        <f t="shared" ca="1" si="17"/>
        <v>#DIV/0!</v>
      </c>
      <c r="T41" t="e">
        <f t="shared" ca="1" si="18"/>
        <v>#DIV/0!</v>
      </c>
      <c r="V41">
        <f t="shared" si="15"/>
        <v>1979.5</v>
      </c>
      <c r="W41">
        <f t="shared" ca="1" si="5"/>
        <v>-143.84166666666667</v>
      </c>
      <c r="X41">
        <f t="shared" ca="1" si="6"/>
        <v>11.894983186200809</v>
      </c>
      <c r="Y41">
        <f t="shared" ca="1" si="7"/>
        <v>-203.34166666666664</v>
      </c>
      <c r="Z41">
        <f t="shared" ca="1" si="8"/>
        <v>20.547399470492607</v>
      </c>
      <c r="AA41" t="str">
        <f t="shared" ca="1" si="9"/>
        <v>NaN</v>
      </c>
      <c r="AB41" t="str">
        <f t="shared" ca="1" si="10"/>
        <v>NaN</v>
      </c>
      <c r="AE41" t="e">
        <f t="shared" ca="1" si="11"/>
        <v>#VALUE!</v>
      </c>
      <c r="AF41" t="e">
        <f t="shared" ca="1" si="12"/>
        <v>#VALUE!</v>
      </c>
      <c r="AG41" t="e">
        <f t="shared" ca="1" si="13"/>
        <v>#DIV/0!</v>
      </c>
      <c r="AH41" t="e">
        <f t="shared" ca="1" si="14"/>
        <v>#DIV/0!</v>
      </c>
    </row>
    <row r="42" spans="1:34" x14ac:dyDescent="0.2">
      <c r="A42">
        <v>1943</v>
      </c>
      <c r="B42">
        <v>5</v>
      </c>
      <c r="C42">
        <v>-21.1</v>
      </c>
      <c r="D42">
        <v>-21.76</v>
      </c>
      <c r="E42">
        <v>9.65</v>
      </c>
      <c r="F42">
        <v>-9.5299999999999994</v>
      </c>
      <c r="G42">
        <v>-9.61</v>
      </c>
      <c r="H42">
        <v>9.57</v>
      </c>
      <c r="I42">
        <v>-30.63</v>
      </c>
      <c r="J42">
        <v>-31.37</v>
      </c>
      <c r="K42">
        <v>15.75</v>
      </c>
      <c r="L42" t="s">
        <v>0</v>
      </c>
      <c r="M42" t="s">
        <v>0</v>
      </c>
      <c r="N42" t="s">
        <v>0</v>
      </c>
      <c r="O42">
        <f t="shared" ca="1" si="1"/>
        <v>-11.922499999999999</v>
      </c>
      <c r="P42" cm="1">
        <f t="array" aca="1" ref="P42" ca="1">SQRT(AVERAGE(OFFSET($E$2,(ROW(A41)-1)*12,0,12,1)^2))</f>
        <v>2.4597560854686384</v>
      </c>
      <c r="Q42">
        <f t="shared" ca="1" si="16"/>
        <v>-17.694999999999997</v>
      </c>
      <c r="R42" cm="1">
        <f t="array" aca="1" ref="R42" ca="1">SQRT(AVERAGE(OFFSET($K$2,(ROW(A41)-1)*12,0,12,1)^2))</f>
        <v>4.2088448534009899</v>
      </c>
      <c r="S42" t="e">
        <f t="shared" ca="1" si="17"/>
        <v>#DIV/0!</v>
      </c>
      <c r="T42" t="e">
        <f t="shared" ca="1" si="18"/>
        <v>#DIV/0!</v>
      </c>
      <c r="V42">
        <f t="shared" si="15"/>
        <v>1980.5</v>
      </c>
      <c r="W42">
        <f t="shared" ca="1" si="5"/>
        <v>-119.22499999999999</v>
      </c>
      <c r="X42">
        <f t="shared" ca="1" si="6"/>
        <v>12.298780427343193</v>
      </c>
      <c r="Y42">
        <f t="shared" ca="1" si="7"/>
        <v>-176.94999999999996</v>
      </c>
      <c r="Z42">
        <f t="shared" ca="1" si="8"/>
        <v>21.04422426700495</v>
      </c>
      <c r="AA42" t="str">
        <f t="shared" ca="1" si="9"/>
        <v>NaN</v>
      </c>
      <c r="AB42" t="str">
        <f t="shared" ca="1" si="10"/>
        <v>NaN</v>
      </c>
      <c r="AE42" t="e">
        <f t="shared" ca="1" si="11"/>
        <v>#VALUE!</v>
      </c>
      <c r="AF42" t="e">
        <f t="shared" ca="1" si="12"/>
        <v>#VALUE!</v>
      </c>
      <c r="AG42" t="e">
        <f t="shared" ca="1" si="13"/>
        <v>#DIV/0!</v>
      </c>
      <c r="AH42" t="e">
        <f t="shared" ca="1" si="14"/>
        <v>#DIV/0!</v>
      </c>
    </row>
    <row r="43" spans="1:34" x14ac:dyDescent="0.2">
      <c r="A43">
        <v>1943</v>
      </c>
      <c r="B43">
        <v>6</v>
      </c>
      <c r="C43">
        <v>-21.58</v>
      </c>
      <c r="D43">
        <v>-21.58</v>
      </c>
      <c r="E43">
        <v>9.69</v>
      </c>
      <c r="F43">
        <v>-9.52</v>
      </c>
      <c r="G43">
        <v>-9.61</v>
      </c>
      <c r="H43">
        <v>9.56</v>
      </c>
      <c r="I43">
        <v>-31.1</v>
      </c>
      <c r="J43">
        <v>-31.19</v>
      </c>
      <c r="K43">
        <v>15.74</v>
      </c>
      <c r="L43" t="s">
        <v>0</v>
      </c>
      <c r="M43" t="s">
        <v>0</v>
      </c>
      <c r="N43" t="s">
        <v>0</v>
      </c>
      <c r="O43">
        <f t="shared" ca="1" si="1"/>
        <v>-13.647500000000001</v>
      </c>
      <c r="P43" cm="1">
        <f t="array" aca="1" ref="P43" ca="1">SQRT(AVERAGE(OFFSET($E$2,(ROW(A42)-1)*12,0,12,1)^2))</f>
        <v>2.6906257017033539</v>
      </c>
      <c r="Q43">
        <f t="shared" ca="1" si="16"/>
        <v>-19.241666666666664</v>
      </c>
      <c r="R43" cm="1">
        <f t="array" aca="1" ref="R43" ca="1">SQRT(AVERAGE(OFFSET($K$2,(ROW(A42)-1)*12,0,12,1)^2))</f>
        <v>4.3296275821368289</v>
      </c>
      <c r="S43" t="e">
        <f t="shared" ca="1" si="17"/>
        <v>#DIV/0!</v>
      </c>
      <c r="T43" t="e">
        <f t="shared" ca="1" si="18"/>
        <v>#DIV/0!</v>
      </c>
      <c r="V43">
        <f t="shared" si="15"/>
        <v>1981.5</v>
      </c>
      <c r="W43">
        <f t="shared" ca="1" si="5"/>
        <v>-136.47500000000002</v>
      </c>
      <c r="X43">
        <f t="shared" ca="1" si="6"/>
        <v>13.45312850851677</v>
      </c>
      <c r="Y43">
        <f t="shared" ca="1" si="7"/>
        <v>-192.41666666666663</v>
      </c>
      <c r="Z43">
        <f t="shared" ca="1" si="8"/>
        <v>21.648137910684145</v>
      </c>
      <c r="AA43" t="str">
        <f t="shared" ca="1" si="9"/>
        <v>NaN</v>
      </c>
      <c r="AB43" t="str">
        <f t="shared" ca="1" si="10"/>
        <v>NaN</v>
      </c>
      <c r="AE43" t="e">
        <f t="shared" ca="1" si="11"/>
        <v>#VALUE!</v>
      </c>
      <c r="AF43" t="e">
        <f t="shared" ca="1" si="12"/>
        <v>#VALUE!</v>
      </c>
      <c r="AG43" t="e">
        <f t="shared" ca="1" si="13"/>
        <v>#DIV/0!</v>
      </c>
      <c r="AH43" t="e">
        <f t="shared" ca="1" si="14"/>
        <v>#DIV/0!</v>
      </c>
    </row>
    <row r="44" spans="1:34" x14ac:dyDescent="0.2">
      <c r="A44">
        <v>1943</v>
      </c>
      <c r="B44">
        <v>7</v>
      </c>
      <c r="C44">
        <v>-20.96</v>
      </c>
      <c r="D44">
        <v>-21.41</v>
      </c>
      <c r="E44">
        <v>9.69</v>
      </c>
      <c r="F44">
        <v>-9.61</v>
      </c>
      <c r="G44">
        <v>-9.6</v>
      </c>
      <c r="H44">
        <v>9.61</v>
      </c>
      <c r="I44">
        <v>-30.57</v>
      </c>
      <c r="J44">
        <v>-31.01</v>
      </c>
      <c r="K44">
        <v>15.78</v>
      </c>
      <c r="L44" t="s">
        <v>0</v>
      </c>
      <c r="M44" t="s">
        <v>0</v>
      </c>
      <c r="N44" t="s">
        <v>0</v>
      </c>
      <c r="O44">
        <f t="shared" ca="1" si="1"/>
        <v>-14.383333333333331</v>
      </c>
      <c r="P44" cm="1">
        <f t="array" aca="1" ref="P44" ca="1">SQRT(AVERAGE(OFFSET($E$2,(ROW(A43)-1)*12,0,12,1)^2))</f>
        <v>2.3012967359005807</v>
      </c>
      <c r="Q44">
        <f t="shared" ca="1" si="16"/>
        <v>-20.352500000000003</v>
      </c>
      <c r="R44" cm="1">
        <f t="array" aca="1" ref="R44" ca="1">SQRT(AVERAGE(OFFSET($K$2,(ROW(A43)-1)*12,0,12,1)^2))</f>
        <v>3.8644997520162079</v>
      </c>
      <c r="S44" t="e">
        <f t="shared" ca="1" si="17"/>
        <v>#DIV/0!</v>
      </c>
      <c r="T44" t="e">
        <f t="shared" ca="1" si="18"/>
        <v>#DIV/0!</v>
      </c>
      <c r="V44">
        <f t="shared" si="15"/>
        <v>1982.5</v>
      </c>
      <c r="W44">
        <f t="shared" ca="1" si="5"/>
        <v>-143.83333333333331</v>
      </c>
      <c r="X44">
        <f t="shared" ca="1" si="6"/>
        <v>11.506483679502903</v>
      </c>
      <c r="Y44">
        <f t="shared" ca="1" si="7"/>
        <v>-203.52500000000003</v>
      </c>
      <c r="Z44">
        <f t="shared" ca="1" si="8"/>
        <v>19.322498760081039</v>
      </c>
      <c r="AA44" t="str">
        <f t="shared" ca="1" si="9"/>
        <v>NaN</v>
      </c>
      <c r="AB44" t="str">
        <f t="shared" ca="1" si="10"/>
        <v>NaN</v>
      </c>
      <c r="AE44" t="e">
        <f t="shared" ca="1" si="11"/>
        <v>#VALUE!</v>
      </c>
      <c r="AF44" t="e">
        <f t="shared" ca="1" si="12"/>
        <v>#VALUE!</v>
      </c>
      <c r="AG44" t="e">
        <f t="shared" ca="1" si="13"/>
        <v>#DIV/0!</v>
      </c>
      <c r="AH44" t="e">
        <f t="shared" ca="1" si="14"/>
        <v>#DIV/0!</v>
      </c>
    </row>
    <row r="45" spans="1:34" x14ac:dyDescent="0.2">
      <c r="A45">
        <v>1943</v>
      </c>
      <c r="B45">
        <v>8</v>
      </c>
      <c r="C45">
        <v>-20.98</v>
      </c>
      <c r="D45">
        <v>-21.29</v>
      </c>
      <c r="E45">
        <v>9.68</v>
      </c>
      <c r="F45">
        <v>-9.67</v>
      </c>
      <c r="G45">
        <v>-9.57</v>
      </c>
      <c r="H45">
        <v>9.6300000000000008</v>
      </c>
      <c r="I45">
        <v>-30.64</v>
      </c>
      <c r="J45">
        <v>-30.86</v>
      </c>
      <c r="K45">
        <v>15.82</v>
      </c>
      <c r="L45" t="s">
        <v>0</v>
      </c>
      <c r="M45" t="s">
        <v>0</v>
      </c>
      <c r="N45" t="s">
        <v>0</v>
      </c>
      <c r="O45">
        <f t="shared" ca="1" si="1"/>
        <v>-14.548333333333332</v>
      </c>
      <c r="P45" cm="1">
        <f t="array" aca="1" ref="P45" ca="1">SQRT(AVERAGE(OFFSET($E$2,(ROW(A44)-1)*12,0,12,1)^2))</f>
        <v>2.1934941683685114</v>
      </c>
      <c r="Q45">
        <f t="shared" ca="1" si="16"/>
        <v>-20.335000000000001</v>
      </c>
      <c r="R45" cm="1">
        <f t="array" aca="1" ref="R45" ca="1">SQRT(AVERAGE(OFFSET($K$2,(ROW(A44)-1)*12,0,12,1)^2))</f>
        <v>3.6982101526729565</v>
      </c>
      <c r="S45" t="e">
        <f t="shared" ca="1" si="17"/>
        <v>#DIV/0!</v>
      </c>
      <c r="T45" t="e">
        <f t="shared" ca="1" si="18"/>
        <v>#DIV/0!</v>
      </c>
      <c r="V45">
        <f t="shared" si="15"/>
        <v>1983.5</v>
      </c>
      <c r="W45">
        <f t="shared" ca="1" si="5"/>
        <v>-145.48333333333332</v>
      </c>
      <c r="X45">
        <f t="shared" ca="1" si="6"/>
        <v>10.967470841842557</v>
      </c>
      <c r="Y45">
        <f t="shared" ca="1" si="7"/>
        <v>-203.35000000000002</v>
      </c>
      <c r="Z45">
        <f t="shared" ca="1" si="8"/>
        <v>18.491050763364782</v>
      </c>
      <c r="AA45" t="str">
        <f t="shared" ca="1" si="9"/>
        <v>NaN</v>
      </c>
      <c r="AB45" t="str">
        <f t="shared" ca="1" si="10"/>
        <v>NaN</v>
      </c>
      <c r="AE45" t="e">
        <f t="shared" ca="1" si="11"/>
        <v>#VALUE!</v>
      </c>
      <c r="AF45" t="e">
        <f t="shared" ca="1" si="12"/>
        <v>#VALUE!</v>
      </c>
      <c r="AG45" t="e">
        <f t="shared" ca="1" si="13"/>
        <v>#DIV/0!</v>
      </c>
      <c r="AH45" t="e">
        <f t="shared" ca="1" si="14"/>
        <v>#DIV/0!</v>
      </c>
    </row>
    <row r="46" spans="1:34" x14ac:dyDescent="0.2">
      <c r="A46">
        <v>1943</v>
      </c>
      <c r="B46">
        <v>9</v>
      </c>
      <c r="C46">
        <v>-21.57</v>
      </c>
      <c r="D46">
        <v>-21.23</v>
      </c>
      <c r="E46">
        <v>9.6300000000000008</v>
      </c>
      <c r="F46">
        <v>-9.74</v>
      </c>
      <c r="G46">
        <v>-9.5500000000000007</v>
      </c>
      <c r="H46">
        <v>9.6300000000000008</v>
      </c>
      <c r="I46">
        <v>-31.31</v>
      </c>
      <c r="J46">
        <v>-30.78</v>
      </c>
      <c r="K46">
        <v>15.8</v>
      </c>
      <c r="L46" t="s">
        <v>0</v>
      </c>
      <c r="M46" t="s">
        <v>0</v>
      </c>
      <c r="N46" t="s">
        <v>0</v>
      </c>
      <c r="O46">
        <f t="shared" ca="1" si="1"/>
        <v>-14.216666666666667</v>
      </c>
      <c r="P46" cm="1">
        <f t="array" aca="1" ref="P46" ca="1">SQRT(AVERAGE(OFFSET($E$2,(ROW(A45)-1)*12,0,12,1)^2))</f>
        <v>2.2852972089715888</v>
      </c>
      <c r="Q46">
        <f t="shared" ca="1" si="16"/>
        <v>-19.364999999999998</v>
      </c>
      <c r="R46" cm="1">
        <f t="array" aca="1" ref="R46" ca="1">SQRT(AVERAGE(OFFSET($K$2,(ROW(A45)-1)*12,0,12,1)^2))</f>
        <v>3.7690206508676316</v>
      </c>
      <c r="S46" t="e">
        <f t="shared" ca="1" si="17"/>
        <v>#DIV/0!</v>
      </c>
      <c r="T46" t="e">
        <f t="shared" ca="1" si="18"/>
        <v>#DIV/0!</v>
      </c>
      <c r="V46">
        <f t="shared" si="15"/>
        <v>1984.5</v>
      </c>
      <c r="W46">
        <f t="shared" ca="1" si="5"/>
        <v>-142.16666666666666</v>
      </c>
      <c r="X46">
        <f t="shared" ca="1" si="6"/>
        <v>11.426486044857944</v>
      </c>
      <c r="Y46">
        <f t="shared" ca="1" si="7"/>
        <v>-193.64999999999998</v>
      </c>
      <c r="Z46">
        <f t="shared" ca="1" si="8"/>
        <v>18.845103254338159</v>
      </c>
      <c r="AA46" t="str">
        <f t="shared" ca="1" si="9"/>
        <v>NaN</v>
      </c>
      <c r="AB46" t="str">
        <f t="shared" ca="1" si="10"/>
        <v>NaN</v>
      </c>
      <c r="AE46" t="e">
        <f t="shared" ca="1" si="11"/>
        <v>#VALUE!</v>
      </c>
      <c r="AF46" t="e">
        <f t="shared" ca="1" si="12"/>
        <v>#VALUE!</v>
      </c>
      <c r="AG46" t="e">
        <f t="shared" ca="1" si="13"/>
        <v>#DIV/0!</v>
      </c>
      <c r="AH46" t="e">
        <f t="shared" ca="1" si="14"/>
        <v>#DIV/0!</v>
      </c>
    </row>
    <row r="47" spans="1:34" x14ac:dyDescent="0.2">
      <c r="A47">
        <v>1943</v>
      </c>
      <c r="B47">
        <v>10</v>
      </c>
      <c r="C47">
        <v>-20.350000000000001</v>
      </c>
      <c r="D47">
        <v>-21.19</v>
      </c>
      <c r="E47">
        <v>9.64</v>
      </c>
      <c r="F47">
        <v>-9.77</v>
      </c>
      <c r="G47">
        <v>-9.5500000000000007</v>
      </c>
      <c r="H47">
        <v>9.68</v>
      </c>
      <c r="I47">
        <v>-30.12</v>
      </c>
      <c r="J47">
        <v>-30.74</v>
      </c>
      <c r="K47">
        <v>15.81</v>
      </c>
      <c r="L47" t="s">
        <v>0</v>
      </c>
      <c r="M47" t="s">
        <v>0</v>
      </c>
      <c r="N47" t="s">
        <v>0</v>
      </c>
      <c r="O47">
        <f t="shared" ca="1" si="1"/>
        <v>-12.853333333333333</v>
      </c>
      <c r="P47" cm="1">
        <f t="array" aca="1" ref="P47" ca="1">SQRT(AVERAGE(OFFSET($E$2,(ROW(A46)-1)*12,0,12,1)^2))</f>
        <v>2.0825625240714061</v>
      </c>
      <c r="Q47">
        <f t="shared" ca="1" si="16"/>
        <v>-17.469166666666666</v>
      </c>
      <c r="R47" cm="1">
        <f t="array" aca="1" ref="R47" ca="1">SQRT(AVERAGE(OFFSET($K$2,(ROW(A46)-1)*12,0,12,1)^2))</f>
        <v>3.5843281564797231</v>
      </c>
      <c r="S47" t="e">
        <f t="shared" ca="1" si="17"/>
        <v>#DIV/0!</v>
      </c>
      <c r="T47" t="e">
        <f t="shared" ca="1" si="18"/>
        <v>#DIV/0!</v>
      </c>
      <c r="V47">
        <f t="shared" si="15"/>
        <v>1985.5</v>
      </c>
      <c r="W47">
        <f t="shared" ca="1" si="5"/>
        <v>-128.53333333333333</v>
      </c>
      <c r="X47">
        <f t="shared" ca="1" si="6"/>
        <v>10.41281262035703</v>
      </c>
      <c r="Y47">
        <f t="shared" ca="1" si="7"/>
        <v>-174.69166666666666</v>
      </c>
      <c r="Z47">
        <f t="shared" ca="1" si="8"/>
        <v>17.921640782398615</v>
      </c>
      <c r="AA47" t="str">
        <f t="shared" ca="1" si="9"/>
        <v>NaN</v>
      </c>
      <c r="AB47" t="str">
        <f t="shared" ca="1" si="10"/>
        <v>NaN</v>
      </c>
      <c r="AE47" t="e">
        <f t="shared" ca="1" si="11"/>
        <v>#VALUE!</v>
      </c>
      <c r="AF47" t="e">
        <f t="shared" ca="1" si="12"/>
        <v>#VALUE!</v>
      </c>
      <c r="AG47" t="e">
        <f t="shared" ca="1" si="13"/>
        <v>#DIV/0!</v>
      </c>
      <c r="AH47" t="e">
        <f t="shared" ca="1" si="14"/>
        <v>#DIV/0!</v>
      </c>
    </row>
    <row r="48" spans="1:34" x14ac:dyDescent="0.2">
      <c r="A48">
        <v>1943</v>
      </c>
      <c r="B48">
        <v>11</v>
      </c>
      <c r="C48">
        <v>-20.64</v>
      </c>
      <c r="D48">
        <v>-21.18</v>
      </c>
      <c r="E48">
        <v>9.65</v>
      </c>
      <c r="F48">
        <v>-9.75</v>
      </c>
      <c r="G48">
        <v>-9.56</v>
      </c>
      <c r="H48">
        <v>9.68</v>
      </c>
      <c r="I48">
        <v>-30.39</v>
      </c>
      <c r="J48">
        <v>-30.74</v>
      </c>
      <c r="K48">
        <v>15.82</v>
      </c>
      <c r="L48" t="s">
        <v>0</v>
      </c>
      <c r="M48" t="s">
        <v>0</v>
      </c>
      <c r="N48" t="s">
        <v>0</v>
      </c>
      <c r="O48">
        <f t="shared" ca="1" si="1"/>
        <v>-13.325833333333335</v>
      </c>
      <c r="P48" cm="1">
        <f t="array" aca="1" ref="P48" ca="1">SQRT(AVERAGE(OFFSET($E$2,(ROW(A47)-1)*12,0,12,1)^2))</f>
        <v>1.9765247278999569</v>
      </c>
      <c r="Q48">
        <f t="shared" ca="1" si="16"/>
        <v>-17.444166666666664</v>
      </c>
      <c r="R48" cm="1">
        <f t="array" aca="1" ref="R48" ca="1">SQRT(AVERAGE(OFFSET($K$2,(ROW(A47)-1)*12,0,12,1)^2))</f>
        <v>3.3944525822779337</v>
      </c>
      <c r="S48" t="e">
        <f t="shared" ca="1" si="17"/>
        <v>#DIV/0!</v>
      </c>
      <c r="T48" t="e">
        <f t="shared" ca="1" si="18"/>
        <v>#DIV/0!</v>
      </c>
      <c r="V48">
        <f t="shared" si="15"/>
        <v>1986.5</v>
      </c>
      <c r="W48">
        <f t="shared" ca="1" si="5"/>
        <v>-133.25833333333335</v>
      </c>
      <c r="X48">
        <f t="shared" ca="1" si="6"/>
        <v>9.8826236394997853</v>
      </c>
      <c r="Y48">
        <f t="shared" ca="1" si="7"/>
        <v>-174.44166666666663</v>
      </c>
      <c r="Z48">
        <f t="shared" ca="1" si="8"/>
        <v>16.97226291138967</v>
      </c>
      <c r="AA48" t="str">
        <f t="shared" ca="1" si="9"/>
        <v>NaN</v>
      </c>
      <c r="AB48" t="str">
        <f t="shared" ca="1" si="10"/>
        <v>NaN</v>
      </c>
      <c r="AE48" t="e">
        <f t="shared" ca="1" si="11"/>
        <v>#VALUE!</v>
      </c>
      <c r="AF48" t="e">
        <f t="shared" ca="1" si="12"/>
        <v>#VALUE!</v>
      </c>
      <c r="AG48" t="e">
        <f t="shared" ca="1" si="13"/>
        <v>#DIV/0!</v>
      </c>
      <c r="AH48" t="e">
        <f t="shared" ca="1" si="14"/>
        <v>#DIV/0!</v>
      </c>
    </row>
    <row r="49" spans="1:34" x14ac:dyDescent="0.2">
      <c r="A49">
        <v>1943</v>
      </c>
      <c r="B49">
        <v>12</v>
      </c>
      <c r="C49">
        <v>-20.81</v>
      </c>
      <c r="D49">
        <v>-21.17</v>
      </c>
      <c r="E49">
        <v>9.61</v>
      </c>
      <c r="F49">
        <v>-9.9</v>
      </c>
      <c r="G49">
        <v>-9.56</v>
      </c>
      <c r="H49">
        <v>9.74</v>
      </c>
      <c r="I49">
        <v>-30.71</v>
      </c>
      <c r="J49">
        <v>-30.74</v>
      </c>
      <c r="K49">
        <v>15.88</v>
      </c>
      <c r="L49" t="s">
        <v>0</v>
      </c>
      <c r="M49" t="s">
        <v>0</v>
      </c>
      <c r="N49" t="s">
        <v>0</v>
      </c>
      <c r="O49">
        <f t="shared" ca="1" si="1"/>
        <v>-13.755833333333333</v>
      </c>
      <c r="P49" cm="1">
        <f t="array" aca="1" ref="P49" ca="1">SQRT(AVERAGE(OFFSET($E$2,(ROW(A48)-1)*12,0,12,1)^2))</f>
        <v>1.8399773549331164</v>
      </c>
      <c r="Q49">
        <f t="shared" ca="1" si="16"/>
        <v>-18.446666666666669</v>
      </c>
      <c r="R49" cm="1">
        <f t="array" aca="1" ref="R49" ca="1">SQRT(AVERAGE(OFFSET($K$2,(ROW(A48)-1)*12,0,12,1)^2))</f>
        <v>3.1315092208071174</v>
      </c>
      <c r="S49" t="e">
        <f t="shared" ca="1" si="17"/>
        <v>#DIV/0!</v>
      </c>
      <c r="T49" t="e">
        <f t="shared" ca="1" si="18"/>
        <v>#DIV/0!</v>
      </c>
      <c r="V49">
        <f t="shared" si="15"/>
        <v>1987.5</v>
      </c>
      <c r="W49">
        <f t="shared" ca="1" si="5"/>
        <v>-137.55833333333334</v>
      </c>
      <c r="X49">
        <f t="shared" ca="1" si="6"/>
        <v>9.1998867746655826</v>
      </c>
      <c r="Y49">
        <f t="shared" ca="1" si="7"/>
        <v>-184.4666666666667</v>
      </c>
      <c r="Z49">
        <f t="shared" ca="1" si="8"/>
        <v>15.657546104035587</v>
      </c>
      <c r="AA49" t="str">
        <f t="shared" ca="1" si="9"/>
        <v>NaN</v>
      </c>
      <c r="AB49" t="str">
        <f t="shared" ca="1" si="10"/>
        <v>NaN</v>
      </c>
      <c r="AE49" t="e">
        <f t="shared" ca="1" si="11"/>
        <v>#VALUE!</v>
      </c>
      <c r="AF49" t="e">
        <f t="shared" ca="1" si="12"/>
        <v>#VALUE!</v>
      </c>
      <c r="AG49" t="e">
        <f t="shared" ca="1" si="13"/>
        <v>#DIV/0!</v>
      </c>
      <c r="AH49" t="e">
        <f t="shared" ca="1" si="14"/>
        <v>#DIV/0!</v>
      </c>
    </row>
    <row r="50" spans="1:34" x14ac:dyDescent="0.2">
      <c r="A50">
        <v>1944</v>
      </c>
      <c r="B50">
        <v>1</v>
      </c>
      <c r="C50">
        <v>-21.01</v>
      </c>
      <c r="D50">
        <v>-21.2</v>
      </c>
      <c r="E50">
        <v>9.34</v>
      </c>
      <c r="F50">
        <v>-9.1999999999999993</v>
      </c>
      <c r="G50">
        <v>-9.57</v>
      </c>
      <c r="H50">
        <v>9.6300000000000008</v>
      </c>
      <c r="I50">
        <v>-30.21</v>
      </c>
      <c r="J50">
        <v>-30.76</v>
      </c>
      <c r="K50">
        <v>15.53</v>
      </c>
      <c r="L50" t="s">
        <v>0</v>
      </c>
      <c r="M50" t="s">
        <v>0</v>
      </c>
      <c r="N50" t="s">
        <v>0</v>
      </c>
      <c r="O50">
        <f t="shared" ca="1" si="1"/>
        <v>-12.82</v>
      </c>
      <c r="P50" cm="1">
        <f t="array" aca="1" ref="P50" ca="1">SQRT(AVERAGE(OFFSET($E$2,(ROW(A49)-1)*12,0,12,1)^2))</f>
        <v>1.8845689162246098</v>
      </c>
      <c r="Q50">
        <f t="shared" ca="1" si="16"/>
        <v>-18.565000000000001</v>
      </c>
      <c r="R50" cm="1">
        <f t="array" aca="1" ref="R50" ca="1">SQRT(AVERAGE(OFFSET($K$2,(ROW(A49)-1)*12,0,12,1)^2))</f>
        <v>3.1080446693486672</v>
      </c>
      <c r="S50" t="e">
        <f t="shared" ca="1" si="17"/>
        <v>#DIV/0!</v>
      </c>
      <c r="T50" t="e">
        <f t="shared" ca="1" si="18"/>
        <v>#DIV/0!</v>
      </c>
      <c r="V50">
        <f t="shared" si="15"/>
        <v>1988.5</v>
      </c>
      <c r="W50">
        <f t="shared" ca="1" si="5"/>
        <v>-128.19999999999999</v>
      </c>
      <c r="X50">
        <f t="shared" ca="1" si="6"/>
        <v>9.4228445811230479</v>
      </c>
      <c r="Y50">
        <f t="shared" ca="1" si="7"/>
        <v>-185.65</v>
      </c>
      <c r="Z50">
        <f t="shared" ca="1" si="8"/>
        <v>15.540223346743335</v>
      </c>
      <c r="AA50" t="str">
        <f t="shared" ca="1" si="9"/>
        <v>NaN</v>
      </c>
      <c r="AB50" t="str">
        <f t="shared" ca="1" si="10"/>
        <v>NaN</v>
      </c>
      <c r="AE50" t="e">
        <f t="shared" ca="1" si="11"/>
        <v>#VALUE!</v>
      </c>
      <c r="AF50" t="e">
        <f t="shared" ca="1" si="12"/>
        <v>#VALUE!</v>
      </c>
      <c r="AG50" t="e">
        <f t="shared" ca="1" si="13"/>
        <v>#DIV/0!</v>
      </c>
      <c r="AH50" t="e">
        <f t="shared" ca="1" si="14"/>
        <v>#DIV/0!</v>
      </c>
    </row>
    <row r="51" spans="1:34" x14ac:dyDescent="0.2">
      <c r="A51">
        <v>1944</v>
      </c>
      <c r="B51">
        <v>2</v>
      </c>
      <c r="C51">
        <v>-21.97</v>
      </c>
      <c r="D51">
        <v>-21.23</v>
      </c>
      <c r="E51">
        <v>9.3800000000000008</v>
      </c>
      <c r="F51">
        <v>-9.14</v>
      </c>
      <c r="G51">
        <v>-9.57</v>
      </c>
      <c r="H51">
        <v>9.64</v>
      </c>
      <c r="I51">
        <v>-31.11</v>
      </c>
      <c r="J51">
        <v>-30.8</v>
      </c>
      <c r="K51">
        <v>15.56</v>
      </c>
      <c r="L51" t="s">
        <v>0</v>
      </c>
      <c r="M51" t="s">
        <v>0</v>
      </c>
      <c r="N51" t="s">
        <v>0</v>
      </c>
      <c r="O51">
        <f t="shared" ca="1" si="1"/>
        <v>-12.665833333333333</v>
      </c>
      <c r="P51" cm="1">
        <f t="array" aca="1" ref="P51" ca="1">SQRT(AVERAGE(OFFSET($E$2,(ROW(A50)-1)*12,0,12,1)^2))</f>
        <v>1.9083850065784247</v>
      </c>
      <c r="Q51">
        <f t="shared" ca="1" si="16"/>
        <v>-18.184999999999999</v>
      </c>
      <c r="R51" cm="1">
        <f t="array" aca="1" ref="R51" ca="1">SQRT(AVERAGE(OFFSET($K$2,(ROW(A50)-1)*12,0,12,1)^2))</f>
        <v>3.0810157956968238</v>
      </c>
      <c r="S51" t="e">
        <f t="shared" ca="1" si="17"/>
        <v>#DIV/0!</v>
      </c>
      <c r="T51" t="e">
        <f t="shared" ca="1" si="18"/>
        <v>#DIV/0!</v>
      </c>
      <c r="V51">
        <f t="shared" si="15"/>
        <v>1989.5</v>
      </c>
      <c r="W51">
        <f t="shared" ca="1" si="5"/>
        <v>-126.65833333333333</v>
      </c>
      <c r="X51">
        <f t="shared" ca="1" si="6"/>
        <v>9.5419250328921237</v>
      </c>
      <c r="Y51">
        <f t="shared" ca="1" si="7"/>
        <v>-181.85</v>
      </c>
      <c r="Z51">
        <f t="shared" ca="1" si="8"/>
        <v>15.40507897848412</v>
      </c>
      <c r="AA51" t="str">
        <f t="shared" ca="1" si="9"/>
        <v>NaN</v>
      </c>
      <c r="AB51" t="str">
        <f t="shared" ca="1" si="10"/>
        <v>NaN</v>
      </c>
      <c r="AE51" t="e">
        <f t="shared" ca="1" si="11"/>
        <v>#VALUE!</v>
      </c>
      <c r="AF51" t="e">
        <f t="shared" ca="1" si="12"/>
        <v>#VALUE!</v>
      </c>
      <c r="AG51" t="e">
        <f t="shared" ca="1" si="13"/>
        <v>#DIV/0!</v>
      </c>
      <c r="AH51" t="e">
        <f t="shared" ca="1" si="14"/>
        <v>#DIV/0!</v>
      </c>
    </row>
    <row r="52" spans="1:34" x14ac:dyDescent="0.2">
      <c r="A52">
        <v>1944</v>
      </c>
      <c r="B52">
        <v>3</v>
      </c>
      <c r="C52">
        <v>-21.8</v>
      </c>
      <c r="D52">
        <v>-21.26</v>
      </c>
      <c r="E52">
        <v>9.36</v>
      </c>
      <c r="F52">
        <v>-9.2200000000000006</v>
      </c>
      <c r="G52">
        <v>-9.58</v>
      </c>
      <c r="H52">
        <v>9.66</v>
      </c>
      <c r="I52">
        <v>-31.02</v>
      </c>
      <c r="J52">
        <v>-30.84</v>
      </c>
      <c r="K52">
        <v>15.52</v>
      </c>
      <c r="L52" t="s">
        <v>0</v>
      </c>
      <c r="M52" t="s">
        <v>0</v>
      </c>
      <c r="N52" t="s">
        <v>0</v>
      </c>
      <c r="O52">
        <f t="shared" ca="1" si="1"/>
        <v>-13.567499999999997</v>
      </c>
      <c r="P52" cm="1">
        <f t="array" aca="1" ref="P52" ca="1">SQRT(AVERAGE(OFFSET($E$2,(ROW(A51)-1)*12,0,12,1)^2))</f>
        <v>2.1341391707196604</v>
      </c>
      <c r="Q52">
        <f t="shared" ca="1" si="16"/>
        <v>-18.805</v>
      </c>
      <c r="R52" cm="1">
        <f t="array" aca="1" ref="R52" ca="1">SQRT(AVERAGE(OFFSET($K$2,(ROW(A51)-1)*12,0,12,1)^2))</f>
        <v>3.0618825908254546</v>
      </c>
      <c r="S52" t="e">
        <f t="shared" ca="1" si="17"/>
        <v>#DIV/0!</v>
      </c>
      <c r="T52" t="e">
        <f t="shared" ca="1" si="18"/>
        <v>#DIV/0!</v>
      </c>
      <c r="V52">
        <f t="shared" si="15"/>
        <v>1990.5</v>
      </c>
      <c r="W52">
        <f t="shared" ca="1" si="5"/>
        <v>-135.67499999999998</v>
      </c>
      <c r="X52">
        <f t="shared" ca="1" si="6"/>
        <v>10.670695853598302</v>
      </c>
      <c r="Y52">
        <f t="shared" ca="1" si="7"/>
        <v>-188.05</v>
      </c>
      <c r="Z52">
        <f t="shared" ca="1" si="8"/>
        <v>15.309412954127273</v>
      </c>
      <c r="AA52" t="str">
        <f t="shared" ca="1" si="9"/>
        <v>NaN</v>
      </c>
      <c r="AB52" t="str">
        <f t="shared" ca="1" si="10"/>
        <v>NaN</v>
      </c>
      <c r="AE52" t="e">
        <f t="shared" ca="1" si="11"/>
        <v>#VALUE!</v>
      </c>
      <c r="AF52" t="e">
        <f t="shared" ca="1" si="12"/>
        <v>#VALUE!</v>
      </c>
      <c r="AG52" t="e">
        <f t="shared" ca="1" si="13"/>
        <v>#DIV/0!</v>
      </c>
      <c r="AH52" t="e">
        <f t="shared" ca="1" si="14"/>
        <v>#DIV/0!</v>
      </c>
    </row>
    <row r="53" spans="1:34" x14ac:dyDescent="0.2">
      <c r="A53">
        <v>1944</v>
      </c>
      <c r="B53">
        <v>4</v>
      </c>
      <c r="C53">
        <v>-21.45</v>
      </c>
      <c r="D53">
        <v>-21.34</v>
      </c>
      <c r="E53">
        <v>9.2799999999999994</v>
      </c>
      <c r="F53">
        <v>-9.6</v>
      </c>
      <c r="G53">
        <v>-9.6</v>
      </c>
      <c r="H53">
        <v>9.69</v>
      </c>
      <c r="I53">
        <v>-31.05</v>
      </c>
      <c r="J53">
        <v>-30.94</v>
      </c>
      <c r="K53">
        <v>15.49</v>
      </c>
      <c r="L53" t="s">
        <v>0</v>
      </c>
      <c r="M53" t="s">
        <v>0</v>
      </c>
      <c r="N53" t="s">
        <v>0</v>
      </c>
      <c r="O53">
        <f t="shared" ca="1" si="1"/>
        <v>-11.8825</v>
      </c>
      <c r="P53" cm="1">
        <f t="array" aca="1" ref="P53" ca="1">SQRT(AVERAGE(OFFSET($E$2,(ROW(A52)-1)*12,0,12,1)^2))</f>
        <v>2.2781187414180146</v>
      </c>
      <c r="Q53">
        <f t="shared" ca="1" si="16"/>
        <v>-17.517500000000002</v>
      </c>
      <c r="R53" cm="1">
        <f t="array" aca="1" ref="R53" ca="1">SQRT(AVERAGE(OFFSET($K$2,(ROW(A52)-1)*12,0,12,1)^2))</f>
        <v>3.4609789077658362</v>
      </c>
      <c r="S53" t="e">
        <f t="shared" ca="1" si="17"/>
        <v>#DIV/0!</v>
      </c>
      <c r="T53" t="e">
        <f t="shared" ca="1" si="18"/>
        <v>#DIV/0!</v>
      </c>
      <c r="V53">
        <f t="shared" si="15"/>
        <v>1991.5</v>
      </c>
      <c r="W53">
        <f t="shared" ca="1" si="5"/>
        <v>-118.825</v>
      </c>
      <c r="X53">
        <f t="shared" ca="1" si="6"/>
        <v>11.390593707090073</v>
      </c>
      <c r="Y53">
        <f t="shared" ca="1" si="7"/>
        <v>-175.17500000000001</v>
      </c>
      <c r="Z53">
        <f t="shared" ca="1" si="8"/>
        <v>17.304894538829181</v>
      </c>
      <c r="AA53" t="str">
        <f t="shared" ca="1" si="9"/>
        <v>NaN</v>
      </c>
      <c r="AB53" t="str">
        <f t="shared" ca="1" si="10"/>
        <v>NaN</v>
      </c>
      <c r="AE53" t="e">
        <f t="shared" ca="1" si="11"/>
        <v>#VALUE!</v>
      </c>
      <c r="AF53" t="e">
        <f t="shared" ca="1" si="12"/>
        <v>#VALUE!</v>
      </c>
      <c r="AG53" t="e">
        <f t="shared" ca="1" si="13"/>
        <v>#DIV/0!</v>
      </c>
      <c r="AH53" t="e">
        <f t="shared" ca="1" si="14"/>
        <v>#DIV/0!</v>
      </c>
    </row>
    <row r="54" spans="1:34" x14ac:dyDescent="0.2">
      <c r="A54">
        <v>1944</v>
      </c>
      <c r="B54">
        <v>5</v>
      </c>
      <c r="C54">
        <v>-20.96</v>
      </c>
      <c r="D54">
        <v>-21.51</v>
      </c>
      <c r="E54">
        <v>9.25</v>
      </c>
      <c r="F54">
        <v>-9.6</v>
      </c>
      <c r="G54">
        <v>-9.6199999999999992</v>
      </c>
      <c r="H54">
        <v>9.6999999999999993</v>
      </c>
      <c r="I54">
        <v>-30.56</v>
      </c>
      <c r="J54">
        <v>-31.13</v>
      </c>
      <c r="K54">
        <v>15.46</v>
      </c>
      <c r="L54" t="s">
        <v>0</v>
      </c>
      <c r="M54" t="s">
        <v>0</v>
      </c>
      <c r="N54" t="s">
        <v>0</v>
      </c>
      <c r="O54">
        <f t="shared" ca="1" si="1"/>
        <v>-13.413333333333336</v>
      </c>
      <c r="P54" cm="1">
        <f t="array" aca="1" ref="P54" ca="1">SQRT(AVERAGE(OFFSET($E$2,(ROW(A53)-1)*12,0,12,1)^2))</f>
        <v>2.0882987493810998</v>
      </c>
      <c r="Q54">
        <f t="shared" ca="1" si="16"/>
        <v>-18.419166666666666</v>
      </c>
      <c r="R54" cm="1">
        <f t="array" aca="1" ref="R54" ca="1">SQRT(AVERAGE(OFFSET($K$2,(ROW(A53)-1)*12,0,12,1)^2))</f>
        <v>3.340709754927337</v>
      </c>
      <c r="S54">
        <f t="shared" ca="1" si="17"/>
        <v>-1.6433333333333335</v>
      </c>
      <c r="T54">
        <f t="shared" ca="1" si="18"/>
        <v>0.58166666666666667</v>
      </c>
      <c r="V54">
        <f t="shared" si="15"/>
        <v>1992.5</v>
      </c>
      <c r="W54">
        <f t="shared" ca="1" si="5"/>
        <v>-134.13333333333335</v>
      </c>
      <c r="X54">
        <f t="shared" ca="1" si="6"/>
        <v>10.441493746905499</v>
      </c>
      <c r="Y54">
        <f t="shared" ca="1" si="7"/>
        <v>-184.19166666666666</v>
      </c>
      <c r="Z54">
        <f t="shared" ca="1" si="8"/>
        <v>16.703548774636687</v>
      </c>
      <c r="AA54">
        <f t="shared" ca="1" si="9"/>
        <v>-200.625</v>
      </c>
      <c r="AB54">
        <f t="shared" ca="1" si="10"/>
        <v>16.954850174638658</v>
      </c>
      <c r="AE54">
        <f t="shared" ca="1" si="11"/>
        <v>-66.491666666666646</v>
      </c>
      <c r="AF54">
        <f t="shared" ca="1" si="12"/>
        <v>13.358224162581564</v>
      </c>
      <c r="AG54">
        <f t="shared" ca="1" si="13"/>
        <v>-16.433333333333337</v>
      </c>
      <c r="AH54">
        <f ca="1">MAX(S54*5,0)</f>
        <v>0</v>
      </c>
    </row>
    <row r="55" spans="1:34" x14ac:dyDescent="0.2">
      <c r="A55">
        <v>1944</v>
      </c>
      <c r="B55">
        <v>6</v>
      </c>
      <c r="C55">
        <v>-21.61</v>
      </c>
      <c r="D55">
        <v>-21.68</v>
      </c>
      <c r="E55">
        <v>9.27</v>
      </c>
      <c r="F55">
        <v>-9.61</v>
      </c>
      <c r="G55">
        <v>-9.65</v>
      </c>
      <c r="H55">
        <v>9.6999999999999993</v>
      </c>
      <c r="I55">
        <v>-31.22</v>
      </c>
      <c r="J55">
        <v>-31.33</v>
      </c>
      <c r="K55">
        <v>15.48</v>
      </c>
      <c r="L55" t="s">
        <v>0</v>
      </c>
      <c r="M55" t="s">
        <v>0</v>
      </c>
      <c r="N55" t="s">
        <v>0</v>
      </c>
      <c r="O55">
        <f t="shared" ca="1" si="1"/>
        <v>-13.730833333333335</v>
      </c>
      <c r="P55" cm="1">
        <f t="array" aca="1" ref="P55" ca="1">SQRT(AVERAGE(OFFSET($E$2,(ROW(A54)-1)*12,0,12,1)^2))</f>
        <v>1.8211260252931427</v>
      </c>
      <c r="Q55">
        <f t="shared" ca="1" si="16"/>
        <v>-18.838333333333335</v>
      </c>
      <c r="R55" cm="1">
        <f t="array" aca="1" ref="R55" ca="1">SQRT(AVERAGE(OFFSET($K$2,(ROW(A54)-1)*12,0,12,1)^2))</f>
        <v>2.9443887311290946</v>
      </c>
      <c r="S55">
        <f t="shared" ca="1" si="17"/>
        <v>-1.7591666666666665</v>
      </c>
      <c r="T55">
        <f t="shared" ca="1" si="18"/>
        <v>0.54166666666666663</v>
      </c>
      <c r="V55">
        <f t="shared" si="15"/>
        <v>1993.5</v>
      </c>
      <c r="W55">
        <f t="shared" ca="1" si="5"/>
        <v>-137.30833333333334</v>
      </c>
      <c r="X55">
        <f t="shared" ca="1" si="6"/>
        <v>9.105630126465714</v>
      </c>
      <c r="Y55">
        <f t="shared" ca="1" si="7"/>
        <v>-188.38333333333335</v>
      </c>
      <c r="Z55">
        <f t="shared" ca="1" si="8"/>
        <v>14.721943655645473</v>
      </c>
      <c r="AA55">
        <f t="shared" ca="1" si="9"/>
        <v>-205.97499999999999</v>
      </c>
      <c r="AB55">
        <f t="shared" ca="1" si="10"/>
        <v>14.968991096411424</v>
      </c>
      <c r="AE55">
        <f t="shared" ca="1" si="11"/>
        <v>-68.666666666666657</v>
      </c>
      <c r="AF55">
        <f t="shared" ca="1" si="12"/>
        <v>11.881001407475907</v>
      </c>
      <c r="AG55">
        <f t="shared" ca="1" si="13"/>
        <v>-17.591666666666665</v>
      </c>
      <c r="AH55">
        <f t="shared" ref="AH55:AH86" ca="1" si="19">MAX(S55*5,0)</f>
        <v>0</v>
      </c>
    </row>
    <row r="56" spans="1:34" x14ac:dyDescent="0.2">
      <c r="A56">
        <v>1944</v>
      </c>
      <c r="B56">
        <v>7</v>
      </c>
      <c r="C56">
        <v>-21.49</v>
      </c>
      <c r="D56">
        <v>-21.77</v>
      </c>
      <c r="E56">
        <v>9.2899999999999991</v>
      </c>
      <c r="F56">
        <v>-9.6</v>
      </c>
      <c r="G56">
        <v>-9.68</v>
      </c>
      <c r="H56">
        <v>9.73</v>
      </c>
      <c r="I56">
        <v>-31.09</v>
      </c>
      <c r="J56">
        <v>-31.46</v>
      </c>
      <c r="K56">
        <v>15.56</v>
      </c>
      <c r="L56" t="s">
        <v>0</v>
      </c>
      <c r="M56" t="s">
        <v>0</v>
      </c>
      <c r="N56" t="s">
        <v>0</v>
      </c>
      <c r="O56">
        <f t="shared" ca="1" si="1"/>
        <v>-11.985833333333332</v>
      </c>
      <c r="P56" cm="1">
        <f t="array" aca="1" ref="P56" ca="1">SQRT(AVERAGE(OFFSET($E$2,(ROW(A55)-1)*12,0,12,1)^2))</f>
        <v>1.6979595597854109</v>
      </c>
      <c r="Q56">
        <f t="shared" ca="1" si="16"/>
        <v>-16.485000000000003</v>
      </c>
      <c r="R56" cm="1">
        <f t="array" aca="1" ref="R56" ca="1">SQRT(AVERAGE(OFFSET($K$2,(ROW(A55)-1)*12,0,12,1)^2))</f>
        <v>2.7792909767300968</v>
      </c>
      <c r="S56">
        <f t="shared" ca="1" si="17"/>
        <v>-1.6091666666666669</v>
      </c>
      <c r="T56">
        <f t="shared" ca="1" si="18"/>
        <v>0.54499999999999993</v>
      </c>
      <c r="V56">
        <f t="shared" si="15"/>
        <v>1994.5</v>
      </c>
      <c r="W56">
        <f t="shared" ca="1" si="5"/>
        <v>-119.85833333333332</v>
      </c>
      <c r="X56">
        <f t="shared" ca="1" si="6"/>
        <v>8.4897977989270537</v>
      </c>
      <c r="Y56">
        <f t="shared" ca="1" si="7"/>
        <v>-164.85000000000002</v>
      </c>
      <c r="Z56">
        <f t="shared" ca="1" si="8"/>
        <v>13.896454883650485</v>
      </c>
      <c r="AA56">
        <f t="shared" ca="1" si="9"/>
        <v>-180.94166666666669</v>
      </c>
      <c r="AB56">
        <f t="shared" ca="1" si="10"/>
        <v>14.161111655987089</v>
      </c>
      <c r="AE56">
        <f t="shared" ca="1" si="11"/>
        <v>-61.083333333333371</v>
      </c>
      <c r="AF56">
        <f t="shared" ca="1" si="12"/>
        <v>11.334037968291209</v>
      </c>
      <c r="AG56">
        <f t="shared" ca="1" si="13"/>
        <v>-16.091666666666669</v>
      </c>
      <c r="AH56">
        <f t="shared" ca="1" si="19"/>
        <v>0</v>
      </c>
    </row>
    <row r="57" spans="1:34" x14ac:dyDescent="0.2">
      <c r="A57">
        <v>1944</v>
      </c>
      <c r="B57">
        <v>8</v>
      </c>
      <c r="C57">
        <v>-21.19</v>
      </c>
      <c r="D57">
        <v>-21.77</v>
      </c>
      <c r="E57">
        <v>9.3699999999999992</v>
      </c>
      <c r="F57">
        <v>-9.6999999999999993</v>
      </c>
      <c r="G57">
        <v>-9.73</v>
      </c>
      <c r="H57">
        <v>9.77</v>
      </c>
      <c r="I57">
        <v>-30.89</v>
      </c>
      <c r="J57">
        <v>-31.5</v>
      </c>
      <c r="K57">
        <v>15.68</v>
      </c>
      <c r="L57" t="s">
        <v>0</v>
      </c>
      <c r="M57" t="s">
        <v>0</v>
      </c>
      <c r="N57" t="s">
        <v>0</v>
      </c>
      <c r="O57">
        <f t="shared" ca="1" si="1"/>
        <v>-11.406666666666668</v>
      </c>
      <c r="P57" cm="1">
        <f t="array" aca="1" ref="P57" ca="1">SQRT(AVERAGE(OFFSET($E$2,(ROW(A56)-1)*12,0,12,1)^2))</f>
        <v>1.5755501684596824</v>
      </c>
      <c r="Q57">
        <f t="shared" ca="1" si="16"/>
        <v>-16.426666666666666</v>
      </c>
      <c r="R57" cm="1">
        <f t="array" aca="1" ref="R57" ca="1">SQRT(AVERAGE(OFFSET($K$2,(ROW(A56)-1)*12,0,12,1)^2))</f>
        <v>2.7100384376117868</v>
      </c>
      <c r="S57">
        <f t="shared" ca="1" si="17"/>
        <v>-1.4591666666666665</v>
      </c>
      <c r="T57">
        <f t="shared" ca="1" si="18"/>
        <v>0.56333333333333335</v>
      </c>
      <c r="V57">
        <f t="shared" si="15"/>
        <v>1995.5</v>
      </c>
      <c r="W57">
        <f t="shared" ca="1" si="5"/>
        <v>-114.06666666666668</v>
      </c>
      <c r="X57">
        <f t="shared" ca="1" si="6"/>
        <v>7.8777508422984122</v>
      </c>
      <c r="Y57">
        <f t="shared" ca="1" si="7"/>
        <v>-164.26666666666665</v>
      </c>
      <c r="Z57">
        <f t="shared" ca="1" si="8"/>
        <v>13.550192188058933</v>
      </c>
      <c r="AA57">
        <f t="shared" ca="1" si="9"/>
        <v>-178.85833333333329</v>
      </c>
      <c r="AB57">
        <f t="shared" ca="1" si="10"/>
        <v>13.83984535478791</v>
      </c>
      <c r="AE57">
        <f t="shared" ca="1" si="11"/>
        <v>-64.791666666666615</v>
      </c>
      <c r="AF57">
        <f t="shared" ca="1" si="12"/>
        <v>11.379031642064763</v>
      </c>
      <c r="AG57">
        <f t="shared" ca="1" si="13"/>
        <v>-14.591666666666665</v>
      </c>
      <c r="AH57">
        <f t="shared" ca="1" si="19"/>
        <v>0</v>
      </c>
    </row>
    <row r="58" spans="1:34" x14ac:dyDescent="0.2">
      <c r="A58">
        <v>1944</v>
      </c>
      <c r="B58">
        <v>9</v>
      </c>
      <c r="C58">
        <v>-22.01</v>
      </c>
      <c r="D58">
        <v>-21.72</v>
      </c>
      <c r="E58">
        <v>9.3699999999999992</v>
      </c>
      <c r="F58">
        <v>-10</v>
      </c>
      <c r="G58">
        <v>-9.77</v>
      </c>
      <c r="H58">
        <v>9.82</v>
      </c>
      <c r="I58">
        <v>-32</v>
      </c>
      <c r="J58">
        <v>-31.49</v>
      </c>
      <c r="K58">
        <v>15.76</v>
      </c>
      <c r="L58" t="s">
        <v>0</v>
      </c>
      <c r="M58" t="s">
        <v>0</v>
      </c>
      <c r="N58" t="s">
        <v>0</v>
      </c>
      <c r="O58">
        <f t="shared" ca="1" si="1"/>
        <v>-9.7583333333333346</v>
      </c>
      <c r="P58" cm="1">
        <f t="array" aca="1" ref="P58" ca="1">SQRT(AVERAGE(OFFSET($E$2,(ROW(A57)-1)*12,0,12,1)^2))</f>
        <v>1.5931284735806255</v>
      </c>
      <c r="Q58">
        <f t="shared" ca="1" si="16"/>
        <v>-14.277499999999998</v>
      </c>
      <c r="R58" cm="1">
        <f t="array" aca="1" ref="R58" ca="1">SQRT(AVERAGE(OFFSET($K$2,(ROW(A57)-1)*12,0,12,1)^2))</f>
        <v>2.8270317177798581</v>
      </c>
      <c r="S58">
        <f t="shared" ca="1" si="17"/>
        <v>-1.2249999999999999</v>
      </c>
      <c r="T58">
        <f t="shared" ca="1" si="18"/>
        <v>0.60666666666666658</v>
      </c>
      <c r="V58">
        <f t="shared" si="15"/>
        <v>1996.5</v>
      </c>
      <c r="W58">
        <f t="shared" ca="1" si="5"/>
        <v>-97.583333333333343</v>
      </c>
      <c r="X58">
        <f t="shared" ca="1" si="6"/>
        <v>7.9656423679031274</v>
      </c>
      <c r="Y58">
        <f t="shared" ca="1" si="7"/>
        <v>-142.77499999999998</v>
      </c>
      <c r="Z58">
        <f t="shared" ca="1" si="8"/>
        <v>14.135158588899291</v>
      </c>
      <c r="AA58">
        <f t="shared" ca="1" si="9"/>
        <v>-155.02499999999998</v>
      </c>
      <c r="AB58">
        <f t="shared" ca="1" si="10"/>
        <v>14.456964392445757</v>
      </c>
      <c r="AE58">
        <f t="shared" ca="1" si="11"/>
        <v>-57.441666666666634</v>
      </c>
      <c r="AF58">
        <f t="shared" ca="1" si="12"/>
        <v>12.064508324466074</v>
      </c>
      <c r="AG58">
        <f t="shared" ca="1" si="13"/>
        <v>-12.249999999999998</v>
      </c>
      <c r="AH58">
        <f t="shared" ca="1" si="19"/>
        <v>0</v>
      </c>
    </row>
    <row r="59" spans="1:34" x14ac:dyDescent="0.2">
      <c r="A59">
        <v>1944</v>
      </c>
      <c r="B59">
        <v>10</v>
      </c>
      <c r="C59">
        <v>-22.03</v>
      </c>
      <c r="D59">
        <v>-21.7</v>
      </c>
      <c r="E59">
        <v>9.41</v>
      </c>
      <c r="F59">
        <v>-10</v>
      </c>
      <c r="G59">
        <v>-9.8000000000000007</v>
      </c>
      <c r="H59">
        <v>9.83</v>
      </c>
      <c r="I59">
        <v>-32.020000000000003</v>
      </c>
      <c r="J59">
        <v>-31.5</v>
      </c>
      <c r="K59">
        <v>15.78</v>
      </c>
      <c r="L59" t="s">
        <v>0</v>
      </c>
      <c r="M59" t="s">
        <v>0</v>
      </c>
      <c r="N59" t="s">
        <v>0</v>
      </c>
      <c r="O59">
        <f t="shared" ca="1" si="1"/>
        <v>-10.43</v>
      </c>
      <c r="P59" cm="1">
        <f t="array" aca="1" ref="P59" ca="1">SQRT(AVERAGE(OFFSET($E$2,(ROW(A58)-1)*12,0,12,1)^2))</f>
        <v>1.426548865853065</v>
      </c>
      <c r="Q59">
        <f t="shared" ca="1" si="16"/>
        <v>-14.714166666666664</v>
      </c>
      <c r="R59" cm="1">
        <f t="array" aca="1" ref="R59" ca="1">SQRT(AVERAGE(OFFSET($K$2,(ROW(A58)-1)*12,0,12,1)^2))</f>
        <v>2.8127136955853387</v>
      </c>
      <c r="S59">
        <f t="shared" ca="1" si="17"/>
        <v>-1.7883333333333333</v>
      </c>
      <c r="T59">
        <f t="shared" ca="1" si="18"/>
        <v>0.81499999999999995</v>
      </c>
      <c r="V59">
        <f t="shared" si="15"/>
        <v>1997.5</v>
      </c>
      <c r="W59">
        <f t="shared" ca="1" si="5"/>
        <v>-104.3</v>
      </c>
      <c r="X59">
        <f t="shared" ca="1" si="6"/>
        <v>7.132744329265325</v>
      </c>
      <c r="Y59">
        <f t="shared" ca="1" si="7"/>
        <v>-147.14166666666665</v>
      </c>
      <c r="Z59">
        <f t="shared" ca="1" si="8"/>
        <v>14.063568477926694</v>
      </c>
      <c r="AA59">
        <f t="shared" ca="1" si="9"/>
        <v>-165.02499999999998</v>
      </c>
      <c r="AB59">
        <f t="shared" ca="1" si="10"/>
        <v>14.642048467797576</v>
      </c>
      <c r="AE59">
        <f t="shared" ca="1" si="11"/>
        <v>-60.72499999999998</v>
      </c>
      <c r="AF59">
        <f t="shared" ca="1" si="12"/>
        <v>12.787241362649986</v>
      </c>
      <c r="AG59">
        <f t="shared" ca="1" si="13"/>
        <v>-17.883333333333333</v>
      </c>
      <c r="AH59">
        <f t="shared" ca="1" si="19"/>
        <v>0</v>
      </c>
    </row>
    <row r="60" spans="1:34" x14ac:dyDescent="0.2">
      <c r="A60">
        <v>1944</v>
      </c>
      <c r="B60">
        <v>11</v>
      </c>
      <c r="C60">
        <v>-22.93</v>
      </c>
      <c r="D60">
        <v>-21.72</v>
      </c>
      <c r="E60">
        <v>9.5299999999999994</v>
      </c>
      <c r="F60">
        <v>-10.09</v>
      </c>
      <c r="G60">
        <v>-9.83</v>
      </c>
      <c r="H60">
        <v>9.82</v>
      </c>
      <c r="I60">
        <v>-33.03</v>
      </c>
      <c r="J60">
        <v>-31.55</v>
      </c>
      <c r="K60">
        <v>15.84</v>
      </c>
      <c r="L60" t="s">
        <v>0</v>
      </c>
      <c r="M60" t="s">
        <v>0</v>
      </c>
      <c r="N60" t="s">
        <v>0</v>
      </c>
      <c r="O60">
        <f t="shared" ca="1" si="1"/>
        <v>-8.9283333333333328</v>
      </c>
      <c r="P60" cm="1">
        <f t="array" aca="1" ref="P60" ca="1">SQRT(AVERAGE(OFFSET($E$2,(ROW(A59)-1)*12,0,12,1)^2))</f>
        <v>1.2923009195487971</v>
      </c>
      <c r="Q60">
        <f t="shared" ca="1" si="16"/>
        <v>-13.058333333333332</v>
      </c>
      <c r="R60" cm="1">
        <f t="array" aca="1" ref="R60" ca="1">SQRT(AVERAGE(OFFSET($K$2,(ROW(A59)-1)*12,0,12,1)^2))</f>
        <v>2.6408174239554438</v>
      </c>
      <c r="S60">
        <f t="shared" ca="1" si="17"/>
        <v>-1.6949999999999996</v>
      </c>
      <c r="T60">
        <f t="shared" ca="1" si="18"/>
        <v>0.82166666666666677</v>
      </c>
      <c r="V60">
        <f t="shared" si="15"/>
        <v>1998.5</v>
      </c>
      <c r="W60">
        <f t="shared" ca="1" si="5"/>
        <v>-89.283333333333331</v>
      </c>
      <c r="X60">
        <f t="shared" ca="1" si="6"/>
        <v>6.4615045977439856</v>
      </c>
      <c r="Y60">
        <f t="shared" ca="1" si="7"/>
        <v>-130.58333333333331</v>
      </c>
      <c r="Z60">
        <f t="shared" ca="1" si="8"/>
        <v>13.204087119777219</v>
      </c>
      <c r="AA60">
        <f t="shared" ca="1" si="9"/>
        <v>-147.53333333333333</v>
      </c>
      <c r="AB60">
        <f t="shared" ca="1" si="10"/>
        <v>13.828460487141887</v>
      </c>
      <c r="AE60">
        <f t="shared" ca="1" si="11"/>
        <v>-58.25</v>
      </c>
      <c r="AF60">
        <f t="shared" ca="1" si="12"/>
        <v>12.226008251992052</v>
      </c>
      <c r="AG60">
        <f t="shared" ca="1" si="13"/>
        <v>-16.949999999999996</v>
      </c>
      <c r="AH60">
        <f t="shared" ca="1" si="19"/>
        <v>0</v>
      </c>
    </row>
    <row r="61" spans="1:34" x14ac:dyDescent="0.2">
      <c r="A61">
        <v>1944</v>
      </c>
      <c r="B61">
        <v>12</v>
      </c>
      <c r="C61">
        <v>-22.52</v>
      </c>
      <c r="D61">
        <v>-21.74</v>
      </c>
      <c r="E61">
        <v>9.73</v>
      </c>
      <c r="F61">
        <v>-10.210000000000001</v>
      </c>
      <c r="G61">
        <v>-9.8800000000000008</v>
      </c>
      <c r="H61">
        <v>9.83</v>
      </c>
      <c r="I61">
        <v>-32.729999999999997</v>
      </c>
      <c r="J61">
        <v>-31.61</v>
      </c>
      <c r="K61">
        <v>16.03</v>
      </c>
      <c r="L61" t="s">
        <v>0</v>
      </c>
      <c r="M61" t="s">
        <v>0</v>
      </c>
      <c r="N61" t="s">
        <v>0</v>
      </c>
      <c r="O61">
        <f t="shared" ca="1" si="1"/>
        <v>-7.3491666666666653</v>
      </c>
      <c r="P61" cm="1">
        <f t="array" aca="1" ref="P61" ca="1">SQRT(AVERAGE(OFFSET($E$2,(ROW(A60)-1)*12,0,12,1)^2))</f>
        <v>1.5197889107811431</v>
      </c>
      <c r="Q61">
        <f t="shared" ca="1" si="16"/>
        <v>-10.963333333333333</v>
      </c>
      <c r="R61" cm="1">
        <f t="array" aca="1" ref="R61" ca="1">SQRT(AVERAGE(OFFSET($K$2,(ROW(A60)-1)*12,0,12,1)^2))</f>
        <v>2.7684201270760913</v>
      </c>
      <c r="S61">
        <f t="shared" ca="1" si="17"/>
        <v>-1.6908333333333336</v>
      </c>
      <c r="T61">
        <f t="shared" ca="1" si="18"/>
        <v>0.78749999999999998</v>
      </c>
      <c r="V61">
        <f t="shared" si="15"/>
        <v>1999.5</v>
      </c>
      <c r="W61">
        <f t="shared" ca="1" si="5"/>
        <v>-73.491666666666646</v>
      </c>
      <c r="X61">
        <f t="shared" ca="1" si="6"/>
        <v>7.5989445539057154</v>
      </c>
      <c r="Y61">
        <f t="shared" ca="1" si="7"/>
        <v>-109.63333333333333</v>
      </c>
      <c r="Z61">
        <f t="shared" ca="1" si="8"/>
        <v>13.842100635380456</v>
      </c>
      <c r="AA61">
        <f t="shared" ca="1" si="9"/>
        <v>-126.54166666666667</v>
      </c>
      <c r="AB61">
        <f t="shared" ca="1" si="10"/>
        <v>14.391235396935178</v>
      </c>
      <c r="AE61">
        <f t="shared" ca="1" si="11"/>
        <v>-53.050000000000026</v>
      </c>
      <c r="AF61">
        <f t="shared" ca="1" si="12"/>
        <v>12.221444182937903</v>
      </c>
      <c r="AG61">
        <f t="shared" ca="1" si="13"/>
        <v>-16.908333333333335</v>
      </c>
      <c r="AH61">
        <f t="shared" ca="1" si="19"/>
        <v>0</v>
      </c>
    </row>
    <row r="62" spans="1:34" x14ac:dyDescent="0.2">
      <c r="A62">
        <v>1945</v>
      </c>
      <c r="B62">
        <v>1</v>
      </c>
      <c r="C62">
        <v>-21.59</v>
      </c>
      <c r="D62">
        <v>-21.72</v>
      </c>
      <c r="E62">
        <v>9.65</v>
      </c>
      <c r="F62">
        <v>-9.6999999999999993</v>
      </c>
      <c r="G62">
        <v>-9.93</v>
      </c>
      <c r="H62">
        <v>9.69</v>
      </c>
      <c r="I62">
        <v>-31.29</v>
      </c>
      <c r="J62">
        <v>-31.64</v>
      </c>
      <c r="K62">
        <v>15.83</v>
      </c>
      <c r="L62" t="s">
        <v>0</v>
      </c>
      <c r="M62" t="s">
        <v>0</v>
      </c>
      <c r="N62" t="s">
        <v>0</v>
      </c>
      <c r="O62">
        <f t="shared" ca="1" si="1"/>
        <v>-7.501666666666666</v>
      </c>
      <c r="P62" cm="1">
        <f t="array" aca="1" ref="P62" ca="1">SQRT(AVERAGE(OFFSET($E$2,(ROW(A61)-1)*12,0,12,1)^2))</f>
        <v>1.5549142527269257</v>
      </c>
      <c r="Q62">
        <f t="shared" ca="1" si="16"/>
        <v>-11.096666666666666</v>
      </c>
      <c r="R62" cm="1">
        <f t="array" aca="1" ref="R62" ca="1">SQRT(AVERAGE(OFFSET($K$2,(ROW(A61)-1)*12,0,12,1)^2))</f>
        <v>2.6948113724959182</v>
      </c>
      <c r="S62">
        <f t="shared" ca="1" si="17"/>
        <v>-1.6566666666666665</v>
      </c>
      <c r="T62">
        <f t="shared" ca="1" si="18"/>
        <v>0.72916666666666685</v>
      </c>
      <c r="V62">
        <f t="shared" si="15"/>
        <v>2000.5</v>
      </c>
      <c r="W62">
        <f t="shared" ca="1" si="5"/>
        <v>-75.016666666666666</v>
      </c>
      <c r="X62">
        <f t="shared" ca="1" si="6"/>
        <v>7.7745712636346287</v>
      </c>
      <c r="Y62">
        <f t="shared" ca="1" si="7"/>
        <v>-110.96666666666665</v>
      </c>
      <c r="Z62">
        <f t="shared" ca="1" si="8"/>
        <v>13.474056862479591</v>
      </c>
      <c r="AA62">
        <f t="shared" ca="1" si="9"/>
        <v>-127.53333333333332</v>
      </c>
      <c r="AB62">
        <f t="shared" ca="1" si="10"/>
        <v>13.958592659282589</v>
      </c>
      <c r="AE62">
        <f t="shared" ca="1" si="11"/>
        <v>-52.516666666666652</v>
      </c>
      <c r="AF62">
        <f t="shared" ca="1" si="12"/>
        <v>11.593030263673276</v>
      </c>
      <c r="AG62">
        <f t="shared" ca="1" si="13"/>
        <v>-16.566666666666666</v>
      </c>
      <c r="AH62">
        <f t="shared" ca="1" si="19"/>
        <v>0</v>
      </c>
    </row>
    <row r="63" spans="1:34" x14ac:dyDescent="0.2">
      <c r="A63">
        <v>1945</v>
      </c>
      <c r="B63">
        <v>2</v>
      </c>
      <c r="C63">
        <v>-21.34</v>
      </c>
      <c r="D63">
        <v>-21.68</v>
      </c>
      <c r="E63">
        <v>9.65</v>
      </c>
      <c r="F63">
        <v>-9.69</v>
      </c>
      <c r="G63">
        <v>-9.9700000000000006</v>
      </c>
      <c r="H63">
        <v>9.69</v>
      </c>
      <c r="I63">
        <v>-31.03</v>
      </c>
      <c r="J63">
        <v>-31.65</v>
      </c>
      <c r="K63">
        <v>15.81</v>
      </c>
      <c r="L63" t="s">
        <v>0</v>
      </c>
      <c r="M63" t="s">
        <v>0</v>
      </c>
      <c r="N63" t="s">
        <v>0</v>
      </c>
      <c r="O63">
        <f t="shared" ca="1" si="1"/>
        <v>-7.1275000000000013</v>
      </c>
      <c r="P63" cm="1">
        <f t="array" aca="1" ref="P63" ca="1">SQRT(AVERAGE(OFFSET($E$2,(ROW(A62)-1)*12,0,12,1)^2))</f>
        <v>1.6540304309977694</v>
      </c>
      <c r="Q63">
        <f ca="1">AVERAGE(OFFSET($I$2,(ROW(A62)-1)*12,0,12,1))</f>
        <v>-10.681666666666667</v>
      </c>
      <c r="R63" cm="1">
        <f t="array" aca="1" ref="R63" ca="1">SQRT(AVERAGE(OFFSET($K$2,(ROW(A62)-1)*12,0,12,1)^2))</f>
        <v>2.5396833792161311</v>
      </c>
      <c r="S63">
        <f ca="1">AVERAGE(OFFSET($L$2,(ROW(A62)-1)*12,0,12,1))</f>
        <v>-1.5991666666666664</v>
      </c>
      <c r="T63">
        <f ca="1">SQRT(AVERAGE(OFFSET($N$2,(ROW(A62)-1)*12,0,12,1))^2)</f>
        <v>0.67249999999999999</v>
      </c>
      <c r="V63">
        <f t="shared" si="15"/>
        <v>2001.5</v>
      </c>
      <c r="W63">
        <f t="shared" ca="1" si="5"/>
        <v>-71.275000000000006</v>
      </c>
      <c r="X63">
        <f t="shared" ca="1" si="6"/>
        <v>8.2701521549888461</v>
      </c>
      <c r="Y63">
        <f t="shared" ca="1" si="7"/>
        <v>-106.81666666666666</v>
      </c>
      <c r="Z63">
        <f t="shared" ca="1" si="8"/>
        <v>12.698416896080655</v>
      </c>
      <c r="AA63">
        <f t="shared" ca="1" si="9"/>
        <v>-122.80833333333334</v>
      </c>
      <c r="AB63">
        <f t="shared" ca="1" si="10"/>
        <v>13.136064780468566</v>
      </c>
      <c r="AE63">
        <f t="shared" ca="1" si="11"/>
        <v>-51.533333333333331</v>
      </c>
      <c r="AF63">
        <f t="shared" ca="1" si="12"/>
        <v>10.205918932168725</v>
      </c>
      <c r="AG63">
        <f t="shared" ca="1" si="13"/>
        <v>-15.991666666666664</v>
      </c>
      <c r="AH63">
        <f t="shared" ca="1" si="19"/>
        <v>0</v>
      </c>
    </row>
    <row r="64" spans="1:34" x14ac:dyDescent="0.2">
      <c r="A64">
        <v>1945</v>
      </c>
      <c r="B64">
        <v>3</v>
      </c>
      <c r="C64">
        <v>-21.14</v>
      </c>
      <c r="D64">
        <v>-21.65</v>
      </c>
      <c r="E64">
        <v>9.73</v>
      </c>
      <c r="F64">
        <v>-9.73</v>
      </c>
      <c r="G64">
        <v>-10</v>
      </c>
      <c r="H64">
        <v>9.68</v>
      </c>
      <c r="I64">
        <v>-30.87</v>
      </c>
      <c r="J64">
        <v>-31.65</v>
      </c>
      <c r="K64">
        <v>15.92</v>
      </c>
      <c r="L64" t="s">
        <v>0</v>
      </c>
      <c r="M64" t="s">
        <v>0</v>
      </c>
      <c r="N64" t="s">
        <v>0</v>
      </c>
      <c r="O64">
        <f t="shared" ca="1" si="1"/>
        <v>-4.5366666666666662</v>
      </c>
      <c r="P64" cm="1">
        <f t="array" aca="1" ref="P64" ca="1">SQRT(AVERAGE(OFFSET($E$2,(ROW(A63)-1)*12,0,12,1)^2))</f>
        <v>1.6259253775414582</v>
      </c>
      <c r="Q64">
        <f t="shared" ref="Q64:Q66" ca="1" si="20">AVERAGE(OFFSET($I$2,(ROW(A63)-1)*12,0,12,1))</f>
        <v>-7.6324999999999994</v>
      </c>
      <c r="R64" cm="1">
        <f t="array" aca="1" ref="R64" ca="1">SQRT(AVERAGE(OFFSET($K$2,(ROW(A63)-1)*12,0,12,1)^2))</f>
        <v>2.3305864784069552</v>
      </c>
      <c r="S64">
        <f t="shared" ref="S64:S66" ca="1" si="21">AVERAGE(OFFSET($L$2,(ROW(A63)-1)*12,0,12,1))</f>
        <v>-1.4849999999999997</v>
      </c>
      <c r="T64">
        <f t="shared" ref="T64:T66" ca="1" si="22">SQRT(AVERAGE(OFFSET($N$2,(ROW(A63)-1)*12,0,12,1))^2)</f>
        <v>0.61166666666666658</v>
      </c>
      <c r="V64">
        <f t="shared" si="15"/>
        <v>2002.5</v>
      </c>
      <c r="W64">
        <f t="shared" ca="1" si="5"/>
        <v>-45.36666666666666</v>
      </c>
      <c r="X64">
        <f t="shared" ca="1" si="6"/>
        <v>8.1296268877072908</v>
      </c>
      <c r="Y64">
        <f t="shared" ca="1" si="7"/>
        <v>-76.324999999999989</v>
      </c>
      <c r="Z64">
        <f t="shared" ca="1" si="8"/>
        <v>11.652932392034776</v>
      </c>
      <c r="AA64">
        <f t="shared" ca="1" si="9"/>
        <v>-91.174999999999997</v>
      </c>
      <c r="AB64">
        <f t="shared" ca="1" si="10"/>
        <v>12.047582168680615</v>
      </c>
      <c r="AE64">
        <f t="shared" ca="1" si="11"/>
        <v>-45.808333333333337</v>
      </c>
      <c r="AF64">
        <f t="shared" ca="1" si="12"/>
        <v>8.8911980507565893</v>
      </c>
      <c r="AG64">
        <f t="shared" ca="1" si="13"/>
        <v>-14.849999999999996</v>
      </c>
      <c r="AH64">
        <f t="shared" ca="1" si="19"/>
        <v>0</v>
      </c>
    </row>
    <row r="65" spans="1:34" x14ac:dyDescent="0.2">
      <c r="A65">
        <v>1945</v>
      </c>
      <c r="B65">
        <v>4</v>
      </c>
      <c r="C65">
        <v>-21.68</v>
      </c>
      <c r="D65">
        <v>-21.6</v>
      </c>
      <c r="E65">
        <v>9.7799999999999994</v>
      </c>
      <c r="F65">
        <v>-9.77</v>
      </c>
      <c r="G65">
        <v>-10.02</v>
      </c>
      <c r="H65">
        <v>9.6999999999999993</v>
      </c>
      <c r="I65">
        <v>-31.45</v>
      </c>
      <c r="J65">
        <v>-31.62</v>
      </c>
      <c r="K65">
        <v>15.98</v>
      </c>
      <c r="L65" t="s">
        <v>0</v>
      </c>
      <c r="M65" t="s">
        <v>0</v>
      </c>
      <c r="N65" t="s">
        <v>0</v>
      </c>
      <c r="O65">
        <f t="shared" ca="1" si="1"/>
        <v>-2.2558333333333334</v>
      </c>
      <c r="P65" cm="1">
        <f t="array" aca="1" ref="P65" ca="1">SQRT(AVERAGE(OFFSET($E$2,(ROW(A64)-1)*12,0,12,1)^2))</f>
        <v>1.4074296903694099</v>
      </c>
      <c r="Q65">
        <f t="shared" ca="1" si="20"/>
        <v>-4.732499999999999</v>
      </c>
      <c r="R65" cm="1">
        <f t="array" aca="1" ref="R65" ca="1">SQRT(AVERAGE(OFFSET($K$2,(ROW(A64)-1)*12,0,12,1)^2))</f>
        <v>2.0339391174106796</v>
      </c>
      <c r="S65">
        <f t="shared" ca="1" si="21"/>
        <v>-1.25</v>
      </c>
      <c r="T65">
        <f t="shared" ca="1" si="22"/>
        <v>0.56583333333333341</v>
      </c>
      <c r="V65">
        <f t="shared" si="15"/>
        <v>2003.5</v>
      </c>
      <c r="W65">
        <f t="shared" ca="1" si="5"/>
        <v>-22.558333333333334</v>
      </c>
      <c r="X65">
        <f t="shared" ca="1" si="6"/>
        <v>7.0371484518470497</v>
      </c>
      <c r="Y65">
        <f t="shared" ca="1" si="7"/>
        <v>-47.324999999999989</v>
      </c>
      <c r="Z65">
        <f t="shared" ca="1" si="8"/>
        <v>10.169695587053397</v>
      </c>
      <c r="AA65">
        <f t="shared" ca="1" si="9"/>
        <v>-59.824999999999989</v>
      </c>
      <c r="AB65">
        <f t="shared" ca="1" si="10"/>
        <v>10.555893726308121</v>
      </c>
      <c r="AE65">
        <f t="shared" ca="1" si="11"/>
        <v>-37.266666666666652</v>
      </c>
      <c r="AF65">
        <f t="shared" ca="1" si="12"/>
        <v>7.8680006372507254</v>
      </c>
      <c r="AG65">
        <f t="shared" ca="1" si="13"/>
        <v>-12.5</v>
      </c>
      <c r="AH65">
        <f t="shared" ca="1" si="19"/>
        <v>0</v>
      </c>
    </row>
    <row r="66" spans="1:34" x14ac:dyDescent="0.2">
      <c r="A66">
        <v>1945</v>
      </c>
      <c r="B66">
        <v>5</v>
      </c>
      <c r="C66">
        <v>-21.27</v>
      </c>
      <c r="D66">
        <v>-21.46</v>
      </c>
      <c r="E66">
        <v>9.76</v>
      </c>
      <c r="F66">
        <v>-10.19</v>
      </c>
      <c r="G66">
        <v>-10.02</v>
      </c>
      <c r="H66">
        <v>9.6199999999999992</v>
      </c>
      <c r="I66">
        <v>-31.46</v>
      </c>
      <c r="J66">
        <v>-31.49</v>
      </c>
      <c r="K66">
        <v>15.87</v>
      </c>
      <c r="L66" t="s">
        <v>0</v>
      </c>
      <c r="M66" t="s">
        <v>0</v>
      </c>
      <c r="N66" t="s">
        <v>0</v>
      </c>
      <c r="O66">
        <f t="shared" ca="1" si="1"/>
        <v>-2.9983333333333335</v>
      </c>
      <c r="P66" cm="1">
        <f t="array" aca="1" ref="P66" ca="1">SQRT(AVERAGE(OFFSET($E$2,(ROW(A65)-1)*12,0,12,1)^2))</f>
        <v>0.92316484624000572</v>
      </c>
      <c r="Q66">
        <f t="shared" ca="1" si="20"/>
        <v>-5.3624999999999998</v>
      </c>
      <c r="R66" cm="1">
        <f t="array" aca="1" ref="R66" ca="1">SQRT(AVERAGE(OFFSET($K$2,(ROW(A65)-1)*12,0,12,1)^2))</f>
        <v>1.5505644133669518</v>
      </c>
      <c r="S66">
        <f t="shared" ca="1" si="21"/>
        <v>-0.9191666666666668</v>
      </c>
      <c r="T66">
        <f t="shared" ca="1" si="22"/>
        <v>0.52500000000000002</v>
      </c>
      <c r="V66">
        <f t="shared" si="15"/>
        <v>2004.5</v>
      </c>
      <c r="W66">
        <f t="shared" ca="1" si="5"/>
        <v>-29.983333333333334</v>
      </c>
      <c r="X66">
        <f t="shared" ca="1" si="6"/>
        <v>4.6158242312000288</v>
      </c>
      <c r="Y66">
        <f t="shared" ca="1" si="7"/>
        <v>-53.625</v>
      </c>
      <c r="Z66">
        <f t="shared" ca="1" si="8"/>
        <v>7.7528220668347592</v>
      </c>
      <c r="AA66">
        <f t="shared" ca="1" si="9"/>
        <v>-62.816666666666663</v>
      </c>
      <c r="AB66">
        <f t="shared" ca="1" si="10"/>
        <v>8.1851618798897299</v>
      </c>
      <c r="AE66">
        <f t="shared" ca="1" si="11"/>
        <v>-32.833333333333329</v>
      </c>
      <c r="AF66">
        <f t="shared" ca="1" si="12"/>
        <v>6.7595148987680052</v>
      </c>
      <c r="AG66">
        <f t="shared" ca="1" si="13"/>
        <v>-9.1916666666666682</v>
      </c>
      <c r="AH66">
        <f t="shared" ca="1" si="19"/>
        <v>0</v>
      </c>
    </row>
    <row r="67" spans="1:34" x14ac:dyDescent="0.2">
      <c r="A67">
        <v>1945</v>
      </c>
      <c r="B67">
        <v>6</v>
      </c>
      <c r="C67">
        <v>-21.65</v>
      </c>
      <c r="D67">
        <v>-21.33</v>
      </c>
      <c r="E67">
        <v>9.7100000000000009</v>
      </c>
      <c r="F67">
        <v>-10.16</v>
      </c>
      <c r="G67">
        <v>-10.02</v>
      </c>
      <c r="H67">
        <v>9.4700000000000006</v>
      </c>
      <c r="I67">
        <v>-31.82</v>
      </c>
      <c r="J67">
        <v>-31.34</v>
      </c>
      <c r="K67">
        <v>15.71</v>
      </c>
      <c r="L67" t="s">
        <v>0</v>
      </c>
      <c r="M67" t="s">
        <v>0</v>
      </c>
      <c r="N67" t="s">
        <v>0</v>
      </c>
      <c r="O67">
        <f t="shared" ref="O67:O86" ca="1" si="23">AVERAGE(OFFSET($C$2,(ROW(A66)-1)*12,0,12,1))</f>
        <v>-2.7124999999999999</v>
      </c>
      <c r="P67" cm="1">
        <f t="array" aca="1" ref="P67" ca="1">SQRT(AVERAGE(OFFSET($E$2,(ROW(A66)-1)*12,0,12,1)^2))</f>
        <v>0.68367267996705361</v>
      </c>
      <c r="Q67">
        <f ca="1">AVERAGE(OFFSET($I$2,(ROW(A66)-1)*12,0,12,1))</f>
        <v>-5.0324999999999998</v>
      </c>
      <c r="R67" cm="1">
        <f t="array" aca="1" ref="R67" ca="1">SQRT(AVERAGE(OFFSET($K$2,(ROW(A66)-1)*12,0,12,1)^2))</f>
        <v>1.2322946076324444</v>
      </c>
      <c r="S67">
        <f ca="1">AVERAGE(OFFSET($L$2,(ROW(A66)-1)*12,0,12,1))</f>
        <v>-0.8075</v>
      </c>
      <c r="T67">
        <f ca="1">SQRT(AVERAGE(OFFSET($N$2,(ROW(A66)-1)*12,0,12,1))^2)</f>
        <v>0.48</v>
      </c>
      <c r="V67">
        <f t="shared" si="15"/>
        <v>2005.5</v>
      </c>
      <c r="W67">
        <f t="shared" ref="W67:W86" ca="1" si="24">O67*10</f>
        <v>-27.125</v>
      </c>
      <c r="X67">
        <f t="shared" ref="X67:X86" ca="1" si="25">P67*5</f>
        <v>3.4183633998352683</v>
      </c>
      <c r="Y67">
        <f t="shared" ref="Y67:Y86" ca="1" si="26">Q67*10</f>
        <v>-50.324999999999996</v>
      </c>
      <c r="Z67">
        <f t="shared" ref="Z67:Z86" ca="1" si="27">R67*10/2</f>
        <v>6.1614730381622218</v>
      </c>
      <c r="AA67">
        <f t="shared" ref="AA67:AA86" ca="1" si="28">IF(ISNUMBER(S67),(S67+Q67)*10,"NaN")</f>
        <v>-58.4</v>
      </c>
      <c r="AB67">
        <f t="shared" ref="AB67:AB86" ca="1" si="29">IF(ISNUMBER(T67),SQRT(T67^2+R67^2)*10/2,"NaN")</f>
        <v>6.6123936664418279</v>
      </c>
      <c r="AE67">
        <f t="shared" ref="AE67:AE86" ca="1" si="30">AA67-W67</f>
        <v>-31.274999999999999</v>
      </c>
      <c r="AF67">
        <f t="shared" ref="AF67:AF86" ca="1" si="31">SQRT(AB67^2-X67^2)</f>
        <v>5.6602598585812887</v>
      </c>
      <c r="AG67">
        <f t="shared" ref="AG67:AG86" ca="1" si="32">S67*10</f>
        <v>-8.0749999999999993</v>
      </c>
      <c r="AH67">
        <f t="shared" ca="1" si="19"/>
        <v>0</v>
      </c>
    </row>
    <row r="68" spans="1:34" x14ac:dyDescent="0.2">
      <c r="A68">
        <v>1945</v>
      </c>
      <c r="B68">
        <v>7</v>
      </c>
      <c r="C68">
        <v>-20.97</v>
      </c>
      <c r="D68">
        <v>-21.27</v>
      </c>
      <c r="E68">
        <v>9.82</v>
      </c>
      <c r="F68">
        <v>-10.19</v>
      </c>
      <c r="G68">
        <v>-10.02</v>
      </c>
      <c r="H68">
        <v>9.43</v>
      </c>
      <c r="I68">
        <v>-31.15</v>
      </c>
      <c r="J68">
        <v>-31.29</v>
      </c>
      <c r="K68">
        <v>15.74</v>
      </c>
      <c r="L68" t="s">
        <v>0</v>
      </c>
      <c r="M68" t="s">
        <v>0</v>
      </c>
      <c r="N68" t="s">
        <v>0</v>
      </c>
      <c r="O68">
        <f t="shared" ca="1" si="23"/>
        <v>-1.5741666666666667</v>
      </c>
      <c r="P68" cm="1">
        <f t="array" aca="1" ref="P68" ca="1">SQRT(AVERAGE(OFFSET($E$2,(ROW(A67)-1)*12,0,12,1)^2))</f>
        <v>0.7560478379926322</v>
      </c>
      <c r="Q68">
        <f t="shared" ref="Q68:Q69" ca="1" si="33">AVERAGE(OFFSET($I$2,(ROW(A67)-1)*12,0,12,1))</f>
        <v>-3.0858333333333334</v>
      </c>
      <c r="R68" cm="1">
        <f t="array" aca="1" ref="R68" ca="1">SQRT(AVERAGE(OFFSET($K$2,(ROW(A67)-1)*12,0,12,1)^2))</f>
        <v>1.3170358132311109</v>
      </c>
      <c r="S68">
        <f t="shared" ref="S68:S69" ca="1" si="34">AVERAGE(OFFSET($L$2,(ROW(A67)-1)*12,0,12,1))</f>
        <v>-0.70833333333333337</v>
      </c>
      <c r="T68">
        <f t="shared" ref="T68:T69" ca="1" si="35">SQRT(AVERAGE(OFFSET($N$2,(ROW(A67)-1)*12,0,12,1))^2)</f>
        <v>0.38666666666666666</v>
      </c>
      <c r="V68">
        <f t="shared" ref="V68:V88" si="36">V67+1</f>
        <v>2006.5</v>
      </c>
      <c r="W68">
        <f t="shared" ca="1" si="24"/>
        <v>-15.741666666666667</v>
      </c>
      <c r="X68">
        <f t="shared" ca="1" si="25"/>
        <v>3.7802391899631611</v>
      </c>
      <c r="Y68">
        <f t="shared" ca="1" si="26"/>
        <v>-30.858333333333334</v>
      </c>
      <c r="Z68">
        <f t="shared" ca="1" si="27"/>
        <v>6.585179066155554</v>
      </c>
      <c r="AA68">
        <f t="shared" ca="1" si="28"/>
        <v>-37.94166666666667</v>
      </c>
      <c r="AB68">
        <f t="shared" ca="1" si="29"/>
        <v>6.8631159913781961</v>
      </c>
      <c r="AE68">
        <f t="shared" ca="1" si="30"/>
        <v>-22.200000000000003</v>
      </c>
      <c r="AF68">
        <f t="shared" ca="1" si="31"/>
        <v>5.7281893105743098</v>
      </c>
      <c r="AG68">
        <f t="shared" ca="1" si="32"/>
        <v>-7.0833333333333339</v>
      </c>
      <c r="AH68">
        <f t="shared" ca="1" si="19"/>
        <v>0</v>
      </c>
    </row>
    <row r="69" spans="1:34" x14ac:dyDescent="0.2">
      <c r="A69">
        <v>1945</v>
      </c>
      <c r="B69">
        <v>8</v>
      </c>
      <c r="C69">
        <v>-20.83</v>
      </c>
      <c r="D69">
        <v>-21.31</v>
      </c>
      <c r="E69">
        <v>9.84</v>
      </c>
      <c r="F69">
        <v>-10.220000000000001</v>
      </c>
      <c r="G69">
        <v>-10.01</v>
      </c>
      <c r="H69">
        <v>9.41</v>
      </c>
      <c r="I69">
        <v>-31.05</v>
      </c>
      <c r="J69">
        <v>-31.32</v>
      </c>
      <c r="K69">
        <v>15.72</v>
      </c>
      <c r="L69" t="s">
        <v>0</v>
      </c>
      <c r="M69" t="s">
        <v>0</v>
      </c>
      <c r="N69" t="s">
        <v>0</v>
      </c>
      <c r="O69">
        <f t="shared" ca="1" si="23"/>
        <v>-2.5500000000000003</v>
      </c>
      <c r="P69" cm="1">
        <f t="array" aca="1" ref="P69" ca="1">SQRT(AVERAGE(OFFSET($E$2,(ROW(A68)-1)*12,0,12,1)^2))</f>
        <v>0.6387487769068525</v>
      </c>
      <c r="Q69">
        <f t="shared" ca="1" si="33"/>
        <v>-3.8191666666666673</v>
      </c>
      <c r="R69" cm="1">
        <f t="array" aca="1" ref="R69" ca="1">SQRT(AVERAGE(OFFSET($K$2,(ROW(A68)-1)*12,0,12,1)^2))</f>
        <v>1.0837588907747577</v>
      </c>
      <c r="S69">
        <f t="shared" ca="1" si="34"/>
        <v>-0.68333333333333346</v>
      </c>
      <c r="T69">
        <f t="shared" ca="1" si="35"/>
        <v>0.34333333333333332</v>
      </c>
      <c r="V69">
        <f t="shared" si="36"/>
        <v>2007.5</v>
      </c>
      <c r="W69">
        <f t="shared" ca="1" si="24"/>
        <v>-25.500000000000004</v>
      </c>
      <c r="X69">
        <f t="shared" ca="1" si="25"/>
        <v>3.1937438845342623</v>
      </c>
      <c r="Y69">
        <f t="shared" ca="1" si="26"/>
        <v>-38.19166666666667</v>
      </c>
      <c r="Z69">
        <f t="shared" ca="1" si="27"/>
        <v>5.4187944538737884</v>
      </c>
      <c r="AA69">
        <f t="shared" ca="1" si="28"/>
        <v>-45.025000000000006</v>
      </c>
      <c r="AB69">
        <f t="shared" ca="1" si="29"/>
        <v>5.6842130306470553</v>
      </c>
      <c r="AE69">
        <f t="shared" ca="1" si="30"/>
        <v>-19.525000000000002</v>
      </c>
      <c r="AF69">
        <f t="shared" ca="1" si="31"/>
        <v>4.7021567155697594</v>
      </c>
      <c r="AG69">
        <f t="shared" ca="1" si="32"/>
        <v>-6.8333333333333348</v>
      </c>
      <c r="AH69">
        <f t="shared" ca="1" si="19"/>
        <v>0</v>
      </c>
    </row>
    <row r="70" spans="1:34" x14ac:dyDescent="0.2">
      <c r="A70">
        <v>1945</v>
      </c>
      <c r="B70">
        <v>9</v>
      </c>
      <c r="C70">
        <v>-21.74</v>
      </c>
      <c r="D70">
        <v>-21.43</v>
      </c>
      <c r="E70">
        <v>10</v>
      </c>
      <c r="F70">
        <v>-10.16</v>
      </c>
      <c r="G70">
        <v>-9.9700000000000006</v>
      </c>
      <c r="H70">
        <v>9.43</v>
      </c>
      <c r="I70">
        <v>-31.9</v>
      </c>
      <c r="J70">
        <v>-31.4</v>
      </c>
      <c r="K70">
        <v>15.81</v>
      </c>
      <c r="L70" t="s">
        <v>0</v>
      </c>
      <c r="M70" t="s">
        <v>0</v>
      </c>
      <c r="N70" t="s">
        <v>0</v>
      </c>
      <c r="O70">
        <f t="shared" ca="1" si="23"/>
        <v>-1.2775000000000001</v>
      </c>
      <c r="P70" cm="1">
        <f t="array" aca="1" ref="P70" ca="1">SQRT(AVERAGE(OFFSET($E$2,(ROW(A69)-1)*12,0,12,1)^2))</f>
        <v>0.54788228662733751</v>
      </c>
      <c r="Q70">
        <f ca="1">AVERAGE(OFFSET($I$2,(ROW(A69)-1)*12,0,12,1))</f>
        <v>-2.1949999999999998</v>
      </c>
      <c r="R70" cm="1">
        <f t="array" aca="1" ref="R70" ca="1">SQRT(AVERAGE(OFFSET($K$2,(ROW(A69)-1)*12,0,12,1)^2))</f>
        <v>0.93532525537020172</v>
      </c>
      <c r="S70">
        <f ca="1">AVERAGE(OFFSET($L$2,(ROW(A69)-1)*12,0,12,1))</f>
        <v>-0.35916666666666663</v>
      </c>
      <c r="T70">
        <f ca="1">SQRT(AVERAGE(OFFSET($N$2,(ROW(A69)-1)*12,0,12,1))^2)</f>
        <v>0.29999999999999993</v>
      </c>
      <c r="V70">
        <f t="shared" si="36"/>
        <v>2008.5</v>
      </c>
      <c r="W70">
        <f t="shared" ca="1" si="24"/>
        <v>-12.775</v>
      </c>
      <c r="X70">
        <f t="shared" ca="1" si="25"/>
        <v>2.7394114331366874</v>
      </c>
      <c r="Y70">
        <f t="shared" ca="1" si="26"/>
        <v>-21.95</v>
      </c>
      <c r="Z70">
        <f t="shared" ca="1" si="27"/>
        <v>4.6766262768510085</v>
      </c>
      <c r="AA70">
        <f t="shared" ca="1" si="28"/>
        <v>-25.541666666666664</v>
      </c>
      <c r="AB70">
        <f t="shared" ca="1" si="29"/>
        <v>4.9112965022826023</v>
      </c>
      <c r="AE70">
        <f t="shared" ca="1" si="30"/>
        <v>-12.766666666666664</v>
      </c>
      <c r="AF70">
        <f t="shared" ca="1" si="31"/>
        <v>4.07632902662841</v>
      </c>
      <c r="AG70">
        <f t="shared" ca="1" si="32"/>
        <v>-3.5916666666666663</v>
      </c>
      <c r="AH70">
        <f t="shared" ca="1" si="19"/>
        <v>0</v>
      </c>
    </row>
    <row r="71" spans="1:34" x14ac:dyDescent="0.2">
      <c r="A71">
        <v>1945</v>
      </c>
      <c r="B71">
        <v>10</v>
      </c>
      <c r="C71">
        <v>-20.99</v>
      </c>
      <c r="D71">
        <v>-21.54</v>
      </c>
      <c r="E71">
        <v>9.8699999999999992</v>
      </c>
      <c r="F71">
        <v>-10.210000000000001</v>
      </c>
      <c r="G71">
        <v>-9.93</v>
      </c>
      <c r="H71">
        <v>9.42</v>
      </c>
      <c r="I71">
        <v>-31.19</v>
      </c>
      <c r="J71">
        <v>-31.47</v>
      </c>
      <c r="K71">
        <v>15.68</v>
      </c>
      <c r="L71" t="s">
        <v>0</v>
      </c>
      <c r="M71" t="s">
        <v>0</v>
      </c>
      <c r="N71" t="s">
        <v>0</v>
      </c>
      <c r="O71">
        <f t="shared" ca="1" si="23"/>
        <v>-0.77083333333333337</v>
      </c>
      <c r="P71" cm="1">
        <f t="array" aca="1" ref="P71" ca="1">SQRT(AVERAGE(OFFSET($E$2,(ROW(A70)-1)*12,0,12,1)^2))</f>
        <v>0.52620496640251002</v>
      </c>
      <c r="Q71">
        <f t="shared" ref="Q71:Q75" ca="1" si="37">AVERAGE(OFFSET($I$2,(ROW(A70)-1)*12,0,12,1))</f>
        <v>-1.5841666666666667</v>
      </c>
      <c r="R71" cm="1">
        <f t="array" aca="1" ref="R71" ca="1">SQRT(AVERAGE(OFFSET($K$2,(ROW(A70)-1)*12,0,12,1)^2))</f>
        <v>0.83086300515387812</v>
      </c>
      <c r="S71">
        <f t="shared" ref="S71:S75" ca="1" si="38">AVERAGE(OFFSET($L$2,(ROW(A70)-1)*12,0,12,1))</f>
        <v>-0.29499999999999998</v>
      </c>
      <c r="T71">
        <f t="shared" ref="T71:T75" ca="1" si="39">SQRT(AVERAGE(OFFSET($N$2,(ROW(A70)-1)*12,0,12,1))^2)</f>
        <v>0.24583333333333335</v>
      </c>
      <c r="V71">
        <f t="shared" si="36"/>
        <v>2009.5</v>
      </c>
      <c r="W71">
        <f t="shared" ca="1" si="24"/>
        <v>-7.7083333333333339</v>
      </c>
      <c r="X71">
        <f t="shared" ca="1" si="25"/>
        <v>2.63102483201255</v>
      </c>
      <c r="Y71">
        <f t="shared" ca="1" si="26"/>
        <v>-15.841666666666667</v>
      </c>
      <c r="Z71">
        <f t="shared" ca="1" si="27"/>
        <v>4.1543150257693906</v>
      </c>
      <c r="AA71">
        <f t="shared" ca="1" si="28"/>
        <v>-18.791666666666668</v>
      </c>
      <c r="AB71">
        <f t="shared" ca="1" si="29"/>
        <v>4.3323416333176894</v>
      </c>
      <c r="AE71">
        <f t="shared" ca="1" si="30"/>
        <v>-11.083333333333334</v>
      </c>
      <c r="AF71">
        <f t="shared" ca="1" si="31"/>
        <v>3.4419314869867934</v>
      </c>
      <c r="AG71">
        <f t="shared" ca="1" si="32"/>
        <v>-2.9499999999999997</v>
      </c>
      <c r="AH71">
        <f t="shared" ca="1" si="19"/>
        <v>0</v>
      </c>
    </row>
    <row r="72" spans="1:34" x14ac:dyDescent="0.2">
      <c r="A72">
        <v>1945</v>
      </c>
      <c r="B72">
        <v>11</v>
      </c>
      <c r="C72">
        <v>-20.74</v>
      </c>
      <c r="D72">
        <v>-21.55</v>
      </c>
      <c r="E72">
        <v>9.7899999999999991</v>
      </c>
      <c r="F72">
        <v>-9.99</v>
      </c>
      <c r="G72">
        <v>-9.85</v>
      </c>
      <c r="H72">
        <v>9.3699999999999992</v>
      </c>
      <c r="I72">
        <v>-30.73</v>
      </c>
      <c r="J72">
        <v>-31.4</v>
      </c>
      <c r="K72">
        <v>15.55</v>
      </c>
      <c r="L72" t="s">
        <v>0</v>
      </c>
      <c r="M72" t="s">
        <v>0</v>
      </c>
      <c r="N72" t="s">
        <v>0</v>
      </c>
      <c r="O72">
        <f t="shared" ca="1" si="23"/>
        <v>-1.0241666666666667</v>
      </c>
      <c r="P72" cm="1">
        <f t="array" aca="1" ref="P72" ca="1">SQRT(AVERAGE(OFFSET($E$2,(ROW(A71)-1)*12,0,12,1)^2))</f>
        <v>0.43104524124504617</v>
      </c>
      <c r="Q72">
        <f t="shared" ca="1" si="37"/>
        <v>-1.5850000000000002</v>
      </c>
      <c r="R72" cm="1">
        <f t="array" aca="1" ref="R72" ca="1">SQRT(AVERAGE(OFFSET($K$2,(ROW(A71)-1)*12,0,12,1)^2))</f>
        <v>0.64991025021408422</v>
      </c>
      <c r="S72">
        <f t="shared" ca="1" si="38"/>
        <v>-0.18000000000000002</v>
      </c>
      <c r="T72">
        <f t="shared" ca="1" si="39"/>
        <v>0.18166666666666664</v>
      </c>
      <c r="V72">
        <f t="shared" si="36"/>
        <v>2010.5</v>
      </c>
      <c r="W72">
        <f t="shared" ca="1" si="24"/>
        <v>-10.241666666666667</v>
      </c>
      <c r="X72">
        <f t="shared" ca="1" si="25"/>
        <v>2.155226206225231</v>
      </c>
      <c r="Y72">
        <f t="shared" ca="1" si="26"/>
        <v>-15.850000000000001</v>
      </c>
      <c r="Z72">
        <f t="shared" ca="1" si="27"/>
        <v>3.2495512510704212</v>
      </c>
      <c r="AA72">
        <f t="shared" ca="1" si="28"/>
        <v>-17.650000000000002</v>
      </c>
      <c r="AB72">
        <f t="shared" ca="1" si="29"/>
        <v>3.3741151103330456</v>
      </c>
      <c r="AE72">
        <f t="shared" ca="1" si="30"/>
        <v>-7.408333333333335</v>
      </c>
      <c r="AF72">
        <f t="shared" ca="1" si="31"/>
        <v>2.5960841237867811</v>
      </c>
      <c r="AG72">
        <f t="shared" ca="1" si="32"/>
        <v>-1.8000000000000003</v>
      </c>
      <c r="AH72">
        <f t="shared" ca="1" si="19"/>
        <v>0</v>
      </c>
    </row>
    <row r="73" spans="1:34" x14ac:dyDescent="0.2">
      <c r="A73">
        <v>1945</v>
      </c>
      <c r="B73">
        <v>12</v>
      </c>
      <c r="C73">
        <v>-21.45</v>
      </c>
      <c r="D73">
        <v>-21.44</v>
      </c>
      <c r="E73">
        <v>9.91</v>
      </c>
      <c r="F73">
        <v>-10.18</v>
      </c>
      <c r="G73">
        <v>-9.76</v>
      </c>
      <c r="H73">
        <v>9.2899999999999991</v>
      </c>
      <c r="I73">
        <v>-31.63</v>
      </c>
      <c r="J73">
        <v>-31.2</v>
      </c>
      <c r="K73">
        <v>15.52</v>
      </c>
      <c r="L73" t="s">
        <v>0</v>
      </c>
      <c r="M73" t="s">
        <v>0</v>
      </c>
      <c r="N73" t="s">
        <v>0</v>
      </c>
      <c r="O73">
        <f t="shared" ca="1" si="23"/>
        <v>6.9166666666666654E-2</v>
      </c>
      <c r="P73" cm="1">
        <f t="array" aca="1" ref="P73" ca="1">SQRT(AVERAGE(OFFSET($E$2,(ROW(A72)-1)*12,0,12,1)^2))</f>
        <v>0.38236108588610324</v>
      </c>
      <c r="Q73">
        <f t="shared" ca="1" si="37"/>
        <v>4.5833333333333358E-2</v>
      </c>
      <c r="R73" cm="1">
        <f t="array" aca="1" ref="R73" ca="1">SQRT(AVERAGE(OFFSET($K$2,(ROW(A72)-1)*12,0,12,1)^2))</f>
        <v>0.48608126892526932</v>
      </c>
      <c r="S73">
        <f t="shared" ca="1" si="38"/>
        <v>3.833333333333333E-2</v>
      </c>
      <c r="T73">
        <f t="shared" ca="1" si="39"/>
        <v>0.12333333333333329</v>
      </c>
      <c r="V73">
        <f t="shared" si="36"/>
        <v>2011.5</v>
      </c>
      <c r="W73">
        <f t="shared" ca="1" si="24"/>
        <v>0.69166666666666654</v>
      </c>
      <c r="X73">
        <f t="shared" ca="1" si="25"/>
        <v>1.9118054294305162</v>
      </c>
      <c r="Y73">
        <f t="shared" ca="1" si="26"/>
        <v>0.45833333333333359</v>
      </c>
      <c r="Z73">
        <f t="shared" ca="1" si="27"/>
        <v>2.4304063446263466</v>
      </c>
      <c r="AA73">
        <f t="shared" ca="1" si="28"/>
        <v>0.84166666666666701</v>
      </c>
      <c r="AB73">
        <f t="shared" ca="1" si="29"/>
        <v>2.5074195456241015</v>
      </c>
      <c r="AE73">
        <f t="shared" ca="1" si="30"/>
        <v>0.15000000000000047</v>
      </c>
      <c r="AF73">
        <f t="shared" ca="1" si="31"/>
        <v>1.622391068077538</v>
      </c>
      <c r="AG73">
        <f t="shared" ca="1" si="32"/>
        <v>0.3833333333333333</v>
      </c>
      <c r="AH73">
        <f t="shared" ca="1" si="19"/>
        <v>0.19166666666666665</v>
      </c>
    </row>
    <row r="74" spans="1:34" x14ac:dyDescent="0.2">
      <c r="A74">
        <v>1946</v>
      </c>
      <c r="B74">
        <v>1</v>
      </c>
      <c r="C74">
        <v>-21.33</v>
      </c>
      <c r="D74">
        <v>-21.36</v>
      </c>
      <c r="E74">
        <v>9.7200000000000006</v>
      </c>
      <c r="F74">
        <v>-9.76</v>
      </c>
      <c r="G74">
        <v>-9.65</v>
      </c>
      <c r="H74">
        <v>9.11</v>
      </c>
      <c r="I74">
        <v>-31.09</v>
      </c>
      <c r="J74">
        <v>-31</v>
      </c>
      <c r="K74">
        <v>15.18</v>
      </c>
      <c r="L74" t="s">
        <v>0</v>
      </c>
      <c r="M74" t="s">
        <v>0</v>
      </c>
      <c r="N74" t="s">
        <v>0</v>
      </c>
      <c r="O74">
        <f t="shared" ca="1" si="23"/>
        <v>0.65916666666666657</v>
      </c>
      <c r="P74" cm="1">
        <f t="array" aca="1" ref="P74" ca="1">SQRT(AVERAGE(OFFSET($E$2,(ROW(A73)-1)*12,0,12,1)^2))</f>
        <v>0.31085902485424699</v>
      </c>
      <c r="Q74">
        <f t="shared" ca="1" si="37"/>
        <v>1.2958333333333332</v>
      </c>
      <c r="R74" cm="1">
        <f t="array" aca="1" ref="R74" ca="1">SQRT(AVERAGE(OFFSET($K$2,(ROW(A73)-1)*12,0,12,1)^2))</f>
        <v>0.39011750366609627</v>
      </c>
      <c r="S74">
        <f t="shared" ca="1" si="38"/>
        <v>0.22583333333333333</v>
      </c>
      <c r="T74">
        <f t="shared" ca="1" si="39"/>
        <v>9.4166666666666662E-2</v>
      </c>
      <c r="V74">
        <f t="shared" si="36"/>
        <v>2012.5</v>
      </c>
      <c r="W74">
        <f t="shared" ca="1" si="24"/>
        <v>6.5916666666666659</v>
      </c>
      <c r="X74">
        <f t="shared" ca="1" si="25"/>
        <v>1.5542951242712348</v>
      </c>
      <c r="Y74">
        <f t="shared" ca="1" si="26"/>
        <v>12.958333333333332</v>
      </c>
      <c r="Z74">
        <f t="shared" ca="1" si="27"/>
        <v>1.9505875183304813</v>
      </c>
      <c r="AA74">
        <f t="shared" ca="1" si="28"/>
        <v>15.216666666666665</v>
      </c>
      <c r="AB74">
        <f t="shared" ca="1" si="29"/>
        <v>2.0066080071714163</v>
      </c>
      <c r="AE74">
        <f t="shared" ca="1" si="30"/>
        <v>8.625</v>
      </c>
      <c r="AF74">
        <f t="shared" ca="1" si="31"/>
        <v>1.269110854539945</v>
      </c>
      <c r="AG74">
        <f t="shared" ca="1" si="32"/>
        <v>2.2583333333333333</v>
      </c>
      <c r="AH74">
        <f t="shared" ca="1" si="19"/>
        <v>1.1291666666666667</v>
      </c>
    </row>
    <row r="75" spans="1:34" x14ac:dyDescent="0.2">
      <c r="A75">
        <v>1946</v>
      </c>
      <c r="B75">
        <v>2</v>
      </c>
      <c r="C75">
        <v>-22.63</v>
      </c>
      <c r="D75">
        <v>-21.29</v>
      </c>
      <c r="E75">
        <v>9.41</v>
      </c>
      <c r="F75">
        <v>-9.36</v>
      </c>
      <c r="G75">
        <v>-9.5299999999999994</v>
      </c>
      <c r="H75">
        <v>9.0399999999999991</v>
      </c>
      <c r="I75">
        <v>-31.99</v>
      </c>
      <c r="J75">
        <v>-30.82</v>
      </c>
      <c r="K75">
        <v>14.82</v>
      </c>
      <c r="L75" t="s">
        <v>0</v>
      </c>
      <c r="M75" t="s">
        <v>0</v>
      </c>
      <c r="N75" t="s">
        <v>0</v>
      </c>
      <c r="O75">
        <f t="shared" ca="1" si="23"/>
        <v>1.32</v>
      </c>
      <c r="P75" cm="1">
        <f t="array" aca="1" ref="P75" ca="1">SQRT(AVERAGE(OFFSET($E$2,(ROW(A74)-1)*12,0,12,1)^2))</f>
        <v>0.31925694980689145</v>
      </c>
      <c r="Q75">
        <f t="shared" ca="1" si="37"/>
        <v>2.3691666666666666</v>
      </c>
      <c r="R75" cm="1">
        <f t="array" aca="1" ref="R75" ca="1">SQRT(AVERAGE(OFFSET($K$2,(ROW(A74)-1)*12,0,12,1)^2))</f>
        <v>0.37346351896805124</v>
      </c>
      <c r="S75">
        <f t="shared" ca="1" si="38"/>
        <v>0.45083333333333336</v>
      </c>
      <c r="T75">
        <f t="shared" ca="1" si="39"/>
        <v>8.2500000000000004E-2</v>
      </c>
      <c r="V75">
        <f t="shared" si="36"/>
        <v>2013.5</v>
      </c>
      <c r="W75">
        <f t="shared" ca="1" si="24"/>
        <v>13.200000000000001</v>
      </c>
      <c r="X75">
        <f t="shared" ca="1" si="25"/>
        <v>1.5962847490344574</v>
      </c>
      <c r="Y75">
        <f t="shared" ca="1" si="26"/>
        <v>23.691666666666666</v>
      </c>
      <c r="Z75">
        <f t="shared" ca="1" si="27"/>
        <v>1.8673175948402563</v>
      </c>
      <c r="AA75">
        <f t="shared" ca="1" si="28"/>
        <v>28.2</v>
      </c>
      <c r="AB75">
        <f t="shared" ca="1" si="29"/>
        <v>1.9123365943264274</v>
      </c>
      <c r="AE75">
        <f t="shared" ca="1" si="30"/>
        <v>14.999999999999998</v>
      </c>
      <c r="AF75">
        <f t="shared" ca="1" si="31"/>
        <v>1.0530461765753669</v>
      </c>
      <c r="AG75">
        <f t="shared" ca="1" si="32"/>
        <v>4.5083333333333337</v>
      </c>
      <c r="AH75">
        <f t="shared" ca="1" si="19"/>
        <v>2.2541666666666669</v>
      </c>
    </row>
    <row r="76" spans="1:34" x14ac:dyDescent="0.2">
      <c r="A76">
        <v>1946</v>
      </c>
      <c r="B76">
        <v>3</v>
      </c>
      <c r="C76">
        <v>-22.49</v>
      </c>
      <c r="D76">
        <v>-21.17</v>
      </c>
      <c r="E76">
        <v>9.5399999999999991</v>
      </c>
      <c r="F76">
        <v>-9.1999999999999993</v>
      </c>
      <c r="G76">
        <v>-9.42</v>
      </c>
      <c r="H76">
        <v>8.94</v>
      </c>
      <c r="I76">
        <v>-31.69</v>
      </c>
      <c r="J76">
        <v>-30.59</v>
      </c>
      <c r="K76">
        <v>14.83</v>
      </c>
      <c r="L76" t="s">
        <v>0</v>
      </c>
      <c r="M76" t="s">
        <v>0</v>
      </c>
      <c r="N76" t="s">
        <v>0</v>
      </c>
      <c r="O76">
        <f t="shared" ca="1" si="23"/>
        <v>1.9016666666666666</v>
      </c>
      <c r="P76" cm="1">
        <f t="array" aca="1" ref="P76" ca="1">SQRT(AVERAGE(OFFSET($E$2,(ROW(A75)-1)*12,0,12,1)^2))</f>
        <v>0.42855376947745233</v>
      </c>
      <c r="Q76">
        <f ca="1">AVERAGE(OFFSET($I$2,(ROW(A75)-1)*12,0,12,1))</f>
        <v>3.3733333333333335</v>
      </c>
      <c r="R76" cm="1">
        <f t="array" aca="1" ref="R76" ca="1">SQRT(AVERAGE(OFFSET($K$2,(ROW(A75)-1)*12,0,12,1)^2))</f>
        <v>0.55442162055004074</v>
      </c>
      <c r="S76">
        <f ca="1">AVERAGE(OFFSET($L$2,(ROW(A75)-1)*12,0,12,1))</f>
        <v>0.63750000000000007</v>
      </c>
      <c r="T76">
        <f ca="1">SQRT(AVERAGE(OFFSET($N$2,(ROW(A75)-1)*12,0,12,1))^2)</f>
        <v>0.12500000000000003</v>
      </c>
      <c r="V76">
        <f t="shared" si="36"/>
        <v>2014.5</v>
      </c>
      <c r="W76">
        <f t="shared" ca="1" si="24"/>
        <v>19.016666666666666</v>
      </c>
      <c r="X76">
        <f t="shared" ca="1" si="25"/>
        <v>2.1427688473872615</v>
      </c>
      <c r="Y76">
        <f t="shared" ca="1" si="26"/>
        <v>33.733333333333334</v>
      </c>
      <c r="Z76">
        <f t="shared" ca="1" si="27"/>
        <v>2.7721081027502037</v>
      </c>
      <c r="AA76">
        <f t="shared" ca="1" si="28"/>
        <v>40.108333333333334</v>
      </c>
      <c r="AB76">
        <f t="shared" ca="1" si="29"/>
        <v>2.8416911044892501</v>
      </c>
      <c r="AE76">
        <f t="shared" ca="1" si="30"/>
        <v>21.091666666666669</v>
      </c>
      <c r="AF76">
        <f t="shared" ca="1" si="31"/>
        <v>1.8664806454930094</v>
      </c>
      <c r="AG76">
        <f t="shared" ca="1" si="32"/>
        <v>6.3750000000000009</v>
      </c>
      <c r="AH76">
        <f t="shared" ca="1" si="19"/>
        <v>3.1875000000000004</v>
      </c>
    </row>
    <row r="77" spans="1:34" x14ac:dyDescent="0.2">
      <c r="A77">
        <v>1946</v>
      </c>
      <c r="B77">
        <v>4</v>
      </c>
      <c r="C77">
        <v>-23.15</v>
      </c>
      <c r="D77">
        <v>-21</v>
      </c>
      <c r="E77">
        <v>9.44</v>
      </c>
      <c r="F77">
        <v>-9.2100000000000009</v>
      </c>
      <c r="G77">
        <v>-9.3000000000000007</v>
      </c>
      <c r="H77">
        <v>8.89</v>
      </c>
      <c r="I77">
        <v>-32.369999999999997</v>
      </c>
      <c r="J77">
        <v>-30.31</v>
      </c>
      <c r="K77">
        <v>14.69</v>
      </c>
      <c r="L77" t="s">
        <v>0</v>
      </c>
      <c r="M77" t="s">
        <v>0</v>
      </c>
      <c r="N77" t="s">
        <v>0</v>
      </c>
      <c r="O77">
        <f t="shared" ca="1" si="23"/>
        <v>3.223333333333334</v>
      </c>
      <c r="P77" cm="1">
        <f t="array" aca="1" ref="P77" ca="1">SQRT(AVERAGE(OFFSET($E$2,(ROW(A76)-1)*12,0,12,1)^2))</f>
        <v>0.35340015091488952</v>
      </c>
      <c r="Q77">
        <f t="shared" ref="Q77:Q79" ca="1" si="40">AVERAGE(OFFSET($I$2,(ROW(A76)-1)*12,0,12,1))</f>
        <v>5.1650000000000009</v>
      </c>
      <c r="R77" cm="1">
        <f t="array" aca="1" ref="R77" ca="1">SQRT(AVERAGE(OFFSET($K$2,(ROW(A76)-1)*12,0,12,1)^2))</f>
        <v>0.46731502579452044</v>
      </c>
      <c r="S77">
        <f t="shared" ref="S77:S79" ca="1" si="41">AVERAGE(OFFSET($L$2,(ROW(A76)-1)*12,0,12,1))</f>
        <v>0.87000000000000011</v>
      </c>
      <c r="T77">
        <f t="shared" ref="T77:T79" ca="1" si="42">SQRT(AVERAGE(OFFSET($N$2,(ROW(A76)-1)*12,0,12,1))^2)</f>
        <v>0.12000000000000001</v>
      </c>
      <c r="V77">
        <f t="shared" si="36"/>
        <v>2015.5</v>
      </c>
      <c r="W77">
        <f t="shared" ca="1" si="24"/>
        <v>32.233333333333341</v>
      </c>
      <c r="X77">
        <f t="shared" ca="1" si="25"/>
        <v>1.7670007545744477</v>
      </c>
      <c r="Y77">
        <f t="shared" ca="1" si="26"/>
        <v>51.650000000000006</v>
      </c>
      <c r="Z77">
        <f t="shared" ca="1" si="27"/>
        <v>2.3365751289726022</v>
      </c>
      <c r="AA77">
        <f t="shared" ca="1" si="28"/>
        <v>60.350000000000009</v>
      </c>
      <c r="AB77">
        <f t="shared" ca="1" si="29"/>
        <v>2.4123812578722568</v>
      </c>
      <c r="AE77">
        <f t="shared" ca="1" si="30"/>
        <v>28.116666666666667</v>
      </c>
      <c r="AF77">
        <f t="shared" ca="1" si="31"/>
        <v>1.6423433461571502</v>
      </c>
      <c r="AG77">
        <f t="shared" ca="1" si="32"/>
        <v>8.7000000000000011</v>
      </c>
      <c r="AH77">
        <f t="shared" ca="1" si="19"/>
        <v>4.3500000000000005</v>
      </c>
    </row>
    <row r="78" spans="1:34" x14ac:dyDescent="0.2">
      <c r="A78">
        <v>1946</v>
      </c>
      <c r="B78">
        <v>5</v>
      </c>
      <c r="C78">
        <v>-19.97</v>
      </c>
      <c r="D78">
        <v>-20.89</v>
      </c>
      <c r="E78">
        <v>9.15</v>
      </c>
      <c r="F78">
        <v>-9.0500000000000007</v>
      </c>
      <c r="G78">
        <v>-9.19</v>
      </c>
      <c r="H78">
        <v>8.83</v>
      </c>
      <c r="I78">
        <v>-29.02</v>
      </c>
      <c r="J78">
        <v>-30.08</v>
      </c>
      <c r="K78">
        <v>14.64</v>
      </c>
      <c r="L78" t="s">
        <v>0</v>
      </c>
      <c r="M78" t="s">
        <v>0</v>
      </c>
      <c r="N78" t="s">
        <v>0</v>
      </c>
      <c r="O78">
        <f t="shared" ca="1" si="23"/>
        <v>2.706666666666667</v>
      </c>
      <c r="P78" cm="1">
        <f t="array" aca="1" ref="P78" ca="1">SQRT(AVERAGE(OFFSET($E$2,(ROW(A77)-1)*12,0,12,1)^2))</f>
        <v>0.31099303314811838</v>
      </c>
      <c r="Q78">
        <f t="shared" ca="1" si="40"/>
        <v>4.8083333333333336</v>
      </c>
      <c r="R78" cm="1">
        <f t="array" aca="1" ref="R78" ca="1">SQRT(AVERAGE(OFFSET($K$2,(ROW(A77)-1)*12,0,12,1)^2))</f>
        <v>0.45163591531232322</v>
      </c>
      <c r="S78">
        <f t="shared" ca="1" si="41"/>
        <v>1.1025000000000003</v>
      </c>
      <c r="T78">
        <f t="shared" ca="1" si="42"/>
        <v>0.14083333333333334</v>
      </c>
      <c r="V78">
        <f t="shared" si="36"/>
        <v>2016.5</v>
      </c>
      <c r="W78">
        <f t="shared" ca="1" si="24"/>
        <v>27.06666666666667</v>
      </c>
      <c r="X78">
        <f t="shared" ca="1" si="25"/>
        <v>1.5549651657405918</v>
      </c>
      <c r="Y78">
        <f t="shared" ca="1" si="26"/>
        <v>48.083333333333336</v>
      </c>
      <c r="Z78">
        <f t="shared" ca="1" si="27"/>
        <v>2.2581795765616159</v>
      </c>
      <c r="AA78">
        <f t="shared" ca="1" si="28"/>
        <v>59.108333333333334</v>
      </c>
      <c r="AB78">
        <f t="shared" ca="1" si="29"/>
        <v>2.3654229419798152</v>
      </c>
      <c r="AE78">
        <f t="shared" ca="1" si="30"/>
        <v>32.041666666666664</v>
      </c>
      <c r="AF78">
        <f t="shared" ca="1" si="31"/>
        <v>1.7825007791801322</v>
      </c>
      <c r="AG78">
        <f t="shared" ca="1" si="32"/>
        <v>11.025000000000002</v>
      </c>
      <c r="AH78">
        <f t="shared" ca="1" si="19"/>
        <v>5.5125000000000011</v>
      </c>
    </row>
    <row r="79" spans="1:34" x14ac:dyDescent="0.2">
      <c r="A79">
        <v>1946</v>
      </c>
      <c r="B79">
        <v>6</v>
      </c>
      <c r="C79">
        <v>-20.41</v>
      </c>
      <c r="D79">
        <v>-20.76</v>
      </c>
      <c r="E79">
        <v>8.98</v>
      </c>
      <c r="F79">
        <v>-8.92</v>
      </c>
      <c r="G79">
        <v>-9.11</v>
      </c>
      <c r="H79">
        <v>8.7899999999999991</v>
      </c>
      <c r="I79">
        <v>-29.33</v>
      </c>
      <c r="J79">
        <v>-29.87</v>
      </c>
      <c r="K79">
        <v>14.55</v>
      </c>
      <c r="L79" t="s">
        <v>0</v>
      </c>
      <c r="M79" t="s">
        <v>0</v>
      </c>
      <c r="N79" t="s">
        <v>0</v>
      </c>
      <c r="O79">
        <f t="shared" ca="1" si="23"/>
        <v>4.6175000000000006</v>
      </c>
      <c r="P79" cm="1">
        <f t="array" aca="1" ref="P79" ca="1">SQRT(AVERAGE(OFFSET($E$2,(ROW(A78)-1)*12,0,12,1)^2))</f>
        <v>0.27974690942588326</v>
      </c>
      <c r="Q79">
        <f t="shared" ca="1" si="40"/>
        <v>7.4225000000000003</v>
      </c>
      <c r="R79" cm="1">
        <f t="array" aca="1" ref="R79" ca="1">SQRT(AVERAGE(OFFSET($K$2,(ROW(A78)-1)*12,0,12,1)^2))</f>
        <v>0.4390045557850169</v>
      </c>
      <c r="S79">
        <f t="shared" ca="1" si="41"/>
        <v>1.45</v>
      </c>
      <c r="T79">
        <f t="shared" ca="1" si="42"/>
        <v>0.1466666666666667</v>
      </c>
      <c r="V79">
        <f t="shared" si="36"/>
        <v>2017.5</v>
      </c>
      <c r="W79">
        <f t="shared" ca="1" si="24"/>
        <v>46.175000000000004</v>
      </c>
      <c r="X79">
        <f t="shared" ca="1" si="25"/>
        <v>1.3987345471294164</v>
      </c>
      <c r="Y79">
        <f t="shared" ca="1" si="26"/>
        <v>74.225000000000009</v>
      </c>
      <c r="Z79">
        <f t="shared" ca="1" si="27"/>
        <v>2.1950227789250847</v>
      </c>
      <c r="AA79">
        <f t="shared" ca="1" si="28"/>
        <v>88.725000000000009</v>
      </c>
      <c r="AB79">
        <f t="shared" ca="1" si="29"/>
        <v>2.3142823461664692</v>
      </c>
      <c r="AE79">
        <f t="shared" ca="1" si="30"/>
        <v>42.550000000000004</v>
      </c>
      <c r="AF79">
        <f t="shared" ca="1" si="31"/>
        <v>1.8437582391529657</v>
      </c>
      <c r="AG79">
        <f t="shared" ca="1" si="32"/>
        <v>14.5</v>
      </c>
      <c r="AH79">
        <f t="shared" ca="1" si="19"/>
        <v>7.25</v>
      </c>
    </row>
    <row r="80" spans="1:34" x14ac:dyDescent="0.2">
      <c r="A80">
        <v>1946</v>
      </c>
      <c r="B80">
        <v>7</v>
      </c>
      <c r="C80">
        <v>-20.079999999999998</v>
      </c>
      <c r="D80">
        <v>-20.52</v>
      </c>
      <c r="E80">
        <v>8.69</v>
      </c>
      <c r="F80">
        <v>-8.8000000000000007</v>
      </c>
      <c r="G80">
        <v>-9.0299999999999994</v>
      </c>
      <c r="H80">
        <v>8.74</v>
      </c>
      <c r="I80">
        <v>-28.88</v>
      </c>
      <c r="J80">
        <v>-29.55</v>
      </c>
      <c r="K80">
        <v>14.29</v>
      </c>
      <c r="L80" t="s">
        <v>0</v>
      </c>
      <c r="M80" t="s">
        <v>0</v>
      </c>
      <c r="N80" t="s">
        <v>0</v>
      </c>
      <c r="O80">
        <f t="shared" ca="1" si="23"/>
        <v>5.0258333333333338</v>
      </c>
      <c r="P80" cm="1">
        <f t="array" aca="1" ref="P80" ca="1">SQRT(AVERAGE(OFFSET($E$2,(ROW(A79)-1)*12,0,12,1)^2))</f>
        <v>0.2839160674096014</v>
      </c>
      <c r="Q80">
        <f ca="1">AVERAGE(OFFSET($I$2,(ROW(A79)-1)*12,0,12,1))</f>
        <v>7.5266666666666646</v>
      </c>
      <c r="R80" cm="1">
        <f t="array" aca="1" ref="R80" ca="1">SQRT(AVERAGE(OFFSET($K$2,(ROW(A79)-1)*12,0,12,1)^2))</f>
        <v>0.4614199099879992</v>
      </c>
      <c r="S80">
        <f ca="1">AVERAGE(OFFSET($L$2,(ROW(A79)-1)*12,0,12,1))</f>
        <v>1.7208333333333332</v>
      </c>
      <c r="T80">
        <f ca="1">SQRT(AVERAGE(OFFSET($N$2,(ROW(A79)-1)*12,0,12,1))^2)</f>
        <v>0.15416666666666665</v>
      </c>
      <c r="V80">
        <f t="shared" si="36"/>
        <v>2018.5</v>
      </c>
      <c r="W80">
        <f t="shared" ca="1" si="24"/>
        <v>50.25833333333334</v>
      </c>
      <c r="X80">
        <f t="shared" ca="1" si="25"/>
        <v>1.4195803370480071</v>
      </c>
      <c r="Y80">
        <f t="shared" ca="1" si="26"/>
        <v>75.266666666666652</v>
      </c>
      <c r="Z80">
        <f t="shared" ca="1" si="27"/>
        <v>2.3070995499399958</v>
      </c>
      <c r="AA80">
        <f t="shared" ca="1" si="28"/>
        <v>92.474999999999994</v>
      </c>
      <c r="AB80">
        <f t="shared" ca="1" si="29"/>
        <v>2.4324663124308854</v>
      </c>
      <c r="AE80">
        <f t="shared" ca="1" si="30"/>
        <v>42.216666666666654</v>
      </c>
      <c r="AF80">
        <f t="shared" ca="1" si="31"/>
        <v>1.9752680901026514</v>
      </c>
      <c r="AG80">
        <f t="shared" ca="1" si="32"/>
        <v>17.208333333333332</v>
      </c>
      <c r="AH80">
        <f t="shared" ca="1" si="19"/>
        <v>8.6041666666666661</v>
      </c>
    </row>
    <row r="81" spans="1:34" x14ac:dyDescent="0.2">
      <c r="A81">
        <v>1946</v>
      </c>
      <c r="B81">
        <v>8</v>
      </c>
      <c r="C81">
        <v>-20.190000000000001</v>
      </c>
      <c r="D81">
        <v>-20.190000000000001</v>
      </c>
      <c r="E81">
        <v>8.66</v>
      </c>
      <c r="F81">
        <v>-8.84</v>
      </c>
      <c r="G81">
        <v>-8.98</v>
      </c>
      <c r="H81">
        <v>8.68</v>
      </c>
      <c r="I81">
        <v>-29.03</v>
      </c>
      <c r="J81">
        <v>-29.18</v>
      </c>
      <c r="K81">
        <v>14.27</v>
      </c>
      <c r="L81" t="s">
        <v>0</v>
      </c>
      <c r="M81" t="s">
        <v>0</v>
      </c>
      <c r="N81" t="s">
        <v>0</v>
      </c>
      <c r="O81">
        <f t="shared" ca="1" si="23"/>
        <v>6.3924999999999992</v>
      </c>
      <c r="P81" cm="1">
        <f t="array" aca="1" ref="P81" ca="1">SQRT(AVERAGE(OFFSET($E$2,(ROW(A80)-1)*12,0,12,1)^2))</f>
        <v>0.31597731986119937</v>
      </c>
      <c r="Q81">
        <f t="shared" ref="Q81" ca="1" si="43">AVERAGE(OFFSET($I$2,(ROW(A80)-1)*12,0,12,1))</f>
        <v>9.4158333333333335</v>
      </c>
      <c r="R81" cm="1">
        <f t="array" aca="1" ref="R81" ca="1">SQRT(AVERAGE(OFFSET($K$2,(ROW(A80)-1)*12,0,12,1)^2))</f>
        <v>0.46015395974246126</v>
      </c>
      <c r="S81">
        <f t="shared" ref="S81" ca="1" si="44">AVERAGE(OFFSET($L$2,(ROW(A80)-1)*12,0,12,1))</f>
        <v>2.1374999999999997</v>
      </c>
      <c r="T81">
        <f t="shared" ref="T81" ca="1" si="45">SQRT(AVERAGE(OFFSET($N$2,(ROW(A80)-1)*12,0,12,1))^2)</f>
        <v>0.15749999999999997</v>
      </c>
      <c r="V81">
        <f t="shared" si="36"/>
        <v>2019.5</v>
      </c>
      <c r="W81">
        <f t="shared" ca="1" si="24"/>
        <v>63.92499999999999</v>
      </c>
      <c r="X81">
        <f t="shared" ca="1" si="25"/>
        <v>1.579886599305997</v>
      </c>
      <c r="Y81">
        <f t="shared" ca="1" si="26"/>
        <v>94.158333333333331</v>
      </c>
      <c r="Z81">
        <f t="shared" ca="1" si="27"/>
        <v>2.3007697987123064</v>
      </c>
      <c r="AA81">
        <f t="shared" ca="1" si="28"/>
        <v>115.53333333333333</v>
      </c>
      <c r="AB81">
        <f t="shared" ca="1" si="29"/>
        <v>2.4318095971244675</v>
      </c>
      <c r="AE81">
        <f t="shared" ca="1" si="30"/>
        <v>51.608333333333341</v>
      </c>
      <c r="AF81">
        <f t="shared" ca="1" si="31"/>
        <v>1.848690414861287</v>
      </c>
      <c r="AG81">
        <f t="shared" ca="1" si="32"/>
        <v>21.374999999999996</v>
      </c>
      <c r="AH81">
        <f t="shared" ca="1" si="19"/>
        <v>10.687499999999998</v>
      </c>
    </row>
    <row r="82" spans="1:34" x14ac:dyDescent="0.2">
      <c r="A82">
        <v>1946</v>
      </c>
      <c r="B82">
        <v>9</v>
      </c>
      <c r="C82">
        <v>-19.43</v>
      </c>
      <c r="D82">
        <v>-19.86</v>
      </c>
      <c r="E82">
        <v>8.61</v>
      </c>
      <c r="F82">
        <v>-8.8800000000000008</v>
      </c>
      <c r="G82">
        <v>-8.9600000000000009</v>
      </c>
      <c r="H82">
        <v>8.64</v>
      </c>
      <c r="I82">
        <v>-28.31</v>
      </c>
      <c r="J82">
        <v>-28.82</v>
      </c>
      <c r="K82">
        <v>14.2</v>
      </c>
      <c r="L82" t="s">
        <v>0</v>
      </c>
      <c r="M82" t="s">
        <v>0</v>
      </c>
      <c r="N82" t="s">
        <v>0</v>
      </c>
      <c r="O82">
        <f t="shared" ca="1" si="23"/>
        <v>6.9641666666666673</v>
      </c>
      <c r="P82" cm="1">
        <f t="array" aca="1" ref="P82" ca="1">SQRT(AVERAGE(OFFSET($E$2,(ROW(A81)-1)*12,0,12,1)^2))</f>
        <v>0.29300170647967222</v>
      </c>
      <c r="Q82">
        <f ca="1">AVERAGE(OFFSET($I$2,(ROW(A81)-1)*12,0,12,1))</f>
        <v>10.275</v>
      </c>
      <c r="R82" cm="1">
        <f t="array" aca="1" ref="R82" ca="1">SQRT(AVERAGE(OFFSET($K$2,(ROW(A81)-1)*12,0,12,1)^2))</f>
        <v>0.35973369780065551</v>
      </c>
      <c r="S82">
        <f ca="1">AVERAGE(OFFSET($L$2,(ROW(A81)-1)*12,0,12,1))</f>
        <v>2.4949999999999997</v>
      </c>
      <c r="T82">
        <f ca="1">SQRT(AVERAGE(OFFSET($N$2,(ROW(A81)-1)*12,0,12,1))^2)</f>
        <v>0.11583333333333336</v>
      </c>
      <c r="V82">
        <f t="shared" si="36"/>
        <v>2020.5</v>
      </c>
      <c r="W82">
        <f t="shared" ca="1" si="24"/>
        <v>69.64166666666668</v>
      </c>
      <c r="X82">
        <f t="shared" ca="1" si="25"/>
        <v>1.465008532398361</v>
      </c>
      <c r="Y82">
        <f t="shared" ca="1" si="26"/>
        <v>102.75</v>
      </c>
      <c r="Z82">
        <f t="shared" ca="1" si="27"/>
        <v>1.7986684890032776</v>
      </c>
      <c r="AA82">
        <f t="shared" ca="1" si="28"/>
        <v>127.69999999999999</v>
      </c>
      <c r="AB82">
        <f t="shared" ca="1" si="29"/>
        <v>1.8896143418991906</v>
      </c>
      <c r="AE82">
        <f t="shared" ca="1" si="30"/>
        <v>58.058333333333309</v>
      </c>
      <c r="AF82">
        <f t="shared" ca="1" si="31"/>
        <v>1.1934790995702906</v>
      </c>
      <c r="AG82">
        <f t="shared" ca="1" si="32"/>
        <v>24.949999999999996</v>
      </c>
      <c r="AH82">
        <f t="shared" ca="1" si="19"/>
        <v>12.474999999999998</v>
      </c>
    </row>
    <row r="83" spans="1:34" x14ac:dyDescent="0.2">
      <c r="A83">
        <v>1946</v>
      </c>
      <c r="B83">
        <v>10</v>
      </c>
      <c r="C83">
        <v>-19.34</v>
      </c>
      <c r="D83">
        <v>-19.52</v>
      </c>
      <c r="E83">
        <v>8.4499999999999993</v>
      </c>
      <c r="F83">
        <v>-8.74</v>
      </c>
      <c r="G83">
        <v>-8.94</v>
      </c>
      <c r="H83">
        <v>8.61</v>
      </c>
      <c r="I83">
        <v>-28.08</v>
      </c>
      <c r="J83">
        <v>-28.46</v>
      </c>
      <c r="K83">
        <v>14.05</v>
      </c>
      <c r="L83" t="s">
        <v>0</v>
      </c>
      <c r="M83" t="s">
        <v>0</v>
      </c>
      <c r="N83" t="s">
        <v>0</v>
      </c>
      <c r="O83">
        <f t="shared" ca="1" si="23"/>
        <v>7.9216666666666669</v>
      </c>
      <c r="P83" cm="1">
        <f t="array" aca="1" ref="P83" ca="1">SQRT(AVERAGE(OFFSET($E$2,(ROW(A82)-1)*12,0,12,1)^2))</f>
        <v>0.28028259548772078</v>
      </c>
      <c r="Q83">
        <f t="shared" ref="Q83:Q84" ca="1" si="46">AVERAGE(OFFSET($I$2,(ROW(A82)-1)*12,0,12,1))</f>
        <v>11.804166666666665</v>
      </c>
      <c r="R83" cm="1">
        <f t="array" aca="1" ref="R83" ca="1">SQRT(AVERAGE(OFFSET($K$2,(ROW(A82)-1)*12,0,12,1)^2))</f>
        <v>0.35583235753183928</v>
      </c>
      <c r="S83">
        <f t="shared" ref="S83:S84" ca="1" si="47">AVERAGE(OFFSET($L$2,(ROW(A82)-1)*12,0,12,1))</f>
        <v>2.7141666666666668</v>
      </c>
      <c r="T83">
        <f t="shared" ref="T83:T84" ca="1" si="48">SQRT(AVERAGE(OFFSET($N$2,(ROW(A82)-1)*12,0,12,1))^2)</f>
        <v>0.11083333333333335</v>
      </c>
      <c r="V83">
        <f t="shared" si="36"/>
        <v>2021.5</v>
      </c>
      <c r="W83">
        <f t="shared" ca="1" si="24"/>
        <v>79.216666666666669</v>
      </c>
      <c r="X83">
        <f t="shared" ca="1" si="25"/>
        <v>1.4014129774386039</v>
      </c>
      <c r="Y83">
        <f t="shared" ca="1" si="26"/>
        <v>118.04166666666666</v>
      </c>
      <c r="Z83">
        <f t="shared" ca="1" si="27"/>
        <v>1.7791617876591963</v>
      </c>
      <c r="AA83">
        <f t="shared" ca="1" si="28"/>
        <v>145.18333333333334</v>
      </c>
      <c r="AB83">
        <f t="shared" ca="1" si="29"/>
        <v>1.8634691736412257</v>
      </c>
      <c r="AE83">
        <f t="shared" ca="1" si="30"/>
        <v>65.966666666666669</v>
      </c>
      <c r="AF83">
        <f t="shared" ca="1" si="31"/>
        <v>1.2282341095156817</v>
      </c>
      <c r="AG83">
        <f t="shared" ca="1" si="32"/>
        <v>27.141666666666669</v>
      </c>
      <c r="AH83">
        <f t="shared" ca="1" si="19"/>
        <v>13.570833333333335</v>
      </c>
    </row>
    <row r="84" spans="1:34" x14ac:dyDescent="0.2">
      <c r="A84">
        <v>1946</v>
      </c>
      <c r="B84">
        <v>11</v>
      </c>
      <c r="C84">
        <v>-19.64</v>
      </c>
      <c r="D84">
        <v>-19.27</v>
      </c>
      <c r="E84">
        <v>8.41</v>
      </c>
      <c r="F84">
        <v>-8.8000000000000007</v>
      </c>
      <c r="G84">
        <v>-8.92</v>
      </c>
      <c r="H84">
        <v>8.56</v>
      </c>
      <c r="I84">
        <v>-28.44</v>
      </c>
      <c r="J84">
        <v>-28.2</v>
      </c>
      <c r="K84">
        <v>14.01</v>
      </c>
      <c r="L84" t="s">
        <v>0</v>
      </c>
      <c r="M84" t="s">
        <v>0</v>
      </c>
      <c r="N84" t="s">
        <v>0</v>
      </c>
      <c r="O84">
        <f t="shared" ca="1" si="23"/>
        <v>9.5366666666666653</v>
      </c>
      <c r="P84" cm="1">
        <f t="array" aca="1" ref="P84" ca="1">SQRT(AVERAGE(OFFSET($E$2,(ROW(A83)-1)*12,0,12,1)^2))</f>
        <v>0.34410511959767953</v>
      </c>
      <c r="Q84">
        <f t="shared" ca="1" si="46"/>
        <v>13.701666666666668</v>
      </c>
      <c r="R84" cm="1">
        <f t="array" aca="1" ref="R84" ca="1">SQRT(AVERAGE(OFFSET($K$2,(ROW(A83)-1)*12,0,12,1)^2))</f>
        <v>0.41977176338259503</v>
      </c>
      <c r="S84">
        <f t="shared" ca="1" si="47"/>
        <v>2.8591666666666669</v>
      </c>
      <c r="T84">
        <f t="shared" ca="1" si="48"/>
        <v>9.5833333333333326E-2</v>
      </c>
      <c r="V84">
        <f t="shared" si="36"/>
        <v>2022.5</v>
      </c>
      <c r="W84">
        <f t="shared" ca="1" si="24"/>
        <v>95.366666666666646</v>
      </c>
      <c r="X84">
        <f t="shared" ca="1" si="25"/>
        <v>1.7205255979883978</v>
      </c>
      <c r="Y84">
        <f t="shared" ca="1" si="26"/>
        <v>137.01666666666668</v>
      </c>
      <c r="Z84">
        <f t="shared" ca="1" si="27"/>
        <v>2.0988588169129754</v>
      </c>
      <c r="AA84">
        <f t="shared" ca="1" si="28"/>
        <v>165.60833333333335</v>
      </c>
      <c r="AB84">
        <f t="shared" ca="1" si="29"/>
        <v>2.1528606614868919</v>
      </c>
      <c r="AE84">
        <f t="shared" ca="1" si="30"/>
        <v>70.241666666666703</v>
      </c>
      <c r="AF84">
        <f t="shared" ca="1" si="31"/>
        <v>1.2940636361649471</v>
      </c>
      <c r="AG84">
        <f t="shared" ca="1" si="32"/>
        <v>28.591666666666669</v>
      </c>
      <c r="AH84">
        <f t="shared" ca="1" si="19"/>
        <v>14.295833333333334</v>
      </c>
    </row>
    <row r="85" spans="1:34" x14ac:dyDescent="0.2">
      <c r="A85">
        <v>1946</v>
      </c>
      <c r="B85">
        <v>12</v>
      </c>
      <c r="C85">
        <v>-19.41</v>
      </c>
      <c r="D85">
        <v>-19.170000000000002</v>
      </c>
      <c r="E85">
        <v>8.2799999999999994</v>
      </c>
      <c r="F85">
        <v>-9.27</v>
      </c>
      <c r="G85">
        <v>-8.91</v>
      </c>
      <c r="H85">
        <v>8.51</v>
      </c>
      <c r="I85">
        <v>-28.68</v>
      </c>
      <c r="J85">
        <v>-28.08</v>
      </c>
      <c r="K85">
        <v>13.86</v>
      </c>
      <c r="L85" t="s">
        <v>0</v>
      </c>
      <c r="M85" t="s">
        <v>0</v>
      </c>
      <c r="N85" t="s">
        <v>0</v>
      </c>
      <c r="O85">
        <f t="shared" ca="1" si="23"/>
        <v>11.108333333333334</v>
      </c>
      <c r="P85" cm="1">
        <f t="array" aca="1" ref="P85" ca="1">SQRT(AVERAGE(OFFSET($E$2,(ROW(A84)-1)*12,0,12,1)^2))</f>
        <v>0.42464691215173106</v>
      </c>
      <c r="Q85">
        <f ca="1">AVERAGE(OFFSET($I$2,(ROW(A84)-1)*12,0,12,1))</f>
        <v>15.218333333333332</v>
      </c>
      <c r="R85" cm="1">
        <f t="array" aca="1" ref="R85" ca="1">SQRT(AVERAGE(OFFSET($K$2,(ROW(A84)-1)*12,0,12,1)^2))</f>
        <v>0.53390073983840847</v>
      </c>
      <c r="S85">
        <f ca="1">AVERAGE(OFFSET($L$2,(ROW(A84)-1)*12,0,12,1))</f>
        <v>3.0841666666666665</v>
      </c>
      <c r="T85">
        <f ca="1">SQRT(AVERAGE(OFFSET($N$2,(ROW(A84)-1)*12,0,12,1))^2)</f>
        <v>0.10333333333333335</v>
      </c>
      <c r="V85">
        <f t="shared" si="36"/>
        <v>2023.5</v>
      </c>
      <c r="W85">
        <f t="shared" ca="1" si="24"/>
        <v>111.08333333333334</v>
      </c>
      <c r="X85">
        <f t="shared" ca="1" si="25"/>
        <v>2.1232345607586551</v>
      </c>
      <c r="Y85">
        <f t="shared" ca="1" si="26"/>
        <v>152.18333333333331</v>
      </c>
      <c r="Z85">
        <f t="shared" ca="1" si="27"/>
        <v>2.6695036991920422</v>
      </c>
      <c r="AA85">
        <f t="shared" ca="1" si="28"/>
        <v>183.02499999999998</v>
      </c>
      <c r="AB85">
        <f t="shared" ca="1" si="29"/>
        <v>2.7190429280253086</v>
      </c>
      <c r="AE85">
        <f t="shared" ca="1" si="30"/>
        <v>71.941666666666634</v>
      </c>
      <c r="AF85">
        <f t="shared" ca="1" si="31"/>
        <v>1.6985492175513917</v>
      </c>
      <c r="AG85">
        <f t="shared" ca="1" si="32"/>
        <v>30.841666666666665</v>
      </c>
      <c r="AH85">
        <f t="shared" ca="1" si="19"/>
        <v>15.420833333333333</v>
      </c>
    </row>
    <row r="86" spans="1:34" x14ac:dyDescent="0.2">
      <c r="A86">
        <v>1947</v>
      </c>
      <c r="B86">
        <v>1</v>
      </c>
      <c r="C86">
        <v>-17.670000000000002</v>
      </c>
      <c r="D86">
        <v>-19.079999999999998</v>
      </c>
      <c r="E86">
        <v>8.0299999999999994</v>
      </c>
      <c r="F86">
        <v>-8.91</v>
      </c>
      <c r="G86">
        <v>-8.9</v>
      </c>
      <c r="H86">
        <v>8.3699999999999992</v>
      </c>
      <c r="I86">
        <v>-26.57</v>
      </c>
      <c r="J86">
        <v>-27.98</v>
      </c>
      <c r="K86">
        <v>13.41</v>
      </c>
      <c r="L86" t="s">
        <v>0</v>
      </c>
      <c r="M86" t="s">
        <v>0</v>
      </c>
      <c r="N86" t="s">
        <v>0</v>
      </c>
      <c r="O86">
        <f t="shared" ca="1" si="23"/>
        <v>12.279166666666663</v>
      </c>
      <c r="P86" cm="1">
        <f t="array" aca="1" ref="P86" ca="1">SQRT(AVERAGE(OFFSET($E$2,(ROW(A85)-1)*12,0,12,1)^2))</f>
        <v>0.36571847095819487</v>
      </c>
      <c r="Q86">
        <f t="shared" ref="Q86" ca="1" si="49">AVERAGE(OFFSET($I$2,(ROW(A85)-1)*12,0,12,1))</f>
        <v>16.604166666666668</v>
      </c>
      <c r="R86" cm="1">
        <f t="array" aca="1" ref="R86" ca="1">SQRT(AVERAGE(OFFSET($K$2,(ROW(A85)-1)*12,0,12,1)^2))</f>
        <v>0.51767106673382213</v>
      </c>
      <c r="S86">
        <f t="shared" ref="S86" ca="1" si="50">AVERAGE(OFFSET($L$2,(ROW(A85)-1)*12,0,12,1))</f>
        <v>2.980833333333333</v>
      </c>
      <c r="T86">
        <f t="shared" ref="T86" ca="1" si="51">SQRT(AVERAGE(OFFSET($N$2,(ROW(A85)-1)*12,0,12,1))^2)</f>
        <v>0.13833333333333334</v>
      </c>
      <c r="V86">
        <f t="shared" si="36"/>
        <v>2024.5</v>
      </c>
      <c r="W86">
        <f t="shared" ca="1" si="24"/>
        <v>122.79166666666663</v>
      </c>
      <c r="X86">
        <f t="shared" ca="1" si="25"/>
        <v>1.8285923547909744</v>
      </c>
      <c r="Y86">
        <f t="shared" ca="1" si="26"/>
        <v>166.04166666666669</v>
      </c>
      <c r="Z86">
        <f t="shared" ca="1" si="27"/>
        <v>2.5883553336691105</v>
      </c>
      <c r="AA86">
        <f t="shared" ca="1" si="28"/>
        <v>195.85000000000002</v>
      </c>
      <c r="AB86">
        <f t="shared" ca="1" si="29"/>
        <v>2.6791763867112426</v>
      </c>
      <c r="AE86">
        <f t="shared" ca="1" si="30"/>
        <v>73.058333333333394</v>
      </c>
      <c r="AF86">
        <f t="shared" ca="1" si="31"/>
        <v>1.9581205558164974</v>
      </c>
      <c r="AG86">
        <f t="shared" ca="1" si="32"/>
        <v>29.80833333333333</v>
      </c>
      <c r="AH86">
        <f t="shared" ca="1" si="19"/>
        <v>14.904166666666665</v>
      </c>
    </row>
    <row r="87" spans="1:34" x14ac:dyDescent="0.2">
      <c r="A87">
        <v>1947</v>
      </c>
      <c r="B87">
        <v>2</v>
      </c>
      <c r="C87">
        <v>-18.440000000000001</v>
      </c>
      <c r="D87">
        <v>-19.010000000000002</v>
      </c>
      <c r="E87">
        <v>8.06</v>
      </c>
      <c r="F87">
        <v>-8.99</v>
      </c>
      <c r="G87">
        <v>-8.9</v>
      </c>
      <c r="H87">
        <v>8.34</v>
      </c>
      <c r="I87">
        <v>-27.43</v>
      </c>
      <c r="J87">
        <v>-27.91</v>
      </c>
      <c r="K87">
        <v>13.34</v>
      </c>
      <c r="L87" t="s">
        <v>0</v>
      </c>
      <c r="M87" t="s">
        <v>0</v>
      </c>
      <c r="N87" t="s">
        <v>0</v>
      </c>
      <c r="O87">
        <f t="shared" ref="O87" ca="1" si="52">AVERAGE(OFFSET($C$2,(ROW(A86)-1)*12,0,12,1))</f>
        <v>13.707500000000001</v>
      </c>
      <c r="P87" cm="1">
        <f t="array" aca="1" ref="P87" ca="1">SQRT(AVERAGE(OFFSET($E$2,(ROW(A86)-1)*12,0,12,1)^2))</f>
        <v>0.43240605916198721</v>
      </c>
      <c r="Q87">
        <f t="shared" ref="Q87" ca="1" si="53">AVERAGE(OFFSET($I$2,(ROW(A86)-1)*12,0,12,1))</f>
        <v>18.892500000000002</v>
      </c>
      <c r="R87" cm="1">
        <f t="array" aca="1" ref="R87" ca="1">SQRT(AVERAGE(OFFSET($K$2,(ROW(A86)-1)*12,0,12,1)^2))</f>
        <v>0.62425956140054428</v>
      </c>
      <c r="S87">
        <f t="shared" ref="S87" ca="1" si="54">AVERAGE(OFFSET($L$2,(ROW(A86)-1)*12,0,12,1))</f>
        <v>3.0575000000000006</v>
      </c>
      <c r="T87">
        <f t="shared" ref="T87" ca="1" si="55">SQRT(AVERAGE(OFFSET($N$2,(ROW(A86)-1)*12,0,12,1))^2)</f>
        <v>0.16416666666666666</v>
      </c>
      <c r="V87">
        <f t="shared" si="36"/>
        <v>2025.5</v>
      </c>
      <c r="W87">
        <f t="shared" ref="W87" ca="1" si="56">O87*10</f>
        <v>137.07500000000002</v>
      </c>
      <c r="X87">
        <f t="shared" ref="X87" ca="1" si="57">P87*5</f>
        <v>2.1620302958099362</v>
      </c>
      <c r="Y87">
        <f t="shared" ref="Y87" ca="1" si="58">Q87*10</f>
        <v>188.92500000000001</v>
      </c>
      <c r="Z87">
        <f t="shared" ref="Z87" ca="1" si="59">R87*10/2</f>
        <v>3.1212978070027213</v>
      </c>
      <c r="AA87">
        <f t="shared" ref="AA87" ca="1" si="60">IF(ISNUMBER(S87),(S87+Q87)*10,"NaN")</f>
        <v>219.50000000000003</v>
      </c>
      <c r="AB87">
        <f t="shared" ref="AB87" ca="1" si="61">IF(ISNUMBER(T87),SQRT(T87^2+R87^2)*10/2,"NaN")</f>
        <v>3.2274242610960076</v>
      </c>
      <c r="AE87">
        <f t="shared" ref="AE87" ca="1" si="62">AA87-W87</f>
        <v>82.425000000000011</v>
      </c>
      <c r="AF87">
        <f t="shared" ref="AF87" ca="1" si="63">SQRT(AB87^2-X87^2)</f>
        <v>2.3962246057310885</v>
      </c>
      <c r="AG87">
        <f t="shared" ref="AG87" ca="1" si="64">S87*10</f>
        <v>30.575000000000006</v>
      </c>
      <c r="AH87">
        <f t="shared" ref="AH87" ca="1" si="65">MAX(S87*5,0)</f>
        <v>15.287500000000003</v>
      </c>
    </row>
    <row r="88" spans="1:34" x14ac:dyDescent="0.2">
      <c r="A88">
        <v>1947</v>
      </c>
      <c r="B88">
        <v>3</v>
      </c>
      <c r="C88">
        <v>-18.79</v>
      </c>
      <c r="D88">
        <v>-18.98</v>
      </c>
      <c r="E88">
        <v>8.06</v>
      </c>
      <c r="F88">
        <v>-8.9499999999999993</v>
      </c>
      <c r="G88">
        <v>-8.9</v>
      </c>
      <c r="H88">
        <v>8.2899999999999991</v>
      </c>
      <c r="I88">
        <v>-27.73</v>
      </c>
      <c r="J88">
        <v>-27.88</v>
      </c>
      <c r="K88">
        <v>13.29</v>
      </c>
      <c r="L88" t="s">
        <v>0</v>
      </c>
      <c r="M88" t="s">
        <v>0</v>
      </c>
      <c r="N88" t="s">
        <v>0</v>
      </c>
    </row>
    <row r="89" spans="1:34" x14ac:dyDescent="0.2">
      <c r="A89">
        <v>1947</v>
      </c>
      <c r="B89">
        <v>4</v>
      </c>
      <c r="C89">
        <v>-18.61</v>
      </c>
      <c r="D89">
        <v>-18.96</v>
      </c>
      <c r="E89">
        <v>7.96</v>
      </c>
      <c r="F89">
        <v>-9.01</v>
      </c>
      <c r="G89">
        <v>-8.9</v>
      </c>
      <c r="H89">
        <v>8.23</v>
      </c>
      <c r="I89">
        <v>-27.62</v>
      </c>
      <c r="J89">
        <v>-27.87</v>
      </c>
      <c r="K89">
        <v>13.16</v>
      </c>
      <c r="L89" t="s">
        <v>0</v>
      </c>
      <c r="M89" t="s">
        <v>0</v>
      </c>
      <c r="N89" t="s">
        <v>0</v>
      </c>
    </row>
    <row r="90" spans="1:34" x14ac:dyDescent="0.2">
      <c r="A90">
        <v>1947</v>
      </c>
      <c r="B90">
        <v>5</v>
      </c>
      <c r="C90">
        <v>-18.57</v>
      </c>
      <c r="D90">
        <v>-18.93</v>
      </c>
      <c r="E90">
        <v>7.8</v>
      </c>
      <c r="F90">
        <v>-8.9</v>
      </c>
      <c r="G90">
        <v>-8.92</v>
      </c>
      <c r="H90">
        <v>8.2100000000000009</v>
      </c>
      <c r="I90">
        <v>-27.47</v>
      </c>
      <c r="J90">
        <v>-27.85</v>
      </c>
      <c r="K90">
        <v>13.01</v>
      </c>
      <c r="L90" t="s">
        <v>0</v>
      </c>
      <c r="M90" t="s">
        <v>0</v>
      </c>
      <c r="N90" t="s">
        <v>0</v>
      </c>
    </row>
    <row r="91" spans="1:34" x14ac:dyDescent="0.2">
      <c r="A91">
        <v>1947</v>
      </c>
      <c r="B91">
        <v>6</v>
      </c>
      <c r="C91">
        <v>-19.309999999999999</v>
      </c>
      <c r="D91">
        <v>-18.93</v>
      </c>
      <c r="E91">
        <v>7.86</v>
      </c>
      <c r="F91">
        <v>-8.8000000000000007</v>
      </c>
      <c r="G91">
        <v>-8.92</v>
      </c>
      <c r="H91">
        <v>8.2100000000000009</v>
      </c>
      <c r="I91">
        <v>-28.1</v>
      </c>
      <c r="J91">
        <v>-27.85</v>
      </c>
      <c r="K91">
        <v>13.08</v>
      </c>
      <c r="L91" t="s">
        <v>0</v>
      </c>
      <c r="M91" t="s">
        <v>0</v>
      </c>
      <c r="N91" t="s">
        <v>0</v>
      </c>
    </row>
    <row r="92" spans="1:34" x14ac:dyDescent="0.2">
      <c r="A92">
        <v>1947</v>
      </c>
      <c r="B92">
        <v>7</v>
      </c>
      <c r="C92">
        <v>-18.95</v>
      </c>
      <c r="D92">
        <v>-19.02</v>
      </c>
      <c r="E92">
        <v>7.82</v>
      </c>
      <c r="F92">
        <v>-8.7100000000000009</v>
      </c>
      <c r="G92">
        <v>-8.91</v>
      </c>
      <c r="H92">
        <v>8.15</v>
      </c>
      <c r="I92">
        <v>-27.66</v>
      </c>
      <c r="J92">
        <v>-27.93</v>
      </c>
      <c r="K92">
        <v>13</v>
      </c>
      <c r="L92" t="s">
        <v>0</v>
      </c>
      <c r="M92" t="s">
        <v>0</v>
      </c>
      <c r="N92" t="s">
        <v>0</v>
      </c>
    </row>
    <row r="93" spans="1:34" x14ac:dyDescent="0.2">
      <c r="A93">
        <v>1947</v>
      </c>
      <c r="B93">
        <v>8</v>
      </c>
      <c r="C93">
        <v>-19.8</v>
      </c>
      <c r="D93">
        <v>-19.149999999999999</v>
      </c>
      <c r="E93">
        <v>7.95</v>
      </c>
      <c r="F93">
        <v>-8.84</v>
      </c>
      <c r="G93">
        <v>-8.89</v>
      </c>
      <c r="H93">
        <v>8.14</v>
      </c>
      <c r="I93">
        <v>-28.64</v>
      </c>
      <c r="J93">
        <v>-28.04</v>
      </c>
      <c r="K93">
        <v>13.11</v>
      </c>
      <c r="L93" t="s">
        <v>0</v>
      </c>
      <c r="M93" t="s">
        <v>0</v>
      </c>
      <c r="N93" t="s">
        <v>0</v>
      </c>
    </row>
    <row r="94" spans="1:34" x14ac:dyDescent="0.2">
      <c r="A94">
        <v>1947</v>
      </c>
      <c r="B94">
        <v>9</v>
      </c>
      <c r="C94">
        <v>-19.09</v>
      </c>
      <c r="D94">
        <v>-19.29</v>
      </c>
      <c r="E94">
        <v>8.08</v>
      </c>
      <c r="F94">
        <v>-8.84</v>
      </c>
      <c r="G94">
        <v>-8.8699999999999992</v>
      </c>
      <c r="H94">
        <v>8.15</v>
      </c>
      <c r="I94">
        <v>-27.93</v>
      </c>
      <c r="J94">
        <v>-28.16</v>
      </c>
      <c r="K94">
        <v>13.23</v>
      </c>
      <c r="L94" t="s">
        <v>0</v>
      </c>
      <c r="M94" t="s">
        <v>0</v>
      </c>
      <c r="N94" t="s">
        <v>0</v>
      </c>
    </row>
    <row r="95" spans="1:34" x14ac:dyDescent="0.2">
      <c r="A95">
        <v>1947</v>
      </c>
      <c r="B95">
        <v>10</v>
      </c>
      <c r="C95">
        <v>-19.239999999999998</v>
      </c>
      <c r="D95">
        <v>-19.47</v>
      </c>
      <c r="E95">
        <v>8.1</v>
      </c>
      <c r="F95">
        <v>-8.89</v>
      </c>
      <c r="G95">
        <v>-8.84</v>
      </c>
      <c r="H95">
        <v>8.1300000000000008</v>
      </c>
      <c r="I95">
        <v>-28.13</v>
      </c>
      <c r="J95">
        <v>-28.32</v>
      </c>
      <c r="K95">
        <v>13.18</v>
      </c>
      <c r="L95" t="s">
        <v>0</v>
      </c>
      <c r="M95" t="s">
        <v>0</v>
      </c>
      <c r="N95" t="s">
        <v>0</v>
      </c>
    </row>
    <row r="96" spans="1:34" x14ac:dyDescent="0.2">
      <c r="A96">
        <v>1947</v>
      </c>
      <c r="B96">
        <v>11</v>
      </c>
      <c r="C96">
        <v>-18.95</v>
      </c>
      <c r="D96">
        <v>-19.73</v>
      </c>
      <c r="E96">
        <v>8.2100000000000009</v>
      </c>
      <c r="F96">
        <v>-9.01</v>
      </c>
      <c r="G96">
        <v>-8.83</v>
      </c>
      <c r="H96">
        <v>8.02</v>
      </c>
      <c r="I96">
        <v>-27.96</v>
      </c>
      <c r="J96">
        <v>-28.55</v>
      </c>
      <c r="K96">
        <v>13.16</v>
      </c>
      <c r="L96" t="s">
        <v>0</v>
      </c>
      <c r="M96" t="s">
        <v>0</v>
      </c>
      <c r="N96" t="s">
        <v>0</v>
      </c>
    </row>
    <row r="97" spans="1:14" x14ac:dyDescent="0.2">
      <c r="A97">
        <v>1947</v>
      </c>
      <c r="B97">
        <v>12</v>
      </c>
      <c r="C97">
        <v>-19.97</v>
      </c>
      <c r="D97">
        <v>-20.02</v>
      </c>
      <c r="E97">
        <v>8.27</v>
      </c>
      <c r="F97">
        <v>-9.1199999999999992</v>
      </c>
      <c r="G97">
        <v>-8.82</v>
      </c>
      <c r="H97">
        <v>7.96</v>
      </c>
      <c r="I97">
        <v>-29.09</v>
      </c>
      <c r="J97">
        <v>-28.83</v>
      </c>
      <c r="K97">
        <v>13.16</v>
      </c>
      <c r="L97" t="s">
        <v>0</v>
      </c>
      <c r="M97" t="s">
        <v>0</v>
      </c>
      <c r="N97" t="s">
        <v>0</v>
      </c>
    </row>
    <row r="98" spans="1:14" x14ac:dyDescent="0.2">
      <c r="A98">
        <v>1948</v>
      </c>
      <c r="B98">
        <v>1</v>
      </c>
      <c r="C98">
        <v>-19.45</v>
      </c>
      <c r="D98">
        <v>-20.329999999999998</v>
      </c>
      <c r="E98">
        <v>8.01</v>
      </c>
      <c r="F98">
        <v>-8.81</v>
      </c>
      <c r="G98">
        <v>-8.82</v>
      </c>
      <c r="H98">
        <v>7.82</v>
      </c>
      <c r="I98">
        <v>-28.26</v>
      </c>
      <c r="J98">
        <v>-29.15</v>
      </c>
      <c r="K98">
        <v>12.81</v>
      </c>
      <c r="L98" t="s">
        <v>0</v>
      </c>
      <c r="M98" t="s">
        <v>0</v>
      </c>
      <c r="N98" t="s">
        <v>0</v>
      </c>
    </row>
    <row r="99" spans="1:14" x14ac:dyDescent="0.2">
      <c r="A99">
        <v>1948</v>
      </c>
      <c r="B99">
        <v>2</v>
      </c>
      <c r="C99">
        <v>-19.77</v>
      </c>
      <c r="D99">
        <v>-20.69</v>
      </c>
      <c r="E99">
        <v>8.02</v>
      </c>
      <c r="F99">
        <v>-8.67</v>
      </c>
      <c r="G99">
        <v>-8.81</v>
      </c>
      <c r="H99">
        <v>7.82</v>
      </c>
      <c r="I99">
        <v>-28.43</v>
      </c>
      <c r="J99">
        <v>-29.5</v>
      </c>
      <c r="K99">
        <v>12.84</v>
      </c>
      <c r="L99" t="s">
        <v>0</v>
      </c>
      <c r="M99" t="s">
        <v>0</v>
      </c>
      <c r="N99" t="s">
        <v>0</v>
      </c>
    </row>
    <row r="100" spans="1:14" x14ac:dyDescent="0.2">
      <c r="A100">
        <v>1948</v>
      </c>
      <c r="B100">
        <v>3</v>
      </c>
      <c r="C100">
        <v>-20.73</v>
      </c>
      <c r="D100">
        <v>-21.08</v>
      </c>
      <c r="E100">
        <v>8.0299999999999994</v>
      </c>
      <c r="F100">
        <v>-8.68</v>
      </c>
      <c r="G100">
        <v>-8.8000000000000007</v>
      </c>
      <c r="H100">
        <v>7.8</v>
      </c>
      <c r="I100">
        <v>-29.41</v>
      </c>
      <c r="J100">
        <v>-29.87</v>
      </c>
      <c r="K100">
        <v>12.84</v>
      </c>
      <c r="L100" t="s">
        <v>0</v>
      </c>
      <c r="M100" t="s">
        <v>0</v>
      </c>
      <c r="N100" t="s">
        <v>0</v>
      </c>
    </row>
    <row r="101" spans="1:14" x14ac:dyDescent="0.2">
      <c r="A101">
        <v>1948</v>
      </c>
      <c r="B101">
        <v>4</v>
      </c>
      <c r="C101">
        <v>-21.12</v>
      </c>
      <c r="D101">
        <v>-21.48</v>
      </c>
      <c r="E101">
        <v>8.0500000000000007</v>
      </c>
      <c r="F101">
        <v>-8.74</v>
      </c>
      <c r="G101">
        <v>-8.7799999999999994</v>
      </c>
      <c r="H101">
        <v>7.73</v>
      </c>
      <c r="I101">
        <v>-29.86</v>
      </c>
      <c r="J101">
        <v>-30.26</v>
      </c>
      <c r="K101">
        <v>12.87</v>
      </c>
      <c r="L101" t="s">
        <v>0</v>
      </c>
      <c r="M101" t="s">
        <v>0</v>
      </c>
      <c r="N101" t="s">
        <v>0</v>
      </c>
    </row>
    <row r="102" spans="1:14" x14ac:dyDescent="0.2">
      <c r="A102">
        <v>1948</v>
      </c>
      <c r="B102">
        <v>5</v>
      </c>
      <c r="C102">
        <v>-22.17</v>
      </c>
      <c r="D102">
        <v>-21.86</v>
      </c>
      <c r="E102">
        <v>8.1</v>
      </c>
      <c r="F102">
        <v>-8.73</v>
      </c>
      <c r="G102">
        <v>-8.76</v>
      </c>
      <c r="H102">
        <v>7.65</v>
      </c>
      <c r="I102">
        <v>-30.9</v>
      </c>
      <c r="J102">
        <v>-30.62</v>
      </c>
      <c r="K102">
        <v>12.91</v>
      </c>
      <c r="L102" t="s">
        <v>0</v>
      </c>
      <c r="M102" t="s">
        <v>0</v>
      </c>
      <c r="N102" t="s">
        <v>0</v>
      </c>
    </row>
    <row r="103" spans="1:14" x14ac:dyDescent="0.2">
      <c r="A103">
        <v>1948</v>
      </c>
      <c r="B103">
        <v>6</v>
      </c>
      <c r="C103">
        <v>-22.59</v>
      </c>
      <c r="D103">
        <v>-22.18</v>
      </c>
      <c r="E103">
        <v>8.1300000000000008</v>
      </c>
      <c r="F103">
        <v>-8.7899999999999991</v>
      </c>
      <c r="G103">
        <v>-8.74</v>
      </c>
      <c r="H103">
        <v>7.64</v>
      </c>
      <c r="I103">
        <v>-31.38</v>
      </c>
      <c r="J103">
        <v>-30.92</v>
      </c>
      <c r="K103">
        <v>12.94</v>
      </c>
      <c r="L103" t="s">
        <v>0</v>
      </c>
      <c r="M103" t="s">
        <v>0</v>
      </c>
      <c r="N103" t="s">
        <v>0</v>
      </c>
    </row>
    <row r="104" spans="1:14" x14ac:dyDescent="0.2">
      <c r="A104">
        <v>1948</v>
      </c>
      <c r="B104">
        <v>7</v>
      </c>
      <c r="C104">
        <v>-23.2</v>
      </c>
      <c r="D104">
        <v>-22.44</v>
      </c>
      <c r="E104">
        <v>8.08</v>
      </c>
      <c r="F104">
        <v>-8.74</v>
      </c>
      <c r="G104">
        <v>-8.7100000000000009</v>
      </c>
      <c r="H104">
        <v>7.63</v>
      </c>
      <c r="I104">
        <v>-31.93</v>
      </c>
      <c r="J104">
        <v>-31.15</v>
      </c>
      <c r="K104">
        <v>12.89</v>
      </c>
      <c r="L104" t="s">
        <v>0</v>
      </c>
      <c r="M104" t="s">
        <v>0</v>
      </c>
      <c r="N104" t="s">
        <v>0</v>
      </c>
    </row>
    <row r="105" spans="1:14" x14ac:dyDescent="0.2">
      <c r="A105">
        <v>1948</v>
      </c>
      <c r="B105">
        <v>8</v>
      </c>
      <c r="C105">
        <v>-24.1</v>
      </c>
      <c r="D105">
        <v>-22.69</v>
      </c>
      <c r="E105">
        <v>8.0299999999999994</v>
      </c>
      <c r="F105">
        <v>-8.64</v>
      </c>
      <c r="G105">
        <v>-8.69</v>
      </c>
      <c r="H105">
        <v>7.61</v>
      </c>
      <c r="I105">
        <v>-32.74</v>
      </c>
      <c r="J105">
        <v>-31.38</v>
      </c>
      <c r="K105">
        <v>12.79</v>
      </c>
      <c r="L105" t="s">
        <v>0</v>
      </c>
      <c r="M105" t="s">
        <v>0</v>
      </c>
      <c r="N105" t="s">
        <v>0</v>
      </c>
    </row>
    <row r="106" spans="1:14" x14ac:dyDescent="0.2">
      <c r="A106">
        <v>1948</v>
      </c>
      <c r="B106">
        <v>9</v>
      </c>
      <c r="C106">
        <v>-24.12</v>
      </c>
      <c r="D106">
        <v>-22.91</v>
      </c>
      <c r="E106">
        <v>8.01</v>
      </c>
      <c r="F106">
        <v>-8.67</v>
      </c>
      <c r="G106">
        <v>-8.68</v>
      </c>
      <c r="H106">
        <v>7.62</v>
      </c>
      <c r="I106">
        <v>-32.79</v>
      </c>
      <c r="J106">
        <v>-31.6</v>
      </c>
      <c r="K106">
        <v>12.74</v>
      </c>
      <c r="L106" t="s">
        <v>0</v>
      </c>
      <c r="M106" t="s">
        <v>0</v>
      </c>
      <c r="N106" t="s">
        <v>0</v>
      </c>
    </row>
    <row r="107" spans="1:14" x14ac:dyDescent="0.2">
      <c r="A107">
        <v>1948</v>
      </c>
      <c r="B107">
        <v>10</v>
      </c>
      <c r="C107">
        <v>-23.85</v>
      </c>
      <c r="D107">
        <v>-23.06</v>
      </c>
      <c r="E107">
        <v>7.99</v>
      </c>
      <c r="F107">
        <v>-8.69</v>
      </c>
      <c r="G107">
        <v>-8.69</v>
      </c>
      <c r="H107">
        <v>7.57</v>
      </c>
      <c r="I107">
        <v>-32.54</v>
      </c>
      <c r="J107">
        <v>-31.75</v>
      </c>
      <c r="K107">
        <v>12.61</v>
      </c>
      <c r="L107" t="s">
        <v>0</v>
      </c>
      <c r="M107" t="s">
        <v>0</v>
      </c>
      <c r="N107" t="s">
        <v>0</v>
      </c>
    </row>
    <row r="108" spans="1:14" x14ac:dyDescent="0.2">
      <c r="A108">
        <v>1948</v>
      </c>
      <c r="B108">
        <v>11</v>
      </c>
      <c r="C108">
        <v>-23.48</v>
      </c>
      <c r="D108">
        <v>-23.1</v>
      </c>
      <c r="E108">
        <v>7.94</v>
      </c>
      <c r="F108">
        <v>-8.77</v>
      </c>
      <c r="G108">
        <v>-8.6999999999999993</v>
      </c>
      <c r="H108">
        <v>7.52</v>
      </c>
      <c r="I108">
        <v>-32.25</v>
      </c>
      <c r="J108">
        <v>-31.8</v>
      </c>
      <c r="K108">
        <v>12.56</v>
      </c>
      <c r="L108" t="s">
        <v>0</v>
      </c>
      <c r="M108" t="s">
        <v>0</v>
      </c>
      <c r="N108" t="s">
        <v>0</v>
      </c>
    </row>
    <row r="109" spans="1:14" x14ac:dyDescent="0.2">
      <c r="A109">
        <v>1948</v>
      </c>
      <c r="B109">
        <v>12</v>
      </c>
      <c r="C109">
        <v>-23.11</v>
      </c>
      <c r="D109">
        <v>-23.05</v>
      </c>
      <c r="E109">
        <v>7.95</v>
      </c>
      <c r="F109">
        <v>-8.7899999999999991</v>
      </c>
      <c r="G109">
        <v>-8.7100000000000009</v>
      </c>
      <c r="H109">
        <v>7.5</v>
      </c>
      <c r="I109">
        <v>-31.9</v>
      </c>
      <c r="J109">
        <v>-31.76</v>
      </c>
      <c r="K109">
        <v>12.57</v>
      </c>
      <c r="L109" t="s">
        <v>0</v>
      </c>
      <c r="M109" t="s">
        <v>0</v>
      </c>
      <c r="N109" t="s">
        <v>0</v>
      </c>
    </row>
    <row r="110" spans="1:14" x14ac:dyDescent="0.2">
      <c r="A110">
        <v>1949</v>
      </c>
      <c r="B110">
        <v>1</v>
      </c>
      <c r="C110">
        <v>-22.57</v>
      </c>
      <c r="D110">
        <v>-22.96</v>
      </c>
      <c r="E110">
        <v>7.78</v>
      </c>
      <c r="F110">
        <v>-8.4</v>
      </c>
      <c r="G110">
        <v>-8.7200000000000006</v>
      </c>
      <c r="H110">
        <v>7.35</v>
      </c>
      <c r="I110">
        <v>-30.97</v>
      </c>
      <c r="J110">
        <v>-31.67</v>
      </c>
      <c r="K110">
        <v>12.28</v>
      </c>
      <c r="L110" t="s">
        <v>0</v>
      </c>
      <c r="M110" t="s">
        <v>0</v>
      </c>
      <c r="N110" t="s">
        <v>0</v>
      </c>
    </row>
    <row r="111" spans="1:14" x14ac:dyDescent="0.2">
      <c r="A111">
        <v>1949</v>
      </c>
      <c r="B111">
        <v>2</v>
      </c>
      <c r="C111">
        <v>-22.82</v>
      </c>
      <c r="D111">
        <v>-22.79</v>
      </c>
      <c r="E111">
        <v>7.93</v>
      </c>
      <c r="F111">
        <v>-8.51</v>
      </c>
      <c r="G111">
        <v>-8.73</v>
      </c>
      <c r="H111">
        <v>7.27</v>
      </c>
      <c r="I111">
        <v>-31.33</v>
      </c>
      <c r="J111">
        <v>-31.52</v>
      </c>
      <c r="K111">
        <v>12.4</v>
      </c>
      <c r="L111" t="s">
        <v>0</v>
      </c>
      <c r="M111" t="s">
        <v>0</v>
      </c>
      <c r="N111" t="s">
        <v>0</v>
      </c>
    </row>
    <row r="112" spans="1:14" x14ac:dyDescent="0.2">
      <c r="A112">
        <v>1949</v>
      </c>
      <c r="B112">
        <v>3</v>
      </c>
      <c r="C112">
        <v>-22.94</v>
      </c>
      <c r="D112">
        <v>-22.61</v>
      </c>
      <c r="E112">
        <v>8</v>
      </c>
      <c r="F112">
        <v>-8.74</v>
      </c>
      <c r="G112">
        <v>-8.74</v>
      </c>
      <c r="H112">
        <v>7.22</v>
      </c>
      <c r="I112">
        <v>-31.69</v>
      </c>
      <c r="J112">
        <v>-31.35</v>
      </c>
      <c r="K112">
        <v>12.36</v>
      </c>
      <c r="L112" t="s">
        <v>0</v>
      </c>
      <c r="M112" t="s">
        <v>0</v>
      </c>
      <c r="N112" t="s">
        <v>0</v>
      </c>
    </row>
    <row r="113" spans="1:14" x14ac:dyDescent="0.2">
      <c r="A113">
        <v>1949</v>
      </c>
      <c r="B113">
        <v>4</v>
      </c>
      <c r="C113">
        <v>-22.4</v>
      </c>
      <c r="D113">
        <v>-22.48</v>
      </c>
      <c r="E113">
        <v>8.09</v>
      </c>
      <c r="F113">
        <v>-8.86</v>
      </c>
      <c r="G113">
        <v>-8.75</v>
      </c>
      <c r="H113">
        <v>7.14</v>
      </c>
      <c r="I113">
        <v>-31.26</v>
      </c>
      <c r="J113">
        <v>-31.23</v>
      </c>
      <c r="K113">
        <v>12.32</v>
      </c>
      <c r="L113" t="s">
        <v>0</v>
      </c>
      <c r="M113" t="s">
        <v>0</v>
      </c>
      <c r="N113" t="s">
        <v>0</v>
      </c>
    </row>
    <row r="114" spans="1:14" x14ac:dyDescent="0.2">
      <c r="A114">
        <v>1949</v>
      </c>
      <c r="B114">
        <v>5</v>
      </c>
      <c r="C114">
        <v>-21.8</v>
      </c>
      <c r="D114">
        <v>-22.38</v>
      </c>
      <c r="E114">
        <v>8.09</v>
      </c>
      <c r="F114">
        <v>-8.83</v>
      </c>
      <c r="G114">
        <v>-8.76</v>
      </c>
      <c r="H114">
        <v>7.07</v>
      </c>
      <c r="I114">
        <v>-30.63</v>
      </c>
      <c r="J114">
        <v>-31.14</v>
      </c>
      <c r="K114">
        <v>12.29</v>
      </c>
      <c r="L114" t="s">
        <v>0</v>
      </c>
      <c r="M114" t="s">
        <v>0</v>
      </c>
      <c r="N114" t="s">
        <v>0</v>
      </c>
    </row>
    <row r="115" spans="1:14" x14ac:dyDescent="0.2">
      <c r="A115">
        <v>1949</v>
      </c>
      <c r="B115">
        <v>6</v>
      </c>
      <c r="C115">
        <v>-21.91</v>
      </c>
      <c r="D115">
        <v>-22.25</v>
      </c>
      <c r="E115">
        <v>8.0500000000000007</v>
      </c>
      <c r="F115">
        <v>-8.91</v>
      </c>
      <c r="G115">
        <v>-8.7799999999999994</v>
      </c>
      <c r="H115">
        <v>7.03</v>
      </c>
      <c r="I115">
        <v>-30.83</v>
      </c>
      <c r="J115">
        <v>-31.03</v>
      </c>
      <c r="K115">
        <v>12.2</v>
      </c>
      <c r="L115" t="s">
        <v>0</v>
      </c>
      <c r="M115" t="s">
        <v>0</v>
      </c>
      <c r="N115" t="s">
        <v>0</v>
      </c>
    </row>
    <row r="116" spans="1:14" x14ac:dyDescent="0.2">
      <c r="A116">
        <v>1949</v>
      </c>
      <c r="B116">
        <v>7</v>
      </c>
      <c r="C116">
        <v>-21.53</v>
      </c>
      <c r="D116">
        <v>-22.11</v>
      </c>
      <c r="E116">
        <v>7.92</v>
      </c>
      <c r="F116">
        <v>-8.8000000000000007</v>
      </c>
      <c r="G116">
        <v>-8.82</v>
      </c>
      <c r="H116">
        <v>6.96</v>
      </c>
      <c r="I116">
        <v>-30.33</v>
      </c>
      <c r="J116">
        <v>-30.93</v>
      </c>
      <c r="K116">
        <v>12.07</v>
      </c>
      <c r="L116" t="s">
        <v>0</v>
      </c>
      <c r="M116" t="s">
        <v>0</v>
      </c>
      <c r="N116" t="s">
        <v>0</v>
      </c>
    </row>
    <row r="117" spans="1:14" x14ac:dyDescent="0.2">
      <c r="A117">
        <v>1949</v>
      </c>
      <c r="B117">
        <v>8</v>
      </c>
      <c r="C117">
        <v>-21.69</v>
      </c>
      <c r="D117">
        <v>-21.98</v>
      </c>
      <c r="E117">
        <v>7.8</v>
      </c>
      <c r="F117">
        <v>-8.89</v>
      </c>
      <c r="G117">
        <v>-8.86</v>
      </c>
      <c r="H117">
        <v>6.97</v>
      </c>
      <c r="I117">
        <v>-30.58</v>
      </c>
      <c r="J117">
        <v>-30.84</v>
      </c>
      <c r="K117">
        <v>11.98</v>
      </c>
      <c r="L117" t="s">
        <v>0</v>
      </c>
      <c r="M117" t="s">
        <v>0</v>
      </c>
      <c r="N117" t="s">
        <v>0</v>
      </c>
    </row>
    <row r="118" spans="1:14" x14ac:dyDescent="0.2">
      <c r="A118">
        <v>1949</v>
      </c>
      <c r="B118">
        <v>9</v>
      </c>
      <c r="C118">
        <v>-22.23</v>
      </c>
      <c r="D118">
        <v>-21.85</v>
      </c>
      <c r="E118">
        <v>7.59</v>
      </c>
      <c r="F118">
        <v>-8.7200000000000006</v>
      </c>
      <c r="G118">
        <v>-8.9</v>
      </c>
      <c r="H118">
        <v>6.91</v>
      </c>
      <c r="I118">
        <v>-30.95</v>
      </c>
      <c r="J118">
        <v>-30.75</v>
      </c>
      <c r="K118">
        <v>11.78</v>
      </c>
      <c r="L118" t="s">
        <v>0</v>
      </c>
      <c r="M118" t="s">
        <v>0</v>
      </c>
      <c r="N118" t="s">
        <v>0</v>
      </c>
    </row>
    <row r="119" spans="1:14" x14ac:dyDescent="0.2">
      <c r="A119">
        <v>1949</v>
      </c>
      <c r="B119">
        <v>10</v>
      </c>
      <c r="C119">
        <v>-22.8</v>
      </c>
      <c r="D119">
        <v>-21.8</v>
      </c>
      <c r="E119">
        <v>7.45</v>
      </c>
      <c r="F119">
        <v>-8.8000000000000007</v>
      </c>
      <c r="G119">
        <v>-8.93</v>
      </c>
      <c r="H119">
        <v>6.82</v>
      </c>
      <c r="I119">
        <v>-31.6</v>
      </c>
      <c r="J119">
        <v>-30.72</v>
      </c>
      <c r="K119">
        <v>11.59</v>
      </c>
      <c r="L119" t="s">
        <v>0</v>
      </c>
      <c r="M119" t="s">
        <v>0</v>
      </c>
      <c r="N119" t="s">
        <v>0</v>
      </c>
    </row>
    <row r="120" spans="1:14" x14ac:dyDescent="0.2">
      <c r="A120">
        <v>1949</v>
      </c>
      <c r="B120">
        <v>11</v>
      </c>
      <c r="C120">
        <v>-22.07</v>
      </c>
      <c r="D120">
        <v>-21.89</v>
      </c>
      <c r="E120">
        <v>7.41</v>
      </c>
      <c r="F120">
        <v>-8.9</v>
      </c>
      <c r="G120">
        <v>-8.9600000000000009</v>
      </c>
      <c r="H120">
        <v>6.79</v>
      </c>
      <c r="I120">
        <v>-30.97</v>
      </c>
      <c r="J120">
        <v>-30.85</v>
      </c>
      <c r="K120">
        <v>11.49</v>
      </c>
      <c r="L120" t="s">
        <v>0</v>
      </c>
      <c r="M120" t="s">
        <v>0</v>
      </c>
      <c r="N120" t="s">
        <v>0</v>
      </c>
    </row>
    <row r="121" spans="1:14" x14ac:dyDescent="0.2">
      <c r="A121">
        <v>1949</v>
      </c>
      <c r="B121">
        <v>12</v>
      </c>
      <c r="C121">
        <v>-21.46</v>
      </c>
      <c r="D121">
        <v>-22.03</v>
      </c>
      <c r="E121">
        <v>7.32</v>
      </c>
      <c r="F121">
        <v>-9.18</v>
      </c>
      <c r="G121">
        <v>-8.99</v>
      </c>
      <c r="H121">
        <v>6.79</v>
      </c>
      <c r="I121">
        <v>-30.64</v>
      </c>
      <c r="J121">
        <v>-31.01</v>
      </c>
      <c r="K121">
        <v>11.44</v>
      </c>
      <c r="L121" t="s">
        <v>0</v>
      </c>
      <c r="M121" t="s">
        <v>0</v>
      </c>
      <c r="N121" t="s">
        <v>0</v>
      </c>
    </row>
    <row r="122" spans="1:14" x14ac:dyDescent="0.2">
      <c r="A122">
        <v>1950</v>
      </c>
      <c r="B122">
        <v>1</v>
      </c>
      <c r="C122">
        <v>-20.86</v>
      </c>
      <c r="D122">
        <v>-22.14</v>
      </c>
      <c r="E122">
        <v>7.12</v>
      </c>
      <c r="F122">
        <v>-8.8699999999999992</v>
      </c>
      <c r="G122">
        <v>-9.01</v>
      </c>
      <c r="H122">
        <v>6.68</v>
      </c>
      <c r="I122">
        <v>-29.73</v>
      </c>
      <c r="J122">
        <v>-31.15</v>
      </c>
      <c r="K122">
        <v>11.22</v>
      </c>
      <c r="L122" t="s">
        <v>0</v>
      </c>
      <c r="M122" t="s">
        <v>0</v>
      </c>
      <c r="N122" t="s">
        <v>0</v>
      </c>
    </row>
    <row r="123" spans="1:14" x14ac:dyDescent="0.2">
      <c r="A123">
        <v>1950</v>
      </c>
      <c r="B123">
        <v>2</v>
      </c>
      <c r="C123">
        <v>-21.38</v>
      </c>
      <c r="D123">
        <v>-22.23</v>
      </c>
      <c r="E123">
        <v>7.1</v>
      </c>
      <c r="F123">
        <v>-9.0299999999999994</v>
      </c>
      <c r="G123">
        <v>-9.0399999999999991</v>
      </c>
      <c r="H123">
        <v>6.65</v>
      </c>
      <c r="I123">
        <v>-30.41</v>
      </c>
      <c r="J123">
        <v>-31.27</v>
      </c>
      <c r="K123">
        <v>11.23</v>
      </c>
      <c r="L123" t="s">
        <v>0</v>
      </c>
      <c r="M123" t="s">
        <v>0</v>
      </c>
      <c r="N123" t="s">
        <v>0</v>
      </c>
    </row>
    <row r="124" spans="1:14" x14ac:dyDescent="0.2">
      <c r="A124">
        <v>1950</v>
      </c>
      <c r="B124">
        <v>3</v>
      </c>
      <c r="C124">
        <v>-21.25</v>
      </c>
      <c r="D124">
        <v>-22.26</v>
      </c>
      <c r="E124">
        <v>6.85</v>
      </c>
      <c r="F124">
        <v>-9.14</v>
      </c>
      <c r="G124">
        <v>-9.08</v>
      </c>
      <c r="H124">
        <v>6.64</v>
      </c>
      <c r="I124">
        <v>-30.39</v>
      </c>
      <c r="J124">
        <v>-31.34</v>
      </c>
      <c r="K124">
        <v>11.04</v>
      </c>
      <c r="L124" t="s">
        <v>0</v>
      </c>
      <c r="M124" t="s">
        <v>0</v>
      </c>
      <c r="N124" t="s">
        <v>0</v>
      </c>
    </row>
    <row r="125" spans="1:14" x14ac:dyDescent="0.2">
      <c r="A125">
        <v>1950</v>
      </c>
      <c r="B125">
        <v>4</v>
      </c>
      <c r="C125">
        <v>-22.73</v>
      </c>
      <c r="D125">
        <v>-22.24</v>
      </c>
      <c r="E125">
        <v>6.83</v>
      </c>
      <c r="F125">
        <v>-9.17</v>
      </c>
      <c r="G125">
        <v>-9.1300000000000008</v>
      </c>
      <c r="H125">
        <v>6.62</v>
      </c>
      <c r="I125">
        <v>-31.9</v>
      </c>
      <c r="J125">
        <v>-31.36</v>
      </c>
      <c r="K125">
        <v>11.02</v>
      </c>
      <c r="L125" t="s">
        <v>0</v>
      </c>
      <c r="M125" t="s">
        <v>0</v>
      </c>
      <c r="N125" t="s">
        <v>0</v>
      </c>
    </row>
    <row r="126" spans="1:14" x14ac:dyDescent="0.2">
      <c r="A126">
        <v>1950</v>
      </c>
      <c r="B126">
        <v>5</v>
      </c>
      <c r="C126">
        <v>-23.76</v>
      </c>
      <c r="D126">
        <v>-22.23</v>
      </c>
      <c r="E126">
        <v>6.87</v>
      </c>
      <c r="F126">
        <v>-9.2799999999999994</v>
      </c>
      <c r="G126">
        <v>-9.17</v>
      </c>
      <c r="H126">
        <v>6.59</v>
      </c>
      <c r="I126">
        <v>-33.04</v>
      </c>
      <c r="J126">
        <v>-31.4</v>
      </c>
      <c r="K126">
        <v>11.06</v>
      </c>
      <c r="L126" t="s">
        <v>0</v>
      </c>
      <c r="M126" t="s">
        <v>0</v>
      </c>
      <c r="N126" t="s">
        <v>0</v>
      </c>
    </row>
    <row r="127" spans="1:14" x14ac:dyDescent="0.2">
      <c r="A127">
        <v>1950</v>
      </c>
      <c r="B127">
        <v>6</v>
      </c>
      <c r="C127">
        <v>-23.22</v>
      </c>
      <c r="D127">
        <v>-22.26</v>
      </c>
      <c r="E127">
        <v>6.89</v>
      </c>
      <c r="F127">
        <v>-9.1999999999999993</v>
      </c>
      <c r="G127">
        <v>-9.1999999999999993</v>
      </c>
      <c r="H127">
        <v>6.58</v>
      </c>
      <c r="I127">
        <v>-32.42</v>
      </c>
      <c r="J127">
        <v>-31.46</v>
      </c>
      <c r="K127">
        <v>11.09</v>
      </c>
      <c r="L127" t="s">
        <v>0</v>
      </c>
      <c r="M127" t="s">
        <v>0</v>
      </c>
      <c r="N127" t="s">
        <v>0</v>
      </c>
    </row>
    <row r="128" spans="1:14" x14ac:dyDescent="0.2">
      <c r="A128">
        <v>1950</v>
      </c>
      <c r="B128">
        <v>7</v>
      </c>
      <c r="C128">
        <v>-22.89</v>
      </c>
      <c r="D128">
        <v>-22.27</v>
      </c>
      <c r="E128">
        <v>6.93</v>
      </c>
      <c r="F128">
        <v>-9.1199999999999992</v>
      </c>
      <c r="G128">
        <v>-9.2200000000000006</v>
      </c>
      <c r="H128">
        <v>6.56</v>
      </c>
      <c r="I128">
        <v>-32.01</v>
      </c>
      <c r="J128">
        <v>-31.49</v>
      </c>
      <c r="K128">
        <v>11.12</v>
      </c>
      <c r="L128" t="s">
        <v>0</v>
      </c>
      <c r="M128" t="s">
        <v>0</v>
      </c>
      <c r="N128" t="s">
        <v>0</v>
      </c>
    </row>
    <row r="129" spans="1:14" x14ac:dyDescent="0.2">
      <c r="A129">
        <v>1950</v>
      </c>
      <c r="B129">
        <v>8</v>
      </c>
      <c r="C129">
        <v>-22.52</v>
      </c>
      <c r="D129">
        <v>-22.18</v>
      </c>
      <c r="E129">
        <v>6.89</v>
      </c>
      <c r="F129">
        <v>-9.2100000000000009</v>
      </c>
      <c r="G129">
        <v>-9.23</v>
      </c>
      <c r="H129">
        <v>6.53</v>
      </c>
      <c r="I129">
        <v>-31.73</v>
      </c>
      <c r="J129">
        <v>-31.41</v>
      </c>
      <c r="K129">
        <v>11.08</v>
      </c>
      <c r="L129" t="s">
        <v>0</v>
      </c>
      <c r="M129" t="s">
        <v>0</v>
      </c>
      <c r="N129" t="s">
        <v>0</v>
      </c>
    </row>
    <row r="130" spans="1:14" x14ac:dyDescent="0.2">
      <c r="A130">
        <v>1950</v>
      </c>
      <c r="B130">
        <v>9</v>
      </c>
      <c r="C130">
        <v>-22.11</v>
      </c>
      <c r="D130">
        <v>-21.99</v>
      </c>
      <c r="E130">
        <v>6.82</v>
      </c>
      <c r="F130">
        <v>-9.32</v>
      </c>
      <c r="G130">
        <v>-9.24</v>
      </c>
      <c r="H130">
        <v>6.49</v>
      </c>
      <c r="I130">
        <v>-31.43</v>
      </c>
      <c r="J130">
        <v>-31.22</v>
      </c>
      <c r="K130">
        <v>11.01</v>
      </c>
      <c r="L130" t="s">
        <v>0</v>
      </c>
      <c r="M130" t="s">
        <v>0</v>
      </c>
      <c r="N130" t="s">
        <v>0</v>
      </c>
    </row>
    <row r="131" spans="1:14" x14ac:dyDescent="0.2">
      <c r="A131">
        <v>1950</v>
      </c>
      <c r="B131">
        <v>10</v>
      </c>
      <c r="C131">
        <v>-22.37</v>
      </c>
      <c r="D131">
        <v>-21.69</v>
      </c>
      <c r="E131">
        <v>6.66</v>
      </c>
      <c r="F131">
        <v>-9.4</v>
      </c>
      <c r="G131">
        <v>-9.24</v>
      </c>
      <c r="H131">
        <v>6.46</v>
      </c>
      <c r="I131">
        <v>-31.77</v>
      </c>
      <c r="J131">
        <v>-30.93</v>
      </c>
      <c r="K131">
        <v>10.86</v>
      </c>
      <c r="L131" t="s">
        <v>0</v>
      </c>
      <c r="M131" t="s">
        <v>0</v>
      </c>
      <c r="N131" t="s">
        <v>0</v>
      </c>
    </row>
    <row r="132" spans="1:14" x14ac:dyDescent="0.2">
      <c r="A132">
        <v>1950</v>
      </c>
      <c r="B132">
        <v>11</v>
      </c>
      <c r="C132">
        <v>-22.3</v>
      </c>
      <c r="D132">
        <v>-21.27</v>
      </c>
      <c r="E132">
        <v>6.5</v>
      </c>
      <c r="F132">
        <v>-9.44</v>
      </c>
      <c r="G132">
        <v>-9.23</v>
      </c>
      <c r="H132">
        <v>6.42</v>
      </c>
      <c r="I132">
        <v>-31.74</v>
      </c>
      <c r="J132">
        <v>-30.5</v>
      </c>
      <c r="K132">
        <v>10.7</v>
      </c>
      <c r="L132" t="s">
        <v>0</v>
      </c>
      <c r="M132" t="s">
        <v>0</v>
      </c>
      <c r="N132" t="s">
        <v>0</v>
      </c>
    </row>
    <row r="133" spans="1:14" x14ac:dyDescent="0.2">
      <c r="A133">
        <v>1950</v>
      </c>
      <c r="B133">
        <v>12</v>
      </c>
      <c r="C133">
        <v>-21.9</v>
      </c>
      <c r="D133">
        <v>-20.82</v>
      </c>
      <c r="E133">
        <v>6.46</v>
      </c>
      <c r="F133">
        <v>-9.36</v>
      </c>
      <c r="G133">
        <v>-9.2200000000000006</v>
      </c>
      <c r="H133">
        <v>6.4</v>
      </c>
      <c r="I133">
        <v>-31.26</v>
      </c>
      <c r="J133">
        <v>-30.04</v>
      </c>
      <c r="K133">
        <v>10.61</v>
      </c>
      <c r="L133" t="s">
        <v>0</v>
      </c>
      <c r="M133" t="s">
        <v>0</v>
      </c>
      <c r="N133" t="s">
        <v>0</v>
      </c>
    </row>
    <row r="134" spans="1:14" x14ac:dyDescent="0.2">
      <c r="A134">
        <v>1951</v>
      </c>
      <c r="B134">
        <v>1</v>
      </c>
      <c r="C134">
        <v>-20.78</v>
      </c>
      <c r="D134">
        <v>-20.41</v>
      </c>
      <c r="E134">
        <v>6.18</v>
      </c>
      <c r="F134">
        <v>-9.06</v>
      </c>
      <c r="G134">
        <v>-9.1999999999999993</v>
      </c>
      <c r="H134">
        <v>6.32</v>
      </c>
      <c r="I134">
        <v>-29.84</v>
      </c>
      <c r="J134">
        <v>-29.61</v>
      </c>
      <c r="K134">
        <v>10.32</v>
      </c>
      <c r="L134" t="s">
        <v>0</v>
      </c>
      <c r="M134" t="s">
        <v>0</v>
      </c>
      <c r="N134" t="s">
        <v>0</v>
      </c>
    </row>
    <row r="135" spans="1:14" x14ac:dyDescent="0.2">
      <c r="A135">
        <v>1951</v>
      </c>
      <c r="B135">
        <v>2</v>
      </c>
      <c r="C135">
        <v>-19.309999999999999</v>
      </c>
      <c r="D135">
        <v>-19.989999999999998</v>
      </c>
      <c r="E135">
        <v>6.09</v>
      </c>
      <c r="F135">
        <v>-9.11</v>
      </c>
      <c r="G135">
        <v>-9.1999999999999993</v>
      </c>
      <c r="H135">
        <v>6.3</v>
      </c>
      <c r="I135">
        <v>-28.41</v>
      </c>
      <c r="J135">
        <v>-29.19</v>
      </c>
      <c r="K135">
        <v>10.24</v>
      </c>
      <c r="L135" t="s">
        <v>0</v>
      </c>
      <c r="M135" t="s">
        <v>0</v>
      </c>
      <c r="N135" t="s">
        <v>0</v>
      </c>
    </row>
    <row r="136" spans="1:14" x14ac:dyDescent="0.2">
      <c r="A136">
        <v>1951</v>
      </c>
      <c r="B136">
        <v>3</v>
      </c>
      <c r="C136">
        <v>-18.670000000000002</v>
      </c>
      <c r="D136">
        <v>-19.57</v>
      </c>
      <c r="E136">
        <v>6.26</v>
      </c>
      <c r="F136">
        <v>-9.1999999999999993</v>
      </c>
      <c r="G136">
        <v>-9.19</v>
      </c>
      <c r="H136">
        <v>6.27</v>
      </c>
      <c r="I136">
        <v>-27.86</v>
      </c>
      <c r="J136">
        <v>-28.76</v>
      </c>
      <c r="K136">
        <v>10.34</v>
      </c>
      <c r="L136" t="s">
        <v>0</v>
      </c>
      <c r="M136" t="s">
        <v>0</v>
      </c>
      <c r="N136" t="s">
        <v>0</v>
      </c>
    </row>
    <row r="137" spans="1:14" x14ac:dyDescent="0.2">
      <c r="A137">
        <v>1951</v>
      </c>
      <c r="B137">
        <v>4</v>
      </c>
      <c r="C137">
        <v>-18.2</v>
      </c>
      <c r="D137">
        <v>-19.16</v>
      </c>
      <c r="E137">
        <v>6.41</v>
      </c>
      <c r="F137">
        <v>-9.16</v>
      </c>
      <c r="G137">
        <v>-9.18</v>
      </c>
      <c r="H137">
        <v>6.25</v>
      </c>
      <c r="I137">
        <v>-27.35</v>
      </c>
      <c r="J137">
        <v>-28.33</v>
      </c>
      <c r="K137">
        <v>10.39</v>
      </c>
      <c r="L137" t="s">
        <v>0</v>
      </c>
      <c r="M137" t="s">
        <v>0</v>
      </c>
      <c r="N137" t="s">
        <v>0</v>
      </c>
    </row>
    <row r="138" spans="1:14" x14ac:dyDescent="0.2">
      <c r="A138">
        <v>1951</v>
      </c>
      <c r="B138">
        <v>5</v>
      </c>
      <c r="C138">
        <v>-18.07</v>
      </c>
      <c r="D138">
        <v>-18.739999999999998</v>
      </c>
      <c r="E138">
        <v>6.34</v>
      </c>
      <c r="F138">
        <v>-9.11</v>
      </c>
      <c r="G138">
        <v>-9.16</v>
      </c>
      <c r="H138">
        <v>6.26</v>
      </c>
      <c r="I138">
        <v>-27.19</v>
      </c>
      <c r="J138">
        <v>-27.9</v>
      </c>
      <c r="K138">
        <v>10.34</v>
      </c>
      <c r="L138" t="s">
        <v>0</v>
      </c>
      <c r="M138" t="s">
        <v>0</v>
      </c>
      <c r="N138" t="s">
        <v>0</v>
      </c>
    </row>
    <row r="139" spans="1:14" x14ac:dyDescent="0.2">
      <c r="A139">
        <v>1951</v>
      </c>
      <c r="B139">
        <v>6</v>
      </c>
      <c r="C139">
        <v>-18.23</v>
      </c>
      <c r="D139">
        <v>-18.399999999999999</v>
      </c>
      <c r="E139">
        <v>6.33</v>
      </c>
      <c r="F139">
        <v>-9.02</v>
      </c>
      <c r="G139">
        <v>-9.15</v>
      </c>
      <c r="H139">
        <v>6.29</v>
      </c>
      <c r="I139">
        <v>-27.25</v>
      </c>
      <c r="J139">
        <v>-27.55</v>
      </c>
      <c r="K139">
        <v>10.39</v>
      </c>
      <c r="L139" t="s">
        <v>0</v>
      </c>
      <c r="M139" t="s">
        <v>0</v>
      </c>
      <c r="N139" t="s">
        <v>0</v>
      </c>
    </row>
    <row r="140" spans="1:14" x14ac:dyDescent="0.2">
      <c r="A140">
        <v>1951</v>
      </c>
      <c r="B140">
        <v>7</v>
      </c>
      <c r="C140">
        <v>-18.02</v>
      </c>
      <c r="D140">
        <v>-18.12</v>
      </c>
      <c r="E140">
        <v>6.37</v>
      </c>
      <c r="F140">
        <v>-9.02</v>
      </c>
      <c r="G140">
        <v>-9.1300000000000008</v>
      </c>
      <c r="H140">
        <v>6.32</v>
      </c>
      <c r="I140">
        <v>-27.05</v>
      </c>
      <c r="J140">
        <v>-27.25</v>
      </c>
      <c r="K140">
        <v>10.41</v>
      </c>
      <c r="L140" t="s">
        <v>0</v>
      </c>
      <c r="M140" t="s">
        <v>0</v>
      </c>
      <c r="N140" t="s">
        <v>0</v>
      </c>
    </row>
    <row r="141" spans="1:14" x14ac:dyDescent="0.2">
      <c r="A141">
        <v>1951</v>
      </c>
      <c r="B141">
        <v>8</v>
      </c>
      <c r="C141">
        <v>-17.25</v>
      </c>
      <c r="D141">
        <v>-17.940000000000001</v>
      </c>
      <c r="E141">
        <v>6.35</v>
      </c>
      <c r="F141">
        <v>-9.1999999999999993</v>
      </c>
      <c r="G141">
        <v>-9.1</v>
      </c>
      <c r="H141">
        <v>6.34</v>
      </c>
      <c r="I141">
        <v>-26.45</v>
      </c>
      <c r="J141">
        <v>-27.04</v>
      </c>
      <c r="K141">
        <v>10.43</v>
      </c>
      <c r="L141" t="s">
        <v>0</v>
      </c>
      <c r="M141" t="s">
        <v>0</v>
      </c>
      <c r="N141" t="s">
        <v>0</v>
      </c>
    </row>
    <row r="142" spans="1:14" x14ac:dyDescent="0.2">
      <c r="A142">
        <v>1951</v>
      </c>
      <c r="B142">
        <v>9</v>
      </c>
      <c r="C142">
        <v>-17.39</v>
      </c>
      <c r="D142">
        <v>-17.899999999999999</v>
      </c>
      <c r="E142">
        <v>6.22</v>
      </c>
      <c r="F142">
        <v>-9.1300000000000008</v>
      </c>
      <c r="G142">
        <v>-9.06</v>
      </c>
      <c r="H142">
        <v>6.34</v>
      </c>
      <c r="I142">
        <v>-26.53</v>
      </c>
      <c r="J142">
        <v>-26.96</v>
      </c>
      <c r="K142">
        <v>10.32</v>
      </c>
      <c r="L142" t="s">
        <v>0</v>
      </c>
      <c r="M142" t="s">
        <v>0</v>
      </c>
      <c r="N142" t="s">
        <v>0</v>
      </c>
    </row>
    <row r="143" spans="1:14" x14ac:dyDescent="0.2">
      <c r="A143">
        <v>1951</v>
      </c>
      <c r="B143">
        <v>10</v>
      </c>
      <c r="C143">
        <v>-17.12</v>
      </c>
      <c r="D143">
        <v>-17.97</v>
      </c>
      <c r="E143">
        <v>6.12</v>
      </c>
      <c r="F143">
        <v>-9.23</v>
      </c>
      <c r="G143">
        <v>-9.0399999999999991</v>
      </c>
      <c r="H143">
        <v>6.33</v>
      </c>
      <c r="I143">
        <v>-26.35</v>
      </c>
      <c r="J143">
        <v>-27.01</v>
      </c>
      <c r="K143">
        <v>10.24</v>
      </c>
      <c r="L143" t="s">
        <v>0</v>
      </c>
      <c r="M143" t="s">
        <v>0</v>
      </c>
      <c r="N143" t="s">
        <v>0</v>
      </c>
    </row>
    <row r="144" spans="1:14" x14ac:dyDescent="0.2">
      <c r="A144">
        <v>1951</v>
      </c>
      <c r="B144">
        <v>11</v>
      </c>
      <c r="C144">
        <v>-17.62</v>
      </c>
      <c r="D144">
        <v>-18.12</v>
      </c>
      <c r="E144">
        <v>6.01</v>
      </c>
      <c r="F144">
        <v>-9.25</v>
      </c>
      <c r="G144">
        <v>-9.0399999999999991</v>
      </c>
      <c r="H144">
        <v>6.35</v>
      </c>
      <c r="I144">
        <v>-26.88</v>
      </c>
      <c r="J144">
        <v>-27.15</v>
      </c>
      <c r="K144">
        <v>10.18</v>
      </c>
      <c r="L144" t="s">
        <v>0</v>
      </c>
      <c r="M144" t="s">
        <v>0</v>
      </c>
      <c r="N144" t="s">
        <v>0</v>
      </c>
    </row>
    <row r="145" spans="1:14" x14ac:dyDescent="0.2">
      <c r="A145">
        <v>1951</v>
      </c>
      <c r="B145">
        <v>12</v>
      </c>
      <c r="C145">
        <v>-18.39</v>
      </c>
      <c r="D145">
        <v>-18.27</v>
      </c>
      <c r="E145">
        <v>6.01</v>
      </c>
      <c r="F145">
        <v>-9.17</v>
      </c>
      <c r="G145">
        <v>-9.0299999999999994</v>
      </c>
      <c r="H145">
        <v>6.34</v>
      </c>
      <c r="I145">
        <v>-27.55</v>
      </c>
      <c r="J145">
        <v>-27.3</v>
      </c>
      <c r="K145">
        <v>10.14</v>
      </c>
      <c r="L145" t="s">
        <v>0</v>
      </c>
      <c r="M145" t="s">
        <v>0</v>
      </c>
      <c r="N145" t="s">
        <v>0</v>
      </c>
    </row>
    <row r="146" spans="1:14" x14ac:dyDescent="0.2">
      <c r="A146">
        <v>1952</v>
      </c>
      <c r="B146">
        <v>1</v>
      </c>
      <c r="C146">
        <v>-17.61</v>
      </c>
      <c r="D146">
        <v>-18.440000000000001</v>
      </c>
      <c r="E146">
        <v>6.04</v>
      </c>
      <c r="F146">
        <v>-8.76</v>
      </c>
      <c r="G146">
        <v>-9</v>
      </c>
      <c r="H146">
        <v>6.25</v>
      </c>
      <c r="I146">
        <v>-26.37</v>
      </c>
      <c r="J146">
        <v>-27.44</v>
      </c>
      <c r="K146">
        <v>10.01</v>
      </c>
      <c r="L146" t="s">
        <v>0</v>
      </c>
      <c r="M146" t="s">
        <v>0</v>
      </c>
      <c r="N146" t="s">
        <v>0</v>
      </c>
    </row>
    <row r="147" spans="1:14" x14ac:dyDescent="0.2">
      <c r="A147">
        <v>1952</v>
      </c>
      <c r="B147">
        <v>2</v>
      </c>
      <c r="C147">
        <v>-18.2</v>
      </c>
      <c r="D147">
        <v>-18.670000000000002</v>
      </c>
      <c r="E147">
        <v>6.17</v>
      </c>
      <c r="F147">
        <v>-8.69</v>
      </c>
      <c r="G147">
        <v>-8.9600000000000009</v>
      </c>
      <c r="H147">
        <v>6.28</v>
      </c>
      <c r="I147">
        <v>-26.9</v>
      </c>
      <c r="J147">
        <v>-27.64</v>
      </c>
      <c r="K147">
        <v>10.130000000000001</v>
      </c>
      <c r="L147" t="s">
        <v>0</v>
      </c>
      <c r="M147" t="s">
        <v>0</v>
      </c>
      <c r="N147" t="s">
        <v>0</v>
      </c>
    </row>
    <row r="148" spans="1:14" x14ac:dyDescent="0.2">
      <c r="A148">
        <v>1952</v>
      </c>
      <c r="B148">
        <v>3</v>
      </c>
      <c r="C148">
        <v>-18.7</v>
      </c>
      <c r="D148">
        <v>-18.95</v>
      </c>
      <c r="E148">
        <v>6.24</v>
      </c>
      <c r="F148">
        <v>-8.82</v>
      </c>
      <c r="G148">
        <v>-8.93</v>
      </c>
      <c r="H148">
        <v>6.31</v>
      </c>
      <c r="I148">
        <v>-27.53</v>
      </c>
      <c r="J148">
        <v>-27.88</v>
      </c>
      <c r="K148">
        <v>10.199999999999999</v>
      </c>
      <c r="L148" t="s">
        <v>0</v>
      </c>
      <c r="M148" t="s">
        <v>0</v>
      </c>
      <c r="N148" t="s">
        <v>0</v>
      </c>
    </row>
    <row r="149" spans="1:14" x14ac:dyDescent="0.2">
      <c r="A149">
        <v>1952</v>
      </c>
      <c r="B149">
        <v>4</v>
      </c>
      <c r="C149">
        <v>-19.73</v>
      </c>
      <c r="D149">
        <v>-19.25</v>
      </c>
      <c r="E149">
        <v>6.29</v>
      </c>
      <c r="F149">
        <v>-9.02</v>
      </c>
      <c r="G149">
        <v>-8.91</v>
      </c>
      <c r="H149">
        <v>6.35</v>
      </c>
      <c r="I149">
        <v>-28.76</v>
      </c>
      <c r="J149">
        <v>-28.16</v>
      </c>
      <c r="K149">
        <v>10.33</v>
      </c>
      <c r="L149" t="s">
        <v>0</v>
      </c>
      <c r="M149" t="s">
        <v>0</v>
      </c>
      <c r="N149" t="s">
        <v>0</v>
      </c>
    </row>
    <row r="150" spans="1:14" x14ac:dyDescent="0.2">
      <c r="A150">
        <v>1952</v>
      </c>
      <c r="B150">
        <v>5</v>
      </c>
      <c r="C150">
        <v>-20.149999999999999</v>
      </c>
      <c r="D150">
        <v>-19.54</v>
      </c>
      <c r="E150">
        <v>6.25</v>
      </c>
      <c r="F150">
        <v>-9.1199999999999992</v>
      </c>
      <c r="G150">
        <v>-8.9</v>
      </c>
      <c r="H150">
        <v>6.37</v>
      </c>
      <c r="I150">
        <v>-29.27</v>
      </c>
      <c r="J150">
        <v>-28.44</v>
      </c>
      <c r="K150">
        <v>10.36</v>
      </c>
      <c r="L150" t="s">
        <v>0</v>
      </c>
      <c r="M150" t="s">
        <v>0</v>
      </c>
      <c r="N150" t="s">
        <v>0</v>
      </c>
    </row>
    <row r="151" spans="1:14" x14ac:dyDescent="0.2">
      <c r="A151">
        <v>1952</v>
      </c>
      <c r="B151">
        <v>6</v>
      </c>
      <c r="C151">
        <v>-19.98</v>
      </c>
      <c r="D151">
        <v>-19.77</v>
      </c>
      <c r="E151">
        <v>6.3</v>
      </c>
      <c r="F151">
        <v>-8.8000000000000007</v>
      </c>
      <c r="G151">
        <v>-8.9</v>
      </c>
      <c r="H151">
        <v>6.39</v>
      </c>
      <c r="I151">
        <v>-28.78</v>
      </c>
      <c r="J151">
        <v>-28.68</v>
      </c>
      <c r="K151">
        <v>10.39</v>
      </c>
      <c r="L151" t="s">
        <v>0</v>
      </c>
      <c r="M151" t="s">
        <v>0</v>
      </c>
      <c r="N151" t="s">
        <v>0</v>
      </c>
    </row>
    <row r="152" spans="1:14" x14ac:dyDescent="0.2">
      <c r="A152">
        <v>1952</v>
      </c>
      <c r="B152">
        <v>7</v>
      </c>
      <c r="C152">
        <v>-20.32</v>
      </c>
      <c r="D152">
        <v>-19.97</v>
      </c>
      <c r="E152">
        <v>6.39</v>
      </c>
      <c r="F152">
        <v>-8.59</v>
      </c>
      <c r="G152">
        <v>-8.91</v>
      </c>
      <c r="H152">
        <v>6.43</v>
      </c>
      <c r="I152">
        <v>-28.91</v>
      </c>
      <c r="J152">
        <v>-28.88</v>
      </c>
      <c r="K152">
        <v>10.49</v>
      </c>
      <c r="L152" t="s">
        <v>0</v>
      </c>
      <c r="M152" t="s">
        <v>0</v>
      </c>
      <c r="N152" t="s">
        <v>0</v>
      </c>
    </row>
    <row r="153" spans="1:14" x14ac:dyDescent="0.2">
      <c r="A153">
        <v>1952</v>
      </c>
      <c r="B153">
        <v>8</v>
      </c>
      <c r="C153">
        <v>-20.47</v>
      </c>
      <c r="D153">
        <v>-20.149999999999999</v>
      </c>
      <c r="E153">
        <v>6.53</v>
      </c>
      <c r="F153">
        <v>-8.74</v>
      </c>
      <c r="G153">
        <v>-8.91</v>
      </c>
      <c r="H153">
        <v>6.48</v>
      </c>
      <c r="I153">
        <v>-29.22</v>
      </c>
      <c r="J153">
        <v>-29.06</v>
      </c>
      <c r="K153">
        <v>10.7</v>
      </c>
      <c r="L153" t="s">
        <v>0</v>
      </c>
      <c r="M153" t="s">
        <v>0</v>
      </c>
      <c r="N153" t="s">
        <v>0</v>
      </c>
    </row>
    <row r="154" spans="1:14" x14ac:dyDescent="0.2">
      <c r="A154">
        <v>1952</v>
      </c>
      <c r="B154">
        <v>9</v>
      </c>
      <c r="C154">
        <v>-20.8</v>
      </c>
      <c r="D154">
        <v>-20.260000000000002</v>
      </c>
      <c r="E154">
        <v>6.65</v>
      </c>
      <c r="F154">
        <v>-8.83</v>
      </c>
      <c r="G154">
        <v>-8.89</v>
      </c>
      <c r="H154">
        <v>6.49</v>
      </c>
      <c r="I154">
        <v>-29.63</v>
      </c>
      <c r="J154">
        <v>-29.15</v>
      </c>
      <c r="K154">
        <v>10.81</v>
      </c>
      <c r="L154" t="s">
        <v>0</v>
      </c>
      <c r="M154" t="s">
        <v>0</v>
      </c>
      <c r="N154" t="s">
        <v>0</v>
      </c>
    </row>
    <row r="155" spans="1:14" x14ac:dyDescent="0.2">
      <c r="A155">
        <v>1952</v>
      </c>
      <c r="B155">
        <v>10</v>
      </c>
      <c r="C155">
        <v>-20.89</v>
      </c>
      <c r="D155">
        <v>-20.29</v>
      </c>
      <c r="E155">
        <v>6.64</v>
      </c>
      <c r="F155">
        <v>-9.06</v>
      </c>
      <c r="G155">
        <v>-8.84</v>
      </c>
      <c r="H155">
        <v>6.52</v>
      </c>
      <c r="I155">
        <v>-29.95</v>
      </c>
      <c r="J155">
        <v>-29.13</v>
      </c>
      <c r="K155">
        <v>10.83</v>
      </c>
      <c r="L155" t="s">
        <v>0</v>
      </c>
      <c r="M155" t="s">
        <v>0</v>
      </c>
      <c r="N155" t="s">
        <v>0</v>
      </c>
    </row>
    <row r="156" spans="1:14" x14ac:dyDescent="0.2">
      <c r="A156">
        <v>1952</v>
      </c>
      <c r="B156">
        <v>11</v>
      </c>
      <c r="C156">
        <v>-20.86</v>
      </c>
      <c r="D156">
        <v>-20.27</v>
      </c>
      <c r="E156">
        <v>6.68</v>
      </c>
      <c r="F156">
        <v>-9.1999999999999993</v>
      </c>
      <c r="G156">
        <v>-8.7799999999999994</v>
      </c>
      <c r="H156">
        <v>6.54</v>
      </c>
      <c r="I156">
        <v>-30.06</v>
      </c>
      <c r="J156">
        <v>-29.04</v>
      </c>
      <c r="K156">
        <v>10.84</v>
      </c>
      <c r="L156" t="s">
        <v>0</v>
      </c>
      <c r="M156" t="s">
        <v>0</v>
      </c>
      <c r="N156" t="s">
        <v>0</v>
      </c>
    </row>
    <row r="157" spans="1:14" x14ac:dyDescent="0.2">
      <c r="A157">
        <v>1952</v>
      </c>
      <c r="B157">
        <v>12</v>
      </c>
      <c r="C157">
        <v>-20.76</v>
      </c>
      <c r="D157">
        <v>-20.22</v>
      </c>
      <c r="E157">
        <v>6.59</v>
      </c>
      <c r="F157">
        <v>-9.19</v>
      </c>
      <c r="G157">
        <v>-8.7200000000000006</v>
      </c>
      <c r="H157">
        <v>6.55</v>
      </c>
      <c r="I157">
        <v>-29.95</v>
      </c>
      <c r="J157">
        <v>-28.94</v>
      </c>
      <c r="K157">
        <v>10.72</v>
      </c>
      <c r="L157" t="s">
        <v>0</v>
      </c>
      <c r="M157" t="s">
        <v>0</v>
      </c>
      <c r="N157" t="s">
        <v>0</v>
      </c>
    </row>
    <row r="158" spans="1:14" x14ac:dyDescent="0.2">
      <c r="A158">
        <v>1953</v>
      </c>
      <c r="B158">
        <v>1</v>
      </c>
      <c r="C158">
        <v>-19.95</v>
      </c>
      <c r="D158">
        <v>-20.170000000000002</v>
      </c>
      <c r="E158">
        <v>6.54</v>
      </c>
      <c r="F158">
        <v>-8.85</v>
      </c>
      <c r="G158">
        <v>-8.68</v>
      </c>
      <c r="H158">
        <v>6.49</v>
      </c>
      <c r="I158">
        <v>-28.81</v>
      </c>
      <c r="J158">
        <v>-28.85</v>
      </c>
      <c r="K158">
        <v>10.62</v>
      </c>
      <c r="L158" t="s">
        <v>0</v>
      </c>
      <c r="M158" t="s">
        <v>0</v>
      </c>
      <c r="N158" t="s">
        <v>0</v>
      </c>
    </row>
    <row r="159" spans="1:14" x14ac:dyDescent="0.2">
      <c r="A159">
        <v>1953</v>
      </c>
      <c r="B159">
        <v>2</v>
      </c>
      <c r="C159">
        <v>-20.149999999999999</v>
      </c>
      <c r="D159">
        <v>-20.079999999999998</v>
      </c>
      <c r="E159">
        <v>6.61</v>
      </c>
      <c r="F159">
        <v>-8.66</v>
      </c>
      <c r="G159">
        <v>-8.64</v>
      </c>
      <c r="H159">
        <v>6.51</v>
      </c>
      <c r="I159">
        <v>-28.8</v>
      </c>
      <c r="J159">
        <v>-28.72</v>
      </c>
      <c r="K159">
        <v>10.7</v>
      </c>
      <c r="L159" t="s">
        <v>0</v>
      </c>
      <c r="M159" t="s">
        <v>0</v>
      </c>
      <c r="N159" t="s">
        <v>0</v>
      </c>
    </row>
    <row r="160" spans="1:14" x14ac:dyDescent="0.2">
      <c r="A160">
        <v>1953</v>
      </c>
      <c r="B160">
        <v>3</v>
      </c>
      <c r="C160">
        <v>-19.350000000000001</v>
      </c>
      <c r="D160">
        <v>-19.940000000000001</v>
      </c>
      <c r="E160">
        <v>6.53</v>
      </c>
      <c r="F160">
        <v>-8.3699999999999992</v>
      </c>
      <c r="G160">
        <v>-8.59</v>
      </c>
      <c r="H160">
        <v>6.55</v>
      </c>
      <c r="I160">
        <v>-27.72</v>
      </c>
      <c r="J160">
        <v>-28.53</v>
      </c>
      <c r="K160">
        <v>10.69</v>
      </c>
      <c r="L160" t="s">
        <v>0</v>
      </c>
      <c r="M160" t="s">
        <v>0</v>
      </c>
      <c r="N160" t="s">
        <v>0</v>
      </c>
    </row>
    <row r="161" spans="1:14" x14ac:dyDescent="0.2">
      <c r="A161">
        <v>1953</v>
      </c>
      <c r="B161">
        <v>4</v>
      </c>
      <c r="C161">
        <v>-19.93</v>
      </c>
      <c r="D161">
        <v>-19.8</v>
      </c>
      <c r="E161">
        <v>6.58</v>
      </c>
      <c r="F161">
        <v>-8.34</v>
      </c>
      <c r="G161">
        <v>-8.5299999999999994</v>
      </c>
      <c r="H161">
        <v>6.58</v>
      </c>
      <c r="I161">
        <v>-28.27</v>
      </c>
      <c r="J161">
        <v>-28.33</v>
      </c>
      <c r="K161">
        <v>10.7</v>
      </c>
      <c r="L161" t="s">
        <v>0</v>
      </c>
      <c r="M161" t="s">
        <v>0</v>
      </c>
      <c r="N161" t="s">
        <v>0</v>
      </c>
    </row>
    <row r="162" spans="1:14" x14ac:dyDescent="0.2">
      <c r="A162">
        <v>1953</v>
      </c>
      <c r="B162">
        <v>5</v>
      </c>
      <c r="C162">
        <v>-19.309999999999999</v>
      </c>
      <c r="D162">
        <v>-19.649999999999999</v>
      </c>
      <c r="E162">
        <v>6.7</v>
      </c>
      <c r="F162">
        <v>-8.31</v>
      </c>
      <c r="G162">
        <v>-8.4700000000000006</v>
      </c>
      <c r="H162">
        <v>6.59</v>
      </c>
      <c r="I162">
        <v>-27.62</v>
      </c>
      <c r="J162">
        <v>-28.12</v>
      </c>
      <c r="K162">
        <v>10.85</v>
      </c>
      <c r="L162" t="s">
        <v>0</v>
      </c>
      <c r="M162" t="s">
        <v>0</v>
      </c>
      <c r="N162" t="s">
        <v>0</v>
      </c>
    </row>
    <row r="163" spans="1:14" x14ac:dyDescent="0.2">
      <c r="A163">
        <v>1953</v>
      </c>
      <c r="B163">
        <v>6</v>
      </c>
      <c r="C163">
        <v>-19.62</v>
      </c>
      <c r="D163">
        <v>-19.489999999999998</v>
      </c>
      <c r="E163">
        <v>6.82</v>
      </c>
      <c r="F163">
        <v>-8.23</v>
      </c>
      <c r="G163">
        <v>-8.41</v>
      </c>
      <c r="H163">
        <v>6.61</v>
      </c>
      <c r="I163">
        <v>-27.85</v>
      </c>
      <c r="J163">
        <v>-27.89</v>
      </c>
      <c r="K163">
        <v>11</v>
      </c>
      <c r="L163" t="s">
        <v>0</v>
      </c>
      <c r="M163" t="s">
        <v>0</v>
      </c>
      <c r="N163" t="s">
        <v>0</v>
      </c>
    </row>
    <row r="164" spans="1:14" x14ac:dyDescent="0.2">
      <c r="A164">
        <v>1953</v>
      </c>
      <c r="B164">
        <v>7</v>
      </c>
      <c r="C164">
        <v>-19.63</v>
      </c>
      <c r="D164">
        <v>-19.34</v>
      </c>
      <c r="E164">
        <v>6.91</v>
      </c>
      <c r="F164">
        <v>-8.17</v>
      </c>
      <c r="G164">
        <v>-8.3699999999999992</v>
      </c>
      <c r="H164">
        <v>6.61</v>
      </c>
      <c r="I164">
        <v>-27.8</v>
      </c>
      <c r="J164">
        <v>-27.7</v>
      </c>
      <c r="K164">
        <v>11.08</v>
      </c>
      <c r="L164" t="s">
        <v>0</v>
      </c>
      <c r="M164" t="s">
        <v>0</v>
      </c>
      <c r="N164" t="s">
        <v>0</v>
      </c>
    </row>
    <row r="165" spans="1:14" x14ac:dyDescent="0.2">
      <c r="A165">
        <v>1953</v>
      </c>
      <c r="B165">
        <v>8</v>
      </c>
      <c r="C165">
        <v>-18.89</v>
      </c>
      <c r="D165">
        <v>-19.21</v>
      </c>
      <c r="E165">
        <v>6.93</v>
      </c>
      <c r="F165">
        <v>-8.1199999999999992</v>
      </c>
      <c r="G165">
        <v>-8.33</v>
      </c>
      <c r="H165">
        <v>6.61</v>
      </c>
      <c r="I165">
        <v>-27.02</v>
      </c>
      <c r="J165">
        <v>-27.54</v>
      </c>
      <c r="K165">
        <v>11.09</v>
      </c>
      <c r="L165" t="s">
        <v>0</v>
      </c>
      <c r="M165" t="s">
        <v>0</v>
      </c>
      <c r="N165" t="s">
        <v>0</v>
      </c>
    </row>
    <row r="166" spans="1:14" x14ac:dyDescent="0.2">
      <c r="A166">
        <v>1953</v>
      </c>
      <c r="B166">
        <v>9</v>
      </c>
      <c r="C166">
        <v>-19.170000000000002</v>
      </c>
      <c r="D166">
        <v>-19.13</v>
      </c>
      <c r="E166">
        <v>7</v>
      </c>
      <c r="F166">
        <v>-8.2200000000000006</v>
      </c>
      <c r="G166">
        <v>-8.3000000000000007</v>
      </c>
      <c r="H166">
        <v>6.64</v>
      </c>
      <c r="I166">
        <v>-27.39</v>
      </c>
      <c r="J166">
        <v>-27.43</v>
      </c>
      <c r="K166">
        <v>11.21</v>
      </c>
      <c r="L166" t="s">
        <v>0</v>
      </c>
      <c r="M166" t="s">
        <v>0</v>
      </c>
      <c r="N166" t="s">
        <v>0</v>
      </c>
    </row>
    <row r="167" spans="1:14" x14ac:dyDescent="0.2">
      <c r="A167">
        <v>1953</v>
      </c>
      <c r="B167">
        <v>10</v>
      </c>
      <c r="C167">
        <v>-19.170000000000002</v>
      </c>
      <c r="D167">
        <v>-19.059999999999999</v>
      </c>
      <c r="E167">
        <v>7.01</v>
      </c>
      <c r="F167">
        <v>-8.31</v>
      </c>
      <c r="G167">
        <v>-8.2799999999999994</v>
      </c>
      <c r="H167">
        <v>6.67</v>
      </c>
      <c r="I167">
        <v>-27.48</v>
      </c>
      <c r="J167">
        <v>-27.33</v>
      </c>
      <c r="K167">
        <v>11.27</v>
      </c>
      <c r="L167" t="s">
        <v>0</v>
      </c>
      <c r="M167" t="s">
        <v>0</v>
      </c>
      <c r="N167" t="s">
        <v>0</v>
      </c>
    </row>
    <row r="168" spans="1:14" x14ac:dyDescent="0.2">
      <c r="A168">
        <v>1953</v>
      </c>
      <c r="B168">
        <v>11</v>
      </c>
      <c r="C168">
        <v>-18.98</v>
      </c>
      <c r="D168">
        <v>-18.95</v>
      </c>
      <c r="E168">
        <v>7.05</v>
      </c>
      <c r="F168">
        <v>-8.41</v>
      </c>
      <c r="G168">
        <v>-8.25</v>
      </c>
      <c r="H168">
        <v>6.69</v>
      </c>
      <c r="I168">
        <v>-27.39</v>
      </c>
      <c r="J168">
        <v>-27.2</v>
      </c>
      <c r="K168">
        <v>11.33</v>
      </c>
      <c r="L168" t="s">
        <v>0</v>
      </c>
      <c r="M168" t="s">
        <v>0</v>
      </c>
      <c r="N168" t="s">
        <v>0</v>
      </c>
    </row>
    <row r="169" spans="1:14" x14ac:dyDescent="0.2">
      <c r="A169">
        <v>1953</v>
      </c>
      <c r="B169">
        <v>12</v>
      </c>
      <c r="C169">
        <v>-18.579999999999998</v>
      </c>
      <c r="D169">
        <v>-18.809999999999999</v>
      </c>
      <c r="E169">
        <v>7.08</v>
      </c>
      <c r="F169">
        <v>-8.64</v>
      </c>
      <c r="G169">
        <v>-8.23</v>
      </c>
      <c r="H169">
        <v>6.74</v>
      </c>
      <c r="I169">
        <v>-27.22</v>
      </c>
      <c r="J169">
        <v>-27.04</v>
      </c>
      <c r="K169">
        <v>11.37</v>
      </c>
      <c r="L169" t="s">
        <v>0</v>
      </c>
      <c r="M169" t="s">
        <v>0</v>
      </c>
      <c r="N169" t="s">
        <v>0</v>
      </c>
    </row>
    <row r="170" spans="1:14" x14ac:dyDescent="0.2">
      <c r="A170">
        <v>1954</v>
      </c>
      <c r="B170">
        <v>1</v>
      </c>
      <c r="C170">
        <v>-18.63</v>
      </c>
      <c r="D170">
        <v>-18.62</v>
      </c>
      <c r="E170">
        <v>6.8</v>
      </c>
      <c r="F170">
        <v>-8.33</v>
      </c>
      <c r="G170">
        <v>-8.23</v>
      </c>
      <c r="H170">
        <v>6.63</v>
      </c>
      <c r="I170">
        <v>-26.97</v>
      </c>
      <c r="J170">
        <v>-26.85</v>
      </c>
      <c r="K170">
        <v>10.98</v>
      </c>
      <c r="L170" t="s">
        <v>0</v>
      </c>
      <c r="M170" t="s">
        <v>0</v>
      </c>
      <c r="N170" t="s">
        <v>0</v>
      </c>
    </row>
    <row r="171" spans="1:14" x14ac:dyDescent="0.2">
      <c r="A171">
        <v>1954</v>
      </c>
      <c r="B171">
        <v>2</v>
      </c>
      <c r="C171">
        <v>-18.45</v>
      </c>
      <c r="D171">
        <v>-18.45</v>
      </c>
      <c r="E171">
        <v>6.72</v>
      </c>
      <c r="F171">
        <v>-8.26</v>
      </c>
      <c r="G171">
        <v>-8.24</v>
      </c>
      <c r="H171">
        <v>6.6</v>
      </c>
      <c r="I171">
        <v>-26.71</v>
      </c>
      <c r="J171">
        <v>-26.69</v>
      </c>
      <c r="K171">
        <v>10.86</v>
      </c>
      <c r="L171" t="s">
        <v>0</v>
      </c>
      <c r="M171" t="s">
        <v>0</v>
      </c>
      <c r="N171" t="s">
        <v>0</v>
      </c>
    </row>
    <row r="172" spans="1:14" x14ac:dyDescent="0.2">
      <c r="A172">
        <v>1954</v>
      </c>
      <c r="B172">
        <v>3</v>
      </c>
      <c r="C172">
        <v>-19.03</v>
      </c>
      <c r="D172">
        <v>-18.29</v>
      </c>
      <c r="E172">
        <v>6.69</v>
      </c>
      <c r="F172">
        <v>-8.1300000000000008</v>
      </c>
      <c r="G172">
        <v>-8.27</v>
      </c>
      <c r="H172">
        <v>6.59</v>
      </c>
      <c r="I172">
        <v>-27.16</v>
      </c>
      <c r="J172">
        <v>-26.56</v>
      </c>
      <c r="K172">
        <v>10.86</v>
      </c>
      <c r="L172" t="s">
        <v>0</v>
      </c>
      <c r="M172" t="s">
        <v>0</v>
      </c>
      <c r="N172" t="s">
        <v>0</v>
      </c>
    </row>
    <row r="173" spans="1:14" x14ac:dyDescent="0.2">
      <c r="A173">
        <v>1954</v>
      </c>
      <c r="B173">
        <v>4</v>
      </c>
      <c r="C173">
        <v>-18.48</v>
      </c>
      <c r="D173">
        <v>-18.16</v>
      </c>
      <c r="E173">
        <v>6.67</v>
      </c>
      <c r="F173">
        <v>-8.0399999999999991</v>
      </c>
      <c r="G173">
        <v>-8.3000000000000007</v>
      </c>
      <c r="H173">
        <v>6.52</v>
      </c>
      <c r="I173">
        <v>-26.52</v>
      </c>
      <c r="J173">
        <v>-26.46</v>
      </c>
      <c r="K173">
        <v>10.81</v>
      </c>
      <c r="L173" t="s">
        <v>0</v>
      </c>
      <c r="M173" t="s">
        <v>0</v>
      </c>
      <c r="N173" t="s">
        <v>0</v>
      </c>
    </row>
    <row r="174" spans="1:14" x14ac:dyDescent="0.2">
      <c r="A174">
        <v>1954</v>
      </c>
      <c r="B174">
        <v>5</v>
      </c>
      <c r="C174">
        <v>-18.100000000000001</v>
      </c>
      <c r="D174">
        <v>-18.05</v>
      </c>
      <c r="E174">
        <v>6.71</v>
      </c>
      <c r="F174">
        <v>-8.01</v>
      </c>
      <c r="G174">
        <v>-8.35</v>
      </c>
      <c r="H174">
        <v>6.48</v>
      </c>
      <c r="I174">
        <v>-26.11</v>
      </c>
      <c r="J174">
        <v>-26.4</v>
      </c>
      <c r="K174">
        <v>10.84</v>
      </c>
      <c r="L174" t="s">
        <v>0</v>
      </c>
      <c r="M174" t="s">
        <v>0</v>
      </c>
      <c r="N174" t="s">
        <v>0</v>
      </c>
    </row>
    <row r="175" spans="1:14" x14ac:dyDescent="0.2">
      <c r="A175">
        <v>1954</v>
      </c>
      <c r="B175">
        <v>6</v>
      </c>
      <c r="C175">
        <v>-17.579999999999998</v>
      </c>
      <c r="D175">
        <v>-17.98</v>
      </c>
      <c r="E175">
        <v>6.73</v>
      </c>
      <c r="F175">
        <v>-8.0500000000000007</v>
      </c>
      <c r="G175">
        <v>-8.4</v>
      </c>
      <c r="H175">
        <v>6.45</v>
      </c>
      <c r="I175">
        <v>-25.64</v>
      </c>
      <c r="J175">
        <v>-26.37</v>
      </c>
      <c r="K175">
        <v>10.88</v>
      </c>
      <c r="L175" t="s">
        <v>0</v>
      </c>
      <c r="M175" t="s">
        <v>0</v>
      </c>
      <c r="N175" t="s">
        <v>0</v>
      </c>
    </row>
    <row r="176" spans="1:14" x14ac:dyDescent="0.2">
      <c r="A176">
        <v>1954</v>
      </c>
      <c r="B176">
        <v>7</v>
      </c>
      <c r="C176">
        <v>-17.18</v>
      </c>
      <c r="D176">
        <v>-17.88</v>
      </c>
      <c r="E176">
        <v>6.73</v>
      </c>
      <c r="F176">
        <v>-8.19</v>
      </c>
      <c r="G176">
        <v>-8.43</v>
      </c>
      <c r="H176">
        <v>6.41</v>
      </c>
      <c r="I176">
        <v>-25.37</v>
      </c>
      <c r="J176">
        <v>-26.31</v>
      </c>
      <c r="K176">
        <v>10.89</v>
      </c>
      <c r="L176" t="s">
        <v>0</v>
      </c>
      <c r="M176" t="s">
        <v>0</v>
      </c>
      <c r="N176" t="s">
        <v>0</v>
      </c>
    </row>
    <row r="177" spans="1:14" x14ac:dyDescent="0.2">
      <c r="A177">
        <v>1954</v>
      </c>
      <c r="B177">
        <v>8</v>
      </c>
      <c r="C177">
        <v>-17.07</v>
      </c>
      <c r="D177">
        <v>-17.79</v>
      </c>
      <c r="E177">
        <v>6.72</v>
      </c>
      <c r="F177">
        <v>-8.43</v>
      </c>
      <c r="G177">
        <v>-8.4499999999999993</v>
      </c>
      <c r="H177">
        <v>6.4</v>
      </c>
      <c r="I177">
        <v>-25.51</v>
      </c>
      <c r="J177">
        <v>-26.24</v>
      </c>
      <c r="K177">
        <v>10.89</v>
      </c>
      <c r="L177" t="s">
        <v>0</v>
      </c>
      <c r="M177" t="s">
        <v>0</v>
      </c>
      <c r="N177" t="s">
        <v>0</v>
      </c>
    </row>
    <row r="178" spans="1:14" x14ac:dyDescent="0.2">
      <c r="A178">
        <v>1954</v>
      </c>
      <c r="B178">
        <v>9</v>
      </c>
      <c r="C178">
        <v>-17.329999999999998</v>
      </c>
      <c r="D178">
        <v>-17.760000000000002</v>
      </c>
      <c r="E178">
        <v>6.68</v>
      </c>
      <c r="F178">
        <v>-8.57</v>
      </c>
      <c r="G178">
        <v>-8.51</v>
      </c>
      <c r="H178">
        <v>6.4</v>
      </c>
      <c r="I178">
        <v>-25.9</v>
      </c>
      <c r="J178">
        <v>-26.27</v>
      </c>
      <c r="K178">
        <v>10.84</v>
      </c>
      <c r="L178" t="s">
        <v>0</v>
      </c>
      <c r="M178" t="s">
        <v>0</v>
      </c>
      <c r="N178" t="s">
        <v>0</v>
      </c>
    </row>
    <row r="179" spans="1:14" x14ac:dyDescent="0.2">
      <c r="A179">
        <v>1954</v>
      </c>
      <c r="B179">
        <v>10</v>
      </c>
      <c r="C179">
        <v>-17.739999999999998</v>
      </c>
      <c r="D179">
        <v>-17.850000000000001</v>
      </c>
      <c r="E179">
        <v>6.71</v>
      </c>
      <c r="F179">
        <v>-8.76</v>
      </c>
      <c r="G179">
        <v>-8.6</v>
      </c>
      <c r="H179">
        <v>6.31</v>
      </c>
      <c r="I179">
        <v>-26.51</v>
      </c>
      <c r="J179">
        <v>-26.44</v>
      </c>
      <c r="K179">
        <v>10.79</v>
      </c>
      <c r="L179" t="s">
        <v>0</v>
      </c>
      <c r="M179" t="s">
        <v>0</v>
      </c>
      <c r="N179" t="s">
        <v>0</v>
      </c>
    </row>
    <row r="180" spans="1:14" x14ac:dyDescent="0.2">
      <c r="A180">
        <v>1954</v>
      </c>
      <c r="B180">
        <v>11</v>
      </c>
      <c r="C180">
        <v>-17.920000000000002</v>
      </c>
      <c r="D180">
        <v>-18.059999999999999</v>
      </c>
      <c r="E180">
        <v>6.66</v>
      </c>
      <c r="F180">
        <v>-9.02</v>
      </c>
      <c r="G180">
        <v>-8.69</v>
      </c>
      <c r="H180">
        <v>6.19</v>
      </c>
      <c r="I180">
        <v>-26.94</v>
      </c>
      <c r="J180">
        <v>-26.75</v>
      </c>
      <c r="K180">
        <v>10.64</v>
      </c>
      <c r="L180" t="s">
        <v>0</v>
      </c>
      <c r="M180" t="s">
        <v>0</v>
      </c>
      <c r="N180" t="s">
        <v>0</v>
      </c>
    </row>
    <row r="181" spans="1:14" x14ac:dyDescent="0.2">
      <c r="A181">
        <v>1954</v>
      </c>
      <c r="B181">
        <v>12</v>
      </c>
      <c r="C181">
        <v>-17.77</v>
      </c>
      <c r="D181">
        <v>-18.350000000000001</v>
      </c>
      <c r="E181">
        <v>6.54</v>
      </c>
      <c r="F181">
        <v>-9.23</v>
      </c>
      <c r="G181">
        <v>-8.7899999999999991</v>
      </c>
      <c r="H181">
        <v>6.17</v>
      </c>
      <c r="I181">
        <v>-27</v>
      </c>
      <c r="J181">
        <v>-27.14</v>
      </c>
      <c r="K181">
        <v>10.52</v>
      </c>
      <c r="L181" t="s">
        <v>0</v>
      </c>
      <c r="M181" t="s">
        <v>0</v>
      </c>
      <c r="N181" t="s">
        <v>0</v>
      </c>
    </row>
    <row r="182" spans="1:14" x14ac:dyDescent="0.2">
      <c r="A182">
        <v>1955</v>
      </c>
      <c r="B182">
        <v>1</v>
      </c>
      <c r="C182">
        <v>-17.16</v>
      </c>
      <c r="D182">
        <v>-18.71</v>
      </c>
      <c r="E182">
        <v>6.56</v>
      </c>
      <c r="F182">
        <v>-8.5399999999999991</v>
      </c>
      <c r="G182">
        <v>-8.89</v>
      </c>
      <c r="H182">
        <v>6.2</v>
      </c>
      <c r="I182">
        <v>-25.7</v>
      </c>
      <c r="J182">
        <v>-27.6</v>
      </c>
      <c r="K182">
        <v>10.54</v>
      </c>
      <c r="L182" t="s">
        <v>0</v>
      </c>
      <c r="M182" t="s">
        <v>0</v>
      </c>
      <c r="N182" t="s">
        <v>0</v>
      </c>
    </row>
    <row r="183" spans="1:14" x14ac:dyDescent="0.2">
      <c r="A183">
        <v>1955</v>
      </c>
      <c r="B183">
        <v>2</v>
      </c>
      <c r="C183">
        <v>-17.739999999999998</v>
      </c>
      <c r="D183">
        <v>-19.11</v>
      </c>
      <c r="E183">
        <v>6.38</v>
      </c>
      <c r="F183">
        <v>-8.6</v>
      </c>
      <c r="G183">
        <v>-8.99</v>
      </c>
      <c r="H183">
        <v>6.04</v>
      </c>
      <c r="I183">
        <v>-26.33</v>
      </c>
      <c r="J183">
        <v>-28.09</v>
      </c>
      <c r="K183">
        <v>10.220000000000001</v>
      </c>
      <c r="L183" t="s">
        <v>0</v>
      </c>
      <c r="M183" t="s">
        <v>0</v>
      </c>
      <c r="N183" t="s">
        <v>0</v>
      </c>
    </row>
    <row r="184" spans="1:14" x14ac:dyDescent="0.2">
      <c r="A184">
        <v>1955</v>
      </c>
      <c r="B184">
        <v>3</v>
      </c>
      <c r="C184">
        <v>-19.149999999999999</v>
      </c>
      <c r="D184">
        <v>-19.46</v>
      </c>
      <c r="E184">
        <v>6.28</v>
      </c>
      <c r="F184">
        <v>-9.1300000000000008</v>
      </c>
      <c r="G184">
        <v>-9.07</v>
      </c>
      <c r="H184">
        <v>5.92</v>
      </c>
      <c r="I184">
        <v>-28.27</v>
      </c>
      <c r="J184">
        <v>-28.54</v>
      </c>
      <c r="K184">
        <v>10.01</v>
      </c>
      <c r="L184" t="s">
        <v>0</v>
      </c>
      <c r="M184" t="s">
        <v>0</v>
      </c>
      <c r="N184" t="s">
        <v>0</v>
      </c>
    </row>
    <row r="185" spans="1:14" x14ac:dyDescent="0.2">
      <c r="A185">
        <v>1955</v>
      </c>
      <c r="B185">
        <v>4</v>
      </c>
      <c r="C185">
        <v>-20.350000000000001</v>
      </c>
      <c r="D185">
        <v>-19.77</v>
      </c>
      <c r="E185">
        <v>6.09</v>
      </c>
      <c r="F185">
        <v>-9.18</v>
      </c>
      <c r="G185">
        <v>-9.16</v>
      </c>
      <c r="H185">
        <v>5.82</v>
      </c>
      <c r="I185">
        <v>-29.52</v>
      </c>
      <c r="J185">
        <v>-28.93</v>
      </c>
      <c r="K185">
        <v>9.8000000000000007</v>
      </c>
      <c r="L185" t="s">
        <v>0</v>
      </c>
      <c r="M185" t="s">
        <v>0</v>
      </c>
      <c r="N185" t="s">
        <v>0</v>
      </c>
    </row>
    <row r="186" spans="1:14" x14ac:dyDescent="0.2">
      <c r="A186">
        <v>1955</v>
      </c>
      <c r="B186">
        <v>5</v>
      </c>
      <c r="C186">
        <v>-21.4</v>
      </c>
      <c r="D186">
        <v>-20.04</v>
      </c>
      <c r="E186">
        <v>6.02</v>
      </c>
      <c r="F186">
        <v>-9.19</v>
      </c>
      <c r="G186">
        <v>-9.24</v>
      </c>
      <c r="H186">
        <v>5.76</v>
      </c>
      <c r="I186">
        <v>-30.59</v>
      </c>
      <c r="J186">
        <v>-29.28</v>
      </c>
      <c r="K186">
        <v>9.7799999999999994</v>
      </c>
      <c r="L186" t="s">
        <v>0</v>
      </c>
      <c r="M186" t="s">
        <v>0</v>
      </c>
      <c r="N186" t="s">
        <v>0</v>
      </c>
    </row>
    <row r="187" spans="1:14" x14ac:dyDescent="0.2">
      <c r="A187">
        <v>1955</v>
      </c>
      <c r="B187">
        <v>6</v>
      </c>
      <c r="C187">
        <v>-21.32</v>
      </c>
      <c r="D187">
        <v>-20.23</v>
      </c>
      <c r="E187">
        <v>5.99</v>
      </c>
      <c r="F187">
        <v>-9.19</v>
      </c>
      <c r="G187">
        <v>-9.31</v>
      </c>
      <c r="H187">
        <v>5.7</v>
      </c>
      <c r="I187">
        <v>-30.51</v>
      </c>
      <c r="J187">
        <v>-29.55</v>
      </c>
      <c r="K187">
        <v>9.74</v>
      </c>
      <c r="L187" t="s">
        <v>0</v>
      </c>
      <c r="M187" t="s">
        <v>0</v>
      </c>
      <c r="N187" t="s">
        <v>0</v>
      </c>
    </row>
    <row r="188" spans="1:14" x14ac:dyDescent="0.2">
      <c r="A188">
        <v>1955</v>
      </c>
      <c r="B188">
        <v>7</v>
      </c>
      <c r="C188">
        <v>-22.03</v>
      </c>
      <c r="D188">
        <v>-20.39</v>
      </c>
      <c r="E188">
        <v>5.95</v>
      </c>
      <c r="F188">
        <v>-9.4600000000000009</v>
      </c>
      <c r="G188">
        <v>-9.4</v>
      </c>
      <c r="H188">
        <v>5.65</v>
      </c>
      <c r="I188">
        <v>-31.49</v>
      </c>
      <c r="J188">
        <v>-29.78</v>
      </c>
      <c r="K188">
        <v>9.67</v>
      </c>
      <c r="L188" t="s">
        <v>0</v>
      </c>
      <c r="M188" t="s">
        <v>0</v>
      </c>
      <c r="N188" t="s">
        <v>0</v>
      </c>
    </row>
    <row r="189" spans="1:14" x14ac:dyDescent="0.2">
      <c r="A189">
        <v>1955</v>
      </c>
      <c r="B189">
        <v>8</v>
      </c>
      <c r="C189">
        <v>-21.66</v>
      </c>
      <c r="D189">
        <v>-20.57</v>
      </c>
      <c r="E189">
        <v>5.83</v>
      </c>
      <c r="F189">
        <v>-9.51</v>
      </c>
      <c r="G189">
        <v>-9.49</v>
      </c>
      <c r="H189">
        <v>5.61</v>
      </c>
      <c r="I189">
        <v>-31.17</v>
      </c>
      <c r="J189">
        <v>-30.05</v>
      </c>
      <c r="K189">
        <v>9.52</v>
      </c>
      <c r="L189" t="s">
        <v>0</v>
      </c>
      <c r="M189" t="s">
        <v>0</v>
      </c>
      <c r="N189" t="s">
        <v>0</v>
      </c>
    </row>
    <row r="190" spans="1:14" x14ac:dyDescent="0.2">
      <c r="A190">
        <v>1955</v>
      </c>
      <c r="B190">
        <v>9</v>
      </c>
      <c r="C190">
        <v>-21.32</v>
      </c>
      <c r="D190">
        <v>-20.68</v>
      </c>
      <c r="E190">
        <v>5.72</v>
      </c>
      <c r="F190">
        <v>-9.61</v>
      </c>
      <c r="G190">
        <v>-9.5500000000000007</v>
      </c>
      <c r="H190">
        <v>5.59</v>
      </c>
      <c r="I190">
        <v>-30.93</v>
      </c>
      <c r="J190">
        <v>-30.23</v>
      </c>
      <c r="K190">
        <v>9.39</v>
      </c>
      <c r="L190" t="s">
        <v>0</v>
      </c>
      <c r="M190" t="s">
        <v>0</v>
      </c>
      <c r="N190" t="s">
        <v>0</v>
      </c>
    </row>
    <row r="191" spans="1:14" x14ac:dyDescent="0.2">
      <c r="A191">
        <v>1955</v>
      </c>
      <c r="B191">
        <v>10</v>
      </c>
      <c r="C191">
        <v>-21.21</v>
      </c>
      <c r="D191">
        <v>-20.68</v>
      </c>
      <c r="E191">
        <v>5.58</v>
      </c>
      <c r="F191">
        <v>-9.74</v>
      </c>
      <c r="G191">
        <v>-9.6</v>
      </c>
      <c r="H191">
        <v>5.58</v>
      </c>
      <c r="I191">
        <v>-30.95</v>
      </c>
      <c r="J191">
        <v>-30.27</v>
      </c>
      <c r="K191">
        <v>9.2899999999999991</v>
      </c>
      <c r="L191" t="s">
        <v>0</v>
      </c>
      <c r="M191" t="s">
        <v>0</v>
      </c>
      <c r="N191" t="s">
        <v>0</v>
      </c>
    </row>
    <row r="192" spans="1:14" x14ac:dyDescent="0.2">
      <c r="A192">
        <v>1955</v>
      </c>
      <c r="B192">
        <v>11</v>
      </c>
      <c r="C192">
        <v>-20.82</v>
      </c>
      <c r="D192">
        <v>-20.59</v>
      </c>
      <c r="E192">
        <v>5.5</v>
      </c>
      <c r="F192">
        <v>-9.99</v>
      </c>
      <c r="G192">
        <v>-9.65</v>
      </c>
      <c r="H192">
        <v>5.41</v>
      </c>
      <c r="I192">
        <v>-30.82</v>
      </c>
      <c r="J192">
        <v>-30.24</v>
      </c>
      <c r="K192">
        <v>9.0299999999999994</v>
      </c>
      <c r="L192" t="s">
        <v>0</v>
      </c>
      <c r="M192" t="s">
        <v>0</v>
      </c>
      <c r="N192" t="s">
        <v>0</v>
      </c>
    </row>
    <row r="193" spans="1:14" x14ac:dyDescent="0.2">
      <c r="A193">
        <v>1955</v>
      </c>
      <c r="B193">
        <v>12</v>
      </c>
      <c r="C193">
        <v>-19.52</v>
      </c>
      <c r="D193">
        <v>-20.47</v>
      </c>
      <c r="E193">
        <v>5.43</v>
      </c>
      <c r="F193">
        <v>-10.06</v>
      </c>
      <c r="G193">
        <v>-9.7200000000000006</v>
      </c>
      <c r="H193">
        <v>5.26</v>
      </c>
      <c r="I193">
        <v>-29.58</v>
      </c>
      <c r="J193">
        <v>-30.19</v>
      </c>
      <c r="K193">
        <v>8.7799999999999994</v>
      </c>
      <c r="L193" t="s">
        <v>0</v>
      </c>
      <c r="M193" t="s">
        <v>0</v>
      </c>
      <c r="N193" t="s">
        <v>0</v>
      </c>
    </row>
    <row r="194" spans="1:14" x14ac:dyDescent="0.2">
      <c r="A194">
        <v>1956</v>
      </c>
      <c r="B194">
        <v>1</v>
      </c>
      <c r="C194">
        <v>-19.09</v>
      </c>
      <c r="D194">
        <v>-20.32</v>
      </c>
      <c r="E194">
        <v>5.24</v>
      </c>
      <c r="F194">
        <v>-9.6999999999999993</v>
      </c>
      <c r="G194">
        <v>-9.7799999999999994</v>
      </c>
      <c r="H194">
        <v>5.0999999999999996</v>
      </c>
      <c r="I194">
        <v>-28.79</v>
      </c>
      <c r="J194">
        <v>-30.1</v>
      </c>
      <c r="K194">
        <v>8.4600000000000009</v>
      </c>
      <c r="L194" t="s">
        <v>0</v>
      </c>
      <c r="M194" t="s">
        <v>0</v>
      </c>
      <c r="N194" t="s">
        <v>0</v>
      </c>
    </row>
    <row r="195" spans="1:14" x14ac:dyDescent="0.2">
      <c r="A195">
        <v>1956</v>
      </c>
      <c r="B195">
        <v>2</v>
      </c>
      <c r="C195">
        <v>-20.18</v>
      </c>
      <c r="D195">
        <v>-20.13</v>
      </c>
      <c r="E195">
        <v>5.15</v>
      </c>
      <c r="F195">
        <v>-9.57</v>
      </c>
      <c r="G195">
        <v>-9.83</v>
      </c>
      <c r="H195">
        <v>5.08</v>
      </c>
      <c r="I195">
        <v>-29.75</v>
      </c>
      <c r="J195">
        <v>-29.95</v>
      </c>
      <c r="K195">
        <v>8.39</v>
      </c>
      <c r="L195" t="s">
        <v>0</v>
      </c>
      <c r="M195" t="s">
        <v>0</v>
      </c>
      <c r="N195" t="s">
        <v>0</v>
      </c>
    </row>
    <row r="196" spans="1:14" x14ac:dyDescent="0.2">
      <c r="A196">
        <v>1956</v>
      </c>
      <c r="B196">
        <v>3</v>
      </c>
      <c r="C196">
        <v>-19.489999999999998</v>
      </c>
      <c r="D196">
        <v>-19.98</v>
      </c>
      <c r="E196">
        <v>4.96</v>
      </c>
      <c r="F196">
        <v>-9.65</v>
      </c>
      <c r="G196">
        <v>-9.8699999999999992</v>
      </c>
      <c r="H196">
        <v>5.03</v>
      </c>
      <c r="I196">
        <v>-29.14</v>
      </c>
      <c r="J196">
        <v>-29.85</v>
      </c>
      <c r="K196">
        <v>8.23</v>
      </c>
      <c r="L196" t="s">
        <v>0</v>
      </c>
      <c r="M196" t="s">
        <v>0</v>
      </c>
      <c r="N196" t="s">
        <v>0</v>
      </c>
    </row>
    <row r="197" spans="1:14" x14ac:dyDescent="0.2">
      <c r="A197">
        <v>1956</v>
      </c>
      <c r="B197">
        <v>4</v>
      </c>
      <c r="C197">
        <v>-19.84</v>
      </c>
      <c r="D197">
        <v>-19.87</v>
      </c>
      <c r="E197">
        <v>4.88</v>
      </c>
      <c r="F197">
        <v>-9.77</v>
      </c>
      <c r="G197">
        <v>-9.9</v>
      </c>
      <c r="H197">
        <v>4.99</v>
      </c>
      <c r="I197">
        <v>-29.62</v>
      </c>
      <c r="J197">
        <v>-29.77</v>
      </c>
      <c r="K197">
        <v>8.15</v>
      </c>
      <c r="L197" t="s">
        <v>0</v>
      </c>
      <c r="M197" t="s">
        <v>0</v>
      </c>
      <c r="N197" t="s">
        <v>0</v>
      </c>
    </row>
    <row r="198" spans="1:14" x14ac:dyDescent="0.2">
      <c r="A198">
        <v>1956</v>
      </c>
      <c r="B198">
        <v>5</v>
      </c>
      <c r="C198">
        <v>-19.760000000000002</v>
      </c>
      <c r="D198">
        <v>-19.77</v>
      </c>
      <c r="E198">
        <v>4.8499999999999996</v>
      </c>
      <c r="F198">
        <v>-9.9700000000000006</v>
      </c>
      <c r="G198">
        <v>-9.9</v>
      </c>
      <c r="H198">
        <v>4.93</v>
      </c>
      <c r="I198">
        <v>-29.73</v>
      </c>
      <c r="J198">
        <v>-29.67</v>
      </c>
      <c r="K198">
        <v>8.0500000000000007</v>
      </c>
      <c r="L198" t="s">
        <v>0</v>
      </c>
      <c r="M198" t="s">
        <v>0</v>
      </c>
      <c r="N198" t="s">
        <v>0</v>
      </c>
    </row>
    <row r="199" spans="1:14" x14ac:dyDescent="0.2">
      <c r="A199">
        <v>1956</v>
      </c>
      <c r="B199">
        <v>6</v>
      </c>
      <c r="C199">
        <v>-20</v>
      </c>
      <c r="D199">
        <v>-19.72</v>
      </c>
      <c r="E199">
        <v>4.7699999999999996</v>
      </c>
      <c r="F199">
        <v>-10.06</v>
      </c>
      <c r="G199">
        <v>-9.8800000000000008</v>
      </c>
      <c r="H199">
        <v>4.9000000000000004</v>
      </c>
      <c r="I199">
        <v>-30.06</v>
      </c>
      <c r="J199">
        <v>-29.6</v>
      </c>
      <c r="K199">
        <v>7.95</v>
      </c>
      <c r="L199" t="s">
        <v>0</v>
      </c>
      <c r="M199" t="s">
        <v>0</v>
      </c>
      <c r="N199" t="s">
        <v>0</v>
      </c>
    </row>
    <row r="200" spans="1:14" x14ac:dyDescent="0.2">
      <c r="A200">
        <v>1956</v>
      </c>
      <c r="B200">
        <v>7</v>
      </c>
      <c r="C200">
        <v>-19.89</v>
      </c>
      <c r="D200">
        <v>-19.690000000000001</v>
      </c>
      <c r="E200">
        <v>4.7</v>
      </c>
      <c r="F200">
        <v>-10.02</v>
      </c>
      <c r="G200">
        <v>-9.86</v>
      </c>
      <c r="H200">
        <v>4.8499999999999996</v>
      </c>
      <c r="I200">
        <v>-29.91</v>
      </c>
      <c r="J200">
        <v>-29.55</v>
      </c>
      <c r="K200">
        <v>7.86</v>
      </c>
      <c r="L200" t="s">
        <v>0</v>
      </c>
      <c r="M200" t="s">
        <v>0</v>
      </c>
      <c r="N200" t="s">
        <v>0</v>
      </c>
    </row>
    <row r="201" spans="1:14" x14ac:dyDescent="0.2">
      <c r="A201">
        <v>1956</v>
      </c>
      <c r="B201">
        <v>8</v>
      </c>
      <c r="C201">
        <v>-19.190000000000001</v>
      </c>
      <c r="D201">
        <v>-19.64</v>
      </c>
      <c r="E201">
        <v>4.5999999999999996</v>
      </c>
      <c r="F201">
        <v>-10.01</v>
      </c>
      <c r="G201">
        <v>-9.85</v>
      </c>
      <c r="H201">
        <v>4.8099999999999996</v>
      </c>
      <c r="I201">
        <v>-29.2</v>
      </c>
      <c r="J201">
        <v>-29.49</v>
      </c>
      <c r="K201">
        <v>7.78</v>
      </c>
      <c r="L201" t="s">
        <v>0</v>
      </c>
      <c r="M201" t="s">
        <v>0</v>
      </c>
      <c r="N201" t="s">
        <v>0</v>
      </c>
    </row>
    <row r="202" spans="1:14" x14ac:dyDescent="0.2">
      <c r="A202">
        <v>1956</v>
      </c>
      <c r="B202">
        <v>9</v>
      </c>
      <c r="C202">
        <v>-20.260000000000002</v>
      </c>
      <c r="D202">
        <v>-19.61</v>
      </c>
      <c r="E202">
        <v>4.51</v>
      </c>
      <c r="F202">
        <v>-10.14</v>
      </c>
      <c r="G202">
        <v>-9.86</v>
      </c>
      <c r="H202">
        <v>4.8</v>
      </c>
      <c r="I202">
        <v>-30.39</v>
      </c>
      <c r="J202">
        <v>-29.46</v>
      </c>
      <c r="K202">
        <v>7.71</v>
      </c>
      <c r="L202" t="s">
        <v>0</v>
      </c>
      <c r="M202" t="s">
        <v>0</v>
      </c>
      <c r="N202" t="s">
        <v>0</v>
      </c>
    </row>
    <row r="203" spans="1:14" x14ac:dyDescent="0.2">
      <c r="A203">
        <v>1956</v>
      </c>
      <c r="B203">
        <v>10</v>
      </c>
      <c r="C203">
        <v>-19.71</v>
      </c>
      <c r="D203">
        <v>-19.600000000000001</v>
      </c>
      <c r="E203">
        <v>4.47</v>
      </c>
      <c r="F203">
        <v>-9.91</v>
      </c>
      <c r="G203">
        <v>-9.86</v>
      </c>
      <c r="H203">
        <v>4.76</v>
      </c>
      <c r="I203">
        <v>-29.62</v>
      </c>
      <c r="J203">
        <v>-29.46</v>
      </c>
      <c r="K203">
        <v>7.63</v>
      </c>
      <c r="L203" t="s">
        <v>0</v>
      </c>
      <c r="M203" t="s">
        <v>0</v>
      </c>
      <c r="N203" t="s">
        <v>0</v>
      </c>
    </row>
    <row r="204" spans="1:14" x14ac:dyDescent="0.2">
      <c r="A204">
        <v>1956</v>
      </c>
      <c r="B204">
        <v>11</v>
      </c>
      <c r="C204">
        <v>-19.87</v>
      </c>
      <c r="D204">
        <v>-19.59</v>
      </c>
      <c r="E204">
        <v>4.41</v>
      </c>
      <c r="F204">
        <v>-9.7899999999999991</v>
      </c>
      <c r="G204">
        <v>-9.84</v>
      </c>
      <c r="H204">
        <v>4.75</v>
      </c>
      <c r="I204">
        <v>-29.65</v>
      </c>
      <c r="J204">
        <v>-29.43</v>
      </c>
      <c r="K204">
        <v>7.6</v>
      </c>
      <c r="L204" t="s">
        <v>0</v>
      </c>
      <c r="M204" t="s">
        <v>0</v>
      </c>
      <c r="N204" t="s">
        <v>0</v>
      </c>
    </row>
    <row r="205" spans="1:14" x14ac:dyDescent="0.2">
      <c r="A205">
        <v>1956</v>
      </c>
      <c r="B205">
        <v>12</v>
      </c>
      <c r="C205">
        <v>-19.28</v>
      </c>
      <c r="D205">
        <v>-19.559999999999999</v>
      </c>
      <c r="E205">
        <v>4.3</v>
      </c>
      <c r="F205">
        <v>-9.84</v>
      </c>
      <c r="G205">
        <v>-9.82</v>
      </c>
      <c r="H205">
        <v>4.71</v>
      </c>
      <c r="I205">
        <v>-29.12</v>
      </c>
      <c r="J205">
        <v>-29.38</v>
      </c>
      <c r="K205">
        <v>7.5</v>
      </c>
      <c r="L205" t="s">
        <v>0</v>
      </c>
      <c r="M205" t="s">
        <v>0</v>
      </c>
      <c r="N205" t="s">
        <v>0</v>
      </c>
    </row>
    <row r="206" spans="1:14" x14ac:dyDescent="0.2">
      <c r="A206">
        <v>1957</v>
      </c>
      <c r="B206">
        <v>1</v>
      </c>
      <c r="C206">
        <v>-18.52</v>
      </c>
      <c r="D206">
        <v>-19.47</v>
      </c>
      <c r="E206">
        <v>4.21</v>
      </c>
      <c r="F206">
        <v>-9.5399999999999991</v>
      </c>
      <c r="G206">
        <v>-9.8000000000000007</v>
      </c>
      <c r="H206">
        <v>4.66</v>
      </c>
      <c r="I206">
        <v>-28.06</v>
      </c>
      <c r="J206">
        <v>-29.27</v>
      </c>
      <c r="K206">
        <v>7.32</v>
      </c>
      <c r="L206" t="s">
        <v>0</v>
      </c>
      <c r="M206" t="s">
        <v>0</v>
      </c>
      <c r="N206" t="s">
        <v>0</v>
      </c>
    </row>
    <row r="207" spans="1:14" x14ac:dyDescent="0.2">
      <c r="A207">
        <v>1957</v>
      </c>
      <c r="B207">
        <v>2</v>
      </c>
      <c r="C207">
        <v>-19.47</v>
      </c>
      <c r="D207">
        <v>-19.39</v>
      </c>
      <c r="E207">
        <v>4.2699999999999996</v>
      </c>
      <c r="F207">
        <v>-9.5</v>
      </c>
      <c r="G207">
        <v>-9.77</v>
      </c>
      <c r="H207">
        <v>4.62</v>
      </c>
      <c r="I207">
        <v>-28.97</v>
      </c>
      <c r="J207">
        <v>-29.16</v>
      </c>
      <c r="K207">
        <v>7.36</v>
      </c>
      <c r="L207" t="s">
        <v>0</v>
      </c>
      <c r="M207" t="s">
        <v>0</v>
      </c>
      <c r="N207" t="s">
        <v>0</v>
      </c>
    </row>
    <row r="208" spans="1:14" x14ac:dyDescent="0.2">
      <c r="A208">
        <v>1957</v>
      </c>
      <c r="B208">
        <v>3</v>
      </c>
      <c r="C208">
        <v>-19.559999999999999</v>
      </c>
      <c r="D208">
        <v>-19.27</v>
      </c>
      <c r="E208">
        <v>4.2300000000000004</v>
      </c>
      <c r="F208">
        <v>-9.76</v>
      </c>
      <c r="G208">
        <v>-9.75</v>
      </c>
      <c r="H208">
        <v>4.63</v>
      </c>
      <c r="I208">
        <v>-29.32</v>
      </c>
      <c r="J208">
        <v>-29.02</v>
      </c>
      <c r="K208">
        <v>7.34</v>
      </c>
      <c r="L208" t="s">
        <v>0</v>
      </c>
      <c r="M208" t="s">
        <v>0</v>
      </c>
      <c r="N208" t="s">
        <v>0</v>
      </c>
    </row>
    <row r="209" spans="1:14" x14ac:dyDescent="0.2">
      <c r="A209">
        <v>1957</v>
      </c>
      <c r="B209">
        <v>4</v>
      </c>
      <c r="C209">
        <v>-19.63</v>
      </c>
      <c r="D209">
        <v>-19.12</v>
      </c>
      <c r="E209">
        <v>4.17</v>
      </c>
      <c r="F209">
        <v>-9.69</v>
      </c>
      <c r="G209">
        <v>-9.7200000000000006</v>
      </c>
      <c r="H209">
        <v>4.6100000000000003</v>
      </c>
      <c r="I209">
        <v>-29.32</v>
      </c>
      <c r="J209">
        <v>-28.84</v>
      </c>
      <c r="K209">
        <v>7.31</v>
      </c>
      <c r="L209" t="s">
        <v>0</v>
      </c>
      <c r="M209" t="s">
        <v>0</v>
      </c>
      <c r="N209" t="s">
        <v>0</v>
      </c>
    </row>
    <row r="210" spans="1:14" x14ac:dyDescent="0.2">
      <c r="A210">
        <v>1957</v>
      </c>
      <c r="B210">
        <v>5</v>
      </c>
      <c r="C210">
        <v>-19.72</v>
      </c>
      <c r="D210">
        <v>-18.96</v>
      </c>
      <c r="E210">
        <v>4.16</v>
      </c>
      <c r="F210">
        <v>-9.67</v>
      </c>
      <c r="G210">
        <v>-9.7100000000000009</v>
      </c>
      <c r="H210">
        <v>4.63</v>
      </c>
      <c r="I210">
        <v>-29.39</v>
      </c>
      <c r="J210">
        <v>-28.67</v>
      </c>
      <c r="K210">
        <v>7.34</v>
      </c>
      <c r="L210" t="s">
        <v>0</v>
      </c>
      <c r="M210" t="s">
        <v>0</v>
      </c>
      <c r="N210" t="s">
        <v>0</v>
      </c>
    </row>
    <row r="211" spans="1:14" x14ac:dyDescent="0.2">
      <c r="A211">
        <v>1957</v>
      </c>
      <c r="B211">
        <v>6</v>
      </c>
      <c r="C211">
        <v>-19.239999999999998</v>
      </c>
      <c r="D211">
        <v>-18.809999999999999</v>
      </c>
      <c r="E211">
        <v>4.1900000000000004</v>
      </c>
      <c r="F211">
        <v>-9.84</v>
      </c>
      <c r="G211">
        <v>-9.7200000000000006</v>
      </c>
      <c r="H211">
        <v>4.5999999999999996</v>
      </c>
      <c r="I211">
        <v>-29.09</v>
      </c>
      <c r="J211">
        <v>-28.53</v>
      </c>
      <c r="K211">
        <v>7.31</v>
      </c>
      <c r="L211" t="s">
        <v>0</v>
      </c>
      <c r="M211" t="s">
        <v>0</v>
      </c>
      <c r="N211" t="s">
        <v>0</v>
      </c>
    </row>
    <row r="212" spans="1:14" x14ac:dyDescent="0.2">
      <c r="A212">
        <v>1957</v>
      </c>
      <c r="B212">
        <v>7</v>
      </c>
      <c r="C212">
        <v>-18.579999999999998</v>
      </c>
      <c r="D212">
        <v>-18.68</v>
      </c>
      <c r="E212">
        <v>4.16</v>
      </c>
      <c r="F212">
        <v>-9.7100000000000009</v>
      </c>
      <c r="G212">
        <v>-9.7100000000000009</v>
      </c>
      <c r="H212">
        <v>4.55</v>
      </c>
      <c r="I212">
        <v>-28.29</v>
      </c>
      <c r="J212">
        <v>-28.39</v>
      </c>
      <c r="K212">
        <v>7.21</v>
      </c>
      <c r="L212" t="s">
        <v>0</v>
      </c>
      <c r="M212" t="s">
        <v>0</v>
      </c>
      <c r="N212" t="s">
        <v>0</v>
      </c>
    </row>
    <row r="213" spans="1:14" x14ac:dyDescent="0.2">
      <c r="A213">
        <v>1957</v>
      </c>
      <c r="B213">
        <v>8</v>
      </c>
      <c r="C213">
        <v>-18.39</v>
      </c>
      <c r="D213">
        <v>-18.47</v>
      </c>
      <c r="E213">
        <v>4.08</v>
      </c>
      <c r="F213">
        <v>-9.8000000000000007</v>
      </c>
      <c r="G213">
        <v>-9.6999999999999993</v>
      </c>
      <c r="H213">
        <v>4.5199999999999996</v>
      </c>
      <c r="I213">
        <v>-28.2</v>
      </c>
      <c r="J213">
        <v>-28.17</v>
      </c>
      <c r="K213">
        <v>7.09</v>
      </c>
      <c r="L213" t="s">
        <v>0</v>
      </c>
      <c r="M213" t="s">
        <v>0</v>
      </c>
      <c r="N213" t="s">
        <v>0</v>
      </c>
    </row>
    <row r="214" spans="1:14" x14ac:dyDescent="0.2">
      <c r="A214">
        <v>1957</v>
      </c>
      <c r="B214">
        <v>9</v>
      </c>
      <c r="C214">
        <v>-18.350000000000001</v>
      </c>
      <c r="D214">
        <v>-18.18</v>
      </c>
      <c r="E214">
        <v>4.08</v>
      </c>
      <c r="F214">
        <v>-9.77</v>
      </c>
      <c r="G214">
        <v>-9.69</v>
      </c>
      <c r="H214">
        <v>4.5</v>
      </c>
      <c r="I214">
        <v>-28.12</v>
      </c>
      <c r="J214">
        <v>-27.87</v>
      </c>
      <c r="K214">
        <v>7.09</v>
      </c>
      <c r="L214" t="s">
        <v>0</v>
      </c>
      <c r="M214" t="s">
        <v>0</v>
      </c>
      <c r="N214" t="s">
        <v>0</v>
      </c>
    </row>
    <row r="215" spans="1:14" x14ac:dyDescent="0.2">
      <c r="A215">
        <v>1957</v>
      </c>
      <c r="B215">
        <v>10</v>
      </c>
      <c r="C215">
        <v>-17.850000000000001</v>
      </c>
      <c r="D215">
        <v>-17.850000000000001</v>
      </c>
      <c r="E215">
        <v>4.03</v>
      </c>
      <c r="F215">
        <v>-9.6199999999999992</v>
      </c>
      <c r="G215">
        <v>-9.69</v>
      </c>
      <c r="H215">
        <v>4.49</v>
      </c>
      <c r="I215">
        <v>-27.48</v>
      </c>
      <c r="J215">
        <v>-27.53</v>
      </c>
      <c r="K215">
        <v>7.07</v>
      </c>
      <c r="L215" t="s">
        <v>0</v>
      </c>
      <c r="M215" t="s">
        <v>0</v>
      </c>
      <c r="N215" t="s">
        <v>0</v>
      </c>
    </row>
    <row r="216" spans="1:14" x14ac:dyDescent="0.2">
      <c r="A216">
        <v>1957</v>
      </c>
      <c r="B216">
        <v>11</v>
      </c>
      <c r="C216">
        <v>-17.91</v>
      </c>
      <c r="D216">
        <v>-17.53</v>
      </c>
      <c r="E216">
        <v>4.01</v>
      </c>
      <c r="F216">
        <v>-9.83</v>
      </c>
      <c r="G216">
        <v>-9.69</v>
      </c>
      <c r="H216">
        <v>4.4800000000000004</v>
      </c>
      <c r="I216">
        <v>-27.74</v>
      </c>
      <c r="J216">
        <v>-27.22</v>
      </c>
      <c r="K216">
        <v>7.05</v>
      </c>
      <c r="L216" t="s">
        <v>0</v>
      </c>
      <c r="M216" t="s">
        <v>0</v>
      </c>
      <c r="N216" t="s">
        <v>0</v>
      </c>
    </row>
    <row r="217" spans="1:14" x14ac:dyDescent="0.2">
      <c r="A217">
        <v>1957</v>
      </c>
      <c r="B217">
        <v>12</v>
      </c>
      <c r="C217">
        <v>-17.739999999999998</v>
      </c>
      <c r="D217">
        <v>-17.25</v>
      </c>
      <c r="E217">
        <v>3.89</v>
      </c>
      <c r="F217">
        <v>-9.86</v>
      </c>
      <c r="G217">
        <v>-9.6999999999999993</v>
      </c>
      <c r="H217">
        <v>4.46</v>
      </c>
      <c r="I217">
        <v>-27.6</v>
      </c>
      <c r="J217">
        <v>-26.95</v>
      </c>
      <c r="K217">
        <v>6.92</v>
      </c>
      <c r="L217" t="s">
        <v>0</v>
      </c>
      <c r="M217" t="s">
        <v>0</v>
      </c>
      <c r="N217" t="s">
        <v>0</v>
      </c>
    </row>
    <row r="218" spans="1:14" x14ac:dyDescent="0.2">
      <c r="A218">
        <v>1958</v>
      </c>
      <c r="B218">
        <v>1</v>
      </c>
      <c r="C218">
        <v>-16.77</v>
      </c>
      <c r="D218">
        <v>-16.98</v>
      </c>
      <c r="E218">
        <v>4.8899999999999997</v>
      </c>
      <c r="F218">
        <v>-9.41</v>
      </c>
      <c r="G218">
        <v>-9.6999999999999993</v>
      </c>
      <c r="H218">
        <v>5.05</v>
      </c>
      <c r="I218">
        <v>-26.18</v>
      </c>
      <c r="J218">
        <v>-26.68</v>
      </c>
      <c r="K218">
        <v>8.27</v>
      </c>
      <c r="L218" t="s">
        <v>0</v>
      </c>
      <c r="M218" t="s">
        <v>0</v>
      </c>
      <c r="N218" t="s">
        <v>0</v>
      </c>
    </row>
    <row r="219" spans="1:14" x14ac:dyDescent="0.2">
      <c r="A219">
        <v>1958</v>
      </c>
      <c r="B219">
        <v>2</v>
      </c>
      <c r="C219">
        <v>-16.239999999999998</v>
      </c>
      <c r="D219">
        <v>-16.690000000000001</v>
      </c>
      <c r="E219">
        <v>4.9000000000000004</v>
      </c>
      <c r="F219">
        <v>-9.48</v>
      </c>
      <c r="G219">
        <v>-9.6999999999999993</v>
      </c>
      <c r="H219">
        <v>5</v>
      </c>
      <c r="I219">
        <v>-25.72</v>
      </c>
      <c r="J219">
        <v>-26.39</v>
      </c>
      <c r="K219">
        <v>8.26</v>
      </c>
      <c r="L219" t="s">
        <v>0</v>
      </c>
      <c r="M219" t="s">
        <v>0</v>
      </c>
      <c r="N219" t="s">
        <v>0</v>
      </c>
    </row>
    <row r="220" spans="1:14" x14ac:dyDescent="0.2">
      <c r="A220">
        <v>1958</v>
      </c>
      <c r="B220">
        <v>3</v>
      </c>
      <c r="C220">
        <v>-15.78</v>
      </c>
      <c r="D220">
        <v>-16.38</v>
      </c>
      <c r="E220">
        <v>4.8899999999999997</v>
      </c>
      <c r="F220">
        <v>-9.5299999999999994</v>
      </c>
      <c r="G220">
        <v>-9.6999999999999993</v>
      </c>
      <c r="H220">
        <v>5.01</v>
      </c>
      <c r="I220">
        <v>-25.31</v>
      </c>
      <c r="J220">
        <v>-26.07</v>
      </c>
      <c r="K220">
        <v>8.24</v>
      </c>
      <c r="L220" t="s">
        <v>0</v>
      </c>
      <c r="M220" t="s">
        <v>0</v>
      </c>
      <c r="N220" t="s">
        <v>0</v>
      </c>
    </row>
    <row r="221" spans="1:14" x14ac:dyDescent="0.2">
      <c r="A221">
        <v>1958</v>
      </c>
      <c r="B221">
        <v>4</v>
      </c>
      <c r="C221">
        <v>-15.5</v>
      </c>
      <c r="D221">
        <v>-16.14</v>
      </c>
      <c r="E221">
        <v>4.82</v>
      </c>
      <c r="F221">
        <v>-9.76</v>
      </c>
      <c r="G221">
        <v>-9.69</v>
      </c>
      <c r="H221">
        <v>4.99</v>
      </c>
      <c r="I221">
        <v>-25.26</v>
      </c>
      <c r="J221">
        <v>-25.83</v>
      </c>
      <c r="K221">
        <v>8.18</v>
      </c>
      <c r="L221" t="s">
        <v>0</v>
      </c>
      <c r="M221" t="s">
        <v>0</v>
      </c>
      <c r="N221" t="s">
        <v>0</v>
      </c>
    </row>
    <row r="222" spans="1:14" x14ac:dyDescent="0.2">
      <c r="A222">
        <v>1958</v>
      </c>
      <c r="B222">
        <v>5</v>
      </c>
      <c r="C222">
        <v>-16.22</v>
      </c>
      <c r="D222">
        <v>-16.010000000000002</v>
      </c>
      <c r="E222">
        <v>4.8099999999999996</v>
      </c>
      <c r="F222">
        <v>-9.77</v>
      </c>
      <c r="G222">
        <v>-9.67</v>
      </c>
      <c r="H222">
        <v>4.9800000000000004</v>
      </c>
      <c r="I222">
        <v>-25.99</v>
      </c>
      <c r="J222">
        <v>-25.68</v>
      </c>
      <c r="K222">
        <v>8.11</v>
      </c>
      <c r="L222" t="s">
        <v>0</v>
      </c>
      <c r="M222" t="s">
        <v>0</v>
      </c>
      <c r="N222" t="s">
        <v>0</v>
      </c>
    </row>
    <row r="223" spans="1:14" x14ac:dyDescent="0.2">
      <c r="A223">
        <v>1958</v>
      </c>
      <c r="B223">
        <v>6</v>
      </c>
      <c r="C223">
        <v>-16.05</v>
      </c>
      <c r="D223">
        <v>-15.9</v>
      </c>
      <c r="E223">
        <v>4.78</v>
      </c>
      <c r="F223">
        <v>-9.83</v>
      </c>
      <c r="G223">
        <v>-9.64</v>
      </c>
      <c r="H223">
        <v>4.9400000000000004</v>
      </c>
      <c r="I223">
        <v>-25.88</v>
      </c>
      <c r="J223">
        <v>-25.55</v>
      </c>
      <c r="K223">
        <v>8.1</v>
      </c>
      <c r="L223" t="s">
        <v>0</v>
      </c>
      <c r="M223" t="s">
        <v>0</v>
      </c>
      <c r="N223" t="s">
        <v>0</v>
      </c>
    </row>
    <row r="224" spans="1:14" x14ac:dyDescent="0.2">
      <c r="A224">
        <v>1958</v>
      </c>
      <c r="B224">
        <v>7</v>
      </c>
      <c r="C224">
        <v>-15.32</v>
      </c>
      <c r="D224">
        <v>-15.85</v>
      </c>
      <c r="E224">
        <v>4.8</v>
      </c>
      <c r="F224">
        <v>-9.7899999999999991</v>
      </c>
      <c r="G224">
        <v>-9.6300000000000008</v>
      </c>
      <c r="H224">
        <v>4.95</v>
      </c>
      <c r="I224">
        <v>-25.11</v>
      </c>
      <c r="J224">
        <v>-25.47</v>
      </c>
      <c r="K224">
        <v>8.11</v>
      </c>
      <c r="L224" t="s">
        <v>0</v>
      </c>
      <c r="M224" t="s">
        <v>0</v>
      </c>
      <c r="N224" t="s">
        <v>0</v>
      </c>
    </row>
    <row r="225" spans="1:14" x14ac:dyDescent="0.2">
      <c r="A225">
        <v>1958</v>
      </c>
      <c r="B225">
        <v>8</v>
      </c>
      <c r="C225">
        <v>-14.65</v>
      </c>
      <c r="D225">
        <v>-15.89</v>
      </c>
      <c r="E225">
        <v>4.84</v>
      </c>
      <c r="F225">
        <v>-9.73</v>
      </c>
      <c r="G225">
        <v>-9.6199999999999992</v>
      </c>
      <c r="H225">
        <v>4.9800000000000004</v>
      </c>
      <c r="I225">
        <v>-24.38</v>
      </c>
      <c r="J225">
        <v>-25.5</v>
      </c>
      <c r="K225">
        <v>8.17</v>
      </c>
      <c r="L225" t="s">
        <v>0</v>
      </c>
      <c r="M225" t="s">
        <v>0</v>
      </c>
      <c r="N225" t="s">
        <v>0</v>
      </c>
    </row>
    <row r="226" spans="1:14" x14ac:dyDescent="0.2">
      <c r="A226">
        <v>1958</v>
      </c>
      <c r="B226">
        <v>9</v>
      </c>
      <c r="C226">
        <v>-14.58</v>
      </c>
      <c r="D226">
        <v>-16.03</v>
      </c>
      <c r="E226">
        <v>4.8899999999999997</v>
      </c>
      <c r="F226">
        <v>-9.75</v>
      </c>
      <c r="G226">
        <v>-9.6199999999999992</v>
      </c>
      <c r="H226">
        <v>4.95</v>
      </c>
      <c r="I226">
        <v>-24.33</v>
      </c>
      <c r="J226">
        <v>-25.65</v>
      </c>
      <c r="K226">
        <v>8.2100000000000009</v>
      </c>
      <c r="L226" t="s">
        <v>0</v>
      </c>
      <c r="M226" t="s">
        <v>0</v>
      </c>
      <c r="N226" t="s">
        <v>0</v>
      </c>
    </row>
    <row r="227" spans="1:14" x14ac:dyDescent="0.2">
      <c r="A227">
        <v>1958</v>
      </c>
      <c r="B227">
        <v>10</v>
      </c>
      <c r="C227">
        <v>-16.059999999999999</v>
      </c>
      <c r="D227">
        <v>-16.27</v>
      </c>
      <c r="E227">
        <v>5.0599999999999996</v>
      </c>
      <c r="F227">
        <v>-9.44</v>
      </c>
      <c r="G227">
        <v>-9.6199999999999992</v>
      </c>
      <c r="H227">
        <v>4.91</v>
      </c>
      <c r="I227">
        <v>-25.5</v>
      </c>
      <c r="J227">
        <v>-25.89</v>
      </c>
      <c r="K227">
        <v>8.32</v>
      </c>
      <c r="L227" t="s">
        <v>0</v>
      </c>
      <c r="M227" t="s">
        <v>0</v>
      </c>
      <c r="N227" t="s">
        <v>0</v>
      </c>
    </row>
    <row r="228" spans="1:14" x14ac:dyDescent="0.2">
      <c r="A228">
        <v>1958</v>
      </c>
      <c r="B228">
        <v>11</v>
      </c>
      <c r="C228">
        <v>-16.559999999999999</v>
      </c>
      <c r="D228">
        <v>-16.48</v>
      </c>
      <c r="E228">
        <v>5.0999999999999996</v>
      </c>
      <c r="F228">
        <v>-9.51</v>
      </c>
      <c r="G228">
        <v>-9.6300000000000008</v>
      </c>
      <c r="H228">
        <v>4.88</v>
      </c>
      <c r="I228">
        <v>-26.06</v>
      </c>
      <c r="J228">
        <v>-26.12</v>
      </c>
      <c r="K228">
        <v>8.32</v>
      </c>
      <c r="L228" t="s">
        <v>0</v>
      </c>
      <c r="M228" t="s">
        <v>0</v>
      </c>
      <c r="N228" t="s">
        <v>0</v>
      </c>
    </row>
    <row r="229" spans="1:14" x14ac:dyDescent="0.2">
      <c r="A229">
        <v>1958</v>
      </c>
      <c r="B229">
        <v>12</v>
      </c>
      <c r="C229">
        <v>-16.46</v>
      </c>
      <c r="D229">
        <v>-16.64</v>
      </c>
      <c r="E229">
        <v>5.19</v>
      </c>
      <c r="F229">
        <v>-9.58</v>
      </c>
      <c r="G229">
        <v>-9.64</v>
      </c>
      <c r="H229">
        <v>4.83</v>
      </c>
      <c r="I229">
        <v>-26.04</v>
      </c>
      <c r="J229">
        <v>-26.28</v>
      </c>
      <c r="K229">
        <v>8.32</v>
      </c>
      <c r="L229" t="s">
        <v>0</v>
      </c>
      <c r="M229" t="s">
        <v>0</v>
      </c>
      <c r="N229" t="s">
        <v>0</v>
      </c>
    </row>
    <row r="230" spans="1:14" x14ac:dyDescent="0.2">
      <c r="A230">
        <v>1959</v>
      </c>
      <c r="B230">
        <v>1</v>
      </c>
      <c r="C230">
        <v>-16.64</v>
      </c>
      <c r="D230">
        <v>-16.77</v>
      </c>
      <c r="E230">
        <v>5.12</v>
      </c>
      <c r="F230">
        <v>-9.3000000000000007</v>
      </c>
      <c r="G230">
        <v>-9.64</v>
      </c>
      <c r="H230">
        <v>4.75</v>
      </c>
      <c r="I230">
        <v>-25.95</v>
      </c>
      <c r="J230">
        <v>-26.4</v>
      </c>
      <c r="K230">
        <v>8.18</v>
      </c>
      <c r="L230" t="s">
        <v>0</v>
      </c>
      <c r="M230" t="s">
        <v>0</v>
      </c>
      <c r="N230" t="s">
        <v>0</v>
      </c>
    </row>
    <row r="231" spans="1:14" x14ac:dyDescent="0.2">
      <c r="A231">
        <v>1959</v>
      </c>
      <c r="B231">
        <v>2</v>
      </c>
      <c r="C231">
        <v>-17.329999999999998</v>
      </c>
      <c r="D231">
        <v>-16.89</v>
      </c>
      <c r="E231">
        <v>5.15</v>
      </c>
      <c r="F231">
        <v>-9.4</v>
      </c>
      <c r="G231">
        <v>-9.6300000000000008</v>
      </c>
      <c r="H231">
        <v>4.74</v>
      </c>
      <c r="I231">
        <v>-26.73</v>
      </c>
      <c r="J231">
        <v>-26.52</v>
      </c>
      <c r="K231">
        <v>8.1999999999999993</v>
      </c>
      <c r="L231" t="s">
        <v>0</v>
      </c>
      <c r="M231" t="s">
        <v>0</v>
      </c>
      <c r="N231" t="s">
        <v>0</v>
      </c>
    </row>
    <row r="232" spans="1:14" x14ac:dyDescent="0.2">
      <c r="A232">
        <v>1959</v>
      </c>
      <c r="B232">
        <v>3</v>
      </c>
      <c r="C232">
        <v>-18.239999999999998</v>
      </c>
      <c r="D232">
        <v>-17.02</v>
      </c>
      <c r="E232">
        <v>5.17</v>
      </c>
      <c r="F232">
        <v>-9.6199999999999992</v>
      </c>
      <c r="G232">
        <v>-9.6300000000000008</v>
      </c>
      <c r="H232">
        <v>4.66</v>
      </c>
      <c r="I232">
        <v>-27.86</v>
      </c>
      <c r="J232">
        <v>-26.65</v>
      </c>
      <c r="K232">
        <v>8.1199999999999992</v>
      </c>
      <c r="L232" t="s">
        <v>0</v>
      </c>
      <c r="M232" t="s">
        <v>0</v>
      </c>
      <c r="N232" t="s">
        <v>0</v>
      </c>
    </row>
    <row r="233" spans="1:14" x14ac:dyDescent="0.2">
      <c r="A233">
        <v>1959</v>
      </c>
      <c r="B233">
        <v>4</v>
      </c>
      <c r="C233">
        <v>-18.690000000000001</v>
      </c>
      <c r="D233">
        <v>-17.07</v>
      </c>
      <c r="E233">
        <v>5.14</v>
      </c>
      <c r="F233">
        <v>-9.8000000000000007</v>
      </c>
      <c r="G233">
        <v>-9.65</v>
      </c>
      <c r="H233">
        <v>4.59</v>
      </c>
      <c r="I233">
        <v>-28.49</v>
      </c>
      <c r="J233">
        <v>-26.72</v>
      </c>
      <c r="K233">
        <v>8.01</v>
      </c>
      <c r="L233" t="s">
        <v>0</v>
      </c>
      <c r="M233" t="s">
        <v>0</v>
      </c>
      <c r="N233" t="s">
        <v>0</v>
      </c>
    </row>
    <row r="234" spans="1:14" x14ac:dyDescent="0.2">
      <c r="A234">
        <v>1959</v>
      </c>
      <c r="B234">
        <v>5</v>
      </c>
      <c r="C234">
        <v>-18.22</v>
      </c>
      <c r="D234">
        <v>-17.100000000000001</v>
      </c>
      <c r="E234">
        <v>5.0999999999999996</v>
      </c>
      <c r="F234">
        <v>-9.9</v>
      </c>
      <c r="G234">
        <v>-9.68</v>
      </c>
      <c r="H234">
        <v>4.59</v>
      </c>
      <c r="I234">
        <v>-28.12</v>
      </c>
      <c r="J234">
        <v>-26.78</v>
      </c>
      <c r="K234">
        <v>8.02</v>
      </c>
      <c r="L234" t="s">
        <v>0</v>
      </c>
      <c r="M234" t="s">
        <v>0</v>
      </c>
      <c r="N234" t="s">
        <v>0</v>
      </c>
    </row>
    <row r="235" spans="1:14" x14ac:dyDescent="0.2">
      <c r="A235">
        <v>1959</v>
      </c>
      <c r="B235">
        <v>6</v>
      </c>
      <c r="C235">
        <v>-17.75</v>
      </c>
      <c r="D235">
        <v>-17.170000000000002</v>
      </c>
      <c r="E235">
        <v>5.0599999999999996</v>
      </c>
      <c r="F235">
        <v>-9.86</v>
      </c>
      <c r="G235">
        <v>-9.6999999999999993</v>
      </c>
      <c r="H235">
        <v>4.57</v>
      </c>
      <c r="I235">
        <v>-27.61</v>
      </c>
      <c r="J235">
        <v>-26.88</v>
      </c>
      <c r="K235">
        <v>7.99</v>
      </c>
      <c r="L235" t="s">
        <v>0</v>
      </c>
      <c r="M235" t="s">
        <v>0</v>
      </c>
      <c r="N235" t="s">
        <v>0</v>
      </c>
    </row>
    <row r="236" spans="1:14" x14ac:dyDescent="0.2">
      <c r="A236">
        <v>1959</v>
      </c>
      <c r="B236">
        <v>7</v>
      </c>
      <c r="C236">
        <v>-16.73</v>
      </c>
      <c r="D236">
        <v>-17.22</v>
      </c>
      <c r="E236">
        <v>4.97</v>
      </c>
      <c r="F236">
        <v>-9.67</v>
      </c>
      <c r="G236">
        <v>-9.7200000000000006</v>
      </c>
      <c r="H236">
        <v>4.5999999999999996</v>
      </c>
      <c r="I236">
        <v>-26.4</v>
      </c>
      <c r="J236">
        <v>-26.93</v>
      </c>
      <c r="K236">
        <v>7.99</v>
      </c>
      <c r="L236" t="s">
        <v>0</v>
      </c>
      <c r="M236" t="s">
        <v>0</v>
      </c>
      <c r="N236" t="s">
        <v>0</v>
      </c>
    </row>
    <row r="237" spans="1:14" x14ac:dyDescent="0.2">
      <c r="A237">
        <v>1959</v>
      </c>
      <c r="B237">
        <v>8</v>
      </c>
      <c r="C237">
        <v>-16.170000000000002</v>
      </c>
      <c r="D237">
        <v>-17.190000000000001</v>
      </c>
      <c r="E237">
        <v>4.96</v>
      </c>
      <c r="F237">
        <v>-9.7200000000000006</v>
      </c>
      <c r="G237">
        <v>-9.7200000000000006</v>
      </c>
      <c r="H237">
        <v>4.59</v>
      </c>
      <c r="I237">
        <v>-25.89</v>
      </c>
      <c r="J237">
        <v>-26.91</v>
      </c>
      <c r="K237">
        <v>8.02</v>
      </c>
      <c r="L237" t="s">
        <v>0</v>
      </c>
      <c r="M237" t="s">
        <v>0</v>
      </c>
      <c r="N237" t="s">
        <v>0</v>
      </c>
    </row>
    <row r="238" spans="1:14" x14ac:dyDescent="0.2">
      <c r="A238">
        <v>1959</v>
      </c>
      <c r="B238">
        <v>9</v>
      </c>
      <c r="C238">
        <v>-16.12</v>
      </c>
      <c r="D238">
        <v>-17.059999999999999</v>
      </c>
      <c r="E238">
        <v>4.99</v>
      </c>
      <c r="F238">
        <v>-9.84</v>
      </c>
      <c r="G238">
        <v>-9.69</v>
      </c>
      <c r="H238">
        <v>4.54</v>
      </c>
      <c r="I238">
        <v>-25.96</v>
      </c>
      <c r="J238">
        <v>-26.75</v>
      </c>
      <c r="K238">
        <v>8.01</v>
      </c>
      <c r="L238" t="s">
        <v>0</v>
      </c>
      <c r="M238" t="s">
        <v>0</v>
      </c>
      <c r="N238" t="s">
        <v>0</v>
      </c>
    </row>
    <row r="239" spans="1:14" x14ac:dyDescent="0.2">
      <c r="A239">
        <v>1959</v>
      </c>
      <c r="B239">
        <v>10</v>
      </c>
      <c r="C239">
        <v>-15.71</v>
      </c>
      <c r="D239">
        <v>-16.86</v>
      </c>
      <c r="E239">
        <v>4.96</v>
      </c>
      <c r="F239">
        <v>-9.84</v>
      </c>
      <c r="G239">
        <v>-9.6300000000000008</v>
      </c>
      <c r="H239">
        <v>4.54</v>
      </c>
      <c r="I239">
        <v>-25.54</v>
      </c>
      <c r="J239">
        <v>-26.49</v>
      </c>
      <c r="K239">
        <v>7.95</v>
      </c>
      <c r="L239" t="s">
        <v>0</v>
      </c>
      <c r="M239" t="s">
        <v>0</v>
      </c>
      <c r="N239" t="s">
        <v>0</v>
      </c>
    </row>
    <row r="240" spans="1:14" x14ac:dyDescent="0.2">
      <c r="A240">
        <v>1959</v>
      </c>
      <c r="B240">
        <v>11</v>
      </c>
      <c r="C240">
        <v>-17.670000000000002</v>
      </c>
      <c r="D240">
        <v>-16.66</v>
      </c>
      <c r="E240">
        <v>4.9400000000000004</v>
      </c>
      <c r="F240">
        <v>-9.81</v>
      </c>
      <c r="G240">
        <v>-9.5500000000000007</v>
      </c>
      <c r="H240">
        <v>4.5599999999999996</v>
      </c>
      <c r="I240">
        <v>-27.47</v>
      </c>
      <c r="J240">
        <v>-26.22</v>
      </c>
      <c r="K240">
        <v>7.91</v>
      </c>
      <c r="L240" t="s">
        <v>0</v>
      </c>
      <c r="M240" t="s">
        <v>0</v>
      </c>
      <c r="N240" t="s">
        <v>0</v>
      </c>
    </row>
    <row r="241" spans="1:14" x14ac:dyDescent="0.2">
      <c r="A241">
        <v>1959</v>
      </c>
      <c r="B241">
        <v>12</v>
      </c>
      <c r="C241">
        <v>-17.190000000000001</v>
      </c>
      <c r="D241">
        <v>-16.510000000000002</v>
      </c>
      <c r="E241">
        <v>4.9400000000000004</v>
      </c>
      <c r="F241">
        <v>-9.77</v>
      </c>
      <c r="G241">
        <v>-9.4700000000000006</v>
      </c>
      <c r="H241">
        <v>4.5199999999999996</v>
      </c>
      <c r="I241">
        <v>-26.96</v>
      </c>
      <c r="J241">
        <v>-25.98</v>
      </c>
      <c r="K241">
        <v>7.85</v>
      </c>
      <c r="L241" t="s">
        <v>0</v>
      </c>
      <c r="M241" t="s">
        <v>0</v>
      </c>
      <c r="N241" t="s">
        <v>0</v>
      </c>
    </row>
    <row r="242" spans="1:14" x14ac:dyDescent="0.2">
      <c r="A242">
        <v>1960</v>
      </c>
      <c r="B242">
        <v>1</v>
      </c>
      <c r="C242">
        <v>-16.96</v>
      </c>
      <c r="D242">
        <v>-16.399999999999999</v>
      </c>
      <c r="E242">
        <v>4.6900000000000004</v>
      </c>
      <c r="F242">
        <v>-9.44</v>
      </c>
      <c r="G242">
        <v>-9.42</v>
      </c>
      <c r="H242">
        <v>4.46</v>
      </c>
      <c r="I242">
        <v>-26.39</v>
      </c>
      <c r="J242">
        <v>-25.82</v>
      </c>
      <c r="K242">
        <v>7.53</v>
      </c>
      <c r="L242" t="s">
        <v>0</v>
      </c>
      <c r="M242" t="s">
        <v>0</v>
      </c>
      <c r="N242" t="s">
        <v>0</v>
      </c>
    </row>
    <row r="243" spans="1:14" x14ac:dyDescent="0.2">
      <c r="A243">
        <v>1960</v>
      </c>
      <c r="B243">
        <v>2</v>
      </c>
      <c r="C243">
        <v>-16.350000000000001</v>
      </c>
      <c r="D243">
        <v>-16.329999999999998</v>
      </c>
      <c r="E243">
        <v>4.58</v>
      </c>
      <c r="F243">
        <v>-9.3699999999999992</v>
      </c>
      <c r="G243">
        <v>-9.36</v>
      </c>
      <c r="H243">
        <v>4.47</v>
      </c>
      <c r="I243">
        <v>-25.72</v>
      </c>
      <c r="J243">
        <v>-25.69</v>
      </c>
      <c r="K243">
        <v>7.46</v>
      </c>
      <c r="L243" t="s">
        <v>0</v>
      </c>
      <c r="M243" t="s">
        <v>0</v>
      </c>
      <c r="N243" t="s">
        <v>0</v>
      </c>
    </row>
    <row r="244" spans="1:14" x14ac:dyDescent="0.2">
      <c r="A244">
        <v>1960</v>
      </c>
      <c r="B244">
        <v>3</v>
      </c>
      <c r="C244">
        <v>-16.04</v>
      </c>
      <c r="D244">
        <v>-16.29</v>
      </c>
      <c r="E244">
        <v>4.63</v>
      </c>
      <c r="F244">
        <v>-9.0299999999999994</v>
      </c>
      <c r="G244">
        <v>-9.2899999999999991</v>
      </c>
      <c r="H244">
        <v>4.5</v>
      </c>
      <c r="I244">
        <v>-25.07</v>
      </c>
      <c r="J244">
        <v>-25.59</v>
      </c>
      <c r="K244">
        <v>7.57</v>
      </c>
      <c r="L244" t="s">
        <v>0</v>
      </c>
      <c r="M244" t="s">
        <v>0</v>
      </c>
      <c r="N244" t="s">
        <v>0</v>
      </c>
    </row>
    <row r="245" spans="1:14" x14ac:dyDescent="0.2">
      <c r="A245">
        <v>1960</v>
      </c>
      <c r="B245">
        <v>4</v>
      </c>
      <c r="C245">
        <v>-16.149999999999999</v>
      </c>
      <c r="D245">
        <v>-16.29</v>
      </c>
      <c r="E245">
        <v>4.66</v>
      </c>
      <c r="F245">
        <v>-8.9499999999999993</v>
      </c>
      <c r="G245">
        <v>-9.2100000000000009</v>
      </c>
      <c r="H245">
        <v>4.54</v>
      </c>
      <c r="I245">
        <v>-25.1</v>
      </c>
      <c r="J245">
        <v>-25.49</v>
      </c>
      <c r="K245">
        <v>7.69</v>
      </c>
      <c r="L245" t="s">
        <v>0</v>
      </c>
      <c r="M245" t="s">
        <v>0</v>
      </c>
      <c r="N245" t="s">
        <v>0</v>
      </c>
    </row>
    <row r="246" spans="1:14" x14ac:dyDescent="0.2">
      <c r="A246">
        <v>1960</v>
      </c>
      <c r="B246">
        <v>5</v>
      </c>
      <c r="C246">
        <v>-16</v>
      </c>
      <c r="D246">
        <v>-16.22</v>
      </c>
      <c r="E246">
        <v>4.6500000000000004</v>
      </c>
      <c r="F246">
        <v>-8.82</v>
      </c>
      <c r="G246">
        <v>-9.11</v>
      </c>
      <c r="H246">
        <v>4.6100000000000003</v>
      </c>
      <c r="I246">
        <v>-24.81</v>
      </c>
      <c r="J246">
        <v>-25.33</v>
      </c>
      <c r="K246">
        <v>7.74</v>
      </c>
      <c r="L246" t="s">
        <v>0</v>
      </c>
      <c r="M246" t="s">
        <v>0</v>
      </c>
      <c r="N246" t="s">
        <v>0</v>
      </c>
    </row>
    <row r="247" spans="1:14" x14ac:dyDescent="0.2">
      <c r="A247">
        <v>1960</v>
      </c>
      <c r="B247">
        <v>6</v>
      </c>
      <c r="C247">
        <v>-16.2</v>
      </c>
      <c r="D247">
        <v>-16.13</v>
      </c>
      <c r="E247">
        <v>4.7</v>
      </c>
      <c r="F247">
        <v>-9.0399999999999991</v>
      </c>
      <c r="G247">
        <v>-9.0299999999999994</v>
      </c>
      <c r="H247">
        <v>4.6500000000000004</v>
      </c>
      <c r="I247">
        <v>-25.24</v>
      </c>
      <c r="J247">
        <v>-25.15</v>
      </c>
      <c r="K247">
        <v>7.83</v>
      </c>
      <c r="L247" t="s">
        <v>0</v>
      </c>
      <c r="M247" t="s">
        <v>0</v>
      </c>
      <c r="N247" t="s">
        <v>0</v>
      </c>
    </row>
    <row r="248" spans="1:14" x14ac:dyDescent="0.2">
      <c r="A248">
        <v>1960</v>
      </c>
      <c r="B248">
        <v>7</v>
      </c>
      <c r="C248">
        <v>-15.72</v>
      </c>
      <c r="D248">
        <v>-16.11</v>
      </c>
      <c r="E248">
        <v>4.6399999999999997</v>
      </c>
      <c r="F248">
        <v>-9.11</v>
      </c>
      <c r="G248">
        <v>-8.9499999999999993</v>
      </c>
      <c r="H248">
        <v>4.66</v>
      </c>
      <c r="I248">
        <v>-24.83</v>
      </c>
      <c r="J248">
        <v>-25.06</v>
      </c>
      <c r="K248">
        <v>7.81</v>
      </c>
      <c r="L248" t="s">
        <v>0</v>
      </c>
      <c r="M248" t="s">
        <v>0</v>
      </c>
      <c r="N248" t="s">
        <v>0</v>
      </c>
    </row>
    <row r="249" spans="1:14" x14ac:dyDescent="0.2">
      <c r="A249">
        <v>1960</v>
      </c>
      <c r="B249">
        <v>8</v>
      </c>
      <c r="C249">
        <v>-15.58</v>
      </c>
      <c r="D249">
        <v>-16.21</v>
      </c>
      <c r="E249">
        <v>4.59</v>
      </c>
      <c r="F249">
        <v>-8.9600000000000009</v>
      </c>
      <c r="G249">
        <v>-8.8699999999999992</v>
      </c>
      <c r="H249">
        <v>4.6399999999999997</v>
      </c>
      <c r="I249">
        <v>-24.54</v>
      </c>
      <c r="J249">
        <v>-25.08</v>
      </c>
      <c r="K249">
        <v>7.75</v>
      </c>
      <c r="L249" t="s">
        <v>0</v>
      </c>
      <c r="M249" t="s">
        <v>0</v>
      </c>
      <c r="N249" t="s">
        <v>0</v>
      </c>
    </row>
    <row r="250" spans="1:14" x14ac:dyDescent="0.2">
      <c r="A250">
        <v>1960</v>
      </c>
      <c r="B250">
        <v>9</v>
      </c>
      <c r="C250">
        <v>-15.78</v>
      </c>
      <c r="D250">
        <v>-16.420000000000002</v>
      </c>
      <c r="E250">
        <v>4.5599999999999996</v>
      </c>
      <c r="F250">
        <v>-8.92</v>
      </c>
      <c r="G250">
        <v>-8.7899999999999991</v>
      </c>
      <c r="H250">
        <v>4.66</v>
      </c>
      <c r="I250">
        <v>-24.7</v>
      </c>
      <c r="J250">
        <v>-25.21</v>
      </c>
      <c r="K250">
        <v>7.79</v>
      </c>
      <c r="L250" t="s">
        <v>0</v>
      </c>
      <c r="M250" t="s">
        <v>0</v>
      </c>
      <c r="N250" t="s">
        <v>0</v>
      </c>
    </row>
    <row r="251" spans="1:14" x14ac:dyDescent="0.2">
      <c r="A251">
        <v>1960</v>
      </c>
      <c r="B251">
        <v>10</v>
      </c>
      <c r="C251">
        <v>-15.85</v>
      </c>
      <c r="D251">
        <v>-16.649999999999999</v>
      </c>
      <c r="E251">
        <v>4.5</v>
      </c>
      <c r="F251">
        <v>-8.7200000000000006</v>
      </c>
      <c r="G251">
        <v>-8.75</v>
      </c>
      <c r="H251">
        <v>4.67</v>
      </c>
      <c r="I251">
        <v>-24.57</v>
      </c>
      <c r="J251">
        <v>-25.4</v>
      </c>
      <c r="K251">
        <v>7.77</v>
      </c>
      <c r="L251" t="s">
        <v>0</v>
      </c>
      <c r="M251" t="s">
        <v>0</v>
      </c>
      <c r="N251" t="s">
        <v>0</v>
      </c>
    </row>
    <row r="252" spans="1:14" x14ac:dyDescent="0.2">
      <c r="A252">
        <v>1960</v>
      </c>
      <c r="B252">
        <v>11</v>
      </c>
      <c r="C252">
        <v>-15.99</v>
      </c>
      <c r="D252">
        <v>-16.86</v>
      </c>
      <c r="E252">
        <v>4.53</v>
      </c>
      <c r="F252">
        <v>-8.66</v>
      </c>
      <c r="G252">
        <v>-8.7200000000000006</v>
      </c>
      <c r="H252">
        <v>4.7</v>
      </c>
      <c r="I252">
        <v>-24.65</v>
      </c>
      <c r="J252">
        <v>-25.58</v>
      </c>
      <c r="K252">
        <v>7.85</v>
      </c>
      <c r="L252" t="s">
        <v>0</v>
      </c>
      <c r="M252" t="s">
        <v>0</v>
      </c>
      <c r="N252" t="s">
        <v>0</v>
      </c>
    </row>
    <row r="253" spans="1:14" x14ac:dyDescent="0.2">
      <c r="A253">
        <v>1960</v>
      </c>
      <c r="B253">
        <v>12</v>
      </c>
      <c r="C253">
        <v>-16.600000000000001</v>
      </c>
      <c r="D253">
        <v>-17.04</v>
      </c>
      <c r="E253">
        <v>4.5999999999999996</v>
      </c>
      <c r="F253">
        <v>-8.81</v>
      </c>
      <c r="G253">
        <v>-8.68</v>
      </c>
      <c r="H253">
        <v>4.7</v>
      </c>
      <c r="I253">
        <v>-25.41</v>
      </c>
      <c r="J253">
        <v>-25.72</v>
      </c>
      <c r="K253">
        <v>7.9</v>
      </c>
      <c r="L253" t="s">
        <v>0</v>
      </c>
      <c r="M253" t="s">
        <v>0</v>
      </c>
      <c r="N253" t="s">
        <v>0</v>
      </c>
    </row>
    <row r="254" spans="1:14" x14ac:dyDescent="0.2">
      <c r="A254">
        <v>1961</v>
      </c>
      <c r="B254">
        <v>1</v>
      </c>
      <c r="C254">
        <v>-17.23</v>
      </c>
      <c r="D254">
        <v>-17.21</v>
      </c>
      <c r="E254">
        <v>4.4800000000000004</v>
      </c>
      <c r="F254">
        <v>-8.5399999999999991</v>
      </c>
      <c r="G254">
        <v>-8.61</v>
      </c>
      <c r="H254">
        <v>4.6500000000000004</v>
      </c>
      <c r="I254">
        <v>-25.77</v>
      </c>
      <c r="J254">
        <v>-25.82</v>
      </c>
      <c r="K254">
        <v>7.67</v>
      </c>
      <c r="L254" t="s">
        <v>0</v>
      </c>
      <c r="M254" t="s">
        <v>0</v>
      </c>
      <c r="N254" t="s">
        <v>0</v>
      </c>
    </row>
    <row r="255" spans="1:14" x14ac:dyDescent="0.2">
      <c r="A255">
        <v>1961</v>
      </c>
      <c r="B255">
        <v>2</v>
      </c>
      <c r="C255">
        <v>-18.440000000000001</v>
      </c>
      <c r="D255">
        <v>-17.41</v>
      </c>
      <c r="E255">
        <v>4.4800000000000004</v>
      </c>
      <c r="F255">
        <v>-8.3000000000000007</v>
      </c>
      <c r="G255">
        <v>-8.52</v>
      </c>
      <c r="H255">
        <v>4.7</v>
      </c>
      <c r="I255">
        <v>-26.73</v>
      </c>
      <c r="J255">
        <v>-25.93</v>
      </c>
      <c r="K255">
        <v>7.73</v>
      </c>
      <c r="L255" t="s">
        <v>0</v>
      </c>
      <c r="M255" t="s">
        <v>0</v>
      </c>
      <c r="N255" t="s">
        <v>0</v>
      </c>
    </row>
    <row r="256" spans="1:14" x14ac:dyDescent="0.2">
      <c r="A256">
        <v>1961</v>
      </c>
      <c r="B256">
        <v>3</v>
      </c>
      <c r="C256">
        <v>-18.96</v>
      </c>
      <c r="D256">
        <v>-17.64</v>
      </c>
      <c r="E256">
        <v>4.49</v>
      </c>
      <c r="F256">
        <v>-8.3800000000000008</v>
      </c>
      <c r="G256">
        <v>-8.44</v>
      </c>
      <c r="H256">
        <v>4.6900000000000004</v>
      </c>
      <c r="I256">
        <v>-27.34</v>
      </c>
      <c r="J256">
        <v>-26.08</v>
      </c>
      <c r="K256">
        <v>7.77</v>
      </c>
      <c r="L256" t="s">
        <v>0</v>
      </c>
      <c r="M256" t="s">
        <v>0</v>
      </c>
      <c r="N256" t="s">
        <v>0</v>
      </c>
    </row>
    <row r="257" spans="1:14" x14ac:dyDescent="0.2">
      <c r="A257">
        <v>1961</v>
      </c>
      <c r="B257">
        <v>4</v>
      </c>
      <c r="C257">
        <v>-18.8</v>
      </c>
      <c r="D257">
        <v>-17.850000000000001</v>
      </c>
      <c r="E257">
        <v>4.5</v>
      </c>
      <c r="F257">
        <v>-8.44</v>
      </c>
      <c r="G257">
        <v>-8.3699999999999992</v>
      </c>
      <c r="H257">
        <v>4.57</v>
      </c>
      <c r="I257">
        <v>-27.24</v>
      </c>
      <c r="J257">
        <v>-26.21</v>
      </c>
      <c r="K257">
        <v>7.65</v>
      </c>
      <c r="L257" t="s">
        <v>0</v>
      </c>
      <c r="M257" t="s">
        <v>0</v>
      </c>
      <c r="N257" t="s">
        <v>0</v>
      </c>
    </row>
    <row r="258" spans="1:14" x14ac:dyDescent="0.2">
      <c r="A258">
        <v>1961</v>
      </c>
      <c r="B258">
        <v>5</v>
      </c>
      <c r="C258">
        <v>-18.39</v>
      </c>
      <c r="D258">
        <v>-18.010000000000002</v>
      </c>
      <c r="E258">
        <v>4.5599999999999996</v>
      </c>
      <c r="F258">
        <v>-8.6199999999999992</v>
      </c>
      <c r="G258">
        <v>-8.3000000000000007</v>
      </c>
      <c r="H258">
        <v>4.5599999999999996</v>
      </c>
      <c r="I258">
        <v>-27.01</v>
      </c>
      <c r="J258">
        <v>-26.31</v>
      </c>
      <c r="K258">
        <v>7.67</v>
      </c>
      <c r="L258" t="s">
        <v>0</v>
      </c>
      <c r="M258" t="s">
        <v>0</v>
      </c>
      <c r="N258" t="s">
        <v>0</v>
      </c>
    </row>
    <row r="259" spans="1:14" x14ac:dyDescent="0.2">
      <c r="A259">
        <v>1961</v>
      </c>
      <c r="B259">
        <v>6</v>
      </c>
      <c r="C259">
        <v>-18.18</v>
      </c>
      <c r="D259">
        <v>-18.100000000000001</v>
      </c>
      <c r="E259">
        <v>4.5599999999999996</v>
      </c>
      <c r="F259">
        <v>-8.33</v>
      </c>
      <c r="G259">
        <v>-8.23</v>
      </c>
      <c r="H259">
        <v>4.59</v>
      </c>
      <c r="I259">
        <v>-26.52</v>
      </c>
      <c r="J259">
        <v>-26.32</v>
      </c>
      <c r="K259">
        <v>7.69</v>
      </c>
      <c r="L259" t="s">
        <v>0</v>
      </c>
      <c r="M259" t="s">
        <v>0</v>
      </c>
      <c r="N259" t="s">
        <v>0</v>
      </c>
    </row>
    <row r="260" spans="1:14" x14ac:dyDescent="0.2">
      <c r="A260">
        <v>1961</v>
      </c>
      <c r="B260">
        <v>7</v>
      </c>
      <c r="C260">
        <v>-17.77</v>
      </c>
      <c r="D260">
        <v>-18.04</v>
      </c>
      <c r="E260">
        <v>4.57</v>
      </c>
      <c r="F260">
        <v>-8.08</v>
      </c>
      <c r="G260">
        <v>-8.15</v>
      </c>
      <c r="H260">
        <v>4.5599999999999996</v>
      </c>
      <c r="I260">
        <v>-25.85</v>
      </c>
      <c r="J260">
        <v>-26.19</v>
      </c>
      <c r="K260">
        <v>7.71</v>
      </c>
      <c r="L260" t="s">
        <v>0</v>
      </c>
      <c r="M260" t="s">
        <v>0</v>
      </c>
      <c r="N260" t="s">
        <v>0</v>
      </c>
    </row>
    <row r="261" spans="1:14" x14ac:dyDescent="0.2">
      <c r="A261">
        <v>1961</v>
      </c>
      <c r="B261">
        <v>8</v>
      </c>
      <c r="C261">
        <v>-18.21</v>
      </c>
      <c r="D261">
        <v>-17.86</v>
      </c>
      <c r="E261">
        <v>4.66</v>
      </c>
      <c r="F261">
        <v>-8</v>
      </c>
      <c r="G261">
        <v>-8.07</v>
      </c>
      <c r="H261">
        <v>4.51</v>
      </c>
      <c r="I261">
        <v>-26.21</v>
      </c>
      <c r="J261">
        <v>-25.93</v>
      </c>
      <c r="K261">
        <v>7.71</v>
      </c>
      <c r="L261" t="s">
        <v>0</v>
      </c>
      <c r="M261" t="s">
        <v>0</v>
      </c>
      <c r="N261" t="s">
        <v>0</v>
      </c>
    </row>
    <row r="262" spans="1:14" x14ac:dyDescent="0.2">
      <c r="A262">
        <v>1961</v>
      </c>
      <c r="B262">
        <v>9</v>
      </c>
      <c r="C262">
        <v>-18.66</v>
      </c>
      <c r="D262">
        <v>-17.579999999999998</v>
      </c>
      <c r="E262">
        <v>4.7300000000000004</v>
      </c>
      <c r="F262">
        <v>-7.91</v>
      </c>
      <c r="G262">
        <v>-7.99</v>
      </c>
      <c r="H262">
        <v>4.49</v>
      </c>
      <c r="I262">
        <v>-26.57</v>
      </c>
      <c r="J262">
        <v>-25.57</v>
      </c>
      <c r="K262">
        <v>7.67</v>
      </c>
      <c r="L262" t="s">
        <v>0</v>
      </c>
      <c r="M262" t="s">
        <v>0</v>
      </c>
      <c r="N262" t="s">
        <v>0</v>
      </c>
    </row>
    <row r="263" spans="1:14" x14ac:dyDescent="0.2">
      <c r="A263">
        <v>1961</v>
      </c>
      <c r="B263">
        <v>10</v>
      </c>
      <c r="C263">
        <v>-18.03</v>
      </c>
      <c r="D263">
        <v>-17.27</v>
      </c>
      <c r="E263">
        <v>4.79</v>
      </c>
      <c r="F263">
        <v>-7.89</v>
      </c>
      <c r="G263">
        <v>-7.88</v>
      </c>
      <c r="H263">
        <v>4.49</v>
      </c>
      <c r="I263">
        <v>-25.92</v>
      </c>
      <c r="J263">
        <v>-25.15</v>
      </c>
      <c r="K263">
        <v>7.7</v>
      </c>
      <c r="L263" t="s">
        <v>0</v>
      </c>
      <c r="M263" t="s">
        <v>0</v>
      </c>
      <c r="N263" t="s">
        <v>0</v>
      </c>
    </row>
    <row r="264" spans="1:14" x14ac:dyDescent="0.2">
      <c r="A264">
        <v>1961</v>
      </c>
      <c r="B264">
        <v>11</v>
      </c>
      <c r="C264">
        <v>-17.77</v>
      </c>
      <c r="D264">
        <v>-16.97</v>
      </c>
      <c r="E264">
        <v>4.8099999999999996</v>
      </c>
      <c r="F264">
        <v>-7.86</v>
      </c>
      <c r="G264">
        <v>-7.77</v>
      </c>
      <c r="H264">
        <v>4.4800000000000004</v>
      </c>
      <c r="I264">
        <v>-25.63</v>
      </c>
      <c r="J264">
        <v>-24.74</v>
      </c>
      <c r="K264">
        <v>7.7</v>
      </c>
      <c r="L264" t="s">
        <v>0</v>
      </c>
      <c r="M264" t="s">
        <v>0</v>
      </c>
      <c r="N264" t="s">
        <v>0</v>
      </c>
    </row>
    <row r="265" spans="1:14" x14ac:dyDescent="0.2">
      <c r="A265">
        <v>1961</v>
      </c>
      <c r="B265">
        <v>12</v>
      </c>
      <c r="C265">
        <v>-16.84</v>
      </c>
      <c r="D265">
        <v>-16.690000000000001</v>
      </c>
      <c r="E265">
        <v>4.6900000000000004</v>
      </c>
      <c r="F265">
        <v>-7.9</v>
      </c>
      <c r="G265">
        <v>-7.68</v>
      </c>
      <c r="H265">
        <v>4.46</v>
      </c>
      <c r="I265">
        <v>-24.74</v>
      </c>
      <c r="J265">
        <v>-24.37</v>
      </c>
      <c r="K265">
        <v>7.57</v>
      </c>
      <c r="L265" t="s">
        <v>0</v>
      </c>
      <c r="M265" t="s">
        <v>0</v>
      </c>
      <c r="N265" t="s">
        <v>0</v>
      </c>
    </row>
    <row r="266" spans="1:14" x14ac:dyDescent="0.2">
      <c r="A266">
        <v>1962</v>
      </c>
      <c r="B266">
        <v>1</v>
      </c>
      <c r="C266">
        <v>-15.72</v>
      </c>
      <c r="D266">
        <v>-16.43</v>
      </c>
      <c r="E266">
        <v>4.49</v>
      </c>
      <c r="F266">
        <v>-7.58</v>
      </c>
      <c r="G266">
        <v>-7.6</v>
      </c>
      <c r="H266">
        <v>4.3899999999999997</v>
      </c>
      <c r="I266">
        <v>-23.3</v>
      </c>
      <c r="J266">
        <v>-24.03</v>
      </c>
      <c r="K266">
        <v>7.36</v>
      </c>
      <c r="L266" t="s">
        <v>0</v>
      </c>
      <c r="M266" t="s">
        <v>0</v>
      </c>
      <c r="N266" t="s">
        <v>0</v>
      </c>
    </row>
    <row r="267" spans="1:14" x14ac:dyDescent="0.2">
      <c r="A267">
        <v>1962</v>
      </c>
      <c r="B267">
        <v>2</v>
      </c>
      <c r="C267">
        <v>-15.52</v>
      </c>
      <c r="D267">
        <v>-16.11</v>
      </c>
      <c r="E267">
        <v>4.3600000000000003</v>
      </c>
      <c r="F267">
        <v>-7.41</v>
      </c>
      <c r="G267">
        <v>-7.55</v>
      </c>
      <c r="H267">
        <v>4.3899999999999997</v>
      </c>
      <c r="I267">
        <v>-22.93</v>
      </c>
      <c r="J267">
        <v>-23.66</v>
      </c>
      <c r="K267">
        <v>7.3</v>
      </c>
      <c r="L267" t="s">
        <v>0</v>
      </c>
      <c r="M267" t="s">
        <v>0</v>
      </c>
      <c r="N267" t="s">
        <v>0</v>
      </c>
    </row>
    <row r="268" spans="1:14" x14ac:dyDescent="0.2">
      <c r="A268">
        <v>1962</v>
      </c>
      <c r="B268">
        <v>3</v>
      </c>
      <c r="C268">
        <v>-15.29</v>
      </c>
      <c r="D268">
        <v>-15.7</v>
      </c>
      <c r="E268">
        <v>4.2699999999999996</v>
      </c>
      <c r="F268">
        <v>-7.24</v>
      </c>
      <c r="G268">
        <v>-7.5</v>
      </c>
      <c r="H268">
        <v>4.2699999999999996</v>
      </c>
      <c r="I268">
        <v>-22.53</v>
      </c>
      <c r="J268">
        <v>-23.21</v>
      </c>
      <c r="K268">
        <v>7.12</v>
      </c>
      <c r="L268" t="s">
        <v>0</v>
      </c>
      <c r="M268" t="s">
        <v>0</v>
      </c>
      <c r="N268" t="s">
        <v>0</v>
      </c>
    </row>
    <row r="269" spans="1:14" x14ac:dyDescent="0.2">
      <c r="A269">
        <v>1962</v>
      </c>
      <c r="B269">
        <v>4</v>
      </c>
      <c r="C269">
        <v>-14.93</v>
      </c>
      <c r="D269">
        <v>-15.28</v>
      </c>
      <c r="E269">
        <v>4.17</v>
      </c>
      <c r="F269">
        <v>-7.13</v>
      </c>
      <c r="G269">
        <v>-7.46</v>
      </c>
      <c r="H269">
        <v>4.18</v>
      </c>
      <c r="I269">
        <v>-22.06</v>
      </c>
      <c r="J269">
        <v>-22.74</v>
      </c>
      <c r="K269">
        <v>6.97</v>
      </c>
      <c r="L269" t="s">
        <v>0</v>
      </c>
      <c r="M269" t="s">
        <v>0</v>
      </c>
      <c r="N269" t="s">
        <v>0</v>
      </c>
    </row>
    <row r="270" spans="1:14" x14ac:dyDescent="0.2">
      <c r="A270">
        <v>1962</v>
      </c>
      <c r="B270">
        <v>5</v>
      </c>
      <c r="C270">
        <v>-15.06</v>
      </c>
      <c r="D270">
        <v>-14.9</v>
      </c>
      <c r="E270">
        <v>4.09</v>
      </c>
      <c r="F270">
        <v>-7.31</v>
      </c>
      <c r="G270">
        <v>-7.43</v>
      </c>
      <c r="H270">
        <v>4.17</v>
      </c>
      <c r="I270">
        <v>-22.37</v>
      </c>
      <c r="J270">
        <v>-22.33</v>
      </c>
      <c r="K270">
        <v>6.94</v>
      </c>
      <c r="L270" t="s">
        <v>0</v>
      </c>
      <c r="M270" t="s">
        <v>0</v>
      </c>
      <c r="N270" t="s">
        <v>0</v>
      </c>
    </row>
    <row r="271" spans="1:14" x14ac:dyDescent="0.2">
      <c r="A271">
        <v>1962</v>
      </c>
      <c r="B271">
        <v>6</v>
      </c>
      <c r="C271">
        <v>-14.89</v>
      </c>
      <c r="D271">
        <v>-14.59</v>
      </c>
      <c r="E271">
        <v>4.0599999999999996</v>
      </c>
      <c r="F271">
        <v>-7.29</v>
      </c>
      <c r="G271">
        <v>-7.41</v>
      </c>
      <c r="H271">
        <v>4.1500000000000004</v>
      </c>
      <c r="I271">
        <v>-22.18</v>
      </c>
      <c r="J271">
        <v>-22</v>
      </c>
      <c r="K271">
        <v>6.89</v>
      </c>
      <c r="L271" t="s">
        <v>0</v>
      </c>
      <c r="M271" t="s">
        <v>0</v>
      </c>
      <c r="N271" t="s">
        <v>0</v>
      </c>
    </row>
    <row r="272" spans="1:14" x14ac:dyDescent="0.2">
      <c r="A272">
        <v>1962</v>
      </c>
      <c r="B272">
        <v>7</v>
      </c>
      <c r="C272">
        <v>-14.64</v>
      </c>
      <c r="D272">
        <v>-14.37</v>
      </c>
      <c r="E272">
        <v>4.05</v>
      </c>
      <c r="F272">
        <v>-7.36</v>
      </c>
      <c r="G272">
        <v>-7.4</v>
      </c>
      <c r="H272">
        <v>4.16</v>
      </c>
      <c r="I272">
        <v>-21.99</v>
      </c>
      <c r="J272">
        <v>-21.77</v>
      </c>
      <c r="K272">
        <v>6.9</v>
      </c>
      <c r="L272" t="s">
        <v>0</v>
      </c>
      <c r="M272" t="s">
        <v>0</v>
      </c>
      <c r="N272" t="s">
        <v>0</v>
      </c>
    </row>
    <row r="273" spans="1:14" x14ac:dyDescent="0.2">
      <c r="A273">
        <v>1962</v>
      </c>
      <c r="B273">
        <v>8</v>
      </c>
      <c r="C273">
        <v>-13.78</v>
      </c>
      <c r="D273">
        <v>-14.23</v>
      </c>
      <c r="E273">
        <v>4.08</v>
      </c>
      <c r="F273">
        <v>-7.42</v>
      </c>
      <c r="G273">
        <v>-7.4</v>
      </c>
      <c r="H273">
        <v>4.17</v>
      </c>
      <c r="I273">
        <v>-21.2</v>
      </c>
      <c r="J273">
        <v>-21.64</v>
      </c>
      <c r="K273">
        <v>6.94</v>
      </c>
      <c r="L273" t="s">
        <v>0</v>
      </c>
      <c r="M273" t="s">
        <v>0</v>
      </c>
      <c r="N273" t="s">
        <v>0</v>
      </c>
    </row>
    <row r="274" spans="1:14" x14ac:dyDescent="0.2">
      <c r="A274">
        <v>1962</v>
      </c>
      <c r="B274">
        <v>9</v>
      </c>
      <c r="C274">
        <v>-13.31</v>
      </c>
      <c r="D274">
        <v>-14.19</v>
      </c>
      <c r="E274">
        <v>4.12</v>
      </c>
      <c r="F274">
        <v>-7.43</v>
      </c>
      <c r="G274">
        <v>-7.42</v>
      </c>
      <c r="H274">
        <v>4.21</v>
      </c>
      <c r="I274">
        <v>-20.74</v>
      </c>
      <c r="J274">
        <v>-21.61</v>
      </c>
      <c r="K274">
        <v>7.01</v>
      </c>
      <c r="L274" t="s">
        <v>0</v>
      </c>
      <c r="M274" t="s">
        <v>0</v>
      </c>
      <c r="N274" t="s">
        <v>0</v>
      </c>
    </row>
    <row r="275" spans="1:14" x14ac:dyDescent="0.2">
      <c r="A275">
        <v>1962</v>
      </c>
      <c r="B275">
        <v>10</v>
      </c>
      <c r="C275">
        <v>-13.13</v>
      </c>
      <c r="D275">
        <v>-14.27</v>
      </c>
      <c r="E275">
        <v>4.09</v>
      </c>
      <c r="F275">
        <v>-7.41</v>
      </c>
      <c r="G275">
        <v>-7.45</v>
      </c>
      <c r="H275">
        <v>4.18</v>
      </c>
      <c r="I275">
        <v>-20.54</v>
      </c>
      <c r="J275">
        <v>-21.73</v>
      </c>
      <c r="K275">
        <v>6.92</v>
      </c>
      <c r="L275" t="s">
        <v>0</v>
      </c>
      <c r="M275" t="s">
        <v>0</v>
      </c>
      <c r="N275" t="s">
        <v>0</v>
      </c>
    </row>
    <row r="276" spans="1:14" x14ac:dyDescent="0.2">
      <c r="A276">
        <v>1962</v>
      </c>
      <c r="B276">
        <v>11</v>
      </c>
      <c r="C276">
        <v>-13.54</v>
      </c>
      <c r="D276">
        <v>-14.4</v>
      </c>
      <c r="E276">
        <v>4.04</v>
      </c>
      <c r="F276">
        <v>-7.6</v>
      </c>
      <c r="G276">
        <v>-7.48</v>
      </c>
      <c r="H276">
        <v>4.1399999999999997</v>
      </c>
      <c r="I276">
        <v>-21.14</v>
      </c>
      <c r="J276">
        <v>-21.88</v>
      </c>
      <c r="K276">
        <v>6.88</v>
      </c>
      <c r="L276" t="s">
        <v>0</v>
      </c>
      <c r="M276" t="s">
        <v>0</v>
      </c>
      <c r="N276" t="s">
        <v>0</v>
      </c>
    </row>
    <row r="277" spans="1:14" x14ac:dyDescent="0.2">
      <c r="A277">
        <v>1962</v>
      </c>
      <c r="B277">
        <v>12</v>
      </c>
      <c r="C277">
        <v>-13.63</v>
      </c>
      <c r="D277">
        <v>-14.49</v>
      </c>
      <c r="E277">
        <v>4.0199999999999996</v>
      </c>
      <c r="F277">
        <v>-7.7</v>
      </c>
      <c r="G277">
        <v>-7.49</v>
      </c>
      <c r="H277">
        <v>4.1100000000000003</v>
      </c>
      <c r="I277">
        <v>-21.32</v>
      </c>
      <c r="J277">
        <v>-21.98</v>
      </c>
      <c r="K277">
        <v>6.79</v>
      </c>
      <c r="L277" t="s">
        <v>0</v>
      </c>
      <c r="M277" t="s">
        <v>0</v>
      </c>
      <c r="N277" t="s">
        <v>0</v>
      </c>
    </row>
    <row r="278" spans="1:14" x14ac:dyDescent="0.2">
      <c r="A278">
        <v>1963</v>
      </c>
      <c r="B278">
        <v>1</v>
      </c>
      <c r="C278">
        <v>-13.7</v>
      </c>
      <c r="D278">
        <v>-14.57</v>
      </c>
      <c r="E278">
        <v>3.89</v>
      </c>
      <c r="F278">
        <v>-7.5</v>
      </c>
      <c r="G278">
        <v>-7.5</v>
      </c>
      <c r="H278">
        <v>4.01</v>
      </c>
      <c r="I278">
        <v>-21.19</v>
      </c>
      <c r="J278">
        <v>-22.07</v>
      </c>
      <c r="K278">
        <v>6.56</v>
      </c>
      <c r="L278" t="s">
        <v>0</v>
      </c>
      <c r="M278" t="s">
        <v>0</v>
      </c>
      <c r="N278" t="s">
        <v>0</v>
      </c>
    </row>
    <row r="279" spans="1:14" x14ac:dyDescent="0.2">
      <c r="A279">
        <v>1963</v>
      </c>
      <c r="B279">
        <v>2</v>
      </c>
      <c r="C279">
        <v>-14.31</v>
      </c>
      <c r="D279">
        <v>-14.7</v>
      </c>
      <c r="E279">
        <v>3.91</v>
      </c>
      <c r="F279">
        <v>-7.51</v>
      </c>
      <c r="G279">
        <v>-7.49</v>
      </c>
      <c r="H279">
        <v>4</v>
      </c>
      <c r="I279">
        <v>-21.81</v>
      </c>
      <c r="J279">
        <v>-22.2</v>
      </c>
      <c r="K279">
        <v>6.6</v>
      </c>
      <c r="L279" t="s">
        <v>0</v>
      </c>
      <c r="M279" t="s">
        <v>0</v>
      </c>
      <c r="N279" t="s">
        <v>0</v>
      </c>
    </row>
    <row r="280" spans="1:14" x14ac:dyDescent="0.2">
      <c r="A280">
        <v>1963</v>
      </c>
      <c r="B280">
        <v>3</v>
      </c>
      <c r="C280">
        <v>-15.37</v>
      </c>
      <c r="D280">
        <v>-14.91</v>
      </c>
      <c r="E280">
        <v>3.91</v>
      </c>
      <c r="F280">
        <v>-7.57</v>
      </c>
      <c r="G280">
        <v>-7.48</v>
      </c>
      <c r="H280">
        <v>3.98</v>
      </c>
      <c r="I280">
        <v>-22.94</v>
      </c>
      <c r="J280">
        <v>-22.39</v>
      </c>
      <c r="K280">
        <v>6.64</v>
      </c>
      <c r="L280" t="s">
        <v>0</v>
      </c>
      <c r="M280" t="s">
        <v>0</v>
      </c>
      <c r="N280" t="s">
        <v>0</v>
      </c>
    </row>
    <row r="281" spans="1:14" x14ac:dyDescent="0.2">
      <c r="A281">
        <v>1963</v>
      </c>
      <c r="B281">
        <v>4</v>
      </c>
      <c r="C281">
        <v>-16.940000000000001</v>
      </c>
      <c r="D281">
        <v>-15.18</v>
      </c>
      <c r="E281">
        <v>3.85</v>
      </c>
      <c r="F281">
        <v>-7.57</v>
      </c>
      <c r="G281">
        <v>-7.46</v>
      </c>
      <c r="H281">
        <v>3.97</v>
      </c>
      <c r="I281">
        <v>-24.51</v>
      </c>
      <c r="J281">
        <v>-22.64</v>
      </c>
      <c r="K281">
        <v>6.61</v>
      </c>
      <c r="L281" t="s">
        <v>0</v>
      </c>
      <c r="M281" t="s">
        <v>0</v>
      </c>
      <c r="N281" t="s">
        <v>0</v>
      </c>
    </row>
    <row r="282" spans="1:14" x14ac:dyDescent="0.2">
      <c r="A282">
        <v>1963</v>
      </c>
      <c r="B282">
        <v>5</v>
      </c>
      <c r="C282">
        <v>-16.14</v>
      </c>
      <c r="D282">
        <v>-15.5</v>
      </c>
      <c r="E282">
        <v>3.79</v>
      </c>
      <c r="F282">
        <v>-7.48</v>
      </c>
      <c r="G282">
        <v>-7.43</v>
      </c>
      <c r="H282">
        <v>3.89</v>
      </c>
      <c r="I282">
        <v>-23.62</v>
      </c>
      <c r="J282">
        <v>-22.93</v>
      </c>
      <c r="K282">
        <v>6.5</v>
      </c>
      <c r="L282" t="s">
        <v>0</v>
      </c>
      <c r="M282" t="s">
        <v>0</v>
      </c>
      <c r="N282" t="s">
        <v>0</v>
      </c>
    </row>
    <row r="283" spans="1:14" x14ac:dyDescent="0.2">
      <c r="A283">
        <v>1963</v>
      </c>
      <c r="B283">
        <v>6</v>
      </c>
      <c r="C283">
        <v>-15.91</v>
      </c>
      <c r="D283">
        <v>-15.83</v>
      </c>
      <c r="E283">
        <v>3.82</v>
      </c>
      <c r="F283">
        <v>-7.4</v>
      </c>
      <c r="G283">
        <v>-7.4</v>
      </c>
      <c r="H283">
        <v>3.86</v>
      </c>
      <c r="I283">
        <v>-23.31</v>
      </c>
      <c r="J283">
        <v>-23.23</v>
      </c>
      <c r="K283">
        <v>6.47</v>
      </c>
      <c r="L283" t="s">
        <v>0</v>
      </c>
      <c r="M283" t="s">
        <v>0</v>
      </c>
      <c r="N283" t="s">
        <v>0</v>
      </c>
    </row>
    <row r="284" spans="1:14" x14ac:dyDescent="0.2">
      <c r="A284">
        <v>1963</v>
      </c>
      <c r="B284">
        <v>7</v>
      </c>
      <c r="C284">
        <v>-15.57</v>
      </c>
      <c r="D284">
        <v>-16.12</v>
      </c>
      <c r="E284">
        <v>3.74</v>
      </c>
      <c r="F284">
        <v>-7.4</v>
      </c>
      <c r="G284">
        <v>-7.38</v>
      </c>
      <c r="H284">
        <v>3.85</v>
      </c>
      <c r="I284">
        <v>-22.96</v>
      </c>
      <c r="J284">
        <v>-23.5</v>
      </c>
      <c r="K284">
        <v>6.38</v>
      </c>
      <c r="L284" t="s">
        <v>0</v>
      </c>
      <c r="M284" t="s">
        <v>0</v>
      </c>
      <c r="N284" t="s">
        <v>0</v>
      </c>
    </row>
    <row r="285" spans="1:14" x14ac:dyDescent="0.2">
      <c r="A285">
        <v>1963</v>
      </c>
      <c r="B285">
        <v>8</v>
      </c>
      <c r="C285">
        <v>-16.02</v>
      </c>
      <c r="D285">
        <v>-16.37</v>
      </c>
      <c r="E285">
        <v>3.76</v>
      </c>
      <c r="F285">
        <v>-7.29</v>
      </c>
      <c r="G285">
        <v>-7.36</v>
      </c>
      <c r="H285">
        <v>3.87</v>
      </c>
      <c r="I285">
        <v>-23.32</v>
      </c>
      <c r="J285">
        <v>-23.74</v>
      </c>
      <c r="K285">
        <v>6.44</v>
      </c>
      <c r="L285" t="s">
        <v>0</v>
      </c>
      <c r="M285" t="s">
        <v>0</v>
      </c>
      <c r="N285" t="s">
        <v>0</v>
      </c>
    </row>
    <row r="286" spans="1:14" x14ac:dyDescent="0.2">
      <c r="A286">
        <v>1963</v>
      </c>
      <c r="B286">
        <v>9</v>
      </c>
      <c r="C286">
        <v>-16.059999999999999</v>
      </c>
      <c r="D286">
        <v>-16.559999999999999</v>
      </c>
      <c r="E286">
        <v>3.73</v>
      </c>
      <c r="F286">
        <v>-7.19</v>
      </c>
      <c r="G286">
        <v>-7.36</v>
      </c>
      <c r="H286">
        <v>3.85</v>
      </c>
      <c r="I286">
        <v>-23.25</v>
      </c>
      <c r="J286">
        <v>-23.92</v>
      </c>
      <c r="K286">
        <v>6.4</v>
      </c>
      <c r="L286" t="s">
        <v>0</v>
      </c>
      <c r="M286" t="s">
        <v>0</v>
      </c>
      <c r="N286" t="s">
        <v>0</v>
      </c>
    </row>
    <row r="287" spans="1:14" x14ac:dyDescent="0.2">
      <c r="A287">
        <v>1963</v>
      </c>
      <c r="B287">
        <v>10</v>
      </c>
      <c r="C287">
        <v>-16.829999999999998</v>
      </c>
      <c r="D287">
        <v>-16.649999999999999</v>
      </c>
      <c r="E287">
        <v>3.68</v>
      </c>
      <c r="F287">
        <v>-7.17</v>
      </c>
      <c r="G287">
        <v>-7.34</v>
      </c>
      <c r="H287">
        <v>3.83</v>
      </c>
      <c r="I287">
        <v>-24.01</v>
      </c>
      <c r="J287">
        <v>-23.99</v>
      </c>
      <c r="K287">
        <v>6.3</v>
      </c>
      <c r="L287" t="s">
        <v>0</v>
      </c>
      <c r="M287" t="s">
        <v>0</v>
      </c>
      <c r="N287" t="s">
        <v>0</v>
      </c>
    </row>
    <row r="288" spans="1:14" x14ac:dyDescent="0.2">
      <c r="A288">
        <v>1963</v>
      </c>
      <c r="B288">
        <v>11</v>
      </c>
      <c r="C288">
        <v>-17.57</v>
      </c>
      <c r="D288">
        <v>-16.72</v>
      </c>
      <c r="E288">
        <v>3.56</v>
      </c>
      <c r="F288">
        <v>-7.21</v>
      </c>
      <c r="G288">
        <v>-7.31</v>
      </c>
      <c r="H288">
        <v>3.84</v>
      </c>
      <c r="I288">
        <v>-24.78</v>
      </c>
      <c r="J288">
        <v>-24.04</v>
      </c>
      <c r="K288">
        <v>6.21</v>
      </c>
      <c r="L288" t="s">
        <v>0</v>
      </c>
      <c r="M288" t="s">
        <v>0</v>
      </c>
      <c r="N288" t="s">
        <v>0</v>
      </c>
    </row>
    <row r="289" spans="1:14" x14ac:dyDescent="0.2">
      <c r="A289">
        <v>1963</v>
      </c>
      <c r="B289">
        <v>12</v>
      </c>
      <c r="C289">
        <v>-17.489999999999998</v>
      </c>
      <c r="D289">
        <v>-16.850000000000001</v>
      </c>
      <c r="E289">
        <v>3.59</v>
      </c>
      <c r="F289">
        <v>-7.36</v>
      </c>
      <c r="G289">
        <v>-7.27</v>
      </c>
      <c r="H289">
        <v>3.86</v>
      </c>
      <c r="I289">
        <v>-24.85</v>
      </c>
      <c r="J289">
        <v>-24.12</v>
      </c>
      <c r="K289">
        <v>6.27</v>
      </c>
      <c r="L289" t="s">
        <v>0</v>
      </c>
      <c r="M289" t="s">
        <v>0</v>
      </c>
      <c r="N289" t="s">
        <v>0</v>
      </c>
    </row>
    <row r="290" spans="1:14" x14ac:dyDescent="0.2">
      <c r="A290">
        <v>1964</v>
      </c>
      <c r="B290">
        <v>1</v>
      </c>
      <c r="C290">
        <v>-16.89</v>
      </c>
      <c r="D290">
        <v>-17.02</v>
      </c>
      <c r="E290">
        <v>3.59</v>
      </c>
      <c r="F290">
        <v>-7.21</v>
      </c>
      <c r="G290">
        <v>-7.22</v>
      </c>
      <c r="H290">
        <v>3.79</v>
      </c>
      <c r="I290">
        <v>-24.1</v>
      </c>
      <c r="J290">
        <v>-24.24</v>
      </c>
      <c r="K290">
        <v>6.22</v>
      </c>
      <c r="L290" t="s">
        <v>0</v>
      </c>
      <c r="M290" t="s">
        <v>0</v>
      </c>
      <c r="N290" t="s">
        <v>0</v>
      </c>
    </row>
    <row r="291" spans="1:14" x14ac:dyDescent="0.2">
      <c r="A291">
        <v>1964</v>
      </c>
      <c r="B291">
        <v>2</v>
      </c>
      <c r="C291">
        <v>-17.079999999999998</v>
      </c>
      <c r="D291">
        <v>-17.2</v>
      </c>
      <c r="E291">
        <v>3.65</v>
      </c>
      <c r="F291">
        <v>-7.48</v>
      </c>
      <c r="G291">
        <v>-7.18</v>
      </c>
      <c r="H291">
        <v>3.79</v>
      </c>
      <c r="I291">
        <v>-24.56</v>
      </c>
      <c r="J291">
        <v>-24.39</v>
      </c>
      <c r="K291">
        <v>6.29</v>
      </c>
      <c r="L291" t="s">
        <v>0</v>
      </c>
      <c r="M291" t="s">
        <v>0</v>
      </c>
      <c r="N291" t="s">
        <v>0</v>
      </c>
    </row>
    <row r="292" spans="1:14" x14ac:dyDescent="0.2">
      <c r="A292">
        <v>1964</v>
      </c>
      <c r="B292">
        <v>3</v>
      </c>
      <c r="C292">
        <v>-17.09</v>
      </c>
      <c r="D292">
        <v>-17.41</v>
      </c>
      <c r="E292">
        <v>3.74</v>
      </c>
      <c r="F292">
        <v>-7.5</v>
      </c>
      <c r="G292">
        <v>-7.15</v>
      </c>
      <c r="H292">
        <v>3.82</v>
      </c>
      <c r="I292">
        <v>-24.59</v>
      </c>
      <c r="J292">
        <v>-24.56</v>
      </c>
      <c r="K292">
        <v>6.39</v>
      </c>
      <c r="L292" t="s">
        <v>0</v>
      </c>
      <c r="M292" t="s">
        <v>0</v>
      </c>
      <c r="N292" t="s">
        <v>0</v>
      </c>
    </row>
    <row r="293" spans="1:14" x14ac:dyDescent="0.2">
      <c r="A293">
        <v>1964</v>
      </c>
      <c r="B293">
        <v>4</v>
      </c>
      <c r="C293">
        <v>-17.329999999999998</v>
      </c>
      <c r="D293">
        <v>-17.59</v>
      </c>
      <c r="E293">
        <v>3.82</v>
      </c>
      <c r="F293">
        <v>-7.29</v>
      </c>
      <c r="G293">
        <v>-7.12</v>
      </c>
      <c r="H293">
        <v>3.86</v>
      </c>
      <c r="I293">
        <v>-24.62</v>
      </c>
      <c r="J293">
        <v>-24.71</v>
      </c>
      <c r="K293">
        <v>6.51</v>
      </c>
      <c r="L293" t="s">
        <v>0</v>
      </c>
      <c r="M293" t="s">
        <v>0</v>
      </c>
      <c r="N293" t="s">
        <v>0</v>
      </c>
    </row>
    <row r="294" spans="1:14" x14ac:dyDescent="0.2">
      <c r="A294">
        <v>1964</v>
      </c>
      <c r="B294">
        <v>5</v>
      </c>
      <c r="C294">
        <v>-17.55</v>
      </c>
      <c r="D294">
        <v>-17.71</v>
      </c>
      <c r="E294">
        <v>3.89</v>
      </c>
      <c r="F294">
        <v>-7</v>
      </c>
      <c r="G294">
        <v>-7.09</v>
      </c>
      <c r="H294">
        <v>3.94</v>
      </c>
      <c r="I294">
        <v>-24.55</v>
      </c>
      <c r="J294">
        <v>-24.8</v>
      </c>
      <c r="K294">
        <v>6.63</v>
      </c>
      <c r="L294" t="s">
        <v>0</v>
      </c>
      <c r="M294" t="s">
        <v>0</v>
      </c>
      <c r="N294" t="s">
        <v>0</v>
      </c>
    </row>
    <row r="295" spans="1:14" x14ac:dyDescent="0.2">
      <c r="A295">
        <v>1964</v>
      </c>
      <c r="B295">
        <v>6</v>
      </c>
      <c r="C295">
        <v>-17.59</v>
      </c>
      <c r="D295">
        <v>-17.82</v>
      </c>
      <c r="E295">
        <v>3.87</v>
      </c>
      <c r="F295">
        <v>-6.83</v>
      </c>
      <c r="G295">
        <v>-7.06</v>
      </c>
      <c r="H295">
        <v>3.93</v>
      </c>
      <c r="I295">
        <v>-24.42</v>
      </c>
      <c r="J295">
        <v>-24.88</v>
      </c>
      <c r="K295">
        <v>6.62</v>
      </c>
      <c r="L295" t="s">
        <v>0</v>
      </c>
      <c r="M295" t="s">
        <v>0</v>
      </c>
      <c r="N295" t="s">
        <v>0</v>
      </c>
    </row>
    <row r="296" spans="1:14" x14ac:dyDescent="0.2">
      <c r="A296">
        <v>1964</v>
      </c>
      <c r="B296">
        <v>7</v>
      </c>
      <c r="C296">
        <v>-17.850000000000001</v>
      </c>
      <c r="D296">
        <v>-18</v>
      </c>
      <c r="E296">
        <v>3.9</v>
      </c>
      <c r="F296">
        <v>-6.83</v>
      </c>
      <c r="G296">
        <v>-7.01</v>
      </c>
      <c r="H296">
        <v>3.9</v>
      </c>
      <c r="I296">
        <v>-24.67</v>
      </c>
      <c r="J296">
        <v>-25.01</v>
      </c>
      <c r="K296">
        <v>6.63</v>
      </c>
      <c r="L296" t="s">
        <v>0</v>
      </c>
      <c r="M296" t="s">
        <v>0</v>
      </c>
      <c r="N296" t="s">
        <v>0</v>
      </c>
    </row>
    <row r="297" spans="1:14" x14ac:dyDescent="0.2">
      <c r="A297">
        <v>1964</v>
      </c>
      <c r="B297">
        <v>8</v>
      </c>
      <c r="C297">
        <v>-18.23</v>
      </c>
      <c r="D297">
        <v>-18.2</v>
      </c>
      <c r="E297">
        <v>3.91</v>
      </c>
      <c r="F297">
        <v>-6.94</v>
      </c>
      <c r="G297">
        <v>-6.95</v>
      </c>
      <c r="H297">
        <v>3.9</v>
      </c>
      <c r="I297">
        <v>-25.17</v>
      </c>
      <c r="J297">
        <v>-25.15</v>
      </c>
      <c r="K297">
        <v>6.63</v>
      </c>
      <c r="L297" t="s">
        <v>0</v>
      </c>
      <c r="M297" t="s">
        <v>0</v>
      </c>
      <c r="N297" t="s">
        <v>0</v>
      </c>
    </row>
    <row r="298" spans="1:14" x14ac:dyDescent="0.2">
      <c r="A298">
        <v>1964</v>
      </c>
      <c r="B298">
        <v>9</v>
      </c>
      <c r="C298">
        <v>-18.7</v>
      </c>
      <c r="D298">
        <v>-18.440000000000001</v>
      </c>
      <c r="E298">
        <v>3.9</v>
      </c>
      <c r="F298">
        <v>-6.83</v>
      </c>
      <c r="G298">
        <v>-6.88</v>
      </c>
      <c r="H298">
        <v>3.88</v>
      </c>
      <c r="I298">
        <v>-25.53</v>
      </c>
      <c r="J298">
        <v>-25.32</v>
      </c>
      <c r="K298">
        <v>6.55</v>
      </c>
      <c r="L298" t="s">
        <v>0</v>
      </c>
      <c r="M298" t="s">
        <v>0</v>
      </c>
      <c r="N298" t="s">
        <v>0</v>
      </c>
    </row>
    <row r="299" spans="1:14" x14ac:dyDescent="0.2">
      <c r="A299">
        <v>1964</v>
      </c>
      <c r="B299">
        <v>10</v>
      </c>
      <c r="C299">
        <v>-18.61</v>
      </c>
      <c r="D299">
        <v>-18.72</v>
      </c>
      <c r="E299">
        <v>3.84</v>
      </c>
      <c r="F299">
        <v>-6.79</v>
      </c>
      <c r="G299">
        <v>-6.83</v>
      </c>
      <c r="H299">
        <v>3.82</v>
      </c>
      <c r="I299">
        <v>-25.4</v>
      </c>
      <c r="J299">
        <v>-25.54</v>
      </c>
      <c r="K299">
        <v>6.44</v>
      </c>
      <c r="L299" t="s">
        <v>0</v>
      </c>
      <c r="M299" t="s">
        <v>0</v>
      </c>
      <c r="N299" t="s">
        <v>0</v>
      </c>
    </row>
    <row r="300" spans="1:14" x14ac:dyDescent="0.2">
      <c r="A300">
        <v>1964</v>
      </c>
      <c r="B300">
        <v>11</v>
      </c>
      <c r="C300">
        <v>-18.579999999999998</v>
      </c>
      <c r="D300">
        <v>-18.95</v>
      </c>
      <c r="E300">
        <v>3.88</v>
      </c>
      <c r="F300">
        <v>-6.84</v>
      </c>
      <c r="G300">
        <v>-6.8</v>
      </c>
      <c r="H300">
        <v>3.8</v>
      </c>
      <c r="I300">
        <v>-25.42</v>
      </c>
      <c r="J300">
        <v>-25.74</v>
      </c>
      <c r="K300">
        <v>6.45</v>
      </c>
      <c r="L300" t="s">
        <v>0</v>
      </c>
      <c r="M300" t="s">
        <v>0</v>
      </c>
      <c r="N300" t="s">
        <v>0</v>
      </c>
    </row>
    <row r="301" spans="1:14" x14ac:dyDescent="0.2">
      <c r="A301">
        <v>1964</v>
      </c>
      <c r="B301">
        <v>12</v>
      </c>
      <c r="C301">
        <v>-19.260000000000002</v>
      </c>
      <c r="D301">
        <v>-19.13</v>
      </c>
      <c r="E301">
        <v>3.85</v>
      </c>
      <c r="F301">
        <v>-6.97</v>
      </c>
      <c r="G301">
        <v>-6.77</v>
      </c>
      <c r="H301">
        <v>3.82</v>
      </c>
      <c r="I301">
        <v>-26.23</v>
      </c>
      <c r="J301">
        <v>-25.91</v>
      </c>
      <c r="K301">
        <v>6.45</v>
      </c>
      <c r="L301" t="s">
        <v>0</v>
      </c>
      <c r="M301" t="s">
        <v>0</v>
      </c>
      <c r="N301" t="s">
        <v>0</v>
      </c>
    </row>
    <row r="302" spans="1:14" x14ac:dyDescent="0.2">
      <c r="A302">
        <v>1965</v>
      </c>
      <c r="B302">
        <v>1</v>
      </c>
      <c r="C302">
        <v>-19.39</v>
      </c>
      <c r="D302">
        <v>-19.3</v>
      </c>
      <c r="E302">
        <v>3.67</v>
      </c>
      <c r="F302">
        <v>-6.5</v>
      </c>
      <c r="G302">
        <v>-6.75</v>
      </c>
      <c r="H302">
        <v>3.76</v>
      </c>
      <c r="I302">
        <v>-25.89</v>
      </c>
      <c r="J302">
        <v>-26.05</v>
      </c>
      <c r="K302">
        <v>6.25</v>
      </c>
      <c r="L302" t="s">
        <v>0</v>
      </c>
      <c r="M302" t="s">
        <v>0</v>
      </c>
      <c r="N302" t="s">
        <v>0</v>
      </c>
    </row>
    <row r="303" spans="1:14" x14ac:dyDescent="0.2">
      <c r="A303">
        <v>1965</v>
      </c>
      <c r="B303">
        <v>2</v>
      </c>
      <c r="C303">
        <v>-19.29</v>
      </c>
      <c r="D303">
        <v>-19.440000000000001</v>
      </c>
      <c r="E303">
        <v>3.6</v>
      </c>
      <c r="F303">
        <v>-6.63</v>
      </c>
      <c r="G303">
        <v>-6.73</v>
      </c>
      <c r="H303">
        <v>3.77</v>
      </c>
      <c r="I303">
        <v>-25.92</v>
      </c>
      <c r="J303">
        <v>-26.17</v>
      </c>
      <c r="K303">
        <v>6.2</v>
      </c>
      <c r="L303" t="s">
        <v>0</v>
      </c>
      <c r="M303" t="s">
        <v>0</v>
      </c>
      <c r="N303" t="s">
        <v>0</v>
      </c>
    </row>
    <row r="304" spans="1:14" x14ac:dyDescent="0.2">
      <c r="A304">
        <v>1965</v>
      </c>
      <c r="B304">
        <v>3</v>
      </c>
      <c r="C304">
        <v>-20.69</v>
      </c>
      <c r="D304">
        <v>-19.5</v>
      </c>
      <c r="E304">
        <v>3.62</v>
      </c>
      <c r="F304">
        <v>-6.7</v>
      </c>
      <c r="G304">
        <v>-6.71</v>
      </c>
      <c r="H304">
        <v>3.77</v>
      </c>
      <c r="I304">
        <v>-27.39</v>
      </c>
      <c r="J304">
        <v>-26.21</v>
      </c>
      <c r="K304">
        <v>6.2</v>
      </c>
      <c r="L304" t="s">
        <v>0</v>
      </c>
      <c r="M304" t="s">
        <v>0</v>
      </c>
      <c r="N304" t="s">
        <v>0</v>
      </c>
    </row>
    <row r="305" spans="1:14" x14ac:dyDescent="0.2">
      <c r="A305">
        <v>1965</v>
      </c>
      <c r="B305">
        <v>4</v>
      </c>
      <c r="C305">
        <v>-20.399999999999999</v>
      </c>
      <c r="D305">
        <v>-19.5</v>
      </c>
      <c r="E305">
        <v>3.56</v>
      </c>
      <c r="F305">
        <v>-6.84</v>
      </c>
      <c r="G305">
        <v>-6.7</v>
      </c>
      <c r="H305">
        <v>3.77</v>
      </c>
      <c r="I305">
        <v>-27.24</v>
      </c>
      <c r="J305">
        <v>-26.2</v>
      </c>
      <c r="K305">
        <v>6.15</v>
      </c>
      <c r="L305" t="s">
        <v>0</v>
      </c>
      <c r="M305" t="s">
        <v>0</v>
      </c>
      <c r="N305" t="s">
        <v>0</v>
      </c>
    </row>
    <row r="306" spans="1:14" x14ac:dyDescent="0.2">
      <c r="A306">
        <v>1965</v>
      </c>
      <c r="B306">
        <v>5</v>
      </c>
      <c r="C306">
        <v>-19.95</v>
      </c>
      <c r="D306">
        <v>-19.47</v>
      </c>
      <c r="E306">
        <v>3.56</v>
      </c>
      <c r="F306">
        <v>-6.7</v>
      </c>
      <c r="G306">
        <v>-6.71</v>
      </c>
      <c r="H306">
        <v>3.81</v>
      </c>
      <c r="I306">
        <v>-26.66</v>
      </c>
      <c r="J306">
        <v>-26.17</v>
      </c>
      <c r="K306">
        <v>6.19</v>
      </c>
      <c r="L306" t="s">
        <v>0</v>
      </c>
      <c r="M306" t="s">
        <v>0</v>
      </c>
      <c r="N306" t="s">
        <v>0</v>
      </c>
    </row>
    <row r="307" spans="1:14" x14ac:dyDescent="0.2">
      <c r="A307">
        <v>1965</v>
      </c>
      <c r="B307">
        <v>6</v>
      </c>
      <c r="C307">
        <v>-19.68</v>
      </c>
      <c r="D307">
        <v>-19.399999999999999</v>
      </c>
      <c r="E307">
        <v>3.49</v>
      </c>
      <c r="F307">
        <v>-6.59</v>
      </c>
      <c r="G307">
        <v>-6.7</v>
      </c>
      <c r="H307">
        <v>3.86</v>
      </c>
      <c r="I307">
        <v>-26.27</v>
      </c>
      <c r="J307">
        <v>-26.1</v>
      </c>
      <c r="K307">
        <v>6.17</v>
      </c>
      <c r="L307" t="s">
        <v>0</v>
      </c>
      <c r="M307" t="s">
        <v>0</v>
      </c>
      <c r="N307" t="s">
        <v>0</v>
      </c>
    </row>
    <row r="308" spans="1:14" x14ac:dyDescent="0.2">
      <c r="A308">
        <v>1965</v>
      </c>
      <c r="B308">
        <v>7</v>
      </c>
      <c r="C308">
        <v>-19.78</v>
      </c>
      <c r="D308">
        <v>-19.28</v>
      </c>
      <c r="E308">
        <v>3.4</v>
      </c>
      <c r="F308">
        <v>-6.61</v>
      </c>
      <c r="G308">
        <v>-6.69</v>
      </c>
      <c r="H308">
        <v>3.84</v>
      </c>
      <c r="I308">
        <v>-26.39</v>
      </c>
      <c r="J308">
        <v>-25.97</v>
      </c>
      <c r="K308">
        <v>6.05</v>
      </c>
      <c r="L308" t="s">
        <v>0</v>
      </c>
      <c r="M308" t="s">
        <v>0</v>
      </c>
      <c r="N308" t="s">
        <v>0</v>
      </c>
    </row>
    <row r="309" spans="1:14" x14ac:dyDescent="0.2">
      <c r="A309">
        <v>1965</v>
      </c>
      <c r="B309">
        <v>8</v>
      </c>
      <c r="C309">
        <v>-19.55</v>
      </c>
      <c r="D309">
        <v>-19.149999999999999</v>
      </c>
      <c r="E309">
        <v>3.33</v>
      </c>
      <c r="F309">
        <v>-6.56</v>
      </c>
      <c r="G309">
        <v>-6.67</v>
      </c>
      <c r="H309">
        <v>3.84</v>
      </c>
      <c r="I309">
        <v>-26.11</v>
      </c>
      <c r="J309">
        <v>-25.82</v>
      </c>
      <c r="K309">
        <v>5.99</v>
      </c>
      <c r="L309" t="s">
        <v>0</v>
      </c>
      <c r="M309" t="s">
        <v>0</v>
      </c>
      <c r="N309" t="s">
        <v>0</v>
      </c>
    </row>
    <row r="310" spans="1:14" x14ac:dyDescent="0.2">
      <c r="A310">
        <v>1965</v>
      </c>
      <c r="B310">
        <v>9</v>
      </c>
      <c r="C310">
        <v>-19.02</v>
      </c>
      <c r="D310">
        <v>-18.95</v>
      </c>
      <c r="E310">
        <v>3.32</v>
      </c>
      <c r="F310">
        <v>-6.69</v>
      </c>
      <c r="G310">
        <v>-6.65</v>
      </c>
      <c r="H310">
        <v>3.81</v>
      </c>
      <c r="I310">
        <v>-25.71</v>
      </c>
      <c r="J310">
        <v>-25.6</v>
      </c>
      <c r="K310">
        <v>5.96</v>
      </c>
      <c r="L310" t="s">
        <v>0</v>
      </c>
      <c r="M310" t="s">
        <v>0</v>
      </c>
      <c r="N310" t="s">
        <v>0</v>
      </c>
    </row>
    <row r="311" spans="1:14" x14ac:dyDescent="0.2">
      <c r="A311">
        <v>1965</v>
      </c>
      <c r="B311">
        <v>10</v>
      </c>
      <c r="C311">
        <v>-18.25</v>
      </c>
      <c r="D311">
        <v>-18.690000000000001</v>
      </c>
      <c r="E311">
        <v>3.44</v>
      </c>
      <c r="F311">
        <v>-6.79</v>
      </c>
      <c r="G311">
        <v>-6.63</v>
      </c>
      <c r="H311">
        <v>3.82</v>
      </c>
      <c r="I311">
        <v>-25.04</v>
      </c>
      <c r="J311">
        <v>-25.31</v>
      </c>
      <c r="K311">
        <v>6.11</v>
      </c>
      <c r="L311" t="s">
        <v>0</v>
      </c>
      <c r="M311" t="s">
        <v>0</v>
      </c>
      <c r="N311" t="s">
        <v>0</v>
      </c>
    </row>
    <row r="312" spans="1:14" x14ac:dyDescent="0.2">
      <c r="A312">
        <v>1965</v>
      </c>
      <c r="B312">
        <v>11</v>
      </c>
      <c r="C312">
        <v>-18.13</v>
      </c>
      <c r="D312">
        <v>-18.420000000000002</v>
      </c>
      <c r="E312">
        <v>3.51</v>
      </c>
      <c r="F312">
        <v>-6.93</v>
      </c>
      <c r="G312">
        <v>-6.6</v>
      </c>
      <c r="H312">
        <v>3.74</v>
      </c>
      <c r="I312">
        <v>-25.06</v>
      </c>
      <c r="J312">
        <v>-25.02</v>
      </c>
      <c r="K312">
        <v>6.09</v>
      </c>
      <c r="L312" t="s">
        <v>0</v>
      </c>
      <c r="M312" t="s">
        <v>0</v>
      </c>
      <c r="N312" t="s">
        <v>0</v>
      </c>
    </row>
    <row r="313" spans="1:14" x14ac:dyDescent="0.2">
      <c r="A313">
        <v>1965</v>
      </c>
      <c r="B313">
        <v>12</v>
      </c>
      <c r="C313">
        <v>-18.11</v>
      </c>
      <c r="D313">
        <v>-18.16</v>
      </c>
      <c r="E313">
        <v>3.56</v>
      </c>
      <c r="F313">
        <v>-6.8</v>
      </c>
      <c r="G313">
        <v>-6.59</v>
      </c>
      <c r="H313">
        <v>3.71</v>
      </c>
      <c r="I313">
        <v>-24.91</v>
      </c>
      <c r="J313">
        <v>-24.74</v>
      </c>
      <c r="K313">
        <v>6.07</v>
      </c>
      <c r="L313" t="s">
        <v>0</v>
      </c>
      <c r="M313" t="s">
        <v>0</v>
      </c>
      <c r="N313" t="s">
        <v>0</v>
      </c>
    </row>
    <row r="314" spans="1:14" x14ac:dyDescent="0.2">
      <c r="A314">
        <v>1966</v>
      </c>
      <c r="B314">
        <v>1</v>
      </c>
      <c r="C314">
        <v>-17.68</v>
      </c>
      <c r="D314">
        <v>-17.899999999999999</v>
      </c>
      <c r="E314">
        <v>3.47</v>
      </c>
      <c r="F314">
        <v>-6.36</v>
      </c>
      <c r="G314">
        <v>-6.58</v>
      </c>
      <c r="H314">
        <v>3.61</v>
      </c>
      <c r="I314">
        <v>-24.04</v>
      </c>
      <c r="J314">
        <v>-24.49</v>
      </c>
      <c r="K314">
        <v>5.93</v>
      </c>
      <c r="L314" t="s">
        <v>0</v>
      </c>
      <c r="M314" t="s">
        <v>0</v>
      </c>
      <c r="N314" t="s">
        <v>0</v>
      </c>
    </row>
    <row r="315" spans="1:14" x14ac:dyDescent="0.2">
      <c r="A315">
        <v>1966</v>
      </c>
      <c r="B315">
        <v>2</v>
      </c>
      <c r="C315">
        <v>-17.75</v>
      </c>
      <c r="D315">
        <v>-17.670000000000002</v>
      </c>
      <c r="E315">
        <v>3.52</v>
      </c>
      <c r="F315">
        <v>-6.37</v>
      </c>
      <c r="G315">
        <v>-6.6</v>
      </c>
      <c r="H315">
        <v>3.6</v>
      </c>
      <c r="I315">
        <v>-24.12</v>
      </c>
      <c r="J315">
        <v>-24.27</v>
      </c>
      <c r="K315">
        <v>5.97</v>
      </c>
      <c r="L315" t="s">
        <v>0</v>
      </c>
      <c r="M315" t="s">
        <v>0</v>
      </c>
      <c r="N315" t="s">
        <v>0</v>
      </c>
    </row>
    <row r="316" spans="1:14" x14ac:dyDescent="0.2">
      <c r="A316">
        <v>1966</v>
      </c>
      <c r="B316">
        <v>3</v>
      </c>
      <c r="C316">
        <v>-17.47</v>
      </c>
      <c r="D316">
        <v>-17.48</v>
      </c>
      <c r="E316">
        <v>3.54</v>
      </c>
      <c r="F316">
        <v>-6.47</v>
      </c>
      <c r="G316">
        <v>-6.61</v>
      </c>
      <c r="H316">
        <v>3.55</v>
      </c>
      <c r="I316">
        <v>-23.94</v>
      </c>
      <c r="J316">
        <v>-24.09</v>
      </c>
      <c r="K316">
        <v>5.91</v>
      </c>
      <c r="L316" t="s">
        <v>0</v>
      </c>
      <c r="M316" t="s">
        <v>0</v>
      </c>
      <c r="N316" t="s">
        <v>0</v>
      </c>
    </row>
    <row r="317" spans="1:14" x14ac:dyDescent="0.2">
      <c r="A317">
        <v>1966</v>
      </c>
      <c r="B317">
        <v>4</v>
      </c>
      <c r="C317">
        <v>-17.28</v>
      </c>
      <c r="D317">
        <v>-17.350000000000001</v>
      </c>
      <c r="E317">
        <v>3.55</v>
      </c>
      <c r="F317">
        <v>-6.47</v>
      </c>
      <c r="G317">
        <v>-6.61</v>
      </c>
      <c r="H317">
        <v>3.55</v>
      </c>
      <c r="I317">
        <v>-23.74</v>
      </c>
      <c r="J317">
        <v>-23.96</v>
      </c>
      <c r="K317">
        <v>5.95</v>
      </c>
      <c r="L317" t="s">
        <v>0</v>
      </c>
      <c r="M317" t="s">
        <v>0</v>
      </c>
      <c r="N317" t="s">
        <v>0</v>
      </c>
    </row>
    <row r="318" spans="1:14" x14ac:dyDescent="0.2">
      <c r="A318">
        <v>1966</v>
      </c>
      <c r="B318">
        <v>5</v>
      </c>
      <c r="C318">
        <v>-16.72</v>
      </c>
      <c r="D318">
        <v>-17.29</v>
      </c>
      <c r="E318">
        <v>3.51</v>
      </c>
      <c r="F318">
        <v>-6.47</v>
      </c>
      <c r="G318">
        <v>-6.6</v>
      </c>
      <c r="H318">
        <v>3.57</v>
      </c>
      <c r="I318">
        <v>-23.2</v>
      </c>
      <c r="J318">
        <v>-23.89</v>
      </c>
      <c r="K318">
        <v>5.93</v>
      </c>
      <c r="L318" t="s">
        <v>0</v>
      </c>
      <c r="M318" t="s">
        <v>0</v>
      </c>
      <c r="N318" t="s">
        <v>0</v>
      </c>
    </row>
    <row r="319" spans="1:14" x14ac:dyDescent="0.2">
      <c r="A319">
        <v>1966</v>
      </c>
      <c r="B319">
        <v>6</v>
      </c>
      <c r="C319">
        <v>-16.600000000000001</v>
      </c>
      <c r="D319">
        <v>-17.260000000000002</v>
      </c>
      <c r="E319">
        <v>3.4</v>
      </c>
      <c r="F319">
        <v>-6.44</v>
      </c>
      <c r="G319">
        <v>-6.6</v>
      </c>
      <c r="H319">
        <v>3.57</v>
      </c>
      <c r="I319">
        <v>-23.04</v>
      </c>
      <c r="J319">
        <v>-23.86</v>
      </c>
      <c r="K319">
        <v>5.87</v>
      </c>
      <c r="L319" t="s">
        <v>0</v>
      </c>
      <c r="M319" t="s">
        <v>0</v>
      </c>
      <c r="N319" t="s">
        <v>0</v>
      </c>
    </row>
    <row r="320" spans="1:14" x14ac:dyDescent="0.2">
      <c r="A320">
        <v>1966</v>
      </c>
      <c r="B320">
        <v>7</v>
      </c>
      <c r="C320">
        <v>-16.760000000000002</v>
      </c>
      <c r="D320">
        <v>-17.23</v>
      </c>
      <c r="E320">
        <v>3.35</v>
      </c>
      <c r="F320">
        <v>-6.72</v>
      </c>
      <c r="G320">
        <v>-6.62</v>
      </c>
      <c r="H320">
        <v>3.6</v>
      </c>
      <c r="I320">
        <v>-23.47</v>
      </c>
      <c r="J320">
        <v>-23.85</v>
      </c>
      <c r="K320">
        <v>5.86</v>
      </c>
      <c r="L320" t="s">
        <v>0</v>
      </c>
      <c r="M320" t="s">
        <v>0</v>
      </c>
      <c r="N320" t="s">
        <v>0</v>
      </c>
    </row>
    <row r="321" spans="1:14" x14ac:dyDescent="0.2">
      <c r="A321">
        <v>1966</v>
      </c>
      <c r="B321">
        <v>8</v>
      </c>
      <c r="C321">
        <v>-17.07</v>
      </c>
      <c r="D321">
        <v>-17.190000000000001</v>
      </c>
      <c r="E321">
        <v>3.37</v>
      </c>
      <c r="F321">
        <v>-6.78</v>
      </c>
      <c r="G321">
        <v>-6.65</v>
      </c>
      <c r="H321">
        <v>3.58</v>
      </c>
      <c r="I321">
        <v>-23.85</v>
      </c>
      <c r="J321">
        <v>-23.85</v>
      </c>
      <c r="K321">
        <v>5.86</v>
      </c>
      <c r="L321" t="s">
        <v>0</v>
      </c>
      <c r="M321" t="s">
        <v>0</v>
      </c>
      <c r="N321" t="s">
        <v>0</v>
      </c>
    </row>
    <row r="322" spans="1:14" x14ac:dyDescent="0.2">
      <c r="A322">
        <v>1966</v>
      </c>
      <c r="B322">
        <v>9</v>
      </c>
      <c r="C322">
        <v>-16.82</v>
      </c>
      <c r="D322">
        <v>-17.170000000000002</v>
      </c>
      <c r="E322">
        <v>3.36</v>
      </c>
      <c r="F322">
        <v>-6.73</v>
      </c>
      <c r="G322">
        <v>-6.68</v>
      </c>
      <c r="H322">
        <v>3.54</v>
      </c>
      <c r="I322">
        <v>-23.55</v>
      </c>
      <c r="J322">
        <v>-23.85</v>
      </c>
      <c r="K322">
        <v>5.81</v>
      </c>
      <c r="L322" t="s">
        <v>0</v>
      </c>
      <c r="M322" t="s">
        <v>0</v>
      </c>
      <c r="N322" t="s">
        <v>0</v>
      </c>
    </row>
    <row r="323" spans="1:14" x14ac:dyDescent="0.2">
      <c r="A323">
        <v>1966</v>
      </c>
      <c r="B323">
        <v>10</v>
      </c>
      <c r="C323">
        <v>-17.34</v>
      </c>
      <c r="D323">
        <v>-17.2</v>
      </c>
      <c r="E323">
        <v>3.32</v>
      </c>
      <c r="F323">
        <v>-6.73</v>
      </c>
      <c r="G323">
        <v>-6.71</v>
      </c>
      <c r="H323">
        <v>3.45</v>
      </c>
      <c r="I323">
        <v>-24.07</v>
      </c>
      <c r="J323">
        <v>-23.91</v>
      </c>
      <c r="K323">
        <v>5.68</v>
      </c>
      <c r="L323" t="s">
        <v>0</v>
      </c>
      <c r="M323" t="s">
        <v>0</v>
      </c>
      <c r="N323" t="s">
        <v>0</v>
      </c>
    </row>
    <row r="324" spans="1:14" x14ac:dyDescent="0.2">
      <c r="A324">
        <v>1966</v>
      </c>
      <c r="B324">
        <v>11</v>
      </c>
      <c r="C324">
        <v>-17.63</v>
      </c>
      <c r="D324">
        <v>-17.28</v>
      </c>
      <c r="E324">
        <v>3.17</v>
      </c>
      <c r="F324">
        <v>-6.8</v>
      </c>
      <c r="G324">
        <v>-6.75</v>
      </c>
      <c r="H324">
        <v>3.41</v>
      </c>
      <c r="I324">
        <v>-24.43</v>
      </c>
      <c r="J324">
        <v>-24.03</v>
      </c>
      <c r="K324">
        <v>5.49</v>
      </c>
      <c r="L324" t="s">
        <v>0</v>
      </c>
      <c r="M324" t="s">
        <v>0</v>
      </c>
      <c r="N324" t="s">
        <v>0</v>
      </c>
    </row>
    <row r="325" spans="1:14" x14ac:dyDescent="0.2">
      <c r="A325">
        <v>1966</v>
      </c>
      <c r="B325">
        <v>12</v>
      </c>
      <c r="C325">
        <v>-17.850000000000001</v>
      </c>
      <c r="D325">
        <v>-17.41</v>
      </c>
      <c r="E325">
        <v>3.14</v>
      </c>
      <c r="F325">
        <v>-6.95</v>
      </c>
      <c r="G325">
        <v>-6.8</v>
      </c>
      <c r="H325">
        <v>3.45</v>
      </c>
      <c r="I325">
        <v>-24.8</v>
      </c>
      <c r="J325">
        <v>-24.21</v>
      </c>
      <c r="K325">
        <v>5.51</v>
      </c>
      <c r="L325" t="s">
        <v>0</v>
      </c>
      <c r="M325" t="s">
        <v>0</v>
      </c>
      <c r="N325" t="s">
        <v>0</v>
      </c>
    </row>
    <row r="326" spans="1:14" x14ac:dyDescent="0.2">
      <c r="A326">
        <v>1967</v>
      </c>
      <c r="B326">
        <v>1</v>
      </c>
      <c r="C326">
        <v>-17.27</v>
      </c>
      <c r="D326">
        <v>-17.510000000000002</v>
      </c>
      <c r="E326">
        <v>3.13</v>
      </c>
      <c r="F326">
        <v>-6.71</v>
      </c>
      <c r="G326">
        <v>-6.84</v>
      </c>
      <c r="H326">
        <v>3.4</v>
      </c>
      <c r="I326">
        <v>-23.98</v>
      </c>
      <c r="J326">
        <v>-24.35</v>
      </c>
      <c r="K326">
        <v>5.42</v>
      </c>
      <c r="L326" t="s">
        <v>0</v>
      </c>
      <c r="M326" t="s">
        <v>0</v>
      </c>
      <c r="N326" t="s">
        <v>0</v>
      </c>
    </row>
    <row r="327" spans="1:14" x14ac:dyDescent="0.2">
      <c r="A327">
        <v>1967</v>
      </c>
      <c r="B327">
        <v>2</v>
      </c>
      <c r="C327">
        <v>-17.309999999999999</v>
      </c>
      <c r="D327">
        <v>-17.55</v>
      </c>
      <c r="E327">
        <v>3.11</v>
      </c>
      <c r="F327">
        <v>-6.72</v>
      </c>
      <c r="G327">
        <v>-6.87</v>
      </c>
      <c r="H327">
        <v>3.39</v>
      </c>
      <c r="I327">
        <v>-24.03</v>
      </c>
      <c r="J327">
        <v>-24.41</v>
      </c>
      <c r="K327">
        <v>5.4</v>
      </c>
      <c r="L327" t="s">
        <v>0</v>
      </c>
      <c r="M327" t="s">
        <v>0</v>
      </c>
      <c r="N327" t="s">
        <v>0</v>
      </c>
    </row>
    <row r="328" spans="1:14" x14ac:dyDescent="0.2">
      <c r="A328">
        <v>1967</v>
      </c>
      <c r="B328">
        <v>3</v>
      </c>
      <c r="C328">
        <v>-17.41</v>
      </c>
      <c r="D328">
        <v>-17.559999999999999</v>
      </c>
      <c r="E328">
        <v>3.1</v>
      </c>
      <c r="F328">
        <v>-6.8</v>
      </c>
      <c r="G328">
        <v>-6.9</v>
      </c>
      <c r="H328">
        <v>3.4</v>
      </c>
      <c r="I328">
        <v>-24.21</v>
      </c>
      <c r="J328">
        <v>-24.46</v>
      </c>
      <c r="K328">
        <v>5.36</v>
      </c>
      <c r="L328" t="s">
        <v>0</v>
      </c>
      <c r="M328" t="s">
        <v>0</v>
      </c>
      <c r="N328" t="s">
        <v>0</v>
      </c>
    </row>
    <row r="329" spans="1:14" x14ac:dyDescent="0.2">
      <c r="A329">
        <v>1967</v>
      </c>
      <c r="B329">
        <v>4</v>
      </c>
      <c r="C329">
        <v>-17.87</v>
      </c>
      <c r="D329">
        <v>-17.57</v>
      </c>
      <c r="E329">
        <v>3.04</v>
      </c>
      <c r="F329">
        <v>-6.88</v>
      </c>
      <c r="G329">
        <v>-6.93</v>
      </c>
      <c r="H329">
        <v>3.36</v>
      </c>
      <c r="I329">
        <v>-24.75</v>
      </c>
      <c r="J329">
        <v>-24.5</v>
      </c>
      <c r="K329">
        <v>5.31</v>
      </c>
      <c r="L329" t="s">
        <v>0</v>
      </c>
      <c r="M329" t="s">
        <v>0</v>
      </c>
      <c r="N329" t="s">
        <v>0</v>
      </c>
    </row>
    <row r="330" spans="1:14" x14ac:dyDescent="0.2">
      <c r="A330">
        <v>1967</v>
      </c>
      <c r="B330">
        <v>5</v>
      </c>
      <c r="C330">
        <v>-18.149999999999999</v>
      </c>
      <c r="D330">
        <v>-17.559999999999999</v>
      </c>
      <c r="E330">
        <v>2.98</v>
      </c>
      <c r="F330">
        <v>-7.02</v>
      </c>
      <c r="G330">
        <v>-6.98</v>
      </c>
      <c r="H330">
        <v>3.31</v>
      </c>
      <c r="I330">
        <v>-25.17</v>
      </c>
      <c r="J330">
        <v>-24.53</v>
      </c>
      <c r="K330">
        <v>5.25</v>
      </c>
      <c r="L330" t="s">
        <v>0</v>
      </c>
      <c r="M330" t="s">
        <v>0</v>
      </c>
      <c r="N330" t="s">
        <v>0</v>
      </c>
    </row>
    <row r="331" spans="1:14" x14ac:dyDescent="0.2">
      <c r="A331">
        <v>1967</v>
      </c>
      <c r="B331">
        <v>6</v>
      </c>
      <c r="C331">
        <v>-18.239999999999998</v>
      </c>
      <c r="D331">
        <v>-17.55</v>
      </c>
      <c r="E331">
        <v>2.96</v>
      </c>
      <c r="F331">
        <v>-7.03</v>
      </c>
      <c r="G331">
        <v>-7.02</v>
      </c>
      <c r="H331">
        <v>3.27</v>
      </c>
      <c r="I331">
        <v>-25.28</v>
      </c>
      <c r="J331">
        <v>-24.56</v>
      </c>
      <c r="K331">
        <v>5.16</v>
      </c>
      <c r="L331" t="s">
        <v>0</v>
      </c>
      <c r="M331" t="s">
        <v>0</v>
      </c>
      <c r="N331" t="s">
        <v>0</v>
      </c>
    </row>
    <row r="332" spans="1:14" x14ac:dyDescent="0.2">
      <c r="A332">
        <v>1967</v>
      </c>
      <c r="B332">
        <v>7</v>
      </c>
      <c r="C332">
        <v>-17.559999999999999</v>
      </c>
      <c r="D332">
        <v>-17.55</v>
      </c>
      <c r="E332">
        <v>2.99</v>
      </c>
      <c r="F332">
        <v>-7.06</v>
      </c>
      <c r="G332">
        <v>-7.06</v>
      </c>
      <c r="H332">
        <v>3.25</v>
      </c>
      <c r="I332">
        <v>-24.62</v>
      </c>
      <c r="J332">
        <v>-24.61</v>
      </c>
      <c r="K332">
        <v>5.15</v>
      </c>
      <c r="L332" t="s">
        <v>0</v>
      </c>
      <c r="M332" t="s">
        <v>0</v>
      </c>
      <c r="N332" t="s">
        <v>0</v>
      </c>
    </row>
    <row r="333" spans="1:14" x14ac:dyDescent="0.2">
      <c r="A333">
        <v>1967</v>
      </c>
      <c r="B333">
        <v>8</v>
      </c>
      <c r="C333">
        <v>-17.2</v>
      </c>
      <c r="D333">
        <v>-17.59</v>
      </c>
      <c r="E333">
        <v>2.92</v>
      </c>
      <c r="F333">
        <v>-7.11</v>
      </c>
      <c r="G333">
        <v>-7.1</v>
      </c>
      <c r="H333">
        <v>3.27</v>
      </c>
      <c r="I333">
        <v>-24.31</v>
      </c>
      <c r="J333">
        <v>-24.7</v>
      </c>
      <c r="K333">
        <v>5.14</v>
      </c>
      <c r="L333" t="s">
        <v>0</v>
      </c>
      <c r="M333" t="s">
        <v>0</v>
      </c>
      <c r="N333" t="s">
        <v>0</v>
      </c>
    </row>
    <row r="334" spans="1:14" x14ac:dyDescent="0.2">
      <c r="A334">
        <v>1967</v>
      </c>
      <c r="B334">
        <v>9</v>
      </c>
      <c r="C334">
        <v>-17.010000000000002</v>
      </c>
      <c r="D334">
        <v>-17.649999999999999</v>
      </c>
      <c r="E334">
        <v>2.88</v>
      </c>
      <c r="F334">
        <v>-7.12</v>
      </c>
      <c r="G334">
        <v>-7.15</v>
      </c>
      <c r="H334">
        <v>3.29</v>
      </c>
      <c r="I334">
        <v>-24.13</v>
      </c>
      <c r="J334">
        <v>-24.8</v>
      </c>
      <c r="K334">
        <v>5.22</v>
      </c>
      <c r="L334" t="s">
        <v>0</v>
      </c>
      <c r="M334" t="s">
        <v>0</v>
      </c>
      <c r="N334" t="s">
        <v>0</v>
      </c>
    </row>
    <row r="335" spans="1:14" x14ac:dyDescent="0.2">
      <c r="A335">
        <v>1967</v>
      </c>
      <c r="B335">
        <v>10</v>
      </c>
      <c r="C335">
        <v>-17.260000000000002</v>
      </c>
      <c r="D335">
        <v>-17.72</v>
      </c>
      <c r="E335">
        <v>2.81</v>
      </c>
      <c r="F335">
        <v>-7.21</v>
      </c>
      <c r="G335">
        <v>-7.17</v>
      </c>
      <c r="H335">
        <v>3.24</v>
      </c>
      <c r="I335">
        <v>-24.47</v>
      </c>
      <c r="J335">
        <v>-24.9</v>
      </c>
      <c r="K335">
        <v>5.13</v>
      </c>
      <c r="L335" t="s">
        <v>0</v>
      </c>
      <c r="M335" t="s">
        <v>0</v>
      </c>
      <c r="N335" t="s">
        <v>0</v>
      </c>
    </row>
    <row r="336" spans="1:14" x14ac:dyDescent="0.2">
      <c r="A336">
        <v>1967</v>
      </c>
      <c r="B336">
        <v>11</v>
      </c>
      <c r="C336">
        <v>-17.489999999999998</v>
      </c>
      <c r="D336">
        <v>-17.78</v>
      </c>
      <c r="E336">
        <v>2.84</v>
      </c>
      <c r="F336">
        <v>-7.36</v>
      </c>
      <c r="G336">
        <v>-7.18</v>
      </c>
      <c r="H336">
        <v>3.23</v>
      </c>
      <c r="I336">
        <v>-24.85</v>
      </c>
      <c r="J336">
        <v>-24.96</v>
      </c>
      <c r="K336">
        <v>5.16</v>
      </c>
      <c r="L336" t="s">
        <v>0</v>
      </c>
      <c r="M336" t="s">
        <v>0</v>
      </c>
      <c r="N336" t="s">
        <v>0</v>
      </c>
    </row>
    <row r="337" spans="1:14" x14ac:dyDescent="0.2">
      <c r="A337">
        <v>1967</v>
      </c>
      <c r="B337">
        <v>12</v>
      </c>
      <c r="C337">
        <v>-17.71</v>
      </c>
      <c r="D337">
        <v>-17.829999999999998</v>
      </c>
      <c r="E337">
        <v>2.82</v>
      </c>
      <c r="F337">
        <v>-7.39</v>
      </c>
      <c r="G337">
        <v>-7.18</v>
      </c>
      <c r="H337">
        <v>3.19</v>
      </c>
      <c r="I337">
        <v>-25.1</v>
      </c>
      <c r="J337">
        <v>-25.01</v>
      </c>
      <c r="K337">
        <v>5.0999999999999996</v>
      </c>
      <c r="L337" t="s">
        <v>0</v>
      </c>
      <c r="M337" t="s">
        <v>0</v>
      </c>
      <c r="N337" t="s">
        <v>0</v>
      </c>
    </row>
    <row r="338" spans="1:14" x14ac:dyDescent="0.2">
      <c r="A338">
        <v>1968</v>
      </c>
      <c r="B338">
        <v>1</v>
      </c>
      <c r="C338">
        <v>-17.59</v>
      </c>
      <c r="D338">
        <v>-17.91</v>
      </c>
      <c r="E338">
        <v>2.71</v>
      </c>
      <c r="F338">
        <v>-7.24</v>
      </c>
      <c r="G338">
        <v>-7.18</v>
      </c>
      <c r="H338">
        <v>3.15</v>
      </c>
      <c r="I338">
        <v>-24.84</v>
      </c>
      <c r="J338">
        <v>-25.09</v>
      </c>
      <c r="K338">
        <v>4.9400000000000004</v>
      </c>
      <c r="L338" t="s">
        <v>0</v>
      </c>
      <c r="M338" t="s">
        <v>0</v>
      </c>
      <c r="N338" t="s">
        <v>0</v>
      </c>
    </row>
    <row r="339" spans="1:14" x14ac:dyDescent="0.2">
      <c r="A339">
        <v>1968</v>
      </c>
      <c r="B339">
        <v>2</v>
      </c>
      <c r="C339">
        <v>-17.97</v>
      </c>
      <c r="D339">
        <v>-18.03</v>
      </c>
      <c r="E339">
        <v>2.69</v>
      </c>
      <c r="F339">
        <v>-7.27</v>
      </c>
      <c r="G339">
        <v>-7.18</v>
      </c>
      <c r="H339">
        <v>3.18</v>
      </c>
      <c r="I339">
        <v>-25.23</v>
      </c>
      <c r="J339">
        <v>-25.21</v>
      </c>
      <c r="K339">
        <v>4.93</v>
      </c>
      <c r="L339" t="s">
        <v>0</v>
      </c>
      <c r="M339" t="s">
        <v>0</v>
      </c>
      <c r="N339" t="s">
        <v>0</v>
      </c>
    </row>
    <row r="340" spans="1:14" x14ac:dyDescent="0.2">
      <c r="A340">
        <v>1968</v>
      </c>
      <c r="B340">
        <v>3</v>
      </c>
      <c r="C340">
        <v>-18.23</v>
      </c>
      <c r="D340">
        <v>-18.190000000000001</v>
      </c>
      <c r="E340">
        <v>2.7</v>
      </c>
      <c r="F340">
        <v>-7.28</v>
      </c>
      <c r="G340">
        <v>-7.19</v>
      </c>
      <c r="H340">
        <v>3.2</v>
      </c>
      <c r="I340">
        <v>-25.51</v>
      </c>
      <c r="J340">
        <v>-25.38</v>
      </c>
      <c r="K340">
        <v>4.99</v>
      </c>
      <c r="L340" t="s">
        <v>0</v>
      </c>
      <c r="M340" t="s">
        <v>0</v>
      </c>
      <c r="N340" t="s">
        <v>0</v>
      </c>
    </row>
    <row r="341" spans="1:14" x14ac:dyDescent="0.2">
      <c r="A341">
        <v>1968</v>
      </c>
      <c r="B341">
        <v>4</v>
      </c>
      <c r="C341">
        <v>-18.72</v>
      </c>
      <c r="D341">
        <v>-18.350000000000001</v>
      </c>
      <c r="E341">
        <v>2.68</v>
      </c>
      <c r="F341">
        <v>-7.09</v>
      </c>
      <c r="G341">
        <v>-7.2</v>
      </c>
      <c r="H341">
        <v>3.19</v>
      </c>
      <c r="I341">
        <v>-25.81</v>
      </c>
      <c r="J341">
        <v>-25.55</v>
      </c>
      <c r="K341">
        <v>4.97</v>
      </c>
      <c r="L341" t="s">
        <v>0</v>
      </c>
      <c r="M341" t="s">
        <v>0</v>
      </c>
      <c r="N341" t="s">
        <v>0</v>
      </c>
    </row>
    <row r="342" spans="1:14" x14ac:dyDescent="0.2">
      <c r="A342">
        <v>1968</v>
      </c>
      <c r="B342">
        <v>5</v>
      </c>
      <c r="C342">
        <v>-18.61</v>
      </c>
      <c r="D342">
        <v>-18.5</v>
      </c>
      <c r="E342">
        <v>2.65</v>
      </c>
      <c r="F342">
        <v>-7.02</v>
      </c>
      <c r="G342">
        <v>-7.21</v>
      </c>
      <c r="H342">
        <v>3.19</v>
      </c>
      <c r="I342">
        <v>-25.63</v>
      </c>
      <c r="J342">
        <v>-25.71</v>
      </c>
      <c r="K342">
        <v>4.9400000000000004</v>
      </c>
      <c r="L342" t="s">
        <v>0</v>
      </c>
      <c r="M342" t="s">
        <v>0</v>
      </c>
      <c r="N342" t="s">
        <v>0</v>
      </c>
    </row>
    <row r="343" spans="1:14" x14ac:dyDescent="0.2">
      <c r="A343">
        <v>1968</v>
      </c>
      <c r="B343">
        <v>6</v>
      </c>
      <c r="C343">
        <v>-18.97</v>
      </c>
      <c r="D343">
        <v>-18.64</v>
      </c>
      <c r="E343">
        <v>2.66</v>
      </c>
      <c r="F343">
        <v>-7</v>
      </c>
      <c r="G343">
        <v>-7.21</v>
      </c>
      <c r="H343">
        <v>3.18</v>
      </c>
      <c r="I343">
        <v>-25.97</v>
      </c>
      <c r="J343">
        <v>-25.85</v>
      </c>
      <c r="K343">
        <v>4.93</v>
      </c>
      <c r="L343" t="s">
        <v>0</v>
      </c>
      <c r="M343" t="s">
        <v>0</v>
      </c>
      <c r="N343" t="s">
        <v>0</v>
      </c>
    </row>
    <row r="344" spans="1:14" x14ac:dyDescent="0.2">
      <c r="A344">
        <v>1968</v>
      </c>
      <c r="B344">
        <v>7</v>
      </c>
      <c r="C344">
        <v>-18.73</v>
      </c>
      <c r="D344">
        <v>-18.739999999999998</v>
      </c>
      <c r="E344">
        <v>2.67</v>
      </c>
      <c r="F344">
        <v>-7.05</v>
      </c>
      <c r="G344">
        <v>-7.22</v>
      </c>
      <c r="H344">
        <v>3.17</v>
      </c>
      <c r="I344">
        <v>-25.78</v>
      </c>
      <c r="J344">
        <v>-25.96</v>
      </c>
      <c r="K344">
        <v>4.92</v>
      </c>
      <c r="L344" t="s">
        <v>0</v>
      </c>
      <c r="M344" t="s">
        <v>0</v>
      </c>
      <c r="N344" t="s">
        <v>0</v>
      </c>
    </row>
    <row r="345" spans="1:14" x14ac:dyDescent="0.2">
      <c r="A345">
        <v>1968</v>
      </c>
      <c r="B345">
        <v>8</v>
      </c>
      <c r="C345">
        <v>-19.03</v>
      </c>
      <c r="D345">
        <v>-18.82</v>
      </c>
      <c r="E345">
        <v>2.66</v>
      </c>
      <c r="F345">
        <v>-7.18</v>
      </c>
      <c r="G345">
        <v>-7.22</v>
      </c>
      <c r="H345">
        <v>3.16</v>
      </c>
      <c r="I345">
        <v>-26.21</v>
      </c>
      <c r="J345">
        <v>-26.04</v>
      </c>
      <c r="K345">
        <v>4.88</v>
      </c>
      <c r="L345" t="s">
        <v>0</v>
      </c>
      <c r="M345" t="s">
        <v>0</v>
      </c>
      <c r="N345" t="s">
        <v>0</v>
      </c>
    </row>
    <row r="346" spans="1:14" x14ac:dyDescent="0.2">
      <c r="A346">
        <v>1968</v>
      </c>
      <c r="B346">
        <v>9</v>
      </c>
      <c r="C346">
        <v>-18.91</v>
      </c>
      <c r="D346">
        <v>-18.899999999999999</v>
      </c>
      <c r="E346">
        <v>2.62</v>
      </c>
      <c r="F346">
        <v>-7.28</v>
      </c>
      <c r="G346">
        <v>-7.22</v>
      </c>
      <c r="H346">
        <v>3.16</v>
      </c>
      <c r="I346">
        <v>-26.19</v>
      </c>
      <c r="J346">
        <v>-26.11</v>
      </c>
      <c r="K346">
        <v>4.84</v>
      </c>
      <c r="L346" t="s">
        <v>0</v>
      </c>
      <c r="M346" t="s">
        <v>0</v>
      </c>
      <c r="N346" t="s">
        <v>0</v>
      </c>
    </row>
    <row r="347" spans="1:14" x14ac:dyDescent="0.2">
      <c r="A347">
        <v>1968</v>
      </c>
      <c r="B347">
        <v>10</v>
      </c>
      <c r="C347">
        <v>-19.2</v>
      </c>
      <c r="D347">
        <v>-18.97</v>
      </c>
      <c r="E347">
        <v>2.61</v>
      </c>
      <c r="F347">
        <v>-7.33</v>
      </c>
      <c r="G347">
        <v>-7.22</v>
      </c>
      <c r="H347">
        <v>3.14</v>
      </c>
      <c r="I347">
        <v>-26.53</v>
      </c>
      <c r="J347">
        <v>-26.19</v>
      </c>
      <c r="K347">
        <v>4.8</v>
      </c>
      <c r="L347" t="s">
        <v>0</v>
      </c>
      <c r="M347" t="s">
        <v>0</v>
      </c>
      <c r="N347" t="s">
        <v>0</v>
      </c>
    </row>
    <row r="348" spans="1:14" x14ac:dyDescent="0.2">
      <c r="A348">
        <v>1968</v>
      </c>
      <c r="B348">
        <v>11</v>
      </c>
      <c r="C348">
        <v>-19.27</v>
      </c>
      <c r="D348">
        <v>-19.02</v>
      </c>
      <c r="E348">
        <v>2.58</v>
      </c>
      <c r="F348">
        <v>-7.37</v>
      </c>
      <c r="G348">
        <v>-7.24</v>
      </c>
      <c r="H348">
        <v>3.11</v>
      </c>
      <c r="I348">
        <v>-26.63</v>
      </c>
      <c r="J348">
        <v>-26.26</v>
      </c>
      <c r="K348">
        <v>4.74</v>
      </c>
      <c r="L348" t="s">
        <v>0</v>
      </c>
      <c r="M348" t="s">
        <v>0</v>
      </c>
      <c r="N348" t="s">
        <v>0</v>
      </c>
    </row>
    <row r="349" spans="1:14" x14ac:dyDescent="0.2">
      <c r="A349">
        <v>1968</v>
      </c>
      <c r="B349">
        <v>12</v>
      </c>
      <c r="C349">
        <v>-19.100000000000001</v>
      </c>
      <c r="D349">
        <v>-19.05</v>
      </c>
      <c r="E349">
        <v>2.58</v>
      </c>
      <c r="F349">
        <v>-7.56</v>
      </c>
      <c r="G349">
        <v>-7.27</v>
      </c>
      <c r="H349">
        <v>3.08</v>
      </c>
      <c r="I349">
        <v>-26.67</v>
      </c>
      <c r="J349">
        <v>-26.32</v>
      </c>
      <c r="K349">
        <v>4.7</v>
      </c>
      <c r="L349" t="s">
        <v>0</v>
      </c>
      <c r="M349" t="s">
        <v>0</v>
      </c>
      <c r="N349" t="s">
        <v>0</v>
      </c>
    </row>
    <row r="350" spans="1:14" x14ac:dyDescent="0.2">
      <c r="A350">
        <v>1969</v>
      </c>
      <c r="B350">
        <v>1</v>
      </c>
      <c r="C350">
        <v>-18.600000000000001</v>
      </c>
      <c r="D350">
        <v>-19.05</v>
      </c>
      <c r="E350">
        <v>2.54</v>
      </c>
      <c r="F350">
        <v>-7.23</v>
      </c>
      <c r="G350">
        <v>-7.29</v>
      </c>
      <c r="H350">
        <v>3.03</v>
      </c>
      <c r="I350">
        <v>-25.82</v>
      </c>
      <c r="J350">
        <v>-26.35</v>
      </c>
      <c r="K350">
        <v>4.6100000000000003</v>
      </c>
      <c r="L350" t="s">
        <v>0</v>
      </c>
      <c r="M350" t="s">
        <v>0</v>
      </c>
      <c r="N350" t="s">
        <v>0</v>
      </c>
    </row>
    <row r="351" spans="1:14" x14ac:dyDescent="0.2">
      <c r="A351">
        <v>1969</v>
      </c>
      <c r="B351">
        <v>2</v>
      </c>
      <c r="C351">
        <v>-18.88</v>
      </c>
      <c r="D351">
        <v>-19.05</v>
      </c>
      <c r="E351">
        <v>2.54</v>
      </c>
      <c r="F351">
        <v>-7.25</v>
      </c>
      <c r="G351">
        <v>-7.32</v>
      </c>
      <c r="H351">
        <v>3.04</v>
      </c>
      <c r="I351">
        <v>-26.13</v>
      </c>
      <c r="J351">
        <v>-26.37</v>
      </c>
      <c r="K351">
        <v>4.6100000000000003</v>
      </c>
      <c r="L351" t="s">
        <v>0</v>
      </c>
      <c r="M351" t="s">
        <v>0</v>
      </c>
      <c r="N351" t="s">
        <v>0</v>
      </c>
    </row>
    <row r="352" spans="1:14" x14ac:dyDescent="0.2">
      <c r="A352">
        <v>1969</v>
      </c>
      <c r="B352">
        <v>3</v>
      </c>
      <c r="C352">
        <v>-19.27</v>
      </c>
      <c r="D352">
        <v>-19.07</v>
      </c>
      <c r="E352">
        <v>2.65</v>
      </c>
      <c r="F352">
        <v>-7.2</v>
      </c>
      <c r="G352">
        <v>-7.34</v>
      </c>
      <c r="H352">
        <v>3.1</v>
      </c>
      <c r="I352">
        <v>-26.47</v>
      </c>
      <c r="J352">
        <v>-26.41</v>
      </c>
      <c r="K352">
        <v>4.74</v>
      </c>
      <c r="L352" t="s">
        <v>0</v>
      </c>
      <c r="M352" t="s">
        <v>0</v>
      </c>
      <c r="N352" t="s">
        <v>0</v>
      </c>
    </row>
    <row r="353" spans="1:14" x14ac:dyDescent="0.2">
      <c r="A353">
        <v>1969</v>
      </c>
      <c r="B353">
        <v>4</v>
      </c>
      <c r="C353">
        <v>-19.38</v>
      </c>
      <c r="D353">
        <v>-19.09</v>
      </c>
      <c r="E353">
        <v>2.63</v>
      </c>
      <c r="F353">
        <v>-7.28</v>
      </c>
      <c r="G353">
        <v>-7.36</v>
      </c>
      <c r="H353">
        <v>3.16</v>
      </c>
      <c r="I353">
        <v>-26.65</v>
      </c>
      <c r="J353">
        <v>-26.45</v>
      </c>
      <c r="K353">
        <v>4.79</v>
      </c>
      <c r="L353" t="s">
        <v>0</v>
      </c>
      <c r="M353" t="s">
        <v>0</v>
      </c>
      <c r="N353" t="s">
        <v>0</v>
      </c>
    </row>
    <row r="354" spans="1:14" x14ac:dyDescent="0.2">
      <c r="A354">
        <v>1969</v>
      </c>
      <c r="B354">
        <v>5</v>
      </c>
      <c r="C354">
        <v>-19.2</v>
      </c>
      <c r="D354">
        <v>-19.11</v>
      </c>
      <c r="E354">
        <v>2.63</v>
      </c>
      <c r="F354">
        <v>-7.32</v>
      </c>
      <c r="G354">
        <v>-7.36</v>
      </c>
      <c r="H354">
        <v>3.21</v>
      </c>
      <c r="I354">
        <v>-26.51</v>
      </c>
      <c r="J354">
        <v>-26.47</v>
      </c>
      <c r="K354">
        <v>4.8499999999999996</v>
      </c>
      <c r="L354" t="s">
        <v>0</v>
      </c>
      <c r="M354" t="s">
        <v>0</v>
      </c>
      <c r="N354" t="s">
        <v>0</v>
      </c>
    </row>
    <row r="355" spans="1:14" x14ac:dyDescent="0.2">
      <c r="A355">
        <v>1969</v>
      </c>
      <c r="B355">
        <v>6</v>
      </c>
      <c r="C355">
        <v>-19.09</v>
      </c>
      <c r="D355">
        <v>-19.14</v>
      </c>
      <c r="E355">
        <v>2.62</v>
      </c>
      <c r="F355">
        <v>-7.31</v>
      </c>
      <c r="G355">
        <v>-7.34</v>
      </c>
      <c r="H355">
        <v>3.21</v>
      </c>
      <c r="I355">
        <v>-26.4</v>
      </c>
      <c r="J355">
        <v>-26.48</v>
      </c>
      <c r="K355">
        <v>4.8899999999999997</v>
      </c>
      <c r="L355" t="s">
        <v>0</v>
      </c>
      <c r="M355" t="s">
        <v>0</v>
      </c>
      <c r="N355" t="s">
        <v>0</v>
      </c>
    </row>
    <row r="356" spans="1:14" x14ac:dyDescent="0.2">
      <c r="A356">
        <v>1969</v>
      </c>
      <c r="B356">
        <v>7</v>
      </c>
      <c r="C356">
        <v>-18.72</v>
      </c>
      <c r="D356">
        <v>-19.190000000000001</v>
      </c>
      <c r="E356">
        <v>2.62</v>
      </c>
      <c r="F356">
        <v>-7.35</v>
      </c>
      <c r="G356">
        <v>-7.31</v>
      </c>
      <c r="H356">
        <v>3.2</v>
      </c>
      <c r="I356">
        <v>-26.08</v>
      </c>
      <c r="J356">
        <v>-26.49</v>
      </c>
      <c r="K356">
        <v>4.88</v>
      </c>
      <c r="L356" t="s">
        <v>0</v>
      </c>
      <c r="M356" t="s">
        <v>0</v>
      </c>
      <c r="N356" t="s">
        <v>0</v>
      </c>
    </row>
    <row r="357" spans="1:14" x14ac:dyDescent="0.2">
      <c r="A357">
        <v>1969</v>
      </c>
      <c r="B357">
        <v>8</v>
      </c>
      <c r="C357">
        <v>-18.96</v>
      </c>
      <c r="D357">
        <v>-19.23</v>
      </c>
      <c r="E357">
        <v>2.59</v>
      </c>
      <c r="F357">
        <v>-7.51</v>
      </c>
      <c r="G357">
        <v>-7.29</v>
      </c>
      <c r="H357">
        <v>3.19</v>
      </c>
      <c r="I357">
        <v>-26.47</v>
      </c>
      <c r="J357">
        <v>-26.51</v>
      </c>
      <c r="K357">
        <v>4.8499999999999996</v>
      </c>
      <c r="L357" t="s">
        <v>0</v>
      </c>
      <c r="M357" t="s">
        <v>0</v>
      </c>
      <c r="N357" t="s">
        <v>0</v>
      </c>
    </row>
    <row r="358" spans="1:14" x14ac:dyDescent="0.2">
      <c r="A358">
        <v>1969</v>
      </c>
      <c r="B358">
        <v>9</v>
      </c>
      <c r="C358">
        <v>-19.329999999999998</v>
      </c>
      <c r="D358">
        <v>-19.239999999999998</v>
      </c>
      <c r="E358">
        <v>2.5499999999999998</v>
      </c>
      <c r="F358">
        <v>-7.56</v>
      </c>
      <c r="G358">
        <v>-7.26</v>
      </c>
      <c r="H358">
        <v>3.21</v>
      </c>
      <c r="I358">
        <v>-26.9</v>
      </c>
      <c r="J358">
        <v>-26.5</v>
      </c>
      <c r="K358">
        <v>4.83</v>
      </c>
      <c r="L358" t="s">
        <v>0</v>
      </c>
      <c r="M358" t="s">
        <v>0</v>
      </c>
      <c r="N358" t="s">
        <v>0</v>
      </c>
    </row>
    <row r="359" spans="1:14" x14ac:dyDescent="0.2">
      <c r="A359">
        <v>1969</v>
      </c>
      <c r="B359">
        <v>10</v>
      </c>
      <c r="C359">
        <v>-19.34</v>
      </c>
      <c r="D359">
        <v>-19.23</v>
      </c>
      <c r="E359">
        <v>2.46</v>
      </c>
      <c r="F359">
        <v>-7.46</v>
      </c>
      <c r="G359">
        <v>-7.23</v>
      </c>
      <c r="H359">
        <v>3.2</v>
      </c>
      <c r="I359">
        <v>-26.8</v>
      </c>
      <c r="J359">
        <v>-26.46</v>
      </c>
      <c r="K359">
        <v>4.7699999999999996</v>
      </c>
      <c r="L359" t="s">
        <v>0</v>
      </c>
      <c r="M359" t="s">
        <v>0</v>
      </c>
      <c r="N359" t="s">
        <v>0</v>
      </c>
    </row>
    <row r="360" spans="1:14" x14ac:dyDescent="0.2">
      <c r="A360">
        <v>1969</v>
      </c>
      <c r="B360">
        <v>11</v>
      </c>
      <c r="C360">
        <v>-19.690000000000001</v>
      </c>
      <c r="D360">
        <v>-19.190000000000001</v>
      </c>
      <c r="E360">
        <v>2.4700000000000002</v>
      </c>
      <c r="F360">
        <v>-7.22</v>
      </c>
      <c r="G360">
        <v>-7.2</v>
      </c>
      <c r="H360">
        <v>3.27</v>
      </c>
      <c r="I360">
        <v>-26.91</v>
      </c>
      <c r="J360">
        <v>-26.38</v>
      </c>
      <c r="K360">
        <v>4.8600000000000003</v>
      </c>
      <c r="L360" t="s">
        <v>0</v>
      </c>
      <c r="M360" t="s">
        <v>0</v>
      </c>
      <c r="N360" t="s">
        <v>0</v>
      </c>
    </row>
    <row r="361" spans="1:14" x14ac:dyDescent="0.2">
      <c r="A361">
        <v>1969</v>
      </c>
      <c r="B361">
        <v>12</v>
      </c>
      <c r="C361">
        <v>-19.38</v>
      </c>
      <c r="D361">
        <v>-19.13</v>
      </c>
      <c r="E361">
        <v>2.46</v>
      </c>
      <c r="F361">
        <v>-7.15</v>
      </c>
      <c r="G361">
        <v>-7.16</v>
      </c>
      <c r="H361">
        <v>3.28</v>
      </c>
      <c r="I361">
        <v>-26.53</v>
      </c>
      <c r="J361">
        <v>-26.29</v>
      </c>
      <c r="K361">
        <v>4.84</v>
      </c>
      <c r="L361" t="s">
        <v>0</v>
      </c>
      <c r="M361" t="s">
        <v>0</v>
      </c>
      <c r="N361" t="s">
        <v>0</v>
      </c>
    </row>
    <row r="362" spans="1:14" x14ac:dyDescent="0.2">
      <c r="A362">
        <v>1970</v>
      </c>
      <c r="B362">
        <v>1</v>
      </c>
      <c r="C362">
        <v>-19.36</v>
      </c>
      <c r="D362">
        <v>-19.07</v>
      </c>
      <c r="E362">
        <v>3.04</v>
      </c>
      <c r="F362">
        <v>-6.97</v>
      </c>
      <c r="G362">
        <v>-7.11</v>
      </c>
      <c r="H362">
        <v>3.37</v>
      </c>
      <c r="I362">
        <v>-26.33</v>
      </c>
      <c r="J362">
        <v>-26.18</v>
      </c>
      <c r="K362">
        <v>5.36</v>
      </c>
      <c r="L362" t="s">
        <v>0</v>
      </c>
      <c r="M362" t="s">
        <v>0</v>
      </c>
      <c r="N362" t="s">
        <v>0</v>
      </c>
    </row>
    <row r="363" spans="1:14" x14ac:dyDescent="0.2">
      <c r="A363">
        <v>1970</v>
      </c>
      <c r="B363">
        <v>2</v>
      </c>
      <c r="C363">
        <v>-19.100000000000001</v>
      </c>
      <c r="D363">
        <v>-18.96</v>
      </c>
      <c r="E363">
        <v>3.08</v>
      </c>
      <c r="F363">
        <v>-6.99</v>
      </c>
      <c r="G363">
        <v>-7.05</v>
      </c>
      <c r="H363">
        <v>3.4</v>
      </c>
      <c r="I363">
        <v>-26.09</v>
      </c>
      <c r="J363">
        <v>-26.01</v>
      </c>
      <c r="K363">
        <v>5.4</v>
      </c>
      <c r="L363" t="s">
        <v>0</v>
      </c>
      <c r="M363" t="s">
        <v>0</v>
      </c>
      <c r="N363" t="s">
        <v>0</v>
      </c>
    </row>
    <row r="364" spans="1:14" x14ac:dyDescent="0.2">
      <c r="A364">
        <v>1970</v>
      </c>
      <c r="B364">
        <v>3</v>
      </c>
      <c r="C364">
        <v>-19.32</v>
      </c>
      <c r="D364">
        <v>-18.82</v>
      </c>
      <c r="E364">
        <v>3.19</v>
      </c>
      <c r="F364">
        <v>-6.84</v>
      </c>
      <c r="G364">
        <v>-6.98</v>
      </c>
      <c r="H364">
        <v>3.41</v>
      </c>
      <c r="I364">
        <v>-26.17</v>
      </c>
      <c r="J364">
        <v>-25.81</v>
      </c>
      <c r="K364">
        <v>5.49</v>
      </c>
      <c r="L364" t="s">
        <v>0</v>
      </c>
      <c r="M364" t="s">
        <v>0</v>
      </c>
      <c r="N364" t="s">
        <v>0</v>
      </c>
    </row>
    <row r="365" spans="1:14" x14ac:dyDescent="0.2">
      <c r="A365">
        <v>1970</v>
      </c>
      <c r="B365">
        <v>4</v>
      </c>
      <c r="C365">
        <v>-19.170000000000002</v>
      </c>
      <c r="D365">
        <v>-18.690000000000001</v>
      </c>
      <c r="E365">
        <v>3.17</v>
      </c>
      <c r="F365">
        <v>-6.92</v>
      </c>
      <c r="G365">
        <v>-6.91</v>
      </c>
      <c r="H365">
        <v>3.42</v>
      </c>
      <c r="I365">
        <v>-26.09</v>
      </c>
      <c r="J365">
        <v>-25.6</v>
      </c>
      <c r="K365">
        <v>5.5</v>
      </c>
      <c r="L365" t="s">
        <v>0</v>
      </c>
      <c r="M365" t="s">
        <v>0</v>
      </c>
      <c r="N365" t="s">
        <v>0</v>
      </c>
    </row>
    <row r="366" spans="1:14" x14ac:dyDescent="0.2">
      <c r="A366">
        <v>1970</v>
      </c>
      <c r="B366">
        <v>5</v>
      </c>
      <c r="C366">
        <v>-18.309999999999999</v>
      </c>
      <c r="D366">
        <v>-18.55</v>
      </c>
      <c r="E366">
        <v>3.19</v>
      </c>
      <c r="F366">
        <v>-6.87</v>
      </c>
      <c r="G366">
        <v>-6.84</v>
      </c>
      <c r="H366">
        <v>3.44</v>
      </c>
      <c r="I366">
        <v>-25.17</v>
      </c>
      <c r="J366">
        <v>-25.38</v>
      </c>
      <c r="K366">
        <v>5.54</v>
      </c>
      <c r="L366" t="s">
        <v>0</v>
      </c>
      <c r="M366" t="s">
        <v>0</v>
      </c>
      <c r="N366" t="s">
        <v>0</v>
      </c>
    </row>
    <row r="367" spans="1:14" x14ac:dyDescent="0.2">
      <c r="A367">
        <v>1970</v>
      </c>
      <c r="B367">
        <v>6</v>
      </c>
      <c r="C367">
        <v>-18.579999999999998</v>
      </c>
      <c r="D367">
        <v>-18.399999999999999</v>
      </c>
      <c r="E367">
        <v>3.25</v>
      </c>
      <c r="F367">
        <v>-6.8</v>
      </c>
      <c r="G367">
        <v>-6.77</v>
      </c>
      <c r="H367">
        <v>3.42</v>
      </c>
      <c r="I367">
        <v>-25.38</v>
      </c>
      <c r="J367">
        <v>-25.17</v>
      </c>
      <c r="K367">
        <v>5.58</v>
      </c>
      <c r="L367" t="s">
        <v>0</v>
      </c>
      <c r="M367" t="s">
        <v>0</v>
      </c>
      <c r="N367" t="s">
        <v>0</v>
      </c>
    </row>
    <row r="368" spans="1:14" x14ac:dyDescent="0.2">
      <c r="A368">
        <v>1970</v>
      </c>
      <c r="B368">
        <v>7</v>
      </c>
      <c r="C368">
        <v>-17.75</v>
      </c>
      <c r="D368">
        <v>-18.25</v>
      </c>
      <c r="E368">
        <v>3.19</v>
      </c>
      <c r="F368">
        <v>-6.73</v>
      </c>
      <c r="G368">
        <v>-6.7</v>
      </c>
      <c r="H368">
        <v>3.4</v>
      </c>
      <c r="I368">
        <v>-24.48</v>
      </c>
      <c r="J368">
        <v>-24.95</v>
      </c>
      <c r="K368">
        <v>5.54</v>
      </c>
      <c r="L368" t="s">
        <v>0</v>
      </c>
      <c r="M368" t="s">
        <v>0</v>
      </c>
      <c r="N368" t="s">
        <v>0</v>
      </c>
    </row>
    <row r="369" spans="1:14" x14ac:dyDescent="0.2">
      <c r="A369">
        <v>1970</v>
      </c>
      <c r="B369">
        <v>8</v>
      </c>
      <c r="C369">
        <v>-17.36</v>
      </c>
      <c r="D369">
        <v>-18.12</v>
      </c>
      <c r="E369">
        <v>3.28</v>
      </c>
      <c r="F369">
        <v>-6.75</v>
      </c>
      <c r="G369">
        <v>-6.62</v>
      </c>
      <c r="H369">
        <v>3.41</v>
      </c>
      <c r="I369">
        <v>-24.11</v>
      </c>
      <c r="J369">
        <v>-24.74</v>
      </c>
      <c r="K369">
        <v>5.59</v>
      </c>
      <c r="L369" t="s">
        <v>0</v>
      </c>
      <c r="M369" t="s">
        <v>0</v>
      </c>
      <c r="N369" t="s">
        <v>0</v>
      </c>
    </row>
    <row r="370" spans="1:14" x14ac:dyDescent="0.2">
      <c r="A370">
        <v>1970</v>
      </c>
      <c r="B370">
        <v>9</v>
      </c>
      <c r="C370">
        <v>-17.71</v>
      </c>
      <c r="D370">
        <v>-18.03</v>
      </c>
      <c r="E370">
        <v>3.42</v>
      </c>
      <c r="F370">
        <v>-6.65</v>
      </c>
      <c r="G370">
        <v>-6.56</v>
      </c>
      <c r="H370">
        <v>3.43</v>
      </c>
      <c r="I370">
        <v>-24.36</v>
      </c>
      <c r="J370">
        <v>-24.58</v>
      </c>
      <c r="K370">
        <v>5.65</v>
      </c>
      <c r="L370" t="s">
        <v>0</v>
      </c>
      <c r="M370" t="s">
        <v>0</v>
      </c>
      <c r="N370" t="s">
        <v>0</v>
      </c>
    </row>
    <row r="371" spans="1:14" x14ac:dyDescent="0.2">
      <c r="A371">
        <v>1970</v>
      </c>
      <c r="B371">
        <v>10</v>
      </c>
      <c r="C371">
        <v>-17.78</v>
      </c>
      <c r="D371">
        <v>-17.97</v>
      </c>
      <c r="E371">
        <v>3.48</v>
      </c>
      <c r="F371">
        <v>-6.62</v>
      </c>
      <c r="G371">
        <v>-6.51</v>
      </c>
      <c r="H371">
        <v>3.45</v>
      </c>
      <c r="I371">
        <v>-24.4</v>
      </c>
      <c r="J371">
        <v>-24.48</v>
      </c>
      <c r="K371">
        <v>5.61</v>
      </c>
      <c r="L371" t="s">
        <v>0</v>
      </c>
      <c r="M371" t="s">
        <v>0</v>
      </c>
      <c r="N371" t="s">
        <v>0</v>
      </c>
    </row>
    <row r="372" spans="1:14" x14ac:dyDescent="0.2">
      <c r="A372">
        <v>1970</v>
      </c>
      <c r="B372">
        <v>11</v>
      </c>
      <c r="C372">
        <v>-17.75</v>
      </c>
      <c r="D372">
        <v>-17.96</v>
      </c>
      <c r="E372">
        <v>3.47</v>
      </c>
      <c r="F372">
        <v>-6.32</v>
      </c>
      <c r="G372">
        <v>-6.46</v>
      </c>
      <c r="H372">
        <v>3.47</v>
      </c>
      <c r="I372">
        <v>-24.07</v>
      </c>
      <c r="J372">
        <v>-24.41</v>
      </c>
      <c r="K372">
        <v>5.61</v>
      </c>
      <c r="L372" t="s">
        <v>0</v>
      </c>
      <c r="M372" t="s">
        <v>0</v>
      </c>
      <c r="N372" t="s">
        <v>0</v>
      </c>
    </row>
    <row r="373" spans="1:14" x14ac:dyDescent="0.2">
      <c r="A373">
        <v>1970</v>
      </c>
      <c r="B373">
        <v>12</v>
      </c>
      <c r="C373">
        <v>-17.86</v>
      </c>
      <c r="D373">
        <v>-17.940000000000001</v>
      </c>
      <c r="E373">
        <v>3.4</v>
      </c>
      <c r="F373">
        <v>-6.39</v>
      </c>
      <c r="G373">
        <v>-6.41</v>
      </c>
      <c r="H373">
        <v>3.47</v>
      </c>
      <c r="I373">
        <v>-24.24</v>
      </c>
      <c r="J373">
        <v>-24.35</v>
      </c>
      <c r="K373">
        <v>5.58</v>
      </c>
      <c r="L373" t="s">
        <v>0</v>
      </c>
      <c r="M373" t="s">
        <v>0</v>
      </c>
      <c r="N373" t="s">
        <v>0</v>
      </c>
    </row>
    <row r="374" spans="1:14" x14ac:dyDescent="0.2">
      <c r="A374">
        <v>1971</v>
      </c>
      <c r="B374">
        <v>1</v>
      </c>
      <c r="C374">
        <v>-17.350000000000001</v>
      </c>
      <c r="D374">
        <v>-17.93</v>
      </c>
      <c r="E374">
        <v>3.21</v>
      </c>
      <c r="F374">
        <v>-5.99</v>
      </c>
      <c r="G374">
        <v>-6.36</v>
      </c>
      <c r="H374">
        <v>3.38</v>
      </c>
      <c r="I374">
        <v>-23.34</v>
      </c>
      <c r="J374">
        <v>-24.29</v>
      </c>
      <c r="K374">
        <v>5.31</v>
      </c>
      <c r="L374" t="s">
        <v>0</v>
      </c>
      <c r="M374" t="s">
        <v>0</v>
      </c>
      <c r="N374" t="s">
        <v>0</v>
      </c>
    </row>
    <row r="375" spans="1:14" x14ac:dyDescent="0.2">
      <c r="A375">
        <v>1971</v>
      </c>
      <c r="B375">
        <v>2</v>
      </c>
      <c r="C375">
        <v>-17.89</v>
      </c>
      <c r="D375">
        <v>-17.899999999999999</v>
      </c>
      <c r="E375">
        <v>3.23</v>
      </c>
      <c r="F375">
        <v>-6.15</v>
      </c>
      <c r="G375">
        <v>-6.31</v>
      </c>
      <c r="H375">
        <v>3.35</v>
      </c>
      <c r="I375">
        <v>-24.04</v>
      </c>
      <c r="J375">
        <v>-24.21</v>
      </c>
      <c r="K375">
        <v>5.29</v>
      </c>
      <c r="L375" t="s">
        <v>0</v>
      </c>
      <c r="M375" t="s">
        <v>0</v>
      </c>
      <c r="N375" t="s">
        <v>0</v>
      </c>
    </row>
    <row r="376" spans="1:14" x14ac:dyDescent="0.2">
      <c r="A376">
        <v>1971</v>
      </c>
      <c r="B376">
        <v>3</v>
      </c>
      <c r="C376">
        <v>-18.28</v>
      </c>
      <c r="D376">
        <v>-17.809999999999999</v>
      </c>
      <c r="E376">
        <v>3.19</v>
      </c>
      <c r="F376">
        <v>-6.2</v>
      </c>
      <c r="G376">
        <v>-6.27</v>
      </c>
      <c r="H376">
        <v>3.33</v>
      </c>
      <c r="I376">
        <v>-24.48</v>
      </c>
      <c r="J376">
        <v>-24.08</v>
      </c>
      <c r="K376">
        <v>5.22</v>
      </c>
      <c r="L376" t="s">
        <v>0</v>
      </c>
      <c r="M376" t="s">
        <v>0</v>
      </c>
      <c r="N376" t="s">
        <v>0</v>
      </c>
    </row>
    <row r="377" spans="1:14" x14ac:dyDescent="0.2">
      <c r="A377">
        <v>1971</v>
      </c>
      <c r="B377">
        <v>4</v>
      </c>
      <c r="C377">
        <v>-18.89</v>
      </c>
      <c r="D377">
        <v>-17.66</v>
      </c>
      <c r="E377">
        <v>3.14</v>
      </c>
      <c r="F377">
        <v>-6.3</v>
      </c>
      <c r="G377">
        <v>-6.23</v>
      </c>
      <c r="H377">
        <v>3.32</v>
      </c>
      <c r="I377">
        <v>-25.19</v>
      </c>
      <c r="J377">
        <v>-23.88</v>
      </c>
      <c r="K377">
        <v>5.16</v>
      </c>
      <c r="L377" t="s">
        <v>0</v>
      </c>
      <c r="M377" t="s">
        <v>0</v>
      </c>
      <c r="N377" t="s">
        <v>0</v>
      </c>
    </row>
    <row r="378" spans="1:14" x14ac:dyDescent="0.2">
      <c r="A378">
        <v>1971</v>
      </c>
      <c r="B378">
        <v>5</v>
      </c>
      <c r="C378">
        <v>-18.25</v>
      </c>
      <c r="D378">
        <v>-17.510000000000002</v>
      </c>
      <c r="E378">
        <v>3.06</v>
      </c>
      <c r="F378">
        <v>-6.3</v>
      </c>
      <c r="G378">
        <v>-6.2</v>
      </c>
      <c r="H378">
        <v>3.32</v>
      </c>
      <c r="I378">
        <v>-24.54</v>
      </c>
      <c r="J378">
        <v>-23.71</v>
      </c>
      <c r="K378">
        <v>5.0999999999999996</v>
      </c>
      <c r="L378" t="s">
        <v>0</v>
      </c>
      <c r="M378" t="s">
        <v>0</v>
      </c>
      <c r="N378" t="s">
        <v>0</v>
      </c>
    </row>
    <row r="379" spans="1:14" x14ac:dyDescent="0.2">
      <c r="A379">
        <v>1971</v>
      </c>
      <c r="B379">
        <v>6</v>
      </c>
      <c r="C379">
        <v>-18.32</v>
      </c>
      <c r="D379">
        <v>-17.38</v>
      </c>
      <c r="E379">
        <v>3</v>
      </c>
      <c r="F379">
        <v>-6.27</v>
      </c>
      <c r="G379">
        <v>-6.2</v>
      </c>
      <c r="H379">
        <v>3.35</v>
      </c>
      <c r="I379">
        <v>-24.58</v>
      </c>
      <c r="J379">
        <v>-23.58</v>
      </c>
      <c r="K379">
        <v>5.0999999999999996</v>
      </c>
      <c r="L379" t="s">
        <v>0</v>
      </c>
      <c r="M379" t="s">
        <v>0</v>
      </c>
      <c r="N379" t="s">
        <v>0</v>
      </c>
    </row>
    <row r="380" spans="1:14" x14ac:dyDescent="0.2">
      <c r="A380">
        <v>1971</v>
      </c>
      <c r="B380">
        <v>7</v>
      </c>
      <c r="C380">
        <v>-17.62</v>
      </c>
      <c r="D380">
        <v>-17.29</v>
      </c>
      <c r="E380">
        <v>2.99</v>
      </c>
      <c r="F380">
        <v>-6.13</v>
      </c>
      <c r="G380">
        <v>-6.19</v>
      </c>
      <c r="H380">
        <v>3.36</v>
      </c>
      <c r="I380">
        <v>-23.75</v>
      </c>
      <c r="J380">
        <v>-23.48</v>
      </c>
      <c r="K380">
        <v>5.12</v>
      </c>
      <c r="L380" t="s">
        <v>0</v>
      </c>
      <c r="M380" t="s">
        <v>0</v>
      </c>
      <c r="N380" t="s">
        <v>0</v>
      </c>
    </row>
    <row r="381" spans="1:14" x14ac:dyDescent="0.2">
      <c r="A381">
        <v>1971</v>
      </c>
      <c r="B381">
        <v>8</v>
      </c>
      <c r="C381">
        <v>-16.829999999999998</v>
      </c>
      <c r="D381">
        <v>-17.190000000000001</v>
      </c>
      <c r="E381">
        <v>2.89</v>
      </c>
      <c r="F381">
        <v>-6.14</v>
      </c>
      <c r="G381">
        <v>-6.19</v>
      </c>
      <c r="H381">
        <v>3.37</v>
      </c>
      <c r="I381">
        <v>-22.97</v>
      </c>
      <c r="J381">
        <v>-23.38</v>
      </c>
      <c r="K381">
        <v>5.1100000000000003</v>
      </c>
      <c r="L381" t="s">
        <v>0</v>
      </c>
      <c r="M381" t="s">
        <v>0</v>
      </c>
      <c r="N381" t="s">
        <v>0</v>
      </c>
    </row>
    <row r="382" spans="1:14" x14ac:dyDescent="0.2">
      <c r="A382">
        <v>1971</v>
      </c>
      <c r="B382">
        <v>9</v>
      </c>
      <c r="C382">
        <v>-16.059999999999999</v>
      </c>
      <c r="D382">
        <v>-17.02</v>
      </c>
      <c r="E382">
        <v>2.85</v>
      </c>
      <c r="F382">
        <v>-6.17</v>
      </c>
      <c r="G382">
        <v>-6.2</v>
      </c>
      <c r="H382">
        <v>3.38</v>
      </c>
      <c r="I382">
        <v>-22.23</v>
      </c>
      <c r="J382">
        <v>-23.22</v>
      </c>
      <c r="K382">
        <v>5.17</v>
      </c>
      <c r="L382" t="s">
        <v>0</v>
      </c>
      <c r="M382" t="s">
        <v>0</v>
      </c>
      <c r="N382" t="s">
        <v>0</v>
      </c>
    </row>
    <row r="383" spans="1:14" x14ac:dyDescent="0.2">
      <c r="A383">
        <v>1971</v>
      </c>
      <c r="B383">
        <v>10</v>
      </c>
      <c r="C383">
        <v>-15.82</v>
      </c>
      <c r="D383">
        <v>-16.78</v>
      </c>
      <c r="E383">
        <v>2.92</v>
      </c>
      <c r="F383">
        <v>-6.13</v>
      </c>
      <c r="G383">
        <v>-6.21</v>
      </c>
      <c r="H383">
        <v>3.39</v>
      </c>
      <c r="I383">
        <v>-21.95</v>
      </c>
      <c r="J383">
        <v>-22.99</v>
      </c>
      <c r="K383">
        <v>5.29</v>
      </c>
      <c r="L383" t="s">
        <v>0</v>
      </c>
      <c r="M383" t="s">
        <v>0</v>
      </c>
      <c r="N383" t="s">
        <v>0</v>
      </c>
    </row>
    <row r="384" spans="1:14" x14ac:dyDescent="0.2">
      <c r="A384">
        <v>1971</v>
      </c>
      <c r="B384">
        <v>11</v>
      </c>
      <c r="C384">
        <v>-16.170000000000002</v>
      </c>
      <c r="D384">
        <v>-16.52</v>
      </c>
      <c r="E384">
        <v>2.83</v>
      </c>
      <c r="F384">
        <v>-6.26</v>
      </c>
      <c r="G384">
        <v>-6.23</v>
      </c>
      <c r="H384">
        <v>3.38</v>
      </c>
      <c r="I384">
        <v>-22.43</v>
      </c>
      <c r="J384">
        <v>-22.76</v>
      </c>
      <c r="K384">
        <v>5.22</v>
      </c>
      <c r="L384" t="s">
        <v>0</v>
      </c>
      <c r="M384" t="s">
        <v>0</v>
      </c>
      <c r="N384" t="s">
        <v>0</v>
      </c>
    </row>
    <row r="385" spans="1:14" x14ac:dyDescent="0.2">
      <c r="A385">
        <v>1971</v>
      </c>
      <c r="B385">
        <v>12</v>
      </c>
      <c r="C385">
        <v>-16.38</v>
      </c>
      <c r="D385">
        <v>-16.329999999999998</v>
      </c>
      <c r="E385">
        <v>2.87</v>
      </c>
      <c r="F385">
        <v>-6.25</v>
      </c>
      <c r="G385">
        <v>-6.26</v>
      </c>
      <c r="H385">
        <v>3.39</v>
      </c>
      <c r="I385">
        <v>-22.64</v>
      </c>
      <c r="J385">
        <v>-22.6</v>
      </c>
      <c r="K385">
        <v>5.25</v>
      </c>
      <c r="L385" t="s">
        <v>0</v>
      </c>
      <c r="M385" t="s">
        <v>0</v>
      </c>
      <c r="N385" t="s">
        <v>0</v>
      </c>
    </row>
    <row r="386" spans="1:14" x14ac:dyDescent="0.2">
      <c r="A386">
        <v>1972</v>
      </c>
      <c r="B386">
        <v>1</v>
      </c>
      <c r="C386">
        <v>-16.600000000000001</v>
      </c>
      <c r="D386">
        <v>-16.27</v>
      </c>
      <c r="E386">
        <v>2.89</v>
      </c>
      <c r="F386">
        <v>-5.97</v>
      </c>
      <c r="G386">
        <v>-6.3</v>
      </c>
      <c r="H386">
        <v>3.36</v>
      </c>
      <c r="I386">
        <v>-22.56</v>
      </c>
      <c r="J386">
        <v>-22.57</v>
      </c>
      <c r="K386">
        <v>5.22</v>
      </c>
      <c r="L386" t="s">
        <v>0</v>
      </c>
      <c r="M386" t="s">
        <v>0</v>
      </c>
      <c r="N386" t="s">
        <v>0</v>
      </c>
    </row>
    <row r="387" spans="1:14" x14ac:dyDescent="0.2">
      <c r="A387">
        <v>1972</v>
      </c>
      <c r="B387">
        <v>2</v>
      </c>
      <c r="C387">
        <v>-16.190000000000001</v>
      </c>
      <c r="D387">
        <v>-16.37</v>
      </c>
      <c r="E387">
        <v>2.96</v>
      </c>
      <c r="F387">
        <v>-6.17</v>
      </c>
      <c r="G387">
        <v>-6.34</v>
      </c>
      <c r="H387">
        <v>3.36</v>
      </c>
      <c r="I387">
        <v>-22.35</v>
      </c>
      <c r="J387">
        <v>-22.71</v>
      </c>
      <c r="K387">
        <v>5.26</v>
      </c>
      <c r="L387" t="s">
        <v>0</v>
      </c>
      <c r="M387" t="s">
        <v>0</v>
      </c>
      <c r="N387" t="s">
        <v>0</v>
      </c>
    </row>
    <row r="388" spans="1:14" x14ac:dyDescent="0.2">
      <c r="A388">
        <v>1972</v>
      </c>
      <c r="B388">
        <v>3</v>
      </c>
      <c r="C388">
        <v>-15.96</v>
      </c>
      <c r="D388">
        <v>-16.54</v>
      </c>
      <c r="E388">
        <v>2.95</v>
      </c>
      <c r="F388">
        <v>-6.35</v>
      </c>
      <c r="G388">
        <v>-6.38</v>
      </c>
      <c r="H388">
        <v>3.36</v>
      </c>
      <c r="I388">
        <v>-22.31</v>
      </c>
      <c r="J388">
        <v>-22.92</v>
      </c>
      <c r="K388">
        <v>5.19</v>
      </c>
      <c r="L388" t="s">
        <v>0</v>
      </c>
      <c r="M388" t="s">
        <v>0</v>
      </c>
      <c r="N388" t="s">
        <v>0</v>
      </c>
    </row>
    <row r="389" spans="1:14" x14ac:dyDescent="0.2">
      <c r="A389">
        <v>1972</v>
      </c>
      <c r="B389">
        <v>4</v>
      </c>
      <c r="C389">
        <v>-15.4</v>
      </c>
      <c r="D389">
        <v>-16.72</v>
      </c>
      <c r="E389">
        <v>2.98</v>
      </c>
      <c r="F389">
        <v>-6.53</v>
      </c>
      <c r="G389">
        <v>-6.42</v>
      </c>
      <c r="H389">
        <v>3.36</v>
      </c>
      <c r="I389">
        <v>-21.93</v>
      </c>
      <c r="J389">
        <v>-23.13</v>
      </c>
      <c r="K389">
        <v>5.19</v>
      </c>
      <c r="L389" t="s">
        <v>0</v>
      </c>
      <c r="M389" t="s">
        <v>0</v>
      </c>
      <c r="N389" t="s">
        <v>0</v>
      </c>
    </row>
    <row r="390" spans="1:14" x14ac:dyDescent="0.2">
      <c r="A390">
        <v>1972</v>
      </c>
      <c r="B390">
        <v>5</v>
      </c>
      <c r="C390">
        <v>-15.6</v>
      </c>
      <c r="D390">
        <v>-16.89</v>
      </c>
      <c r="E390">
        <v>3.09</v>
      </c>
      <c r="F390">
        <v>-6.63</v>
      </c>
      <c r="G390">
        <v>-6.45</v>
      </c>
      <c r="H390">
        <v>3.35</v>
      </c>
      <c r="I390">
        <v>-22.24</v>
      </c>
      <c r="J390">
        <v>-23.34</v>
      </c>
      <c r="K390">
        <v>5.23</v>
      </c>
      <c r="L390" t="s">
        <v>0</v>
      </c>
      <c r="M390" t="s">
        <v>0</v>
      </c>
      <c r="N390" t="s">
        <v>0</v>
      </c>
    </row>
    <row r="391" spans="1:14" x14ac:dyDescent="0.2">
      <c r="A391">
        <v>1972</v>
      </c>
      <c r="B391">
        <v>6</v>
      </c>
      <c r="C391">
        <v>-16.420000000000002</v>
      </c>
      <c r="D391">
        <v>-17.02</v>
      </c>
      <c r="E391">
        <v>3.12</v>
      </c>
      <c r="F391">
        <v>-6.64</v>
      </c>
      <c r="G391">
        <v>-6.49</v>
      </c>
      <c r="H391">
        <v>3.38</v>
      </c>
      <c r="I391">
        <v>-23.06</v>
      </c>
      <c r="J391">
        <v>-23.52</v>
      </c>
      <c r="K391">
        <v>5.26</v>
      </c>
      <c r="L391" t="s">
        <v>0</v>
      </c>
      <c r="M391" t="s">
        <v>0</v>
      </c>
      <c r="N391" t="s">
        <v>0</v>
      </c>
    </row>
    <row r="392" spans="1:14" x14ac:dyDescent="0.2">
      <c r="A392">
        <v>1972</v>
      </c>
      <c r="B392">
        <v>7</v>
      </c>
      <c r="C392">
        <v>-18.09</v>
      </c>
      <c r="D392">
        <v>-17.12</v>
      </c>
      <c r="E392">
        <v>3.23</v>
      </c>
      <c r="F392">
        <v>-6.61</v>
      </c>
      <c r="G392">
        <v>-6.55</v>
      </c>
      <c r="H392">
        <v>3.36</v>
      </c>
      <c r="I392">
        <v>-24.7</v>
      </c>
      <c r="J392">
        <v>-23.67</v>
      </c>
      <c r="K392">
        <v>5.33</v>
      </c>
      <c r="L392" t="s">
        <v>0</v>
      </c>
      <c r="M392" t="s">
        <v>0</v>
      </c>
      <c r="N392" t="s">
        <v>0</v>
      </c>
    </row>
    <row r="393" spans="1:14" x14ac:dyDescent="0.2">
      <c r="A393">
        <v>1972</v>
      </c>
      <c r="B393">
        <v>8</v>
      </c>
      <c r="C393">
        <v>-18.72</v>
      </c>
      <c r="D393">
        <v>-17.239999999999998</v>
      </c>
      <c r="E393">
        <v>3.04</v>
      </c>
      <c r="F393">
        <v>-6.65</v>
      </c>
      <c r="G393">
        <v>-6.59</v>
      </c>
      <c r="H393">
        <v>3.33</v>
      </c>
      <c r="I393">
        <v>-25.37</v>
      </c>
      <c r="J393">
        <v>-23.83</v>
      </c>
      <c r="K393">
        <v>5.22</v>
      </c>
      <c r="L393" t="s">
        <v>0</v>
      </c>
      <c r="M393" t="s">
        <v>0</v>
      </c>
      <c r="N393" t="s">
        <v>0</v>
      </c>
    </row>
    <row r="394" spans="1:14" x14ac:dyDescent="0.2">
      <c r="A394">
        <v>1972</v>
      </c>
      <c r="B394">
        <v>9</v>
      </c>
      <c r="C394">
        <v>-18.14</v>
      </c>
      <c r="D394">
        <v>-17.36</v>
      </c>
      <c r="E394">
        <v>2.92</v>
      </c>
      <c r="F394">
        <v>-6.6</v>
      </c>
      <c r="G394">
        <v>-6.64</v>
      </c>
      <c r="H394">
        <v>3.34</v>
      </c>
      <c r="I394">
        <v>-24.74</v>
      </c>
      <c r="J394">
        <v>-24</v>
      </c>
      <c r="K394">
        <v>5.23</v>
      </c>
      <c r="L394" t="s">
        <v>0</v>
      </c>
      <c r="M394" t="s">
        <v>0</v>
      </c>
      <c r="N394" t="s">
        <v>0</v>
      </c>
    </row>
    <row r="395" spans="1:14" x14ac:dyDescent="0.2">
      <c r="A395">
        <v>1972</v>
      </c>
      <c r="B395">
        <v>10</v>
      </c>
      <c r="C395">
        <v>-18.05</v>
      </c>
      <c r="D395">
        <v>-17.46</v>
      </c>
      <c r="E395">
        <v>2.84</v>
      </c>
      <c r="F395">
        <v>-6.56</v>
      </c>
      <c r="G395">
        <v>-6.67</v>
      </c>
      <c r="H395">
        <v>3.36</v>
      </c>
      <c r="I395">
        <v>-24.61</v>
      </c>
      <c r="J395">
        <v>-24.14</v>
      </c>
      <c r="K395">
        <v>5.22</v>
      </c>
      <c r="L395" t="s">
        <v>0</v>
      </c>
      <c r="M395" t="s">
        <v>0</v>
      </c>
      <c r="N395" t="s">
        <v>0</v>
      </c>
    </row>
    <row r="396" spans="1:14" x14ac:dyDescent="0.2">
      <c r="A396">
        <v>1972</v>
      </c>
      <c r="B396">
        <v>11</v>
      </c>
      <c r="C396">
        <v>-18.14</v>
      </c>
      <c r="D396">
        <v>-17.54</v>
      </c>
      <c r="E396">
        <v>2.81</v>
      </c>
      <c r="F396">
        <v>-6.65</v>
      </c>
      <c r="G396">
        <v>-6.69</v>
      </c>
      <c r="H396">
        <v>3.38</v>
      </c>
      <c r="I396">
        <v>-24.79</v>
      </c>
      <c r="J396">
        <v>-24.23</v>
      </c>
      <c r="K396">
        <v>5.21</v>
      </c>
      <c r="L396" t="s">
        <v>0</v>
      </c>
      <c r="M396" t="s">
        <v>0</v>
      </c>
      <c r="N396" t="s">
        <v>0</v>
      </c>
    </row>
    <row r="397" spans="1:14" x14ac:dyDescent="0.2">
      <c r="A397">
        <v>1972</v>
      </c>
      <c r="B397">
        <v>12</v>
      </c>
      <c r="C397">
        <v>-17.63</v>
      </c>
      <c r="D397">
        <v>-17.579999999999998</v>
      </c>
      <c r="E397">
        <v>2.75</v>
      </c>
      <c r="F397">
        <v>-6.9</v>
      </c>
      <c r="G397">
        <v>-6.7</v>
      </c>
      <c r="H397">
        <v>3.41</v>
      </c>
      <c r="I397">
        <v>-24.53</v>
      </c>
      <c r="J397">
        <v>-24.28</v>
      </c>
      <c r="K397">
        <v>5.16</v>
      </c>
      <c r="L397" t="s">
        <v>0</v>
      </c>
      <c r="M397" t="s">
        <v>0</v>
      </c>
      <c r="N397" t="s">
        <v>0</v>
      </c>
    </row>
    <row r="398" spans="1:14" x14ac:dyDescent="0.2">
      <c r="A398">
        <v>1973</v>
      </c>
      <c r="B398">
        <v>1</v>
      </c>
      <c r="C398">
        <v>-17.62</v>
      </c>
      <c r="D398">
        <v>-17.55</v>
      </c>
      <c r="E398">
        <v>2.72</v>
      </c>
      <c r="F398">
        <v>-6.55</v>
      </c>
      <c r="G398">
        <v>-6.72</v>
      </c>
      <c r="H398">
        <v>3.4</v>
      </c>
      <c r="I398">
        <v>-24.17</v>
      </c>
      <c r="J398">
        <v>-24.27</v>
      </c>
      <c r="K398">
        <v>5.1100000000000003</v>
      </c>
      <c r="L398" t="s">
        <v>0</v>
      </c>
      <c r="M398" t="s">
        <v>0</v>
      </c>
      <c r="N398" t="s">
        <v>0</v>
      </c>
    </row>
    <row r="399" spans="1:14" x14ac:dyDescent="0.2">
      <c r="A399">
        <v>1973</v>
      </c>
      <c r="B399">
        <v>2</v>
      </c>
      <c r="C399">
        <v>-17.95</v>
      </c>
      <c r="D399">
        <v>-17.41</v>
      </c>
      <c r="E399">
        <v>2.79</v>
      </c>
      <c r="F399">
        <v>-6.71</v>
      </c>
      <c r="G399">
        <v>-6.73</v>
      </c>
      <c r="H399">
        <v>3.38</v>
      </c>
      <c r="I399">
        <v>-24.66</v>
      </c>
      <c r="J399">
        <v>-24.14</v>
      </c>
      <c r="K399">
        <v>5.15</v>
      </c>
      <c r="L399" t="s">
        <v>0</v>
      </c>
      <c r="M399" t="s">
        <v>0</v>
      </c>
      <c r="N399" t="s">
        <v>0</v>
      </c>
    </row>
    <row r="400" spans="1:14" x14ac:dyDescent="0.2">
      <c r="A400">
        <v>1973</v>
      </c>
      <c r="B400">
        <v>3</v>
      </c>
      <c r="C400">
        <v>-17.27</v>
      </c>
      <c r="D400">
        <v>-17.25</v>
      </c>
      <c r="E400">
        <v>2.82</v>
      </c>
      <c r="F400">
        <v>-6.91</v>
      </c>
      <c r="G400">
        <v>-6.75</v>
      </c>
      <c r="H400">
        <v>3.35</v>
      </c>
      <c r="I400">
        <v>-24.18</v>
      </c>
      <c r="J400">
        <v>-24</v>
      </c>
      <c r="K400">
        <v>5.15</v>
      </c>
      <c r="L400" t="s">
        <v>0</v>
      </c>
      <c r="M400" t="s">
        <v>0</v>
      </c>
      <c r="N400" t="s">
        <v>0</v>
      </c>
    </row>
    <row r="401" spans="1:14" x14ac:dyDescent="0.2">
      <c r="A401">
        <v>1973</v>
      </c>
      <c r="B401">
        <v>4</v>
      </c>
      <c r="C401">
        <v>-16.46</v>
      </c>
      <c r="D401">
        <v>-17.100000000000001</v>
      </c>
      <c r="E401">
        <v>2.81</v>
      </c>
      <c r="F401">
        <v>-6.82</v>
      </c>
      <c r="G401">
        <v>-6.76</v>
      </c>
      <c r="H401">
        <v>3.34</v>
      </c>
      <c r="I401">
        <v>-23.28</v>
      </c>
      <c r="J401">
        <v>-23.86</v>
      </c>
      <c r="K401">
        <v>5.13</v>
      </c>
      <c r="L401" t="s">
        <v>0</v>
      </c>
      <c r="M401" t="s">
        <v>0</v>
      </c>
      <c r="N401" t="s">
        <v>0</v>
      </c>
    </row>
    <row r="402" spans="1:14" x14ac:dyDescent="0.2">
      <c r="A402">
        <v>1973</v>
      </c>
      <c r="B402">
        <v>5</v>
      </c>
      <c r="C402">
        <v>-16.32</v>
      </c>
      <c r="D402">
        <v>-16.96</v>
      </c>
      <c r="E402">
        <v>2.98</v>
      </c>
      <c r="F402">
        <v>-6.73</v>
      </c>
      <c r="G402">
        <v>-6.76</v>
      </c>
      <c r="H402">
        <v>3.31</v>
      </c>
      <c r="I402">
        <v>-23.05</v>
      </c>
      <c r="J402">
        <v>-23.72</v>
      </c>
      <c r="K402">
        <v>5.26</v>
      </c>
      <c r="L402" t="s">
        <v>0</v>
      </c>
      <c r="M402" t="s">
        <v>0</v>
      </c>
      <c r="N402" t="s">
        <v>0</v>
      </c>
    </row>
    <row r="403" spans="1:14" x14ac:dyDescent="0.2">
      <c r="A403">
        <v>1973</v>
      </c>
      <c r="B403">
        <v>6</v>
      </c>
      <c r="C403">
        <v>-16.8</v>
      </c>
      <c r="D403">
        <v>-16.82</v>
      </c>
      <c r="E403">
        <v>3.06</v>
      </c>
      <c r="F403">
        <v>-6.82</v>
      </c>
      <c r="G403">
        <v>-6.73</v>
      </c>
      <c r="H403">
        <v>3.31</v>
      </c>
      <c r="I403">
        <v>-23.61</v>
      </c>
      <c r="J403">
        <v>-23.55</v>
      </c>
      <c r="K403">
        <v>5.31</v>
      </c>
      <c r="L403" t="s">
        <v>0</v>
      </c>
      <c r="M403" t="s">
        <v>0</v>
      </c>
      <c r="N403" t="s">
        <v>0</v>
      </c>
    </row>
    <row r="404" spans="1:14" x14ac:dyDescent="0.2">
      <c r="A404">
        <v>1973</v>
      </c>
      <c r="B404">
        <v>7</v>
      </c>
      <c r="C404">
        <v>-16.89</v>
      </c>
      <c r="D404">
        <v>-16.690000000000001</v>
      </c>
      <c r="E404">
        <v>3.08</v>
      </c>
      <c r="F404">
        <v>-6.8</v>
      </c>
      <c r="G404">
        <v>-6.7</v>
      </c>
      <c r="H404">
        <v>3.29</v>
      </c>
      <c r="I404">
        <v>-23.69</v>
      </c>
      <c r="J404">
        <v>-23.38</v>
      </c>
      <c r="K404">
        <v>5.3</v>
      </c>
      <c r="L404" t="s">
        <v>0</v>
      </c>
      <c r="M404" t="s">
        <v>0</v>
      </c>
      <c r="N404" t="s">
        <v>0</v>
      </c>
    </row>
    <row r="405" spans="1:14" x14ac:dyDescent="0.2">
      <c r="A405">
        <v>1973</v>
      </c>
      <c r="B405">
        <v>8</v>
      </c>
      <c r="C405">
        <v>-16.600000000000001</v>
      </c>
      <c r="D405">
        <v>-16.57</v>
      </c>
      <c r="E405">
        <v>3.14</v>
      </c>
      <c r="F405">
        <v>-6.81</v>
      </c>
      <c r="G405">
        <v>-6.66</v>
      </c>
      <c r="H405">
        <v>3.34</v>
      </c>
      <c r="I405">
        <v>-23.41</v>
      </c>
      <c r="J405">
        <v>-23.23</v>
      </c>
      <c r="K405">
        <v>5.39</v>
      </c>
      <c r="L405" t="s">
        <v>0</v>
      </c>
      <c r="M405" t="s">
        <v>0</v>
      </c>
      <c r="N405" t="s">
        <v>0</v>
      </c>
    </row>
    <row r="406" spans="1:14" x14ac:dyDescent="0.2">
      <c r="A406">
        <v>1973</v>
      </c>
      <c r="B406">
        <v>9</v>
      </c>
      <c r="C406">
        <v>-16.38</v>
      </c>
      <c r="D406">
        <v>-16.48</v>
      </c>
      <c r="E406">
        <v>3.04</v>
      </c>
      <c r="F406">
        <v>-6.83</v>
      </c>
      <c r="G406">
        <v>-6.61</v>
      </c>
      <c r="H406">
        <v>3.39</v>
      </c>
      <c r="I406">
        <v>-23.21</v>
      </c>
      <c r="J406">
        <v>-23.09</v>
      </c>
      <c r="K406">
        <v>5.42</v>
      </c>
      <c r="L406" t="s">
        <v>0</v>
      </c>
      <c r="M406" t="s">
        <v>0</v>
      </c>
      <c r="N406" t="s">
        <v>0</v>
      </c>
    </row>
    <row r="407" spans="1:14" x14ac:dyDescent="0.2">
      <c r="A407">
        <v>1973</v>
      </c>
      <c r="B407">
        <v>10</v>
      </c>
      <c r="C407">
        <v>-16.3</v>
      </c>
      <c r="D407">
        <v>-16.5</v>
      </c>
      <c r="E407">
        <v>2.98</v>
      </c>
      <c r="F407">
        <v>-6.66</v>
      </c>
      <c r="G407">
        <v>-6.55</v>
      </c>
      <c r="H407">
        <v>3.42</v>
      </c>
      <c r="I407">
        <v>-22.96</v>
      </c>
      <c r="J407">
        <v>-23.04</v>
      </c>
      <c r="K407">
        <v>5.43</v>
      </c>
      <c r="L407" t="s">
        <v>0</v>
      </c>
      <c r="M407" t="s">
        <v>0</v>
      </c>
      <c r="N407" t="s">
        <v>0</v>
      </c>
    </row>
    <row r="408" spans="1:14" x14ac:dyDescent="0.2">
      <c r="A408">
        <v>1973</v>
      </c>
      <c r="B408">
        <v>11</v>
      </c>
      <c r="C408">
        <v>-16.420000000000002</v>
      </c>
      <c r="D408">
        <v>-16.579999999999998</v>
      </c>
      <c r="E408">
        <v>3.05</v>
      </c>
      <c r="F408">
        <v>-6.51</v>
      </c>
      <c r="G408">
        <v>-6.49</v>
      </c>
      <c r="H408">
        <v>3.42</v>
      </c>
      <c r="I408">
        <v>-22.93</v>
      </c>
      <c r="J408">
        <v>-23.06</v>
      </c>
      <c r="K408">
        <v>5.49</v>
      </c>
      <c r="L408" t="s">
        <v>0</v>
      </c>
      <c r="M408" t="s">
        <v>0</v>
      </c>
      <c r="N408" t="s">
        <v>0</v>
      </c>
    </row>
    <row r="409" spans="1:14" x14ac:dyDescent="0.2">
      <c r="A409">
        <v>1973</v>
      </c>
      <c r="B409">
        <v>12</v>
      </c>
      <c r="C409">
        <v>-15.95</v>
      </c>
      <c r="D409">
        <v>-16.61</v>
      </c>
      <c r="E409">
        <v>2.99</v>
      </c>
      <c r="F409">
        <v>-6.42</v>
      </c>
      <c r="G409">
        <v>-6.43</v>
      </c>
      <c r="H409">
        <v>3.45</v>
      </c>
      <c r="I409">
        <v>-22.37</v>
      </c>
      <c r="J409">
        <v>-23.03</v>
      </c>
      <c r="K409">
        <v>5.5</v>
      </c>
      <c r="L409" t="s">
        <v>0</v>
      </c>
      <c r="M409" t="s">
        <v>0</v>
      </c>
      <c r="N409" t="s">
        <v>0</v>
      </c>
    </row>
    <row r="410" spans="1:14" x14ac:dyDescent="0.2">
      <c r="A410">
        <v>1974</v>
      </c>
      <c r="B410">
        <v>1</v>
      </c>
      <c r="C410">
        <v>-16.21</v>
      </c>
      <c r="D410">
        <v>-16.59</v>
      </c>
      <c r="E410">
        <v>2.92</v>
      </c>
      <c r="F410">
        <v>-6.11</v>
      </c>
      <c r="G410">
        <v>-6.34</v>
      </c>
      <c r="H410">
        <v>3.45</v>
      </c>
      <c r="I410">
        <v>-22.32</v>
      </c>
      <c r="J410">
        <v>-22.93</v>
      </c>
      <c r="K410">
        <v>5.37</v>
      </c>
      <c r="L410" t="s">
        <v>0</v>
      </c>
      <c r="M410" t="s">
        <v>0</v>
      </c>
      <c r="N410" t="s">
        <v>0</v>
      </c>
    </row>
    <row r="411" spans="1:14" x14ac:dyDescent="0.2">
      <c r="A411">
        <v>1974</v>
      </c>
      <c r="B411">
        <v>2</v>
      </c>
      <c r="C411">
        <v>-16.59</v>
      </c>
      <c r="D411">
        <v>-16.510000000000002</v>
      </c>
      <c r="E411">
        <v>2.97</v>
      </c>
      <c r="F411">
        <v>-6.23</v>
      </c>
      <c r="G411">
        <v>-6.26</v>
      </c>
      <c r="H411">
        <v>3.48</v>
      </c>
      <c r="I411">
        <v>-22.82</v>
      </c>
      <c r="J411">
        <v>-22.77</v>
      </c>
      <c r="K411">
        <v>5.38</v>
      </c>
      <c r="L411" t="s">
        <v>0</v>
      </c>
      <c r="M411" t="s">
        <v>0</v>
      </c>
      <c r="N411" t="s">
        <v>0</v>
      </c>
    </row>
    <row r="412" spans="1:14" x14ac:dyDescent="0.2">
      <c r="A412">
        <v>1974</v>
      </c>
      <c r="B412">
        <v>3</v>
      </c>
      <c r="C412">
        <v>-16.5</v>
      </c>
      <c r="D412">
        <v>-16.420000000000002</v>
      </c>
      <c r="E412">
        <v>2.98</v>
      </c>
      <c r="F412">
        <v>-6.17</v>
      </c>
      <c r="G412">
        <v>-6.17</v>
      </c>
      <c r="H412">
        <v>3.49</v>
      </c>
      <c r="I412">
        <v>-22.67</v>
      </c>
      <c r="J412">
        <v>-22.59</v>
      </c>
      <c r="K412">
        <v>5.39</v>
      </c>
      <c r="L412" t="s">
        <v>0</v>
      </c>
      <c r="M412" t="s">
        <v>0</v>
      </c>
      <c r="N412" t="s">
        <v>0</v>
      </c>
    </row>
    <row r="413" spans="1:14" x14ac:dyDescent="0.2">
      <c r="A413">
        <v>1974</v>
      </c>
      <c r="B413">
        <v>4</v>
      </c>
      <c r="C413">
        <v>-17.52</v>
      </c>
      <c r="D413">
        <v>-16.34</v>
      </c>
      <c r="E413">
        <v>3.1</v>
      </c>
      <c r="F413">
        <v>-6.08</v>
      </c>
      <c r="G413">
        <v>-6.09</v>
      </c>
      <c r="H413">
        <v>3.5</v>
      </c>
      <c r="I413">
        <v>-23.61</v>
      </c>
      <c r="J413">
        <v>-22.43</v>
      </c>
      <c r="K413">
        <v>5.48</v>
      </c>
      <c r="L413" t="s">
        <v>0</v>
      </c>
      <c r="M413" t="s">
        <v>0</v>
      </c>
      <c r="N413" t="s">
        <v>0</v>
      </c>
    </row>
    <row r="414" spans="1:14" x14ac:dyDescent="0.2">
      <c r="A414">
        <v>1974</v>
      </c>
      <c r="B414">
        <v>5</v>
      </c>
      <c r="C414">
        <v>-17.16</v>
      </c>
      <c r="D414">
        <v>-16.239999999999998</v>
      </c>
      <c r="E414">
        <v>3.16</v>
      </c>
      <c r="F414">
        <v>-6.12</v>
      </c>
      <c r="G414">
        <v>-6.01</v>
      </c>
      <c r="H414">
        <v>3.5</v>
      </c>
      <c r="I414">
        <v>-23.27</v>
      </c>
      <c r="J414">
        <v>-22.25</v>
      </c>
      <c r="K414">
        <v>5.5</v>
      </c>
      <c r="L414" t="s">
        <v>0</v>
      </c>
      <c r="M414" t="s">
        <v>0</v>
      </c>
      <c r="N414" t="s">
        <v>0</v>
      </c>
    </row>
    <row r="415" spans="1:14" x14ac:dyDescent="0.2">
      <c r="A415">
        <v>1974</v>
      </c>
      <c r="B415">
        <v>6</v>
      </c>
      <c r="C415">
        <v>-16.75</v>
      </c>
      <c r="D415">
        <v>-16.149999999999999</v>
      </c>
      <c r="E415">
        <v>3.25</v>
      </c>
      <c r="F415">
        <v>-5.92</v>
      </c>
      <c r="G415">
        <v>-5.95</v>
      </c>
      <c r="H415">
        <v>3.52</v>
      </c>
      <c r="I415">
        <v>-22.67</v>
      </c>
      <c r="J415">
        <v>-22.09</v>
      </c>
      <c r="K415">
        <v>5.55</v>
      </c>
      <c r="L415" t="s">
        <v>0</v>
      </c>
      <c r="M415" t="s">
        <v>0</v>
      </c>
      <c r="N415" t="s">
        <v>0</v>
      </c>
    </row>
    <row r="416" spans="1:14" x14ac:dyDescent="0.2">
      <c r="A416">
        <v>1974</v>
      </c>
      <c r="B416">
        <v>7</v>
      </c>
      <c r="C416">
        <v>-16.440000000000001</v>
      </c>
      <c r="D416">
        <v>-16.05</v>
      </c>
      <c r="E416">
        <v>3.27</v>
      </c>
      <c r="F416">
        <v>-5.7</v>
      </c>
      <c r="G416">
        <v>-5.88</v>
      </c>
      <c r="H416">
        <v>3.48</v>
      </c>
      <c r="I416">
        <v>-22.14</v>
      </c>
      <c r="J416">
        <v>-21.93</v>
      </c>
      <c r="K416">
        <v>5.55</v>
      </c>
      <c r="L416" t="s">
        <v>0</v>
      </c>
      <c r="M416" t="s">
        <v>0</v>
      </c>
      <c r="N416" t="s">
        <v>0</v>
      </c>
    </row>
    <row r="417" spans="1:14" x14ac:dyDescent="0.2">
      <c r="A417">
        <v>1974</v>
      </c>
      <c r="B417">
        <v>8</v>
      </c>
      <c r="C417">
        <v>-15.26</v>
      </c>
      <c r="D417">
        <v>-15.95</v>
      </c>
      <c r="E417">
        <v>3.44</v>
      </c>
      <c r="F417">
        <v>-5.8</v>
      </c>
      <c r="G417">
        <v>-5.8</v>
      </c>
      <c r="H417">
        <v>3.48</v>
      </c>
      <c r="I417">
        <v>-21.07</v>
      </c>
      <c r="J417">
        <v>-21.75</v>
      </c>
      <c r="K417">
        <v>5.64</v>
      </c>
      <c r="L417" t="s">
        <v>0</v>
      </c>
      <c r="M417" t="s">
        <v>0</v>
      </c>
      <c r="N417" t="s">
        <v>0</v>
      </c>
    </row>
    <row r="418" spans="1:14" x14ac:dyDescent="0.2">
      <c r="A418">
        <v>1974</v>
      </c>
      <c r="B418">
        <v>9</v>
      </c>
      <c r="C418">
        <v>-15.47</v>
      </c>
      <c r="D418">
        <v>-15.84</v>
      </c>
      <c r="E418">
        <v>3.39</v>
      </c>
      <c r="F418">
        <v>-5.79</v>
      </c>
      <c r="G418">
        <v>-5.73</v>
      </c>
      <c r="H418">
        <v>3.47</v>
      </c>
      <c r="I418">
        <v>-21.26</v>
      </c>
      <c r="J418">
        <v>-21.56</v>
      </c>
      <c r="K418">
        <v>5.64</v>
      </c>
      <c r="L418" t="s">
        <v>0</v>
      </c>
      <c r="M418" t="s">
        <v>0</v>
      </c>
      <c r="N418" t="s">
        <v>0</v>
      </c>
    </row>
    <row r="419" spans="1:14" x14ac:dyDescent="0.2">
      <c r="A419">
        <v>1974</v>
      </c>
      <c r="B419">
        <v>10</v>
      </c>
      <c r="C419">
        <v>-15.25</v>
      </c>
      <c r="D419">
        <v>-15.66</v>
      </c>
      <c r="E419">
        <v>3.27</v>
      </c>
      <c r="F419">
        <v>-5.76</v>
      </c>
      <c r="G419">
        <v>-5.66</v>
      </c>
      <c r="H419">
        <v>3.48</v>
      </c>
      <c r="I419">
        <v>-21.01</v>
      </c>
      <c r="J419">
        <v>-21.32</v>
      </c>
      <c r="K419">
        <v>5.58</v>
      </c>
      <c r="L419" t="s">
        <v>0</v>
      </c>
      <c r="M419" t="s">
        <v>0</v>
      </c>
      <c r="N419" t="s">
        <v>0</v>
      </c>
    </row>
    <row r="420" spans="1:14" x14ac:dyDescent="0.2">
      <c r="A420">
        <v>1974</v>
      </c>
      <c r="B420">
        <v>11</v>
      </c>
      <c r="C420">
        <v>-15.1</v>
      </c>
      <c r="D420">
        <v>-15.45</v>
      </c>
      <c r="E420">
        <v>3.19</v>
      </c>
      <c r="F420">
        <v>-5.61</v>
      </c>
      <c r="G420">
        <v>-5.61</v>
      </c>
      <c r="H420">
        <v>3.47</v>
      </c>
      <c r="I420">
        <v>-20.71</v>
      </c>
      <c r="J420">
        <v>-21.06</v>
      </c>
      <c r="K420">
        <v>5.5</v>
      </c>
      <c r="L420" t="s">
        <v>0</v>
      </c>
      <c r="M420" t="s">
        <v>0</v>
      </c>
      <c r="N420" t="s">
        <v>0</v>
      </c>
    </row>
    <row r="421" spans="1:14" x14ac:dyDescent="0.2">
      <c r="A421">
        <v>1974</v>
      </c>
      <c r="B421">
        <v>12</v>
      </c>
      <c r="C421">
        <v>-15.07</v>
      </c>
      <c r="D421">
        <v>-15.35</v>
      </c>
      <c r="E421">
        <v>3.06</v>
      </c>
      <c r="F421">
        <v>-5.69</v>
      </c>
      <c r="G421">
        <v>-5.59</v>
      </c>
      <c r="H421">
        <v>3.44</v>
      </c>
      <c r="I421">
        <v>-20.76</v>
      </c>
      <c r="J421">
        <v>-20.93</v>
      </c>
      <c r="K421">
        <v>5.37</v>
      </c>
      <c r="L421" t="s">
        <v>0</v>
      </c>
      <c r="M421" t="s">
        <v>0</v>
      </c>
      <c r="N421" t="s">
        <v>0</v>
      </c>
    </row>
    <row r="422" spans="1:14" x14ac:dyDescent="0.2">
      <c r="A422">
        <v>1975</v>
      </c>
      <c r="B422">
        <v>1</v>
      </c>
      <c r="C422">
        <v>-14.86</v>
      </c>
      <c r="D422">
        <v>-15.32</v>
      </c>
      <c r="E422">
        <v>2.94</v>
      </c>
      <c r="F422">
        <v>-5.25</v>
      </c>
      <c r="G422">
        <v>-5.59</v>
      </c>
      <c r="H422">
        <v>3.39</v>
      </c>
      <c r="I422">
        <v>-20.11</v>
      </c>
      <c r="J422">
        <v>-20.91</v>
      </c>
      <c r="K422">
        <v>5.2</v>
      </c>
      <c r="L422" t="s">
        <v>0</v>
      </c>
      <c r="M422" t="s">
        <v>0</v>
      </c>
      <c r="N422" t="s">
        <v>0</v>
      </c>
    </row>
    <row r="423" spans="1:14" x14ac:dyDescent="0.2">
      <c r="A423">
        <v>1975</v>
      </c>
      <c r="B423">
        <v>2</v>
      </c>
      <c r="C423">
        <v>-15.36</v>
      </c>
      <c r="D423">
        <v>-15.32</v>
      </c>
      <c r="E423">
        <v>3.06</v>
      </c>
      <c r="F423">
        <v>-5.28</v>
      </c>
      <c r="G423">
        <v>-5.58</v>
      </c>
      <c r="H423">
        <v>3.41</v>
      </c>
      <c r="I423">
        <v>-20.63</v>
      </c>
      <c r="J423">
        <v>-20.91</v>
      </c>
      <c r="K423">
        <v>5.29</v>
      </c>
      <c r="L423" t="s">
        <v>0</v>
      </c>
      <c r="M423" t="s">
        <v>0</v>
      </c>
      <c r="N423" t="s">
        <v>0</v>
      </c>
    </row>
    <row r="424" spans="1:14" x14ac:dyDescent="0.2">
      <c r="A424">
        <v>1975</v>
      </c>
      <c r="B424">
        <v>3</v>
      </c>
      <c r="C424">
        <v>-15.14</v>
      </c>
      <c r="D424">
        <v>-15.29</v>
      </c>
      <c r="E424">
        <v>3.17</v>
      </c>
      <c r="F424">
        <v>-5.25</v>
      </c>
      <c r="G424">
        <v>-5.57</v>
      </c>
      <c r="H424">
        <v>3.42</v>
      </c>
      <c r="I424">
        <v>-20.39</v>
      </c>
      <c r="J424">
        <v>-20.87</v>
      </c>
      <c r="K424">
        <v>5.37</v>
      </c>
      <c r="L424" t="s">
        <v>0</v>
      </c>
      <c r="M424" t="s">
        <v>0</v>
      </c>
      <c r="N424" t="s">
        <v>0</v>
      </c>
    </row>
    <row r="425" spans="1:14" x14ac:dyDescent="0.2">
      <c r="A425">
        <v>1975</v>
      </c>
      <c r="B425">
        <v>4</v>
      </c>
      <c r="C425">
        <v>-14.57</v>
      </c>
      <c r="D425">
        <v>-15.2</v>
      </c>
      <c r="E425">
        <v>3.21</v>
      </c>
      <c r="F425">
        <v>-5.33</v>
      </c>
      <c r="G425">
        <v>-5.57</v>
      </c>
      <c r="H425">
        <v>3.44</v>
      </c>
      <c r="I425">
        <v>-19.89</v>
      </c>
      <c r="J425">
        <v>-20.76</v>
      </c>
      <c r="K425">
        <v>5.38</v>
      </c>
      <c r="L425" t="s">
        <v>0</v>
      </c>
      <c r="M425" t="s">
        <v>0</v>
      </c>
      <c r="N425" t="s">
        <v>0</v>
      </c>
    </row>
    <row r="426" spans="1:14" x14ac:dyDescent="0.2">
      <c r="A426">
        <v>1975</v>
      </c>
      <c r="B426">
        <v>5</v>
      </c>
      <c r="C426">
        <v>-15.12</v>
      </c>
      <c r="D426">
        <v>-15.09</v>
      </c>
      <c r="E426">
        <v>3.34</v>
      </c>
      <c r="F426">
        <v>-5.73</v>
      </c>
      <c r="G426">
        <v>-5.56</v>
      </c>
      <c r="H426">
        <v>3.43</v>
      </c>
      <c r="I426">
        <v>-20.84</v>
      </c>
      <c r="J426">
        <v>-20.65</v>
      </c>
      <c r="K426">
        <v>5.52</v>
      </c>
      <c r="L426" t="s">
        <v>0</v>
      </c>
      <c r="M426" t="s">
        <v>0</v>
      </c>
      <c r="N426" t="s">
        <v>0</v>
      </c>
    </row>
    <row r="427" spans="1:14" x14ac:dyDescent="0.2">
      <c r="A427">
        <v>1975</v>
      </c>
      <c r="B427">
        <v>6</v>
      </c>
      <c r="C427">
        <v>-16.3</v>
      </c>
      <c r="D427">
        <v>-15.01</v>
      </c>
      <c r="E427">
        <v>3.61</v>
      </c>
      <c r="F427">
        <v>-5.82</v>
      </c>
      <c r="G427">
        <v>-5.54</v>
      </c>
      <c r="H427">
        <v>3.43</v>
      </c>
      <c r="I427">
        <v>-22.12</v>
      </c>
      <c r="J427">
        <v>-20.56</v>
      </c>
      <c r="K427">
        <v>5.71</v>
      </c>
      <c r="L427" t="s">
        <v>0</v>
      </c>
      <c r="M427" t="s">
        <v>0</v>
      </c>
      <c r="N427" t="s">
        <v>0</v>
      </c>
    </row>
    <row r="428" spans="1:14" x14ac:dyDescent="0.2">
      <c r="A428">
        <v>1975</v>
      </c>
      <c r="B428">
        <v>7</v>
      </c>
      <c r="C428">
        <v>-16.34</v>
      </c>
      <c r="D428">
        <v>-14.98</v>
      </c>
      <c r="E428">
        <v>3.57</v>
      </c>
      <c r="F428">
        <v>-5.78</v>
      </c>
      <c r="G428">
        <v>-5.53</v>
      </c>
      <c r="H428">
        <v>3.46</v>
      </c>
      <c r="I428">
        <v>-22.12</v>
      </c>
      <c r="J428">
        <v>-20.51</v>
      </c>
      <c r="K428">
        <v>5.69</v>
      </c>
      <c r="L428" t="s">
        <v>0</v>
      </c>
      <c r="M428" t="s">
        <v>0</v>
      </c>
      <c r="N428" t="s">
        <v>0</v>
      </c>
    </row>
    <row r="429" spans="1:14" x14ac:dyDescent="0.2">
      <c r="A429">
        <v>1975</v>
      </c>
      <c r="B429">
        <v>8</v>
      </c>
      <c r="C429">
        <v>-15.39</v>
      </c>
      <c r="D429">
        <v>-14.97</v>
      </c>
      <c r="E429">
        <v>3.45</v>
      </c>
      <c r="F429">
        <v>-5.62</v>
      </c>
      <c r="G429">
        <v>-5.52</v>
      </c>
      <c r="H429">
        <v>3.46</v>
      </c>
      <c r="I429">
        <v>-21.01</v>
      </c>
      <c r="J429">
        <v>-20.49</v>
      </c>
      <c r="K429">
        <v>5.64</v>
      </c>
      <c r="L429" t="s">
        <v>0</v>
      </c>
      <c r="M429" t="s">
        <v>0</v>
      </c>
      <c r="N429" t="s">
        <v>0</v>
      </c>
    </row>
    <row r="430" spans="1:14" x14ac:dyDescent="0.2">
      <c r="A430">
        <v>1975</v>
      </c>
      <c r="B430">
        <v>9</v>
      </c>
      <c r="C430">
        <v>-14.59</v>
      </c>
      <c r="D430">
        <v>-14.99</v>
      </c>
      <c r="E430">
        <v>3.34</v>
      </c>
      <c r="F430">
        <v>-5.76</v>
      </c>
      <c r="G430">
        <v>-5.51</v>
      </c>
      <c r="H430">
        <v>3.45</v>
      </c>
      <c r="I430">
        <v>-20.350000000000001</v>
      </c>
      <c r="J430">
        <v>-20.5</v>
      </c>
      <c r="K430">
        <v>5.63</v>
      </c>
      <c r="L430" t="s">
        <v>0</v>
      </c>
      <c r="M430" t="s">
        <v>0</v>
      </c>
      <c r="N430" t="s">
        <v>0</v>
      </c>
    </row>
    <row r="431" spans="1:14" x14ac:dyDescent="0.2">
      <c r="A431">
        <v>1975</v>
      </c>
      <c r="B431">
        <v>10</v>
      </c>
      <c r="C431">
        <v>-13.82</v>
      </c>
      <c r="D431">
        <v>-15.09</v>
      </c>
      <c r="E431">
        <v>3.25</v>
      </c>
      <c r="F431">
        <v>-5.62</v>
      </c>
      <c r="G431">
        <v>-5.51</v>
      </c>
      <c r="H431">
        <v>3.45</v>
      </c>
      <c r="I431">
        <v>-19.440000000000001</v>
      </c>
      <c r="J431">
        <v>-20.59</v>
      </c>
      <c r="K431">
        <v>5.58</v>
      </c>
      <c r="L431" t="s">
        <v>0</v>
      </c>
      <c r="M431" t="s">
        <v>0</v>
      </c>
      <c r="N431" t="s">
        <v>0</v>
      </c>
    </row>
    <row r="432" spans="1:14" x14ac:dyDescent="0.2">
      <c r="A432">
        <v>1975</v>
      </c>
      <c r="B432">
        <v>11</v>
      </c>
      <c r="C432">
        <v>-13.91</v>
      </c>
      <c r="D432">
        <v>-15.19</v>
      </c>
      <c r="E432">
        <v>3.23</v>
      </c>
      <c r="F432">
        <v>-5.53</v>
      </c>
      <c r="G432">
        <v>-5.49</v>
      </c>
      <c r="H432">
        <v>3.47</v>
      </c>
      <c r="I432">
        <v>-19.440000000000001</v>
      </c>
      <c r="J432">
        <v>-20.68</v>
      </c>
      <c r="K432">
        <v>5.61</v>
      </c>
      <c r="L432" t="s">
        <v>0</v>
      </c>
      <c r="M432" t="s">
        <v>0</v>
      </c>
      <c r="N432" t="s">
        <v>0</v>
      </c>
    </row>
    <row r="433" spans="1:14" x14ac:dyDescent="0.2">
      <c r="A433">
        <v>1975</v>
      </c>
      <c r="B433">
        <v>12</v>
      </c>
      <c r="C433">
        <v>-14.47</v>
      </c>
      <c r="D433">
        <v>-15.18</v>
      </c>
      <c r="E433">
        <v>3.23</v>
      </c>
      <c r="F433">
        <v>-5.41</v>
      </c>
      <c r="G433">
        <v>-5.46</v>
      </c>
      <c r="H433">
        <v>3.51</v>
      </c>
      <c r="I433">
        <v>-19.87</v>
      </c>
      <c r="J433">
        <v>-20.64</v>
      </c>
      <c r="K433">
        <v>5.65</v>
      </c>
      <c r="L433" t="s">
        <v>0</v>
      </c>
      <c r="M433" t="s">
        <v>0</v>
      </c>
      <c r="N433" t="s">
        <v>0</v>
      </c>
    </row>
    <row r="434" spans="1:14" x14ac:dyDescent="0.2">
      <c r="A434">
        <v>1976</v>
      </c>
      <c r="B434">
        <v>1</v>
      </c>
      <c r="C434">
        <v>-14.78</v>
      </c>
      <c r="D434">
        <v>-15.11</v>
      </c>
      <c r="E434">
        <v>3.16</v>
      </c>
      <c r="F434">
        <v>-5.14</v>
      </c>
      <c r="G434">
        <v>-5.41</v>
      </c>
      <c r="H434">
        <v>3.46</v>
      </c>
      <c r="I434">
        <v>-19.920000000000002</v>
      </c>
      <c r="J434">
        <v>-20.52</v>
      </c>
      <c r="K434">
        <v>5.51</v>
      </c>
      <c r="L434" t="s">
        <v>0</v>
      </c>
      <c r="M434" t="s">
        <v>0</v>
      </c>
      <c r="N434" t="s">
        <v>0</v>
      </c>
    </row>
    <row r="435" spans="1:14" x14ac:dyDescent="0.2">
      <c r="A435">
        <v>1976</v>
      </c>
      <c r="B435">
        <v>2</v>
      </c>
      <c r="C435">
        <v>-15.09</v>
      </c>
      <c r="D435">
        <v>-15.08</v>
      </c>
      <c r="E435">
        <v>3.19</v>
      </c>
      <c r="F435">
        <v>-5.13</v>
      </c>
      <c r="G435">
        <v>-5.37</v>
      </c>
      <c r="H435">
        <v>3.46</v>
      </c>
      <c r="I435">
        <v>-20.22</v>
      </c>
      <c r="J435">
        <v>-20.45</v>
      </c>
      <c r="K435">
        <v>5.53</v>
      </c>
      <c r="L435" t="s">
        <v>0</v>
      </c>
      <c r="M435" t="s">
        <v>0</v>
      </c>
      <c r="N435" t="s">
        <v>0</v>
      </c>
    </row>
    <row r="436" spans="1:14" x14ac:dyDescent="0.2">
      <c r="A436">
        <v>1976</v>
      </c>
      <c r="B436">
        <v>3</v>
      </c>
      <c r="C436">
        <v>-15.9</v>
      </c>
      <c r="D436">
        <v>-15.03</v>
      </c>
      <c r="E436">
        <v>3.25</v>
      </c>
      <c r="F436">
        <v>-5.2</v>
      </c>
      <c r="G436">
        <v>-5.33</v>
      </c>
      <c r="H436">
        <v>3.42</v>
      </c>
      <c r="I436">
        <v>-21.1</v>
      </c>
      <c r="J436">
        <v>-20.37</v>
      </c>
      <c r="K436">
        <v>5.54</v>
      </c>
      <c r="L436" t="s">
        <v>0</v>
      </c>
      <c r="M436" t="s">
        <v>0</v>
      </c>
      <c r="N436" t="s">
        <v>0</v>
      </c>
    </row>
    <row r="437" spans="1:14" x14ac:dyDescent="0.2">
      <c r="A437">
        <v>1976</v>
      </c>
      <c r="B437">
        <v>4</v>
      </c>
      <c r="C437">
        <v>-16.11</v>
      </c>
      <c r="D437">
        <v>-14.99</v>
      </c>
      <c r="E437">
        <v>3.36</v>
      </c>
      <c r="F437">
        <v>-5.35</v>
      </c>
      <c r="G437">
        <v>-5.29</v>
      </c>
      <c r="H437">
        <v>3.4</v>
      </c>
      <c r="I437">
        <v>-21.46</v>
      </c>
      <c r="J437">
        <v>-20.28</v>
      </c>
      <c r="K437">
        <v>5.59</v>
      </c>
      <c r="L437" t="s">
        <v>0</v>
      </c>
      <c r="M437" t="s">
        <v>0</v>
      </c>
      <c r="N437" t="s">
        <v>0</v>
      </c>
    </row>
    <row r="438" spans="1:14" x14ac:dyDescent="0.2">
      <c r="A438">
        <v>1976</v>
      </c>
      <c r="B438">
        <v>5</v>
      </c>
      <c r="C438">
        <v>-15.98</v>
      </c>
      <c r="D438">
        <v>-15</v>
      </c>
      <c r="E438">
        <v>3.43</v>
      </c>
      <c r="F438">
        <v>-5.39</v>
      </c>
      <c r="G438">
        <v>-5.27</v>
      </c>
      <c r="H438">
        <v>3.38</v>
      </c>
      <c r="I438">
        <v>-21.37</v>
      </c>
      <c r="J438">
        <v>-20.260000000000002</v>
      </c>
      <c r="K438">
        <v>5.59</v>
      </c>
      <c r="L438" t="s">
        <v>0</v>
      </c>
      <c r="M438" t="s">
        <v>0</v>
      </c>
      <c r="N438" t="s">
        <v>0</v>
      </c>
    </row>
    <row r="439" spans="1:14" x14ac:dyDescent="0.2">
      <c r="A439">
        <v>1976</v>
      </c>
      <c r="B439">
        <v>6</v>
      </c>
      <c r="C439">
        <v>-15.33</v>
      </c>
      <c r="D439">
        <v>-14.96</v>
      </c>
      <c r="E439">
        <v>3.45</v>
      </c>
      <c r="F439">
        <v>-5.27</v>
      </c>
      <c r="G439">
        <v>-5.27</v>
      </c>
      <c r="H439">
        <v>3.36</v>
      </c>
      <c r="I439">
        <v>-20.59</v>
      </c>
      <c r="J439">
        <v>-20.23</v>
      </c>
      <c r="K439">
        <v>5.57</v>
      </c>
      <c r="L439" t="s">
        <v>0</v>
      </c>
      <c r="M439" t="s">
        <v>0</v>
      </c>
      <c r="N439" t="s">
        <v>0</v>
      </c>
    </row>
    <row r="440" spans="1:14" x14ac:dyDescent="0.2">
      <c r="A440">
        <v>1976</v>
      </c>
      <c r="B440">
        <v>7</v>
      </c>
      <c r="C440">
        <v>-15.61</v>
      </c>
      <c r="D440">
        <v>-14.83</v>
      </c>
      <c r="E440">
        <v>3.51</v>
      </c>
      <c r="F440">
        <v>-5.28</v>
      </c>
      <c r="G440">
        <v>-5.28</v>
      </c>
      <c r="H440">
        <v>3.32</v>
      </c>
      <c r="I440">
        <v>-20.9</v>
      </c>
      <c r="J440">
        <v>-20.100000000000001</v>
      </c>
      <c r="K440">
        <v>5.51</v>
      </c>
      <c r="L440" t="s">
        <v>0</v>
      </c>
      <c r="M440" t="s">
        <v>0</v>
      </c>
      <c r="N440" t="s">
        <v>0</v>
      </c>
    </row>
    <row r="441" spans="1:14" x14ac:dyDescent="0.2">
      <c r="A441">
        <v>1976</v>
      </c>
      <c r="B441">
        <v>8</v>
      </c>
      <c r="C441">
        <v>-15.24</v>
      </c>
      <c r="D441">
        <v>-14.61</v>
      </c>
      <c r="E441">
        <v>3.42</v>
      </c>
      <c r="F441">
        <v>-5.22</v>
      </c>
      <c r="G441">
        <v>-5.29</v>
      </c>
      <c r="H441">
        <v>3.28</v>
      </c>
      <c r="I441">
        <v>-20.46</v>
      </c>
      <c r="J441">
        <v>-19.899999999999999</v>
      </c>
      <c r="K441">
        <v>5.39</v>
      </c>
      <c r="L441" t="s">
        <v>0</v>
      </c>
      <c r="M441" t="s">
        <v>0</v>
      </c>
      <c r="N441" t="s">
        <v>0</v>
      </c>
    </row>
    <row r="442" spans="1:14" x14ac:dyDescent="0.2">
      <c r="A442">
        <v>1976</v>
      </c>
      <c r="B442">
        <v>9</v>
      </c>
      <c r="C442">
        <v>-13.7</v>
      </c>
      <c r="D442">
        <v>-14.31</v>
      </c>
      <c r="E442">
        <v>3.17</v>
      </c>
      <c r="F442">
        <v>-5.18</v>
      </c>
      <c r="G442">
        <v>-5.29</v>
      </c>
      <c r="H442">
        <v>3.27</v>
      </c>
      <c r="I442">
        <v>-18.89</v>
      </c>
      <c r="J442">
        <v>-19.600000000000001</v>
      </c>
      <c r="K442">
        <v>5.25</v>
      </c>
      <c r="L442" t="s">
        <v>0</v>
      </c>
      <c r="M442" t="s">
        <v>0</v>
      </c>
      <c r="N442" t="s">
        <v>0</v>
      </c>
    </row>
    <row r="443" spans="1:14" x14ac:dyDescent="0.2">
      <c r="A443">
        <v>1976</v>
      </c>
      <c r="B443">
        <v>10</v>
      </c>
      <c r="C443">
        <v>-13.7</v>
      </c>
      <c r="D443">
        <v>-13.93</v>
      </c>
      <c r="E443">
        <v>3.13</v>
      </c>
      <c r="F443">
        <v>-5.2</v>
      </c>
      <c r="G443">
        <v>-5.29</v>
      </c>
      <c r="H443">
        <v>3.26</v>
      </c>
      <c r="I443">
        <v>-18.89</v>
      </c>
      <c r="J443">
        <v>-19.22</v>
      </c>
      <c r="K443">
        <v>5.23</v>
      </c>
      <c r="L443" t="s">
        <v>0</v>
      </c>
      <c r="M443" t="s">
        <v>0</v>
      </c>
      <c r="N443" t="s">
        <v>0</v>
      </c>
    </row>
    <row r="444" spans="1:14" x14ac:dyDescent="0.2">
      <c r="A444">
        <v>1976</v>
      </c>
      <c r="B444">
        <v>11</v>
      </c>
      <c r="C444">
        <v>-14.2</v>
      </c>
      <c r="D444">
        <v>-13.53</v>
      </c>
      <c r="E444">
        <v>3.09</v>
      </c>
      <c r="F444">
        <v>-5.36</v>
      </c>
      <c r="G444">
        <v>-5.28</v>
      </c>
      <c r="H444">
        <v>3.24</v>
      </c>
      <c r="I444">
        <v>-19.55</v>
      </c>
      <c r="J444">
        <v>-18.809999999999999</v>
      </c>
      <c r="K444">
        <v>5.2</v>
      </c>
      <c r="L444" t="s">
        <v>0</v>
      </c>
      <c r="M444" t="s">
        <v>0</v>
      </c>
      <c r="N444" t="s">
        <v>0</v>
      </c>
    </row>
    <row r="445" spans="1:14" x14ac:dyDescent="0.2">
      <c r="A445">
        <v>1976</v>
      </c>
      <c r="B445">
        <v>12</v>
      </c>
      <c r="C445">
        <v>-13.28</v>
      </c>
      <c r="D445">
        <v>-13.25</v>
      </c>
      <c r="E445">
        <v>3.15</v>
      </c>
      <c r="F445">
        <v>-5.53</v>
      </c>
      <c r="G445">
        <v>-5.27</v>
      </c>
      <c r="H445">
        <v>3.23</v>
      </c>
      <c r="I445">
        <v>-18.82</v>
      </c>
      <c r="J445">
        <v>-18.52</v>
      </c>
      <c r="K445">
        <v>5.22</v>
      </c>
      <c r="L445" t="s">
        <v>0</v>
      </c>
      <c r="M445" t="s">
        <v>0</v>
      </c>
      <c r="N445" t="s">
        <v>0</v>
      </c>
    </row>
    <row r="446" spans="1:14" x14ac:dyDescent="0.2">
      <c r="A446">
        <v>1977</v>
      </c>
      <c r="B446">
        <v>1</v>
      </c>
      <c r="C446">
        <v>-12.8</v>
      </c>
      <c r="D446">
        <v>-13.05</v>
      </c>
      <c r="E446">
        <v>3.01</v>
      </c>
      <c r="F446">
        <v>-5.27</v>
      </c>
      <c r="G446">
        <v>-5.26</v>
      </c>
      <c r="H446">
        <v>3.18</v>
      </c>
      <c r="I446">
        <v>-18.059999999999999</v>
      </c>
      <c r="J446">
        <v>-18.309999999999999</v>
      </c>
      <c r="K446">
        <v>5.03</v>
      </c>
      <c r="L446" t="s">
        <v>0</v>
      </c>
      <c r="M446" t="s">
        <v>0</v>
      </c>
      <c r="N446" t="s">
        <v>0</v>
      </c>
    </row>
    <row r="447" spans="1:14" x14ac:dyDescent="0.2">
      <c r="A447">
        <v>1977</v>
      </c>
      <c r="B447">
        <v>2</v>
      </c>
      <c r="C447">
        <v>-11.96</v>
      </c>
      <c r="D447">
        <v>-12.9</v>
      </c>
      <c r="E447">
        <v>2.98</v>
      </c>
      <c r="F447">
        <v>-5.26</v>
      </c>
      <c r="G447">
        <v>-5.24</v>
      </c>
      <c r="H447">
        <v>3.17</v>
      </c>
      <c r="I447">
        <v>-17.22</v>
      </c>
      <c r="J447">
        <v>-18.14</v>
      </c>
      <c r="K447">
        <v>4.99</v>
      </c>
      <c r="L447" t="s">
        <v>0</v>
      </c>
      <c r="M447" t="s">
        <v>0</v>
      </c>
      <c r="N447" t="s">
        <v>0</v>
      </c>
    </row>
    <row r="448" spans="1:14" x14ac:dyDescent="0.2">
      <c r="A448">
        <v>1977</v>
      </c>
      <c r="B448">
        <v>3</v>
      </c>
      <c r="C448">
        <v>-11.77</v>
      </c>
      <c r="D448">
        <v>-12.86</v>
      </c>
      <c r="E448">
        <v>2.99</v>
      </c>
      <c r="F448">
        <v>-5.2</v>
      </c>
      <c r="G448">
        <v>-5.24</v>
      </c>
      <c r="H448">
        <v>3.14</v>
      </c>
      <c r="I448">
        <v>-16.97</v>
      </c>
      <c r="J448">
        <v>-18.11</v>
      </c>
      <c r="K448">
        <v>4.9800000000000004</v>
      </c>
      <c r="L448" t="s">
        <v>0</v>
      </c>
      <c r="M448" t="s">
        <v>0</v>
      </c>
      <c r="N448" t="s">
        <v>0</v>
      </c>
    </row>
    <row r="449" spans="1:14" x14ac:dyDescent="0.2">
      <c r="A449">
        <v>1977</v>
      </c>
      <c r="B449">
        <v>4</v>
      </c>
      <c r="C449">
        <v>-11.08</v>
      </c>
      <c r="D449">
        <v>-12.89</v>
      </c>
      <c r="E449">
        <v>3.1</v>
      </c>
      <c r="F449">
        <v>-5.3</v>
      </c>
      <c r="G449">
        <v>-5.25</v>
      </c>
      <c r="H449">
        <v>3.13</v>
      </c>
      <c r="I449">
        <v>-16.38</v>
      </c>
      <c r="J449">
        <v>-18.14</v>
      </c>
      <c r="K449">
        <v>5.1100000000000003</v>
      </c>
      <c r="L449" t="s">
        <v>0</v>
      </c>
      <c r="M449" t="s">
        <v>0</v>
      </c>
      <c r="N449" t="s">
        <v>0</v>
      </c>
    </row>
    <row r="450" spans="1:14" x14ac:dyDescent="0.2">
      <c r="A450">
        <v>1977</v>
      </c>
      <c r="B450">
        <v>5</v>
      </c>
      <c r="C450">
        <v>-11.37</v>
      </c>
      <c r="D450">
        <v>-12.9</v>
      </c>
      <c r="E450">
        <v>3.16</v>
      </c>
      <c r="F450">
        <v>-5.26</v>
      </c>
      <c r="G450">
        <v>-5.25</v>
      </c>
      <c r="H450">
        <v>3.14</v>
      </c>
      <c r="I450">
        <v>-16.64</v>
      </c>
      <c r="J450">
        <v>-18.149999999999999</v>
      </c>
      <c r="K450">
        <v>5.16</v>
      </c>
      <c r="L450" t="s">
        <v>0</v>
      </c>
      <c r="M450" t="s">
        <v>0</v>
      </c>
      <c r="N450" t="s">
        <v>0</v>
      </c>
    </row>
    <row r="451" spans="1:14" x14ac:dyDescent="0.2">
      <c r="A451">
        <v>1977</v>
      </c>
      <c r="B451">
        <v>6</v>
      </c>
      <c r="C451">
        <v>-13.12</v>
      </c>
      <c r="D451">
        <v>-12.91</v>
      </c>
      <c r="E451">
        <v>3.34</v>
      </c>
      <c r="F451">
        <v>-5.1100000000000003</v>
      </c>
      <c r="G451">
        <v>-5.23</v>
      </c>
      <c r="H451">
        <v>3.14</v>
      </c>
      <c r="I451">
        <v>-18.23</v>
      </c>
      <c r="J451">
        <v>-18.14</v>
      </c>
      <c r="K451">
        <v>5.24</v>
      </c>
      <c r="L451" t="s">
        <v>0</v>
      </c>
      <c r="M451" t="s">
        <v>0</v>
      </c>
      <c r="N451" t="s">
        <v>0</v>
      </c>
    </row>
    <row r="452" spans="1:14" x14ac:dyDescent="0.2">
      <c r="A452">
        <v>1977</v>
      </c>
      <c r="B452">
        <v>7</v>
      </c>
      <c r="C452">
        <v>-13.25</v>
      </c>
      <c r="D452">
        <v>-12.93</v>
      </c>
      <c r="E452">
        <v>3.42</v>
      </c>
      <c r="F452">
        <v>-5.08</v>
      </c>
      <c r="G452">
        <v>-5.21</v>
      </c>
      <c r="H452">
        <v>3.13</v>
      </c>
      <c r="I452">
        <v>-18.34</v>
      </c>
      <c r="J452">
        <v>-18.14</v>
      </c>
      <c r="K452">
        <v>5.26</v>
      </c>
      <c r="L452" t="s">
        <v>0</v>
      </c>
      <c r="M452" t="s">
        <v>0</v>
      </c>
      <c r="N452" t="s">
        <v>0</v>
      </c>
    </row>
    <row r="453" spans="1:14" x14ac:dyDescent="0.2">
      <c r="A453">
        <v>1977</v>
      </c>
      <c r="B453">
        <v>8</v>
      </c>
      <c r="C453">
        <v>-13.83</v>
      </c>
      <c r="D453">
        <v>-12.99</v>
      </c>
      <c r="E453">
        <v>3.45</v>
      </c>
      <c r="F453">
        <v>-5.14</v>
      </c>
      <c r="G453">
        <v>-5.2</v>
      </c>
      <c r="H453">
        <v>3.14</v>
      </c>
      <c r="I453">
        <v>-18.97</v>
      </c>
      <c r="J453">
        <v>-18.190000000000001</v>
      </c>
      <c r="K453">
        <v>5.25</v>
      </c>
      <c r="L453" t="s">
        <v>0</v>
      </c>
      <c r="M453" t="s">
        <v>0</v>
      </c>
      <c r="N453" t="s">
        <v>0</v>
      </c>
    </row>
    <row r="454" spans="1:14" x14ac:dyDescent="0.2">
      <c r="A454">
        <v>1977</v>
      </c>
      <c r="B454">
        <v>9</v>
      </c>
      <c r="C454">
        <v>-14.28</v>
      </c>
      <c r="D454">
        <v>-13.1</v>
      </c>
      <c r="E454">
        <v>3.33</v>
      </c>
      <c r="F454">
        <v>-5.24</v>
      </c>
      <c r="G454">
        <v>-5.2</v>
      </c>
      <c r="H454">
        <v>3.11</v>
      </c>
      <c r="I454">
        <v>-19.52</v>
      </c>
      <c r="J454">
        <v>-18.3</v>
      </c>
      <c r="K454">
        <v>5.14</v>
      </c>
      <c r="L454" t="s">
        <v>0</v>
      </c>
      <c r="M454" t="s">
        <v>0</v>
      </c>
      <c r="N454" t="s">
        <v>0</v>
      </c>
    </row>
    <row r="455" spans="1:14" x14ac:dyDescent="0.2">
      <c r="A455">
        <v>1977</v>
      </c>
      <c r="B455">
        <v>10</v>
      </c>
      <c r="C455">
        <v>-13.87</v>
      </c>
      <c r="D455">
        <v>-13.26</v>
      </c>
      <c r="E455">
        <v>3.16</v>
      </c>
      <c r="F455">
        <v>-5.31</v>
      </c>
      <c r="G455">
        <v>-5.22</v>
      </c>
      <c r="H455">
        <v>3.09</v>
      </c>
      <c r="I455">
        <v>-19.18</v>
      </c>
      <c r="J455">
        <v>-18.489999999999998</v>
      </c>
      <c r="K455">
        <v>4.99</v>
      </c>
      <c r="L455" t="s">
        <v>0</v>
      </c>
      <c r="M455" t="s">
        <v>0</v>
      </c>
      <c r="N455" t="s">
        <v>0</v>
      </c>
    </row>
    <row r="456" spans="1:14" x14ac:dyDescent="0.2">
      <c r="A456">
        <v>1977</v>
      </c>
      <c r="B456">
        <v>11</v>
      </c>
      <c r="C456">
        <v>-14.1</v>
      </c>
      <c r="D456">
        <v>-13.48</v>
      </c>
      <c r="E456">
        <v>3.09</v>
      </c>
      <c r="F456">
        <v>-5.24</v>
      </c>
      <c r="G456">
        <v>-5.24</v>
      </c>
      <c r="H456">
        <v>3.09</v>
      </c>
      <c r="I456">
        <v>-19.34</v>
      </c>
      <c r="J456">
        <v>-18.72</v>
      </c>
      <c r="K456">
        <v>4.9400000000000004</v>
      </c>
      <c r="L456" t="s">
        <v>0</v>
      </c>
      <c r="M456" t="s">
        <v>0</v>
      </c>
      <c r="N456" t="s">
        <v>0</v>
      </c>
    </row>
    <row r="457" spans="1:14" x14ac:dyDescent="0.2">
      <c r="A457">
        <v>1977</v>
      </c>
      <c r="B457">
        <v>12</v>
      </c>
      <c r="C457">
        <v>-13.62</v>
      </c>
      <c r="D457">
        <v>-13.63</v>
      </c>
      <c r="E457">
        <v>3.01</v>
      </c>
      <c r="F457">
        <v>-5.24</v>
      </c>
      <c r="G457">
        <v>-5.27</v>
      </c>
      <c r="H457">
        <v>3.09</v>
      </c>
      <c r="I457">
        <v>-18.86</v>
      </c>
      <c r="J457">
        <v>-18.899999999999999</v>
      </c>
      <c r="K457">
        <v>4.88</v>
      </c>
      <c r="L457" t="s">
        <v>0</v>
      </c>
      <c r="M457" t="s">
        <v>0</v>
      </c>
      <c r="N457" t="s">
        <v>0</v>
      </c>
    </row>
    <row r="458" spans="1:14" x14ac:dyDescent="0.2">
      <c r="A458">
        <v>1978</v>
      </c>
      <c r="B458">
        <v>1</v>
      </c>
      <c r="C458">
        <v>-13.02</v>
      </c>
      <c r="D458">
        <v>-13.67</v>
      </c>
      <c r="E458">
        <v>2.87</v>
      </c>
      <c r="F458">
        <v>-5.0599999999999996</v>
      </c>
      <c r="G458">
        <v>-5.3</v>
      </c>
      <c r="H458">
        <v>3.04</v>
      </c>
      <c r="I458">
        <v>-18.079999999999998</v>
      </c>
      <c r="J458">
        <v>-18.97</v>
      </c>
      <c r="K458">
        <v>4.7</v>
      </c>
      <c r="L458" t="s">
        <v>0</v>
      </c>
      <c r="M458" t="s">
        <v>0</v>
      </c>
      <c r="N458" t="s">
        <v>0</v>
      </c>
    </row>
    <row r="459" spans="1:14" x14ac:dyDescent="0.2">
      <c r="A459">
        <v>1978</v>
      </c>
      <c r="B459">
        <v>2</v>
      </c>
      <c r="C459">
        <v>-13.16</v>
      </c>
      <c r="D459">
        <v>-13.67</v>
      </c>
      <c r="E459">
        <v>2.9</v>
      </c>
      <c r="F459">
        <v>-5.16</v>
      </c>
      <c r="G459">
        <v>-5.35</v>
      </c>
      <c r="H459">
        <v>3.01</v>
      </c>
      <c r="I459">
        <v>-18.329999999999998</v>
      </c>
      <c r="J459">
        <v>-19.02</v>
      </c>
      <c r="K459">
        <v>4.6900000000000004</v>
      </c>
      <c r="L459" t="s">
        <v>0</v>
      </c>
      <c r="M459" t="s">
        <v>0</v>
      </c>
      <c r="N459" t="s">
        <v>0</v>
      </c>
    </row>
    <row r="460" spans="1:14" x14ac:dyDescent="0.2">
      <c r="A460">
        <v>1978</v>
      </c>
      <c r="B460">
        <v>3</v>
      </c>
      <c r="C460">
        <v>-13.18</v>
      </c>
      <c r="D460">
        <v>-13.64</v>
      </c>
      <c r="E460">
        <v>2.87</v>
      </c>
      <c r="F460">
        <v>-5.39</v>
      </c>
      <c r="G460">
        <v>-5.39</v>
      </c>
      <c r="H460">
        <v>3</v>
      </c>
      <c r="I460">
        <v>-18.57</v>
      </c>
      <c r="J460">
        <v>-19.03</v>
      </c>
      <c r="K460">
        <v>4.6900000000000004</v>
      </c>
      <c r="L460" t="s">
        <v>0</v>
      </c>
      <c r="M460" t="s">
        <v>0</v>
      </c>
      <c r="N460" t="s">
        <v>0</v>
      </c>
    </row>
    <row r="461" spans="1:14" x14ac:dyDescent="0.2">
      <c r="A461">
        <v>1978</v>
      </c>
      <c r="B461">
        <v>4</v>
      </c>
      <c r="C461">
        <v>-13.65</v>
      </c>
      <c r="D461">
        <v>-13.59</v>
      </c>
      <c r="E461">
        <v>2.89</v>
      </c>
      <c r="F461">
        <v>-5.51</v>
      </c>
      <c r="G461">
        <v>-5.42</v>
      </c>
      <c r="H461">
        <v>3</v>
      </c>
      <c r="I461">
        <v>-19.149999999999999</v>
      </c>
      <c r="J461">
        <v>-19.010000000000002</v>
      </c>
      <c r="K461">
        <v>4.71</v>
      </c>
      <c r="L461" t="s">
        <v>0</v>
      </c>
      <c r="M461" t="s">
        <v>0</v>
      </c>
      <c r="N461" t="s">
        <v>0</v>
      </c>
    </row>
    <row r="462" spans="1:14" x14ac:dyDescent="0.2">
      <c r="A462">
        <v>1978</v>
      </c>
      <c r="B462">
        <v>5</v>
      </c>
      <c r="C462">
        <v>-13.94</v>
      </c>
      <c r="D462">
        <v>-13.54</v>
      </c>
      <c r="E462">
        <v>2.96</v>
      </c>
      <c r="F462">
        <v>-5.58</v>
      </c>
      <c r="G462">
        <v>-5.45</v>
      </c>
      <c r="H462">
        <v>2.95</v>
      </c>
      <c r="I462">
        <v>-19.510000000000002</v>
      </c>
      <c r="J462">
        <v>-18.989999999999998</v>
      </c>
      <c r="K462">
        <v>4.7</v>
      </c>
      <c r="L462" t="s">
        <v>0</v>
      </c>
      <c r="M462" t="s">
        <v>0</v>
      </c>
      <c r="N462" t="s">
        <v>0</v>
      </c>
    </row>
    <row r="463" spans="1:14" x14ac:dyDescent="0.2">
      <c r="A463">
        <v>1978</v>
      </c>
      <c r="B463">
        <v>6</v>
      </c>
      <c r="C463">
        <v>-14.13</v>
      </c>
      <c r="D463">
        <v>-13.51</v>
      </c>
      <c r="E463">
        <v>3.09</v>
      </c>
      <c r="F463">
        <v>-5.45</v>
      </c>
      <c r="G463">
        <v>-5.48</v>
      </c>
      <c r="H463">
        <v>2.93</v>
      </c>
      <c r="I463">
        <v>-19.579999999999998</v>
      </c>
      <c r="J463">
        <v>-18.989999999999998</v>
      </c>
      <c r="K463">
        <v>4.7699999999999996</v>
      </c>
      <c r="L463" t="s">
        <v>0</v>
      </c>
      <c r="M463" t="s">
        <v>0</v>
      </c>
      <c r="N463" t="s">
        <v>0</v>
      </c>
    </row>
    <row r="464" spans="1:14" x14ac:dyDescent="0.2">
      <c r="A464">
        <v>1978</v>
      </c>
      <c r="B464">
        <v>7</v>
      </c>
      <c r="C464">
        <v>-13.28</v>
      </c>
      <c r="D464">
        <v>-13.55</v>
      </c>
      <c r="E464">
        <v>3.18</v>
      </c>
      <c r="F464">
        <v>-5.55</v>
      </c>
      <c r="G464">
        <v>-5.53</v>
      </c>
      <c r="H464">
        <v>2.92</v>
      </c>
      <c r="I464">
        <v>-18.829999999999998</v>
      </c>
      <c r="J464">
        <v>-19.07</v>
      </c>
      <c r="K464">
        <v>4.79</v>
      </c>
      <c r="L464" t="s">
        <v>0</v>
      </c>
      <c r="M464" t="s">
        <v>0</v>
      </c>
      <c r="N464" t="s">
        <v>0</v>
      </c>
    </row>
    <row r="465" spans="1:14" x14ac:dyDescent="0.2">
      <c r="A465">
        <v>1978</v>
      </c>
      <c r="B465">
        <v>8</v>
      </c>
      <c r="C465">
        <v>-13.85</v>
      </c>
      <c r="D465">
        <v>-13.62</v>
      </c>
      <c r="E465">
        <v>3.06</v>
      </c>
      <c r="F465">
        <v>-5.71</v>
      </c>
      <c r="G465">
        <v>-5.59</v>
      </c>
      <c r="H465">
        <v>2.92</v>
      </c>
      <c r="I465">
        <v>-19.559999999999999</v>
      </c>
      <c r="J465">
        <v>-19.21</v>
      </c>
      <c r="K465">
        <v>4.7</v>
      </c>
      <c r="L465" t="s">
        <v>0</v>
      </c>
      <c r="M465" t="s">
        <v>0</v>
      </c>
      <c r="N465" t="s">
        <v>0</v>
      </c>
    </row>
    <row r="466" spans="1:14" x14ac:dyDescent="0.2">
      <c r="A466">
        <v>1978</v>
      </c>
      <c r="B466">
        <v>9</v>
      </c>
      <c r="C466">
        <v>-13.5</v>
      </c>
      <c r="D466">
        <v>-13.67</v>
      </c>
      <c r="E466">
        <v>2.75</v>
      </c>
      <c r="F466">
        <v>-5.71</v>
      </c>
      <c r="G466">
        <v>-5.65</v>
      </c>
      <c r="H466">
        <v>2.9</v>
      </c>
      <c r="I466">
        <v>-19.21</v>
      </c>
      <c r="J466">
        <v>-19.32</v>
      </c>
      <c r="K466">
        <v>4.4800000000000004</v>
      </c>
      <c r="L466" t="s">
        <v>0</v>
      </c>
      <c r="M466" t="s">
        <v>0</v>
      </c>
      <c r="N466" t="s">
        <v>0</v>
      </c>
    </row>
    <row r="467" spans="1:14" x14ac:dyDescent="0.2">
      <c r="A467">
        <v>1978</v>
      </c>
      <c r="B467">
        <v>10</v>
      </c>
      <c r="C467">
        <v>-13.36</v>
      </c>
      <c r="D467">
        <v>-13.66</v>
      </c>
      <c r="E467">
        <v>2.57</v>
      </c>
      <c r="F467">
        <v>-5.6</v>
      </c>
      <c r="G467">
        <v>-5.72</v>
      </c>
      <c r="H467">
        <v>2.91</v>
      </c>
      <c r="I467">
        <v>-18.96</v>
      </c>
      <c r="J467">
        <v>-19.37</v>
      </c>
      <c r="K467">
        <v>4.37</v>
      </c>
      <c r="L467" t="s">
        <v>0</v>
      </c>
      <c r="M467" t="s">
        <v>0</v>
      </c>
      <c r="N467" t="s">
        <v>0</v>
      </c>
    </row>
    <row r="468" spans="1:14" x14ac:dyDescent="0.2">
      <c r="A468">
        <v>1978</v>
      </c>
      <c r="B468">
        <v>11</v>
      </c>
      <c r="C468">
        <v>-13.55</v>
      </c>
      <c r="D468">
        <v>-13.58</v>
      </c>
      <c r="E468">
        <v>2.41</v>
      </c>
      <c r="F468">
        <v>-5.55</v>
      </c>
      <c r="G468">
        <v>-5.78</v>
      </c>
      <c r="H468">
        <v>2.9</v>
      </c>
      <c r="I468">
        <v>-19.100000000000001</v>
      </c>
      <c r="J468">
        <v>-19.36</v>
      </c>
      <c r="K468">
        <v>4.28</v>
      </c>
      <c r="L468" t="s">
        <v>0</v>
      </c>
      <c r="M468" t="s">
        <v>0</v>
      </c>
      <c r="N468" t="s">
        <v>0</v>
      </c>
    </row>
    <row r="469" spans="1:14" x14ac:dyDescent="0.2">
      <c r="A469">
        <v>1978</v>
      </c>
      <c r="B469">
        <v>12</v>
      </c>
      <c r="C469">
        <v>-13.45</v>
      </c>
      <c r="D469">
        <v>-13.5</v>
      </c>
      <c r="E469">
        <v>2.33</v>
      </c>
      <c r="F469">
        <v>-5.69</v>
      </c>
      <c r="G469">
        <v>-5.83</v>
      </c>
      <c r="H469">
        <v>2.91</v>
      </c>
      <c r="I469">
        <v>-19.149999999999999</v>
      </c>
      <c r="J469">
        <v>-19.329999999999998</v>
      </c>
      <c r="K469">
        <v>4.22</v>
      </c>
      <c r="L469" t="s">
        <v>0</v>
      </c>
      <c r="M469" t="s">
        <v>0</v>
      </c>
      <c r="N469" t="s">
        <v>0</v>
      </c>
    </row>
    <row r="470" spans="1:14" x14ac:dyDescent="0.2">
      <c r="A470">
        <v>1979</v>
      </c>
      <c r="B470">
        <v>1</v>
      </c>
      <c r="C470">
        <v>-13.98</v>
      </c>
      <c r="D470">
        <v>-13.54</v>
      </c>
      <c r="E470">
        <v>2.27</v>
      </c>
      <c r="F470">
        <v>-5.75</v>
      </c>
      <c r="G470">
        <v>-5.86</v>
      </c>
      <c r="H470">
        <v>2.88</v>
      </c>
      <c r="I470">
        <v>-19.73</v>
      </c>
      <c r="J470">
        <v>-19.399999999999999</v>
      </c>
      <c r="K470">
        <v>4.1500000000000004</v>
      </c>
      <c r="L470" t="s">
        <v>0</v>
      </c>
      <c r="M470" t="s">
        <v>0</v>
      </c>
      <c r="N470" t="s">
        <v>0</v>
      </c>
    </row>
    <row r="471" spans="1:14" x14ac:dyDescent="0.2">
      <c r="A471">
        <v>1979</v>
      </c>
      <c r="B471">
        <v>2</v>
      </c>
      <c r="C471">
        <v>-13.91</v>
      </c>
      <c r="D471">
        <v>-13.67</v>
      </c>
      <c r="E471">
        <v>2.27</v>
      </c>
      <c r="F471">
        <v>-5.98</v>
      </c>
      <c r="G471">
        <v>-5.88</v>
      </c>
      <c r="H471">
        <v>2.84</v>
      </c>
      <c r="I471">
        <v>-19.899999999999999</v>
      </c>
      <c r="J471">
        <v>-19.55</v>
      </c>
      <c r="K471">
        <v>4.1100000000000003</v>
      </c>
      <c r="L471" t="s">
        <v>0</v>
      </c>
      <c r="M471" t="s">
        <v>0</v>
      </c>
      <c r="N471" t="s">
        <v>0</v>
      </c>
    </row>
    <row r="472" spans="1:14" x14ac:dyDescent="0.2">
      <c r="A472">
        <v>1979</v>
      </c>
      <c r="B472">
        <v>3</v>
      </c>
      <c r="C472">
        <v>-13.65</v>
      </c>
      <c r="D472">
        <v>-13.84</v>
      </c>
      <c r="E472">
        <v>2.27</v>
      </c>
      <c r="F472">
        <v>-6.12</v>
      </c>
      <c r="G472">
        <v>-5.88</v>
      </c>
      <c r="H472">
        <v>2.81</v>
      </c>
      <c r="I472">
        <v>-19.77</v>
      </c>
      <c r="J472">
        <v>-19.73</v>
      </c>
      <c r="K472">
        <v>4.0599999999999996</v>
      </c>
      <c r="L472" t="s">
        <v>0</v>
      </c>
      <c r="M472" t="s">
        <v>0</v>
      </c>
      <c r="N472" t="s">
        <v>0</v>
      </c>
    </row>
    <row r="473" spans="1:14" x14ac:dyDescent="0.2">
      <c r="A473">
        <v>1979</v>
      </c>
      <c r="B473">
        <v>4</v>
      </c>
      <c r="C473">
        <v>-12.93</v>
      </c>
      <c r="D473">
        <v>-14.04</v>
      </c>
      <c r="E473">
        <v>2.2799999999999998</v>
      </c>
      <c r="F473">
        <v>-6.3</v>
      </c>
      <c r="G473">
        <v>-5.9</v>
      </c>
      <c r="H473">
        <v>2.83</v>
      </c>
      <c r="I473">
        <v>-19.23</v>
      </c>
      <c r="J473">
        <v>-19.940000000000001</v>
      </c>
      <c r="K473">
        <v>4.09</v>
      </c>
      <c r="L473" t="s">
        <v>0</v>
      </c>
      <c r="M473" t="s">
        <v>0</v>
      </c>
      <c r="N473" t="s">
        <v>0</v>
      </c>
    </row>
    <row r="474" spans="1:14" x14ac:dyDescent="0.2">
      <c r="A474">
        <v>1979</v>
      </c>
      <c r="B474">
        <v>5</v>
      </c>
      <c r="C474">
        <v>-12.74</v>
      </c>
      <c r="D474">
        <v>-14.21</v>
      </c>
      <c r="E474">
        <v>2.2999999999999998</v>
      </c>
      <c r="F474">
        <v>-6.24</v>
      </c>
      <c r="G474">
        <v>-5.91</v>
      </c>
      <c r="H474">
        <v>2.8</v>
      </c>
      <c r="I474">
        <v>-18.98</v>
      </c>
      <c r="J474">
        <v>-20.13</v>
      </c>
      <c r="K474">
        <v>4.0599999999999996</v>
      </c>
      <c r="L474" t="s">
        <v>0</v>
      </c>
      <c r="M474" t="s">
        <v>0</v>
      </c>
      <c r="N474" t="s">
        <v>0</v>
      </c>
    </row>
    <row r="475" spans="1:14" x14ac:dyDescent="0.2">
      <c r="A475">
        <v>1979</v>
      </c>
      <c r="B475">
        <v>6</v>
      </c>
      <c r="C475">
        <v>-13.5</v>
      </c>
      <c r="D475">
        <v>-14.34</v>
      </c>
      <c r="E475">
        <v>2.46</v>
      </c>
      <c r="F475">
        <v>-5.95</v>
      </c>
      <c r="G475">
        <v>-5.94</v>
      </c>
      <c r="H475">
        <v>2.8</v>
      </c>
      <c r="I475">
        <v>-19.440000000000001</v>
      </c>
      <c r="J475">
        <v>-20.27</v>
      </c>
      <c r="K475">
        <v>4.17</v>
      </c>
      <c r="L475" t="s">
        <v>0</v>
      </c>
      <c r="M475" t="s">
        <v>0</v>
      </c>
      <c r="N475" t="s">
        <v>0</v>
      </c>
    </row>
    <row r="476" spans="1:14" x14ac:dyDescent="0.2">
      <c r="A476">
        <v>1979</v>
      </c>
      <c r="B476">
        <v>7</v>
      </c>
      <c r="C476">
        <v>-14.72</v>
      </c>
      <c r="D476">
        <v>-14.32</v>
      </c>
      <c r="E476">
        <v>2.62</v>
      </c>
      <c r="F476">
        <v>-5.86</v>
      </c>
      <c r="G476">
        <v>-5.96</v>
      </c>
      <c r="H476">
        <v>2.77</v>
      </c>
      <c r="I476">
        <v>-20.59</v>
      </c>
      <c r="J476">
        <v>-20.28</v>
      </c>
      <c r="K476">
        <v>4.21</v>
      </c>
      <c r="L476" t="s">
        <v>0</v>
      </c>
      <c r="M476" t="s">
        <v>0</v>
      </c>
      <c r="N476" t="s">
        <v>0</v>
      </c>
    </row>
    <row r="477" spans="1:14" x14ac:dyDescent="0.2">
      <c r="A477">
        <v>1979</v>
      </c>
      <c r="B477">
        <v>8</v>
      </c>
      <c r="C477">
        <v>-15.58</v>
      </c>
      <c r="D477">
        <v>-14.16</v>
      </c>
      <c r="E477">
        <v>2.5499999999999998</v>
      </c>
      <c r="F477">
        <v>-5.82</v>
      </c>
      <c r="G477">
        <v>-5.97</v>
      </c>
      <c r="H477">
        <v>2.78</v>
      </c>
      <c r="I477">
        <v>-21.4</v>
      </c>
      <c r="J477">
        <v>-20.14</v>
      </c>
      <c r="K477">
        <v>4.1399999999999997</v>
      </c>
      <c r="L477" t="s">
        <v>0</v>
      </c>
      <c r="M477" t="s">
        <v>0</v>
      </c>
      <c r="N477" t="s">
        <v>0</v>
      </c>
    </row>
    <row r="478" spans="1:14" x14ac:dyDescent="0.2">
      <c r="A478">
        <v>1979</v>
      </c>
      <c r="B478">
        <v>9</v>
      </c>
      <c r="C478">
        <v>-15.98</v>
      </c>
      <c r="D478">
        <v>-13.96</v>
      </c>
      <c r="E478">
        <v>2.4900000000000002</v>
      </c>
      <c r="F478">
        <v>-5.76</v>
      </c>
      <c r="G478">
        <v>-5.96</v>
      </c>
      <c r="H478">
        <v>2.79</v>
      </c>
      <c r="I478">
        <v>-21.74</v>
      </c>
      <c r="J478">
        <v>-19.920000000000002</v>
      </c>
      <c r="K478">
        <v>4.13</v>
      </c>
      <c r="L478" t="s">
        <v>0</v>
      </c>
      <c r="M478" t="s">
        <v>0</v>
      </c>
      <c r="N478" t="s">
        <v>0</v>
      </c>
    </row>
    <row r="479" spans="1:14" x14ac:dyDescent="0.2">
      <c r="A479">
        <v>1979</v>
      </c>
      <c r="B479">
        <v>10</v>
      </c>
      <c r="C479">
        <v>-15.66</v>
      </c>
      <c r="D479">
        <v>-13.78</v>
      </c>
      <c r="E479">
        <v>2.4300000000000002</v>
      </c>
      <c r="F479">
        <v>-5.84</v>
      </c>
      <c r="G479">
        <v>-5.92</v>
      </c>
      <c r="H479">
        <v>2.77</v>
      </c>
      <c r="I479">
        <v>-21.5</v>
      </c>
      <c r="J479">
        <v>-19.7</v>
      </c>
      <c r="K479">
        <v>4.0999999999999996</v>
      </c>
      <c r="L479" t="s">
        <v>0</v>
      </c>
      <c r="M479" t="s">
        <v>0</v>
      </c>
      <c r="N479" t="s">
        <v>0</v>
      </c>
    </row>
    <row r="480" spans="1:14" x14ac:dyDescent="0.2">
      <c r="A480">
        <v>1979</v>
      </c>
      <c r="B480">
        <v>11</v>
      </c>
      <c r="C480">
        <v>-15.34</v>
      </c>
      <c r="D480">
        <v>-13.65</v>
      </c>
      <c r="E480">
        <v>2.3199999999999998</v>
      </c>
      <c r="F480">
        <v>-5.78</v>
      </c>
      <c r="G480">
        <v>-5.87</v>
      </c>
      <c r="H480">
        <v>2.79</v>
      </c>
      <c r="I480">
        <v>-21.11</v>
      </c>
      <c r="J480">
        <v>-19.52</v>
      </c>
      <c r="K480">
        <v>4.0599999999999996</v>
      </c>
      <c r="L480" t="s">
        <v>0</v>
      </c>
      <c r="M480" t="s">
        <v>0</v>
      </c>
      <c r="N480" t="s">
        <v>0</v>
      </c>
    </row>
    <row r="481" spans="1:14" x14ac:dyDescent="0.2">
      <c r="A481">
        <v>1979</v>
      </c>
      <c r="B481">
        <v>12</v>
      </c>
      <c r="C481">
        <v>-14.62</v>
      </c>
      <c r="D481">
        <v>-13.52</v>
      </c>
      <c r="E481">
        <v>2.25</v>
      </c>
      <c r="F481">
        <v>-6</v>
      </c>
      <c r="G481">
        <v>-5.82</v>
      </c>
      <c r="H481">
        <v>2.78</v>
      </c>
      <c r="I481">
        <v>-20.62</v>
      </c>
      <c r="J481">
        <v>-19.350000000000001</v>
      </c>
      <c r="K481">
        <v>4.03</v>
      </c>
      <c r="L481" t="s">
        <v>0</v>
      </c>
      <c r="M481" t="s">
        <v>0</v>
      </c>
      <c r="N481" t="s">
        <v>0</v>
      </c>
    </row>
    <row r="482" spans="1:14" x14ac:dyDescent="0.2">
      <c r="A482">
        <v>1980</v>
      </c>
      <c r="B482">
        <v>1</v>
      </c>
      <c r="C482">
        <v>-12.46</v>
      </c>
      <c r="D482">
        <v>-13.31</v>
      </c>
      <c r="E482">
        <v>2.2599999999999998</v>
      </c>
      <c r="F482">
        <v>-6.01</v>
      </c>
      <c r="G482">
        <v>-5.8</v>
      </c>
      <c r="H482">
        <v>2.8</v>
      </c>
      <c r="I482">
        <v>-18.47</v>
      </c>
      <c r="J482">
        <v>-19.11</v>
      </c>
      <c r="K482">
        <v>4.07</v>
      </c>
      <c r="L482" t="s">
        <v>0</v>
      </c>
      <c r="M482" t="s">
        <v>0</v>
      </c>
      <c r="N482" t="s">
        <v>0</v>
      </c>
    </row>
    <row r="483" spans="1:14" x14ac:dyDescent="0.2">
      <c r="A483">
        <v>1980</v>
      </c>
      <c r="B483">
        <v>2</v>
      </c>
      <c r="C483">
        <v>-11.64</v>
      </c>
      <c r="D483">
        <v>-13.05</v>
      </c>
      <c r="E483">
        <v>2.27</v>
      </c>
      <c r="F483">
        <v>-6.02</v>
      </c>
      <c r="G483">
        <v>-5.78</v>
      </c>
      <c r="H483">
        <v>2.83</v>
      </c>
      <c r="I483">
        <v>-17.670000000000002</v>
      </c>
      <c r="J483">
        <v>-18.829999999999998</v>
      </c>
      <c r="K483">
        <v>4.1100000000000003</v>
      </c>
      <c r="L483" t="s">
        <v>0</v>
      </c>
      <c r="M483" t="s">
        <v>0</v>
      </c>
      <c r="N483" t="s">
        <v>0</v>
      </c>
    </row>
    <row r="484" spans="1:14" x14ac:dyDescent="0.2">
      <c r="A484">
        <v>1980</v>
      </c>
      <c r="B484">
        <v>3</v>
      </c>
      <c r="C484">
        <v>-11.16</v>
      </c>
      <c r="D484">
        <v>-12.73</v>
      </c>
      <c r="E484">
        <v>2.2799999999999998</v>
      </c>
      <c r="F484">
        <v>-5.73</v>
      </c>
      <c r="G484">
        <v>-5.78</v>
      </c>
      <c r="H484">
        <v>2.82</v>
      </c>
      <c r="I484">
        <v>-16.88</v>
      </c>
      <c r="J484">
        <v>-18.510000000000002</v>
      </c>
      <c r="K484">
        <v>4.0999999999999996</v>
      </c>
      <c r="L484" t="s">
        <v>0</v>
      </c>
      <c r="M484" t="s">
        <v>0</v>
      </c>
      <c r="N484" t="s">
        <v>0</v>
      </c>
    </row>
    <row r="485" spans="1:14" x14ac:dyDescent="0.2">
      <c r="A485">
        <v>1980</v>
      </c>
      <c r="B485">
        <v>4</v>
      </c>
      <c r="C485">
        <v>-11.09</v>
      </c>
      <c r="D485">
        <v>-12.41</v>
      </c>
      <c r="E485">
        <v>2.2799999999999998</v>
      </c>
      <c r="F485">
        <v>-5.69</v>
      </c>
      <c r="G485">
        <v>-5.79</v>
      </c>
      <c r="H485">
        <v>2.82</v>
      </c>
      <c r="I485">
        <v>-16.79</v>
      </c>
      <c r="J485">
        <v>-18.2</v>
      </c>
      <c r="K485">
        <v>4.08</v>
      </c>
      <c r="L485" t="s">
        <v>0</v>
      </c>
      <c r="M485" t="s">
        <v>0</v>
      </c>
      <c r="N485" t="s">
        <v>0</v>
      </c>
    </row>
    <row r="486" spans="1:14" x14ac:dyDescent="0.2">
      <c r="A486">
        <v>1980</v>
      </c>
      <c r="B486">
        <v>5</v>
      </c>
      <c r="C486">
        <v>-11.4</v>
      </c>
      <c r="D486">
        <v>-12.15</v>
      </c>
      <c r="E486">
        <v>2.36</v>
      </c>
      <c r="F486">
        <v>-5.64</v>
      </c>
      <c r="G486">
        <v>-5.8</v>
      </c>
      <c r="H486">
        <v>2.83</v>
      </c>
      <c r="I486">
        <v>-17.04</v>
      </c>
      <c r="J486">
        <v>-17.95</v>
      </c>
      <c r="K486">
        <v>4.12</v>
      </c>
      <c r="L486" t="s">
        <v>0</v>
      </c>
      <c r="M486" t="s">
        <v>0</v>
      </c>
      <c r="N486" t="s">
        <v>0</v>
      </c>
    </row>
    <row r="487" spans="1:14" x14ac:dyDescent="0.2">
      <c r="A487">
        <v>1980</v>
      </c>
      <c r="B487">
        <v>6</v>
      </c>
      <c r="C487">
        <v>-11.71</v>
      </c>
      <c r="D487">
        <v>-11.98</v>
      </c>
      <c r="E487">
        <v>2.46</v>
      </c>
      <c r="F487">
        <v>-5.53</v>
      </c>
      <c r="G487">
        <v>-5.79</v>
      </c>
      <c r="H487">
        <v>2.84</v>
      </c>
      <c r="I487">
        <v>-17.239999999999998</v>
      </c>
      <c r="J487">
        <v>-17.760000000000002</v>
      </c>
      <c r="K487">
        <v>4.18</v>
      </c>
      <c r="L487" t="s">
        <v>0</v>
      </c>
      <c r="M487" t="s">
        <v>0</v>
      </c>
      <c r="N487" t="s">
        <v>0</v>
      </c>
    </row>
    <row r="488" spans="1:14" x14ac:dyDescent="0.2">
      <c r="A488">
        <v>1980</v>
      </c>
      <c r="B488">
        <v>7</v>
      </c>
      <c r="C488">
        <v>-11.55</v>
      </c>
      <c r="D488">
        <v>-11.93</v>
      </c>
      <c r="E488">
        <v>2.59</v>
      </c>
      <c r="F488">
        <v>-5.59</v>
      </c>
      <c r="G488">
        <v>-5.74</v>
      </c>
      <c r="H488">
        <v>2.84</v>
      </c>
      <c r="I488">
        <v>-17.149999999999999</v>
      </c>
      <c r="J488">
        <v>-17.68</v>
      </c>
      <c r="K488">
        <v>4.2699999999999996</v>
      </c>
      <c r="L488" t="s">
        <v>0</v>
      </c>
      <c r="M488" t="s">
        <v>0</v>
      </c>
      <c r="N488" t="s">
        <v>0</v>
      </c>
    </row>
    <row r="489" spans="1:14" x14ac:dyDescent="0.2">
      <c r="A489">
        <v>1980</v>
      </c>
      <c r="B489">
        <v>8</v>
      </c>
      <c r="C489">
        <v>-12.4</v>
      </c>
      <c r="D489">
        <v>-12.02</v>
      </c>
      <c r="E489">
        <v>2.6</v>
      </c>
      <c r="F489">
        <v>-5.73</v>
      </c>
      <c r="G489">
        <v>-5.68</v>
      </c>
      <c r="H489">
        <v>2.85</v>
      </c>
      <c r="I489">
        <v>-18.13</v>
      </c>
      <c r="J489">
        <v>-17.7</v>
      </c>
      <c r="K489">
        <v>4.33</v>
      </c>
      <c r="L489" t="s">
        <v>0</v>
      </c>
      <c r="M489" t="s">
        <v>0</v>
      </c>
      <c r="N489" t="s">
        <v>0</v>
      </c>
    </row>
    <row r="490" spans="1:14" x14ac:dyDescent="0.2">
      <c r="A490">
        <v>1980</v>
      </c>
      <c r="B490">
        <v>9</v>
      </c>
      <c r="C490">
        <v>-11.55</v>
      </c>
      <c r="D490">
        <v>-12.18</v>
      </c>
      <c r="E490">
        <v>2.64</v>
      </c>
      <c r="F490">
        <v>-5.87</v>
      </c>
      <c r="G490">
        <v>-5.64</v>
      </c>
      <c r="H490">
        <v>2.84</v>
      </c>
      <c r="I490">
        <v>-17.420000000000002</v>
      </c>
      <c r="J490">
        <v>-17.82</v>
      </c>
      <c r="K490">
        <v>4.3600000000000003</v>
      </c>
      <c r="L490" t="s">
        <v>0</v>
      </c>
      <c r="M490" t="s">
        <v>0</v>
      </c>
      <c r="N490" t="s">
        <v>0</v>
      </c>
    </row>
    <row r="491" spans="1:14" x14ac:dyDescent="0.2">
      <c r="A491">
        <v>1980</v>
      </c>
      <c r="B491">
        <v>10</v>
      </c>
      <c r="C491">
        <v>-12.38</v>
      </c>
      <c r="D491">
        <v>-12.38</v>
      </c>
      <c r="E491">
        <v>2.67</v>
      </c>
      <c r="F491">
        <v>-5.94</v>
      </c>
      <c r="G491">
        <v>-5.62</v>
      </c>
      <c r="H491">
        <v>2.81</v>
      </c>
      <c r="I491">
        <v>-18.32</v>
      </c>
      <c r="J491">
        <v>-18.010000000000002</v>
      </c>
      <c r="K491">
        <v>4.3499999999999996</v>
      </c>
      <c r="L491" t="s">
        <v>0</v>
      </c>
      <c r="M491" t="s">
        <v>0</v>
      </c>
      <c r="N491" t="s">
        <v>0</v>
      </c>
    </row>
    <row r="492" spans="1:14" x14ac:dyDescent="0.2">
      <c r="A492">
        <v>1980</v>
      </c>
      <c r="B492">
        <v>11</v>
      </c>
      <c r="C492">
        <v>-12.41</v>
      </c>
      <c r="D492">
        <v>-12.58</v>
      </c>
      <c r="E492">
        <v>2.59</v>
      </c>
      <c r="F492">
        <v>-5.88</v>
      </c>
      <c r="G492">
        <v>-5.61</v>
      </c>
      <c r="H492">
        <v>2.83</v>
      </c>
      <c r="I492">
        <v>-18.29</v>
      </c>
      <c r="J492">
        <v>-18.190000000000001</v>
      </c>
      <c r="K492">
        <v>4.3</v>
      </c>
      <c r="L492" t="s">
        <v>0</v>
      </c>
      <c r="M492" t="s">
        <v>0</v>
      </c>
      <c r="N492" t="s">
        <v>0</v>
      </c>
    </row>
    <row r="493" spans="1:14" x14ac:dyDescent="0.2">
      <c r="A493">
        <v>1980</v>
      </c>
      <c r="B493">
        <v>12</v>
      </c>
      <c r="C493">
        <v>-13.32</v>
      </c>
      <c r="D493">
        <v>-12.81</v>
      </c>
      <c r="E493">
        <v>2.46</v>
      </c>
      <c r="F493">
        <v>-5.62</v>
      </c>
      <c r="G493">
        <v>-5.6</v>
      </c>
      <c r="H493">
        <v>2.84</v>
      </c>
      <c r="I493">
        <v>-18.940000000000001</v>
      </c>
      <c r="J493">
        <v>-18.41</v>
      </c>
      <c r="K493">
        <v>4.22</v>
      </c>
      <c r="L493" t="s">
        <v>0</v>
      </c>
      <c r="M493" t="s">
        <v>0</v>
      </c>
      <c r="N493" t="s">
        <v>0</v>
      </c>
    </row>
    <row r="494" spans="1:14" x14ac:dyDescent="0.2">
      <c r="A494">
        <v>1981</v>
      </c>
      <c r="B494">
        <v>1</v>
      </c>
      <c r="C494">
        <v>-12.74</v>
      </c>
      <c r="D494">
        <v>-13.07</v>
      </c>
      <c r="E494">
        <v>2.33</v>
      </c>
      <c r="F494">
        <v>-5.28</v>
      </c>
      <c r="G494">
        <v>-5.61</v>
      </c>
      <c r="H494">
        <v>2.81</v>
      </c>
      <c r="I494">
        <v>-18.02</v>
      </c>
      <c r="J494">
        <v>-18.68</v>
      </c>
      <c r="K494">
        <v>4.08</v>
      </c>
      <c r="L494" t="s">
        <v>0</v>
      </c>
      <c r="M494" t="s">
        <v>0</v>
      </c>
      <c r="N494" t="s">
        <v>0</v>
      </c>
    </row>
    <row r="495" spans="1:14" x14ac:dyDescent="0.2">
      <c r="A495">
        <v>1981</v>
      </c>
      <c r="B495">
        <v>2</v>
      </c>
      <c r="C495">
        <v>-13.39</v>
      </c>
      <c r="D495">
        <v>-13.26</v>
      </c>
      <c r="E495">
        <v>2.37</v>
      </c>
      <c r="F495">
        <v>-5.31</v>
      </c>
      <c r="G495">
        <v>-5.62</v>
      </c>
      <c r="H495">
        <v>2.84</v>
      </c>
      <c r="I495">
        <v>-18.7</v>
      </c>
      <c r="J495">
        <v>-18.88</v>
      </c>
      <c r="K495">
        <v>4.1500000000000004</v>
      </c>
      <c r="L495" t="s">
        <v>0</v>
      </c>
      <c r="M495" t="s">
        <v>0</v>
      </c>
      <c r="N495" t="s">
        <v>0</v>
      </c>
    </row>
    <row r="496" spans="1:14" x14ac:dyDescent="0.2">
      <c r="A496">
        <v>1981</v>
      </c>
      <c r="B496">
        <v>3</v>
      </c>
      <c r="C496">
        <v>-13.42</v>
      </c>
      <c r="D496">
        <v>-13.42</v>
      </c>
      <c r="E496">
        <v>2.4500000000000002</v>
      </c>
      <c r="F496">
        <v>-5.43</v>
      </c>
      <c r="G496">
        <v>-5.61</v>
      </c>
      <c r="H496">
        <v>2.87</v>
      </c>
      <c r="I496">
        <v>-18.850000000000001</v>
      </c>
      <c r="J496">
        <v>-19.03</v>
      </c>
      <c r="K496">
        <v>4.2300000000000004</v>
      </c>
      <c r="L496" t="s">
        <v>0</v>
      </c>
      <c r="M496" t="s">
        <v>0</v>
      </c>
      <c r="N496" t="s">
        <v>0</v>
      </c>
    </row>
    <row r="497" spans="1:14" x14ac:dyDescent="0.2">
      <c r="A497">
        <v>1981</v>
      </c>
      <c r="B497">
        <v>4</v>
      </c>
      <c r="C497">
        <v>-13.63</v>
      </c>
      <c r="D497">
        <v>-13.52</v>
      </c>
      <c r="E497">
        <v>2.5</v>
      </c>
      <c r="F497">
        <v>-5.55</v>
      </c>
      <c r="G497">
        <v>-5.59</v>
      </c>
      <c r="H497">
        <v>2.89</v>
      </c>
      <c r="I497">
        <v>-19.170000000000002</v>
      </c>
      <c r="J497">
        <v>-19.12</v>
      </c>
      <c r="K497">
        <v>4.2699999999999996</v>
      </c>
      <c r="L497" t="s">
        <v>0</v>
      </c>
      <c r="M497" t="s">
        <v>0</v>
      </c>
      <c r="N497" t="s">
        <v>0</v>
      </c>
    </row>
    <row r="498" spans="1:14" x14ac:dyDescent="0.2">
      <c r="A498">
        <v>1981</v>
      </c>
      <c r="B498">
        <v>5</v>
      </c>
      <c r="C498">
        <v>-13.55</v>
      </c>
      <c r="D498">
        <v>-13.59</v>
      </c>
      <c r="E498">
        <v>2.65</v>
      </c>
      <c r="F498">
        <v>-5.51</v>
      </c>
      <c r="G498">
        <v>-5.58</v>
      </c>
      <c r="H498">
        <v>2.88</v>
      </c>
      <c r="I498">
        <v>-19.059999999999999</v>
      </c>
      <c r="J498">
        <v>-19.16</v>
      </c>
      <c r="K498">
        <v>4.33</v>
      </c>
      <c r="L498" t="s">
        <v>0</v>
      </c>
      <c r="M498" t="s">
        <v>0</v>
      </c>
      <c r="N498" t="s">
        <v>0</v>
      </c>
    </row>
    <row r="499" spans="1:14" x14ac:dyDescent="0.2">
      <c r="A499">
        <v>1981</v>
      </c>
      <c r="B499">
        <v>6</v>
      </c>
      <c r="C499">
        <v>-15.04</v>
      </c>
      <c r="D499">
        <v>-13.64</v>
      </c>
      <c r="E499">
        <v>2.73</v>
      </c>
      <c r="F499">
        <v>-5.53</v>
      </c>
      <c r="G499">
        <v>-5.58</v>
      </c>
      <c r="H499">
        <v>2.88</v>
      </c>
      <c r="I499">
        <v>-20.57</v>
      </c>
      <c r="J499">
        <v>-19.22</v>
      </c>
      <c r="K499">
        <v>4.3499999999999996</v>
      </c>
      <c r="L499" t="s">
        <v>0</v>
      </c>
      <c r="M499" t="s">
        <v>0</v>
      </c>
      <c r="N499" t="s">
        <v>0</v>
      </c>
    </row>
    <row r="500" spans="1:14" x14ac:dyDescent="0.2">
      <c r="A500">
        <v>1981</v>
      </c>
      <c r="B500">
        <v>7</v>
      </c>
      <c r="C500">
        <v>-14.44</v>
      </c>
      <c r="D500">
        <v>-13.67</v>
      </c>
      <c r="E500">
        <v>2.83</v>
      </c>
      <c r="F500">
        <v>-5.72</v>
      </c>
      <c r="G500">
        <v>-5.62</v>
      </c>
      <c r="H500">
        <v>2.88</v>
      </c>
      <c r="I500">
        <v>-20.16</v>
      </c>
      <c r="J500">
        <v>-19.29</v>
      </c>
      <c r="K500">
        <v>4.3899999999999997</v>
      </c>
      <c r="L500" t="s">
        <v>0</v>
      </c>
      <c r="M500" t="s">
        <v>0</v>
      </c>
      <c r="N500" t="s">
        <v>0</v>
      </c>
    </row>
    <row r="501" spans="1:14" x14ac:dyDescent="0.2">
      <c r="A501">
        <v>1981</v>
      </c>
      <c r="B501">
        <v>8</v>
      </c>
      <c r="C501">
        <v>-14.17</v>
      </c>
      <c r="D501">
        <v>-13.68</v>
      </c>
      <c r="E501">
        <v>2.97</v>
      </c>
      <c r="F501">
        <v>-5.78</v>
      </c>
      <c r="G501">
        <v>-5.67</v>
      </c>
      <c r="H501">
        <v>2.85</v>
      </c>
      <c r="I501">
        <v>-19.95</v>
      </c>
      <c r="J501">
        <v>-19.34</v>
      </c>
      <c r="K501">
        <v>4.5199999999999996</v>
      </c>
      <c r="L501" t="s">
        <v>0</v>
      </c>
      <c r="M501" t="s">
        <v>0</v>
      </c>
      <c r="N501" t="s">
        <v>0</v>
      </c>
    </row>
    <row r="502" spans="1:14" x14ac:dyDescent="0.2">
      <c r="A502">
        <v>1981</v>
      </c>
      <c r="B502">
        <v>9</v>
      </c>
      <c r="C502">
        <v>-13.56</v>
      </c>
      <c r="D502">
        <v>-13.64</v>
      </c>
      <c r="E502">
        <v>3.01</v>
      </c>
      <c r="F502">
        <v>-5.73</v>
      </c>
      <c r="G502">
        <v>-5.72</v>
      </c>
      <c r="H502">
        <v>2.83</v>
      </c>
      <c r="I502">
        <v>-19.29</v>
      </c>
      <c r="J502">
        <v>-19.36</v>
      </c>
      <c r="K502">
        <v>4.55</v>
      </c>
      <c r="L502" t="s">
        <v>0</v>
      </c>
      <c r="M502" t="s">
        <v>0</v>
      </c>
      <c r="N502" t="s">
        <v>0</v>
      </c>
    </row>
    <row r="503" spans="1:14" x14ac:dyDescent="0.2">
      <c r="A503">
        <v>1981</v>
      </c>
      <c r="B503">
        <v>10</v>
      </c>
      <c r="C503">
        <v>-12.88</v>
      </c>
      <c r="D503">
        <v>-13.59</v>
      </c>
      <c r="E503">
        <v>2.88</v>
      </c>
      <c r="F503">
        <v>-5.63</v>
      </c>
      <c r="G503">
        <v>-5.78</v>
      </c>
      <c r="H503">
        <v>2.79</v>
      </c>
      <c r="I503">
        <v>-18.5</v>
      </c>
      <c r="J503">
        <v>-19.37</v>
      </c>
      <c r="K503">
        <v>4.45</v>
      </c>
      <c r="L503" t="s">
        <v>0</v>
      </c>
      <c r="M503" t="s">
        <v>0</v>
      </c>
      <c r="N503" t="s">
        <v>0</v>
      </c>
    </row>
    <row r="504" spans="1:14" x14ac:dyDescent="0.2">
      <c r="A504">
        <v>1981</v>
      </c>
      <c r="B504">
        <v>11</v>
      </c>
      <c r="C504">
        <v>-13.44</v>
      </c>
      <c r="D504">
        <v>-13.57</v>
      </c>
      <c r="E504">
        <v>2.8</v>
      </c>
      <c r="F504">
        <v>-5.76</v>
      </c>
      <c r="G504">
        <v>-5.83</v>
      </c>
      <c r="H504">
        <v>2.74</v>
      </c>
      <c r="I504">
        <v>-19.2</v>
      </c>
      <c r="J504">
        <v>-19.39</v>
      </c>
      <c r="K504">
        <v>4.37</v>
      </c>
      <c r="L504" t="s">
        <v>0</v>
      </c>
      <c r="M504" t="s">
        <v>0</v>
      </c>
      <c r="N504" t="s">
        <v>0</v>
      </c>
    </row>
    <row r="505" spans="1:14" x14ac:dyDescent="0.2">
      <c r="A505">
        <v>1981</v>
      </c>
      <c r="B505">
        <v>12</v>
      </c>
      <c r="C505">
        <v>-13.51</v>
      </c>
      <c r="D505">
        <v>-13.55</v>
      </c>
      <c r="E505">
        <v>2.66</v>
      </c>
      <c r="F505">
        <v>-5.93</v>
      </c>
      <c r="G505">
        <v>-5.88</v>
      </c>
      <c r="H505">
        <v>2.73</v>
      </c>
      <c r="I505">
        <v>-19.43</v>
      </c>
      <c r="J505">
        <v>-19.43</v>
      </c>
      <c r="K505">
        <v>4.24</v>
      </c>
      <c r="L505" t="s">
        <v>0</v>
      </c>
      <c r="M505" t="s">
        <v>0</v>
      </c>
      <c r="N505" t="s">
        <v>0</v>
      </c>
    </row>
    <row r="506" spans="1:14" x14ac:dyDescent="0.2">
      <c r="A506">
        <v>1982</v>
      </c>
      <c r="B506">
        <v>1</v>
      </c>
      <c r="C506">
        <v>-13.28</v>
      </c>
      <c r="D506">
        <v>-13.54</v>
      </c>
      <c r="E506">
        <v>2.4500000000000002</v>
      </c>
      <c r="F506">
        <v>-5.85</v>
      </c>
      <c r="G506">
        <v>-5.92</v>
      </c>
      <c r="H506">
        <v>2.65</v>
      </c>
      <c r="I506">
        <v>-19.14</v>
      </c>
      <c r="J506">
        <v>-19.46</v>
      </c>
      <c r="K506">
        <v>3.99</v>
      </c>
      <c r="L506" t="s">
        <v>0</v>
      </c>
      <c r="M506" t="s">
        <v>0</v>
      </c>
      <c r="N506" t="s">
        <v>0</v>
      </c>
    </row>
    <row r="507" spans="1:14" x14ac:dyDescent="0.2">
      <c r="A507">
        <v>1982</v>
      </c>
      <c r="B507">
        <v>2</v>
      </c>
      <c r="C507">
        <v>-12.97</v>
      </c>
      <c r="D507">
        <v>-13.6</v>
      </c>
      <c r="E507">
        <v>2.2599999999999998</v>
      </c>
      <c r="F507">
        <v>-5.92</v>
      </c>
      <c r="G507">
        <v>-5.94</v>
      </c>
      <c r="H507">
        <v>2.67</v>
      </c>
      <c r="I507">
        <v>-18.89</v>
      </c>
      <c r="J507">
        <v>-19.54</v>
      </c>
      <c r="K507">
        <v>3.9</v>
      </c>
      <c r="L507" t="s">
        <v>0</v>
      </c>
      <c r="M507" t="s">
        <v>0</v>
      </c>
      <c r="N507" t="s">
        <v>0</v>
      </c>
    </row>
    <row r="508" spans="1:14" x14ac:dyDescent="0.2">
      <c r="A508">
        <v>1982</v>
      </c>
      <c r="B508">
        <v>3</v>
      </c>
      <c r="C508">
        <v>-12.93</v>
      </c>
      <c r="D508">
        <v>-13.72</v>
      </c>
      <c r="E508">
        <v>2.2400000000000002</v>
      </c>
      <c r="F508">
        <v>-6.13</v>
      </c>
      <c r="G508">
        <v>-5.94</v>
      </c>
      <c r="H508">
        <v>2.63</v>
      </c>
      <c r="I508">
        <v>-19.059999999999999</v>
      </c>
      <c r="J508">
        <v>-19.670000000000002</v>
      </c>
      <c r="K508">
        <v>3.86</v>
      </c>
      <c r="L508" t="s">
        <v>0</v>
      </c>
      <c r="M508" t="s">
        <v>0</v>
      </c>
      <c r="N508" t="s">
        <v>0</v>
      </c>
    </row>
    <row r="509" spans="1:14" x14ac:dyDescent="0.2">
      <c r="A509">
        <v>1982</v>
      </c>
      <c r="B509">
        <v>4</v>
      </c>
      <c r="C509">
        <v>-12.99</v>
      </c>
      <c r="D509">
        <v>-13.91</v>
      </c>
      <c r="E509">
        <v>2.27</v>
      </c>
      <c r="F509">
        <v>-6.16</v>
      </c>
      <c r="G509">
        <v>-5.95</v>
      </c>
      <c r="H509">
        <v>2.58</v>
      </c>
      <c r="I509">
        <v>-19.149999999999999</v>
      </c>
      <c r="J509">
        <v>-19.850000000000001</v>
      </c>
      <c r="K509">
        <v>3.86</v>
      </c>
      <c r="L509" t="s">
        <v>0</v>
      </c>
      <c r="M509" t="s">
        <v>0</v>
      </c>
      <c r="N509" t="s">
        <v>0</v>
      </c>
    </row>
    <row r="510" spans="1:14" x14ac:dyDescent="0.2">
      <c r="A510">
        <v>1982</v>
      </c>
      <c r="B510">
        <v>5</v>
      </c>
      <c r="C510">
        <v>-13.6</v>
      </c>
      <c r="D510">
        <v>-14.09</v>
      </c>
      <c r="E510">
        <v>2.3199999999999998</v>
      </c>
      <c r="F510">
        <v>-6.13</v>
      </c>
      <c r="G510">
        <v>-5.96</v>
      </c>
      <c r="H510">
        <v>2.56</v>
      </c>
      <c r="I510">
        <v>-19.73</v>
      </c>
      <c r="J510">
        <v>-20.04</v>
      </c>
      <c r="K510">
        <v>3.87</v>
      </c>
      <c r="L510" t="s">
        <v>0</v>
      </c>
      <c r="M510" t="s">
        <v>0</v>
      </c>
      <c r="N510" t="s">
        <v>0</v>
      </c>
    </row>
    <row r="511" spans="1:14" x14ac:dyDescent="0.2">
      <c r="A511">
        <v>1982</v>
      </c>
      <c r="B511">
        <v>6</v>
      </c>
      <c r="C511">
        <v>-14.58</v>
      </c>
      <c r="D511">
        <v>-14.27</v>
      </c>
      <c r="E511">
        <v>2.2799999999999998</v>
      </c>
      <c r="F511">
        <v>-6.12</v>
      </c>
      <c r="G511">
        <v>-5.97</v>
      </c>
      <c r="H511">
        <v>2.5499999999999998</v>
      </c>
      <c r="I511">
        <v>-20.69</v>
      </c>
      <c r="J511">
        <v>-20.239999999999998</v>
      </c>
      <c r="K511">
        <v>3.82</v>
      </c>
      <c r="L511" t="s">
        <v>0</v>
      </c>
      <c r="M511" t="s">
        <v>0</v>
      </c>
      <c r="N511" t="s">
        <v>0</v>
      </c>
    </row>
    <row r="512" spans="1:14" x14ac:dyDescent="0.2">
      <c r="A512">
        <v>1982</v>
      </c>
      <c r="B512">
        <v>7</v>
      </c>
      <c r="C512">
        <v>-14.82</v>
      </c>
      <c r="D512">
        <v>-14.48</v>
      </c>
      <c r="E512">
        <v>2.36</v>
      </c>
      <c r="F512">
        <v>-6.08</v>
      </c>
      <c r="G512">
        <v>-5.96</v>
      </c>
      <c r="H512">
        <v>2.5299999999999998</v>
      </c>
      <c r="I512">
        <v>-20.9</v>
      </c>
      <c r="J512">
        <v>-20.45</v>
      </c>
      <c r="K512">
        <v>3.83</v>
      </c>
      <c r="L512" t="s">
        <v>0</v>
      </c>
      <c r="M512" t="s">
        <v>0</v>
      </c>
      <c r="N512" t="s">
        <v>0</v>
      </c>
    </row>
    <row r="513" spans="1:14" x14ac:dyDescent="0.2">
      <c r="A513">
        <v>1982</v>
      </c>
      <c r="B513">
        <v>8</v>
      </c>
      <c r="C513">
        <v>-15.14</v>
      </c>
      <c r="D513">
        <v>-14.68</v>
      </c>
      <c r="E513">
        <v>2.34</v>
      </c>
      <c r="F513">
        <v>-5.9</v>
      </c>
      <c r="G513">
        <v>-5.95</v>
      </c>
      <c r="H513">
        <v>2.4700000000000002</v>
      </c>
      <c r="I513">
        <v>-21.04</v>
      </c>
      <c r="J513">
        <v>-20.63</v>
      </c>
      <c r="K513">
        <v>3.81</v>
      </c>
      <c r="L513" t="s">
        <v>0</v>
      </c>
      <c r="M513" t="s">
        <v>0</v>
      </c>
      <c r="N513" t="s">
        <v>0</v>
      </c>
    </row>
    <row r="514" spans="1:14" x14ac:dyDescent="0.2">
      <c r="A514">
        <v>1982</v>
      </c>
      <c r="B514">
        <v>9</v>
      </c>
      <c r="C514">
        <v>-15.49</v>
      </c>
      <c r="D514">
        <v>-14.83</v>
      </c>
      <c r="E514">
        <v>2.37</v>
      </c>
      <c r="F514">
        <v>-5.72</v>
      </c>
      <c r="G514">
        <v>-5.93</v>
      </c>
      <c r="H514">
        <v>2.4700000000000002</v>
      </c>
      <c r="I514">
        <v>-21.21</v>
      </c>
      <c r="J514">
        <v>-20.76</v>
      </c>
      <c r="K514">
        <v>3.89</v>
      </c>
      <c r="L514" t="s">
        <v>0</v>
      </c>
      <c r="M514" t="s">
        <v>0</v>
      </c>
      <c r="N514" t="s">
        <v>0</v>
      </c>
    </row>
    <row r="515" spans="1:14" x14ac:dyDescent="0.2">
      <c r="A515">
        <v>1982</v>
      </c>
      <c r="B515">
        <v>10</v>
      </c>
      <c r="C515">
        <v>-15.36</v>
      </c>
      <c r="D515">
        <v>-14.92</v>
      </c>
      <c r="E515">
        <v>2.34</v>
      </c>
      <c r="F515">
        <v>-5.71</v>
      </c>
      <c r="G515">
        <v>-5.9</v>
      </c>
      <c r="H515">
        <v>2.4700000000000002</v>
      </c>
      <c r="I515">
        <v>-21.07</v>
      </c>
      <c r="J515">
        <v>-20.83</v>
      </c>
      <c r="K515">
        <v>3.9</v>
      </c>
      <c r="L515" t="s">
        <v>0</v>
      </c>
      <c r="M515" t="s">
        <v>0</v>
      </c>
      <c r="N515" t="s">
        <v>0</v>
      </c>
    </row>
    <row r="516" spans="1:14" x14ac:dyDescent="0.2">
      <c r="A516">
        <v>1982</v>
      </c>
      <c r="B516">
        <v>11</v>
      </c>
      <c r="C516">
        <v>-15.31</v>
      </c>
      <c r="D516">
        <v>-14.99</v>
      </c>
      <c r="E516">
        <v>2.23</v>
      </c>
      <c r="F516">
        <v>-5.87</v>
      </c>
      <c r="G516">
        <v>-5.88</v>
      </c>
      <c r="H516">
        <v>2.46</v>
      </c>
      <c r="I516">
        <v>-21.18</v>
      </c>
      <c r="J516">
        <v>-20.87</v>
      </c>
      <c r="K516">
        <v>3.85</v>
      </c>
      <c r="L516" t="s">
        <v>0</v>
      </c>
      <c r="M516" t="s">
        <v>0</v>
      </c>
      <c r="N516" t="s">
        <v>0</v>
      </c>
    </row>
    <row r="517" spans="1:14" x14ac:dyDescent="0.2">
      <c r="A517">
        <v>1982</v>
      </c>
      <c r="B517">
        <v>12</v>
      </c>
      <c r="C517">
        <v>-16.13</v>
      </c>
      <c r="D517">
        <v>-15</v>
      </c>
      <c r="E517">
        <v>2.14</v>
      </c>
      <c r="F517">
        <v>-6.04</v>
      </c>
      <c r="G517">
        <v>-5.86</v>
      </c>
      <c r="H517">
        <v>2.4300000000000002</v>
      </c>
      <c r="I517">
        <v>-22.17</v>
      </c>
      <c r="J517">
        <v>-20.87</v>
      </c>
      <c r="K517">
        <v>3.79</v>
      </c>
      <c r="L517" t="s">
        <v>0</v>
      </c>
      <c r="M517" t="s">
        <v>0</v>
      </c>
      <c r="N517" t="s">
        <v>0</v>
      </c>
    </row>
    <row r="518" spans="1:14" x14ac:dyDescent="0.2">
      <c r="A518">
        <v>1983</v>
      </c>
      <c r="B518">
        <v>1</v>
      </c>
      <c r="C518">
        <v>-15.67</v>
      </c>
      <c r="D518">
        <v>-15</v>
      </c>
      <c r="E518">
        <v>1.99</v>
      </c>
      <c r="F518">
        <v>-5.72</v>
      </c>
      <c r="G518">
        <v>-5.85</v>
      </c>
      <c r="H518">
        <v>2.34</v>
      </c>
      <c r="I518">
        <v>-21.39</v>
      </c>
      <c r="J518">
        <v>-20.85</v>
      </c>
      <c r="K518">
        <v>3.58</v>
      </c>
      <c r="L518" t="s">
        <v>0</v>
      </c>
      <c r="M518" t="s">
        <v>0</v>
      </c>
      <c r="N518" t="s">
        <v>0</v>
      </c>
    </row>
    <row r="519" spans="1:14" x14ac:dyDescent="0.2">
      <c r="A519">
        <v>1983</v>
      </c>
      <c r="B519">
        <v>2</v>
      </c>
      <c r="C519">
        <v>-15.27</v>
      </c>
      <c r="D519">
        <v>-15.02</v>
      </c>
      <c r="E519">
        <v>1.96</v>
      </c>
      <c r="F519">
        <v>-5.77</v>
      </c>
      <c r="G519">
        <v>-5.84</v>
      </c>
      <c r="H519">
        <v>2.34</v>
      </c>
      <c r="I519">
        <v>-21.04</v>
      </c>
      <c r="J519">
        <v>-20.85</v>
      </c>
      <c r="K519">
        <v>3.57</v>
      </c>
      <c r="L519" t="s">
        <v>0</v>
      </c>
      <c r="M519" t="s">
        <v>0</v>
      </c>
      <c r="N519" t="s">
        <v>0</v>
      </c>
    </row>
    <row r="520" spans="1:14" x14ac:dyDescent="0.2">
      <c r="A520">
        <v>1983</v>
      </c>
      <c r="B520">
        <v>3</v>
      </c>
      <c r="C520">
        <v>-14.26</v>
      </c>
      <c r="D520">
        <v>-15</v>
      </c>
      <c r="E520">
        <v>2.0299999999999998</v>
      </c>
      <c r="F520">
        <v>-5.75</v>
      </c>
      <c r="G520">
        <v>-5.84</v>
      </c>
      <c r="H520">
        <v>2.2999999999999998</v>
      </c>
      <c r="I520">
        <v>-20.010000000000002</v>
      </c>
      <c r="J520">
        <v>-20.84</v>
      </c>
      <c r="K520">
        <v>3.59</v>
      </c>
      <c r="L520" t="s">
        <v>0</v>
      </c>
      <c r="M520" t="s">
        <v>0</v>
      </c>
      <c r="N520" t="s">
        <v>0</v>
      </c>
    </row>
    <row r="521" spans="1:14" x14ac:dyDescent="0.2">
      <c r="A521">
        <v>1983</v>
      </c>
      <c r="B521">
        <v>4</v>
      </c>
      <c r="C521">
        <v>-13.93</v>
      </c>
      <c r="D521">
        <v>-14.94</v>
      </c>
      <c r="E521">
        <v>2.19</v>
      </c>
      <c r="F521">
        <v>-5.85</v>
      </c>
      <c r="G521">
        <v>-5.85</v>
      </c>
      <c r="H521">
        <v>2.2799999999999998</v>
      </c>
      <c r="I521">
        <v>-19.78</v>
      </c>
      <c r="J521">
        <v>-20.78</v>
      </c>
      <c r="K521">
        <v>3.67</v>
      </c>
      <c r="L521" t="s">
        <v>0</v>
      </c>
      <c r="M521" t="s">
        <v>0</v>
      </c>
      <c r="N521" t="s">
        <v>0</v>
      </c>
    </row>
    <row r="522" spans="1:14" x14ac:dyDescent="0.2">
      <c r="A522">
        <v>1983</v>
      </c>
      <c r="B522">
        <v>5</v>
      </c>
      <c r="C522">
        <v>-14.16</v>
      </c>
      <c r="D522">
        <v>-14.83</v>
      </c>
      <c r="E522">
        <v>2.27</v>
      </c>
      <c r="F522">
        <v>-5.93</v>
      </c>
      <c r="G522">
        <v>-5.84</v>
      </c>
      <c r="H522">
        <v>2.27</v>
      </c>
      <c r="I522">
        <v>-20.09</v>
      </c>
      <c r="J522">
        <v>-20.67</v>
      </c>
      <c r="K522">
        <v>3.74</v>
      </c>
      <c r="L522" t="s">
        <v>0</v>
      </c>
      <c r="M522" t="s">
        <v>0</v>
      </c>
      <c r="N522" t="s">
        <v>0</v>
      </c>
    </row>
    <row r="523" spans="1:14" x14ac:dyDescent="0.2">
      <c r="A523">
        <v>1983</v>
      </c>
      <c r="B523">
        <v>6</v>
      </c>
      <c r="C523">
        <v>-14.41</v>
      </c>
      <c r="D523">
        <v>-14.66</v>
      </c>
      <c r="E523">
        <v>2.2799999999999998</v>
      </c>
      <c r="F523">
        <v>-5.89</v>
      </c>
      <c r="G523">
        <v>-5.81</v>
      </c>
      <c r="H523">
        <v>2.2799999999999998</v>
      </c>
      <c r="I523">
        <v>-20.3</v>
      </c>
      <c r="J523">
        <v>-20.47</v>
      </c>
      <c r="K523">
        <v>3.74</v>
      </c>
      <c r="L523" t="s">
        <v>0</v>
      </c>
      <c r="M523" t="s">
        <v>0</v>
      </c>
      <c r="N523" t="s">
        <v>0</v>
      </c>
    </row>
    <row r="524" spans="1:14" x14ac:dyDescent="0.2">
      <c r="A524">
        <v>1983</v>
      </c>
      <c r="B524">
        <v>7</v>
      </c>
      <c r="C524">
        <v>-14.98</v>
      </c>
      <c r="D524">
        <v>-14.42</v>
      </c>
      <c r="E524">
        <v>2.29</v>
      </c>
      <c r="F524">
        <v>-5.91</v>
      </c>
      <c r="G524">
        <v>-5.77</v>
      </c>
      <c r="H524">
        <v>2.2999999999999998</v>
      </c>
      <c r="I524">
        <v>-20.89</v>
      </c>
      <c r="J524">
        <v>-20.190000000000001</v>
      </c>
      <c r="K524">
        <v>3.75</v>
      </c>
      <c r="L524" t="s">
        <v>0</v>
      </c>
      <c r="M524" t="s">
        <v>0</v>
      </c>
      <c r="N524" t="s">
        <v>0</v>
      </c>
    </row>
    <row r="525" spans="1:14" x14ac:dyDescent="0.2">
      <c r="A525">
        <v>1983</v>
      </c>
      <c r="B525">
        <v>8</v>
      </c>
      <c r="C525">
        <v>-15.27</v>
      </c>
      <c r="D525">
        <v>-14.19</v>
      </c>
      <c r="E525">
        <v>2.36</v>
      </c>
      <c r="F525">
        <v>-5.85</v>
      </c>
      <c r="G525">
        <v>-5.72</v>
      </c>
      <c r="H525">
        <v>2.29</v>
      </c>
      <c r="I525">
        <v>-21.11</v>
      </c>
      <c r="J525">
        <v>-19.920000000000002</v>
      </c>
      <c r="K525">
        <v>3.76</v>
      </c>
      <c r="L525" t="s">
        <v>0</v>
      </c>
      <c r="M525" t="s">
        <v>0</v>
      </c>
      <c r="N525" t="s">
        <v>0</v>
      </c>
    </row>
    <row r="526" spans="1:14" x14ac:dyDescent="0.2">
      <c r="A526">
        <v>1983</v>
      </c>
      <c r="B526">
        <v>9</v>
      </c>
      <c r="C526">
        <v>-14.96</v>
      </c>
      <c r="D526">
        <v>-14.04</v>
      </c>
      <c r="E526">
        <v>2.2799999999999998</v>
      </c>
      <c r="F526">
        <v>-5.83</v>
      </c>
      <c r="G526">
        <v>-5.68</v>
      </c>
      <c r="H526">
        <v>2.29</v>
      </c>
      <c r="I526">
        <v>-20.78</v>
      </c>
      <c r="J526">
        <v>-19.72</v>
      </c>
      <c r="K526">
        <v>3.71</v>
      </c>
      <c r="L526" t="s">
        <v>0</v>
      </c>
      <c r="M526" t="s">
        <v>0</v>
      </c>
      <c r="N526" t="s">
        <v>0</v>
      </c>
    </row>
    <row r="527" spans="1:14" x14ac:dyDescent="0.2">
      <c r="A527">
        <v>1983</v>
      </c>
      <c r="B527">
        <v>10</v>
      </c>
      <c r="C527">
        <v>-14.38</v>
      </c>
      <c r="D527">
        <v>-13.97</v>
      </c>
      <c r="E527">
        <v>2.25</v>
      </c>
      <c r="F527">
        <v>-5.74</v>
      </c>
      <c r="G527">
        <v>-5.63</v>
      </c>
      <c r="H527">
        <v>2.33</v>
      </c>
      <c r="I527">
        <v>-20.12</v>
      </c>
      <c r="J527">
        <v>-19.600000000000001</v>
      </c>
      <c r="K527">
        <v>3.77</v>
      </c>
      <c r="L527" t="s">
        <v>0</v>
      </c>
      <c r="M527" t="s">
        <v>0</v>
      </c>
      <c r="N527" t="s">
        <v>0</v>
      </c>
    </row>
    <row r="528" spans="1:14" x14ac:dyDescent="0.2">
      <c r="A528">
        <v>1983</v>
      </c>
      <c r="B528">
        <v>11</v>
      </c>
      <c r="C528">
        <v>-13.84</v>
      </c>
      <c r="D528">
        <v>-13.96</v>
      </c>
      <c r="E528">
        <v>2.2000000000000002</v>
      </c>
      <c r="F528">
        <v>-5.6</v>
      </c>
      <c r="G528">
        <v>-5.59</v>
      </c>
      <c r="H528">
        <v>2.35</v>
      </c>
      <c r="I528">
        <v>-19.45</v>
      </c>
      <c r="J528">
        <v>-19.55</v>
      </c>
      <c r="K528">
        <v>3.76</v>
      </c>
      <c r="L528" t="s">
        <v>0</v>
      </c>
      <c r="M528" t="s">
        <v>0</v>
      </c>
      <c r="N528" t="s">
        <v>0</v>
      </c>
    </row>
    <row r="529" spans="1:14" x14ac:dyDescent="0.2">
      <c r="A529">
        <v>1983</v>
      </c>
      <c r="B529">
        <v>12</v>
      </c>
      <c r="C529">
        <v>-13.45</v>
      </c>
      <c r="D529">
        <v>-14.04</v>
      </c>
      <c r="E529">
        <v>2.1800000000000002</v>
      </c>
      <c r="F529">
        <v>-5.61</v>
      </c>
      <c r="G529">
        <v>-5.54</v>
      </c>
      <c r="H529">
        <v>2.34</v>
      </c>
      <c r="I529">
        <v>-19.059999999999999</v>
      </c>
      <c r="J529">
        <v>-19.579999999999998</v>
      </c>
      <c r="K529">
        <v>3.73</v>
      </c>
      <c r="L529" t="s">
        <v>0</v>
      </c>
      <c r="M529" t="s">
        <v>0</v>
      </c>
      <c r="N529" t="s">
        <v>0</v>
      </c>
    </row>
    <row r="530" spans="1:14" x14ac:dyDescent="0.2">
      <c r="A530">
        <v>1984</v>
      </c>
      <c r="B530">
        <v>1</v>
      </c>
      <c r="C530">
        <v>-12.64</v>
      </c>
      <c r="D530">
        <v>-14.14</v>
      </c>
      <c r="E530">
        <v>2.13</v>
      </c>
      <c r="F530">
        <v>-5.26</v>
      </c>
      <c r="G530">
        <v>-5.48</v>
      </c>
      <c r="H530">
        <v>2.29</v>
      </c>
      <c r="I530">
        <v>-17.899999999999999</v>
      </c>
      <c r="J530">
        <v>-19.62</v>
      </c>
      <c r="K530">
        <v>3.64</v>
      </c>
      <c r="L530" t="s">
        <v>0</v>
      </c>
      <c r="M530" t="s">
        <v>0</v>
      </c>
      <c r="N530" t="s">
        <v>0</v>
      </c>
    </row>
    <row r="531" spans="1:14" x14ac:dyDescent="0.2">
      <c r="A531">
        <v>1984</v>
      </c>
      <c r="B531">
        <v>2</v>
      </c>
      <c r="C531">
        <v>-12.81</v>
      </c>
      <c r="D531">
        <v>-14.19</v>
      </c>
      <c r="E531">
        <v>2.13</v>
      </c>
      <c r="F531">
        <v>-5.16</v>
      </c>
      <c r="G531">
        <v>-5.42</v>
      </c>
      <c r="H531">
        <v>2.34</v>
      </c>
      <c r="I531">
        <v>-17.97</v>
      </c>
      <c r="J531">
        <v>-19.61</v>
      </c>
      <c r="K531">
        <v>3.68</v>
      </c>
      <c r="L531" t="s">
        <v>0</v>
      </c>
      <c r="M531" t="s">
        <v>0</v>
      </c>
      <c r="N531" t="s">
        <v>0</v>
      </c>
    </row>
    <row r="532" spans="1:14" x14ac:dyDescent="0.2">
      <c r="A532">
        <v>1984</v>
      </c>
      <c r="B532">
        <v>3</v>
      </c>
      <c r="C532">
        <v>-13.14</v>
      </c>
      <c r="D532">
        <v>-14.2</v>
      </c>
      <c r="E532">
        <v>2.14</v>
      </c>
      <c r="F532">
        <v>-5.22</v>
      </c>
      <c r="G532">
        <v>-5.36</v>
      </c>
      <c r="H532">
        <v>2.37</v>
      </c>
      <c r="I532">
        <v>-18.36</v>
      </c>
      <c r="J532">
        <v>-19.559999999999999</v>
      </c>
      <c r="K532">
        <v>3.73</v>
      </c>
      <c r="L532" t="s">
        <v>0</v>
      </c>
      <c r="M532" t="s">
        <v>0</v>
      </c>
      <c r="N532" t="s">
        <v>0</v>
      </c>
    </row>
    <row r="533" spans="1:14" x14ac:dyDescent="0.2">
      <c r="A533">
        <v>1984</v>
      </c>
      <c r="B533">
        <v>4</v>
      </c>
      <c r="C533">
        <v>-13.24</v>
      </c>
      <c r="D533">
        <v>-14.22</v>
      </c>
      <c r="E533">
        <v>2.21</v>
      </c>
      <c r="F533">
        <v>-5.32</v>
      </c>
      <c r="G533">
        <v>-5.3</v>
      </c>
      <c r="H533">
        <v>2.36</v>
      </c>
      <c r="I533">
        <v>-18.559999999999999</v>
      </c>
      <c r="J533">
        <v>-19.510000000000002</v>
      </c>
      <c r="K533">
        <v>3.77</v>
      </c>
      <c r="L533" t="s">
        <v>0</v>
      </c>
      <c r="M533" t="s">
        <v>0</v>
      </c>
      <c r="N533" t="s">
        <v>0</v>
      </c>
    </row>
    <row r="534" spans="1:14" x14ac:dyDescent="0.2">
      <c r="A534">
        <v>1984</v>
      </c>
      <c r="B534">
        <v>5</v>
      </c>
      <c r="C534">
        <v>-14.62</v>
      </c>
      <c r="D534">
        <v>-14.22</v>
      </c>
      <c r="E534">
        <v>2.36</v>
      </c>
      <c r="F534">
        <v>-5.36</v>
      </c>
      <c r="G534">
        <v>-5.23</v>
      </c>
      <c r="H534">
        <v>2.34</v>
      </c>
      <c r="I534">
        <v>-19.98</v>
      </c>
      <c r="J534">
        <v>-19.45</v>
      </c>
      <c r="K534">
        <v>3.84</v>
      </c>
      <c r="L534" t="s">
        <v>0</v>
      </c>
      <c r="M534" t="s">
        <v>0</v>
      </c>
      <c r="N534" t="s">
        <v>0</v>
      </c>
    </row>
    <row r="535" spans="1:14" x14ac:dyDescent="0.2">
      <c r="A535">
        <v>1984</v>
      </c>
      <c r="B535">
        <v>6</v>
      </c>
      <c r="C535">
        <v>-15.86</v>
      </c>
      <c r="D535">
        <v>-14.21</v>
      </c>
      <c r="E535">
        <v>2.4500000000000002</v>
      </c>
      <c r="F535">
        <v>-5.27</v>
      </c>
      <c r="G535">
        <v>-5.18</v>
      </c>
      <c r="H535">
        <v>2.31</v>
      </c>
      <c r="I535">
        <v>-21.12</v>
      </c>
      <c r="J535">
        <v>-19.39</v>
      </c>
      <c r="K535">
        <v>3.84</v>
      </c>
      <c r="L535" t="s">
        <v>0</v>
      </c>
      <c r="M535" t="s">
        <v>0</v>
      </c>
      <c r="N535" t="s">
        <v>0</v>
      </c>
    </row>
    <row r="536" spans="1:14" x14ac:dyDescent="0.2">
      <c r="A536">
        <v>1984</v>
      </c>
      <c r="B536">
        <v>7</v>
      </c>
      <c r="C536">
        <v>-16.03</v>
      </c>
      <c r="D536">
        <v>-14.24</v>
      </c>
      <c r="E536">
        <v>2.48</v>
      </c>
      <c r="F536">
        <v>-5.14</v>
      </c>
      <c r="G536">
        <v>-5.12</v>
      </c>
      <c r="H536">
        <v>2.31</v>
      </c>
      <c r="I536">
        <v>-21.17</v>
      </c>
      <c r="J536">
        <v>-19.36</v>
      </c>
      <c r="K536">
        <v>3.86</v>
      </c>
      <c r="L536" t="s">
        <v>0</v>
      </c>
      <c r="M536" t="s">
        <v>0</v>
      </c>
      <c r="N536" t="s">
        <v>0</v>
      </c>
    </row>
    <row r="537" spans="1:14" x14ac:dyDescent="0.2">
      <c r="A537">
        <v>1984</v>
      </c>
      <c r="B537">
        <v>8</v>
      </c>
      <c r="C537">
        <v>-15.39</v>
      </c>
      <c r="D537">
        <v>-14.22</v>
      </c>
      <c r="E537">
        <v>2.4700000000000002</v>
      </c>
      <c r="F537">
        <v>-5.17</v>
      </c>
      <c r="G537">
        <v>-5.07</v>
      </c>
      <c r="H537">
        <v>2.33</v>
      </c>
      <c r="I537">
        <v>-20.56</v>
      </c>
      <c r="J537">
        <v>-19.3</v>
      </c>
      <c r="K537">
        <v>3.87</v>
      </c>
      <c r="L537" t="s">
        <v>0</v>
      </c>
      <c r="M537" t="s">
        <v>0</v>
      </c>
      <c r="N537" t="s">
        <v>0</v>
      </c>
    </row>
    <row r="538" spans="1:14" x14ac:dyDescent="0.2">
      <c r="A538">
        <v>1984</v>
      </c>
      <c r="B538">
        <v>9</v>
      </c>
      <c r="C538">
        <v>-15.03</v>
      </c>
      <c r="D538">
        <v>-14.13</v>
      </c>
      <c r="E538">
        <v>2.35</v>
      </c>
      <c r="F538">
        <v>-5.14</v>
      </c>
      <c r="G538">
        <v>-5.0199999999999996</v>
      </c>
      <c r="H538">
        <v>2.3199999999999998</v>
      </c>
      <c r="I538">
        <v>-20.170000000000002</v>
      </c>
      <c r="J538">
        <v>-19.16</v>
      </c>
      <c r="K538">
        <v>3.81</v>
      </c>
      <c r="L538" t="s">
        <v>0</v>
      </c>
      <c r="M538" t="s">
        <v>0</v>
      </c>
      <c r="N538" t="s">
        <v>0</v>
      </c>
    </row>
    <row r="539" spans="1:14" x14ac:dyDescent="0.2">
      <c r="A539">
        <v>1984</v>
      </c>
      <c r="B539">
        <v>10</v>
      </c>
      <c r="C539">
        <v>-14.68</v>
      </c>
      <c r="D539">
        <v>-14</v>
      </c>
      <c r="E539">
        <v>2.2599999999999998</v>
      </c>
      <c r="F539">
        <v>-4.96</v>
      </c>
      <c r="G539">
        <v>-4.97</v>
      </c>
      <c r="H539">
        <v>2.31</v>
      </c>
      <c r="I539">
        <v>-19.64</v>
      </c>
      <c r="J539">
        <v>-18.96</v>
      </c>
      <c r="K539">
        <v>3.73</v>
      </c>
      <c r="L539" t="s">
        <v>0</v>
      </c>
      <c r="M539" t="s">
        <v>0</v>
      </c>
      <c r="N539" t="s">
        <v>0</v>
      </c>
    </row>
    <row r="540" spans="1:14" x14ac:dyDescent="0.2">
      <c r="A540">
        <v>1984</v>
      </c>
      <c r="B540">
        <v>11</v>
      </c>
      <c r="C540">
        <v>-13.59</v>
      </c>
      <c r="D540">
        <v>-13.79</v>
      </c>
      <c r="E540">
        <v>2.2000000000000002</v>
      </c>
      <c r="F540">
        <v>-4.8499999999999996</v>
      </c>
      <c r="G540">
        <v>-4.91</v>
      </c>
      <c r="H540">
        <v>2.3199999999999998</v>
      </c>
      <c r="I540">
        <v>-18.440000000000001</v>
      </c>
      <c r="J540">
        <v>-18.7</v>
      </c>
      <c r="K540">
        <v>3.71</v>
      </c>
      <c r="L540" t="s">
        <v>0</v>
      </c>
      <c r="M540" t="s">
        <v>0</v>
      </c>
      <c r="N540" t="s">
        <v>0</v>
      </c>
    </row>
    <row r="541" spans="1:14" x14ac:dyDescent="0.2">
      <c r="A541">
        <v>1984</v>
      </c>
      <c r="B541">
        <v>12</v>
      </c>
      <c r="C541">
        <v>-13.57</v>
      </c>
      <c r="D541">
        <v>-13.49</v>
      </c>
      <c r="E541">
        <v>2.2000000000000002</v>
      </c>
      <c r="F541">
        <v>-4.9400000000000004</v>
      </c>
      <c r="G541">
        <v>-4.8600000000000003</v>
      </c>
      <c r="H541">
        <v>2.34</v>
      </c>
      <c r="I541">
        <v>-18.510000000000002</v>
      </c>
      <c r="J541">
        <v>-18.350000000000001</v>
      </c>
      <c r="K541">
        <v>3.74</v>
      </c>
      <c r="L541" t="s">
        <v>0</v>
      </c>
      <c r="M541" t="s">
        <v>0</v>
      </c>
      <c r="N541" t="s">
        <v>0</v>
      </c>
    </row>
    <row r="542" spans="1:14" x14ac:dyDescent="0.2">
      <c r="A542">
        <v>1985</v>
      </c>
      <c r="B542">
        <v>1</v>
      </c>
      <c r="C542">
        <v>-13.07</v>
      </c>
      <c r="D542">
        <v>-13.2</v>
      </c>
      <c r="E542">
        <v>2.14</v>
      </c>
      <c r="F542">
        <v>-4.6500000000000004</v>
      </c>
      <c r="G542">
        <v>-4.8099999999999996</v>
      </c>
      <c r="H542">
        <v>2.29</v>
      </c>
      <c r="I542">
        <v>-17.72</v>
      </c>
      <c r="J542">
        <v>-18.010000000000002</v>
      </c>
      <c r="K542">
        <v>3.64</v>
      </c>
      <c r="L542" t="s">
        <v>0</v>
      </c>
      <c r="M542" t="s">
        <v>0</v>
      </c>
      <c r="N542" t="s">
        <v>0</v>
      </c>
    </row>
    <row r="543" spans="1:14" x14ac:dyDescent="0.2">
      <c r="A543">
        <v>1985</v>
      </c>
      <c r="B543">
        <v>2</v>
      </c>
      <c r="C543">
        <v>-12.11</v>
      </c>
      <c r="D543">
        <v>-13</v>
      </c>
      <c r="E543">
        <v>2.06</v>
      </c>
      <c r="F543">
        <v>-4.6100000000000003</v>
      </c>
      <c r="G543">
        <v>-4.78</v>
      </c>
      <c r="H543">
        <v>2.31</v>
      </c>
      <c r="I543">
        <v>-16.72</v>
      </c>
      <c r="J543">
        <v>-17.78</v>
      </c>
      <c r="K543">
        <v>3.58</v>
      </c>
      <c r="L543" t="s">
        <v>0</v>
      </c>
      <c r="M543" t="s">
        <v>0</v>
      </c>
      <c r="N543" t="s">
        <v>0</v>
      </c>
    </row>
    <row r="544" spans="1:14" x14ac:dyDescent="0.2">
      <c r="A544">
        <v>1985</v>
      </c>
      <c r="B544">
        <v>3</v>
      </c>
      <c r="C544">
        <v>-11.67</v>
      </c>
      <c r="D544">
        <v>-12.9</v>
      </c>
      <c r="E544">
        <v>2.0499999999999998</v>
      </c>
      <c r="F544">
        <v>-4.5999999999999996</v>
      </c>
      <c r="G544">
        <v>-4.74</v>
      </c>
      <c r="H544">
        <v>2.31</v>
      </c>
      <c r="I544">
        <v>-16.27</v>
      </c>
      <c r="J544">
        <v>-17.64</v>
      </c>
      <c r="K544">
        <v>3.56</v>
      </c>
      <c r="L544" t="s">
        <v>0</v>
      </c>
      <c r="M544" t="s">
        <v>0</v>
      </c>
      <c r="N544" t="s">
        <v>0</v>
      </c>
    </row>
    <row r="545" spans="1:14" x14ac:dyDescent="0.2">
      <c r="A545">
        <v>1985</v>
      </c>
      <c r="B545">
        <v>4</v>
      </c>
      <c r="C545">
        <v>-11.41</v>
      </c>
      <c r="D545">
        <v>-12.83</v>
      </c>
      <c r="E545">
        <v>2.06</v>
      </c>
      <c r="F545">
        <v>-4.57</v>
      </c>
      <c r="G545">
        <v>-4.71</v>
      </c>
      <c r="H545">
        <v>2.31</v>
      </c>
      <c r="I545">
        <v>-15.98</v>
      </c>
      <c r="J545">
        <v>-17.54</v>
      </c>
      <c r="K545">
        <v>3.57</v>
      </c>
      <c r="L545" t="s">
        <v>0</v>
      </c>
      <c r="M545" t="s">
        <v>0</v>
      </c>
      <c r="N545" t="s">
        <v>0</v>
      </c>
    </row>
    <row r="546" spans="1:14" x14ac:dyDescent="0.2">
      <c r="A546">
        <v>1985</v>
      </c>
      <c r="B546">
        <v>5</v>
      </c>
      <c r="C546">
        <v>-11.46</v>
      </c>
      <c r="D546">
        <v>-12.81</v>
      </c>
      <c r="E546">
        <v>2.09</v>
      </c>
      <c r="F546">
        <v>-4.68</v>
      </c>
      <c r="G546">
        <v>-4.67</v>
      </c>
      <c r="H546">
        <v>2.3199999999999998</v>
      </c>
      <c r="I546">
        <v>-16.14</v>
      </c>
      <c r="J546">
        <v>-17.489999999999998</v>
      </c>
      <c r="K546">
        <v>3.58</v>
      </c>
      <c r="L546" t="s">
        <v>0</v>
      </c>
      <c r="M546" t="s">
        <v>0</v>
      </c>
      <c r="N546" t="s">
        <v>0</v>
      </c>
    </row>
    <row r="547" spans="1:14" x14ac:dyDescent="0.2">
      <c r="A547">
        <v>1985</v>
      </c>
      <c r="B547">
        <v>6</v>
      </c>
      <c r="C547">
        <v>-11.97</v>
      </c>
      <c r="D547">
        <v>-12.84</v>
      </c>
      <c r="E547">
        <v>2.16</v>
      </c>
      <c r="F547">
        <v>-4.72</v>
      </c>
      <c r="G547">
        <v>-4.6399999999999997</v>
      </c>
      <c r="H547">
        <v>2.3199999999999998</v>
      </c>
      <c r="I547">
        <v>-16.690000000000001</v>
      </c>
      <c r="J547">
        <v>-17.48</v>
      </c>
      <c r="K547">
        <v>3.59</v>
      </c>
      <c r="L547" t="s">
        <v>0</v>
      </c>
      <c r="M547" t="s">
        <v>0</v>
      </c>
      <c r="N547" t="s">
        <v>0</v>
      </c>
    </row>
    <row r="548" spans="1:14" x14ac:dyDescent="0.2">
      <c r="A548">
        <v>1985</v>
      </c>
      <c r="B548">
        <v>7</v>
      </c>
      <c r="C548">
        <v>-12.83</v>
      </c>
      <c r="D548">
        <v>-12.9</v>
      </c>
      <c r="E548">
        <v>2.12</v>
      </c>
      <c r="F548">
        <v>-4.68</v>
      </c>
      <c r="G548">
        <v>-4.5999999999999996</v>
      </c>
      <c r="H548">
        <v>2.34</v>
      </c>
      <c r="I548">
        <v>-17.510000000000002</v>
      </c>
      <c r="J548">
        <v>-17.489999999999998</v>
      </c>
      <c r="K548">
        <v>3.52</v>
      </c>
      <c r="L548" t="s">
        <v>0</v>
      </c>
      <c r="M548" t="s">
        <v>0</v>
      </c>
      <c r="N548" t="s">
        <v>0</v>
      </c>
    </row>
    <row r="549" spans="1:14" x14ac:dyDescent="0.2">
      <c r="A549">
        <v>1985</v>
      </c>
      <c r="B549">
        <v>8</v>
      </c>
      <c r="C549">
        <v>-13.78</v>
      </c>
      <c r="D549">
        <v>-13.02</v>
      </c>
      <c r="E549">
        <v>2.16</v>
      </c>
      <c r="F549">
        <v>-4.7300000000000004</v>
      </c>
      <c r="G549">
        <v>-4.55</v>
      </c>
      <c r="H549">
        <v>2.36</v>
      </c>
      <c r="I549">
        <v>-18.510000000000002</v>
      </c>
      <c r="J549">
        <v>-17.57</v>
      </c>
      <c r="K549">
        <v>3.61</v>
      </c>
      <c r="L549" t="s">
        <v>0</v>
      </c>
      <c r="M549" t="s">
        <v>0</v>
      </c>
      <c r="N549" t="s">
        <v>0</v>
      </c>
    </row>
    <row r="550" spans="1:14" x14ac:dyDescent="0.2">
      <c r="A550">
        <v>1985</v>
      </c>
      <c r="B550">
        <v>9</v>
      </c>
      <c r="C550">
        <v>-14.17</v>
      </c>
      <c r="D550">
        <v>-13.17</v>
      </c>
      <c r="E550">
        <v>2.13</v>
      </c>
      <c r="F550">
        <v>-4.68</v>
      </c>
      <c r="G550">
        <v>-4.51</v>
      </c>
      <c r="H550">
        <v>2.37</v>
      </c>
      <c r="I550">
        <v>-18.850000000000001</v>
      </c>
      <c r="J550">
        <v>-17.68</v>
      </c>
      <c r="K550">
        <v>3.62</v>
      </c>
      <c r="L550" t="s">
        <v>0</v>
      </c>
      <c r="M550" t="s">
        <v>0</v>
      </c>
      <c r="N550" t="s">
        <v>0</v>
      </c>
    </row>
    <row r="551" spans="1:14" x14ac:dyDescent="0.2">
      <c r="A551">
        <v>1985</v>
      </c>
      <c r="B551">
        <v>10</v>
      </c>
      <c r="C551">
        <v>-13.97</v>
      </c>
      <c r="D551">
        <v>-13.31</v>
      </c>
      <c r="E551">
        <v>2.06</v>
      </c>
      <c r="F551">
        <v>-4.58</v>
      </c>
      <c r="G551">
        <v>-4.47</v>
      </c>
      <c r="H551">
        <v>2.4</v>
      </c>
      <c r="I551">
        <v>-18.55</v>
      </c>
      <c r="J551">
        <v>-17.77</v>
      </c>
      <c r="K551">
        <v>3.63</v>
      </c>
      <c r="L551" t="s">
        <v>0</v>
      </c>
      <c r="M551" t="s">
        <v>0</v>
      </c>
      <c r="N551" t="s">
        <v>0</v>
      </c>
    </row>
    <row r="552" spans="1:14" x14ac:dyDescent="0.2">
      <c r="A552">
        <v>1985</v>
      </c>
      <c r="B552">
        <v>11</v>
      </c>
      <c r="C552">
        <v>-13.89</v>
      </c>
      <c r="D552">
        <v>-13.4</v>
      </c>
      <c r="E552">
        <v>1.98</v>
      </c>
      <c r="F552">
        <v>-4.46</v>
      </c>
      <c r="G552">
        <v>-4.43</v>
      </c>
      <c r="H552">
        <v>2.41</v>
      </c>
      <c r="I552">
        <v>-18.350000000000001</v>
      </c>
      <c r="J552">
        <v>-17.829999999999998</v>
      </c>
      <c r="K552">
        <v>3.56</v>
      </c>
      <c r="L552" t="s">
        <v>0</v>
      </c>
      <c r="M552" t="s">
        <v>0</v>
      </c>
      <c r="N552" t="s">
        <v>0</v>
      </c>
    </row>
    <row r="553" spans="1:14" x14ac:dyDescent="0.2">
      <c r="A553">
        <v>1985</v>
      </c>
      <c r="B553">
        <v>12</v>
      </c>
      <c r="C553">
        <v>-13.91</v>
      </c>
      <c r="D553">
        <v>-13.47</v>
      </c>
      <c r="E553">
        <v>1.97</v>
      </c>
      <c r="F553">
        <v>-4.43</v>
      </c>
      <c r="G553">
        <v>-4.38</v>
      </c>
      <c r="H553">
        <v>2.41</v>
      </c>
      <c r="I553">
        <v>-18.34</v>
      </c>
      <c r="J553">
        <v>-17.84</v>
      </c>
      <c r="K553">
        <v>3.55</v>
      </c>
      <c r="L553" t="s">
        <v>0</v>
      </c>
      <c r="M553" t="s">
        <v>0</v>
      </c>
      <c r="N553" t="s">
        <v>0</v>
      </c>
    </row>
    <row r="554" spans="1:14" x14ac:dyDescent="0.2">
      <c r="A554">
        <v>1986</v>
      </c>
      <c r="B554">
        <v>1</v>
      </c>
      <c r="C554">
        <v>-14.17</v>
      </c>
      <c r="D554">
        <v>-13.45</v>
      </c>
      <c r="E554">
        <v>1.92</v>
      </c>
      <c r="F554">
        <v>-4.1399999999999997</v>
      </c>
      <c r="G554">
        <v>-4.33</v>
      </c>
      <c r="H554">
        <v>2.34</v>
      </c>
      <c r="I554">
        <v>-18.309999999999999</v>
      </c>
      <c r="J554">
        <v>-17.78</v>
      </c>
      <c r="K554">
        <v>3.45</v>
      </c>
      <c r="L554" t="s">
        <v>0</v>
      </c>
      <c r="M554" t="s">
        <v>0</v>
      </c>
      <c r="N554" t="s">
        <v>0</v>
      </c>
    </row>
    <row r="555" spans="1:14" x14ac:dyDescent="0.2">
      <c r="A555">
        <v>1986</v>
      </c>
      <c r="B555">
        <v>2</v>
      </c>
      <c r="C555">
        <v>-13.89</v>
      </c>
      <c r="D555">
        <v>-13.38</v>
      </c>
      <c r="E555">
        <v>1.93</v>
      </c>
      <c r="F555">
        <v>-4.05</v>
      </c>
      <c r="G555">
        <v>-4.28</v>
      </c>
      <c r="H555">
        <v>2.31</v>
      </c>
      <c r="I555">
        <v>-17.940000000000001</v>
      </c>
      <c r="J555">
        <v>-17.66</v>
      </c>
      <c r="K555">
        <v>3.44</v>
      </c>
      <c r="L555" t="s">
        <v>0</v>
      </c>
      <c r="M555" t="s">
        <v>0</v>
      </c>
      <c r="N555" t="s">
        <v>0</v>
      </c>
    </row>
    <row r="556" spans="1:14" x14ac:dyDescent="0.2">
      <c r="A556">
        <v>1986</v>
      </c>
      <c r="B556">
        <v>3</v>
      </c>
      <c r="C556">
        <v>-13.56</v>
      </c>
      <c r="D556">
        <v>-13.28</v>
      </c>
      <c r="E556">
        <v>1.94</v>
      </c>
      <c r="F556">
        <v>-4.07</v>
      </c>
      <c r="G556">
        <v>-4.24</v>
      </c>
      <c r="H556">
        <v>2.29</v>
      </c>
      <c r="I556">
        <v>-17.63</v>
      </c>
      <c r="J556">
        <v>-17.52</v>
      </c>
      <c r="K556">
        <v>3.4</v>
      </c>
      <c r="L556" t="s">
        <v>0</v>
      </c>
      <c r="M556" t="s">
        <v>0</v>
      </c>
      <c r="N556" t="s">
        <v>0</v>
      </c>
    </row>
    <row r="557" spans="1:14" x14ac:dyDescent="0.2">
      <c r="A557">
        <v>1986</v>
      </c>
      <c r="B557">
        <v>4</v>
      </c>
      <c r="C557">
        <v>-12.78</v>
      </c>
      <c r="D557">
        <v>-13.21</v>
      </c>
      <c r="E557">
        <v>1.99</v>
      </c>
      <c r="F557">
        <v>-4.17</v>
      </c>
      <c r="G557">
        <v>-4.1900000000000004</v>
      </c>
      <c r="H557">
        <v>2.2799999999999998</v>
      </c>
      <c r="I557">
        <v>-16.95</v>
      </c>
      <c r="J557">
        <v>-17.399999999999999</v>
      </c>
      <c r="K557">
        <v>3.41</v>
      </c>
      <c r="L557" t="s">
        <v>0</v>
      </c>
      <c r="M557" t="s">
        <v>0</v>
      </c>
      <c r="N557" t="s">
        <v>0</v>
      </c>
    </row>
    <row r="558" spans="1:14" x14ac:dyDescent="0.2">
      <c r="A558">
        <v>1986</v>
      </c>
      <c r="B558">
        <v>5</v>
      </c>
      <c r="C558">
        <v>-12.42</v>
      </c>
      <c r="D558">
        <v>-13.21</v>
      </c>
      <c r="E558">
        <v>1.97</v>
      </c>
      <c r="F558">
        <v>-4.13</v>
      </c>
      <c r="G558">
        <v>-4.1500000000000004</v>
      </c>
      <c r="H558">
        <v>2.2599999999999998</v>
      </c>
      <c r="I558">
        <v>-16.55</v>
      </c>
      <c r="J558">
        <v>-17.36</v>
      </c>
      <c r="K558">
        <v>3.37</v>
      </c>
      <c r="L558" t="s">
        <v>0</v>
      </c>
      <c r="M558" t="s">
        <v>0</v>
      </c>
      <c r="N558" t="s">
        <v>0</v>
      </c>
    </row>
    <row r="559" spans="1:14" x14ac:dyDescent="0.2">
      <c r="A559">
        <v>1986</v>
      </c>
      <c r="B559">
        <v>6</v>
      </c>
      <c r="C559">
        <v>-12.47</v>
      </c>
      <c r="D559">
        <v>-13.28</v>
      </c>
      <c r="E559">
        <v>2.09</v>
      </c>
      <c r="F559">
        <v>-4.09</v>
      </c>
      <c r="G559">
        <v>-4.13</v>
      </c>
      <c r="H559">
        <v>2.2599999999999998</v>
      </c>
      <c r="I559">
        <v>-16.55</v>
      </c>
      <c r="J559">
        <v>-17.399999999999999</v>
      </c>
      <c r="K559">
        <v>3.4</v>
      </c>
      <c r="L559" t="s">
        <v>0</v>
      </c>
      <c r="M559" t="s">
        <v>0</v>
      </c>
      <c r="N559" t="s">
        <v>0</v>
      </c>
    </row>
    <row r="560" spans="1:14" x14ac:dyDescent="0.2">
      <c r="A560">
        <v>1986</v>
      </c>
      <c r="B560">
        <v>7</v>
      </c>
      <c r="C560">
        <v>-12.08</v>
      </c>
      <c r="D560">
        <v>-13.36</v>
      </c>
      <c r="E560">
        <v>2.13</v>
      </c>
      <c r="F560">
        <v>-4.1399999999999997</v>
      </c>
      <c r="G560">
        <v>-4.1100000000000003</v>
      </c>
      <c r="H560">
        <v>2.27</v>
      </c>
      <c r="I560">
        <v>-16.22</v>
      </c>
      <c r="J560">
        <v>-17.47</v>
      </c>
      <c r="K560">
        <v>3.46</v>
      </c>
      <c r="L560" t="s">
        <v>0</v>
      </c>
      <c r="M560" t="s">
        <v>0</v>
      </c>
      <c r="N560" t="s">
        <v>0</v>
      </c>
    </row>
    <row r="561" spans="1:14" x14ac:dyDescent="0.2">
      <c r="A561">
        <v>1986</v>
      </c>
      <c r="B561">
        <v>8</v>
      </c>
      <c r="C561">
        <v>-12.64</v>
      </c>
      <c r="D561">
        <v>-13.41</v>
      </c>
      <c r="E561">
        <v>2.08</v>
      </c>
      <c r="F561">
        <v>-4.1900000000000004</v>
      </c>
      <c r="G561">
        <v>-4.12</v>
      </c>
      <c r="H561">
        <v>2.25</v>
      </c>
      <c r="I561">
        <v>-16.829999999999998</v>
      </c>
      <c r="J561">
        <v>-17.53</v>
      </c>
      <c r="K561">
        <v>3.43</v>
      </c>
      <c r="L561" t="s">
        <v>0</v>
      </c>
      <c r="M561" t="s">
        <v>0</v>
      </c>
      <c r="N561" t="s">
        <v>0</v>
      </c>
    </row>
    <row r="562" spans="1:14" x14ac:dyDescent="0.2">
      <c r="A562">
        <v>1986</v>
      </c>
      <c r="B562">
        <v>9</v>
      </c>
      <c r="C562">
        <v>-13</v>
      </c>
      <c r="D562">
        <v>-13.45</v>
      </c>
      <c r="E562">
        <v>1.92</v>
      </c>
      <c r="F562">
        <v>-4.13</v>
      </c>
      <c r="G562">
        <v>-4.1399999999999997</v>
      </c>
      <c r="H562">
        <v>2.23</v>
      </c>
      <c r="I562">
        <v>-17.13</v>
      </c>
      <c r="J562">
        <v>-17.59</v>
      </c>
      <c r="K562">
        <v>3.35</v>
      </c>
      <c r="L562" t="s">
        <v>0</v>
      </c>
      <c r="M562" t="s">
        <v>0</v>
      </c>
      <c r="N562" t="s">
        <v>0</v>
      </c>
    </row>
    <row r="563" spans="1:14" x14ac:dyDescent="0.2">
      <c r="A563">
        <v>1986</v>
      </c>
      <c r="B563">
        <v>10</v>
      </c>
      <c r="C563">
        <v>-13.41</v>
      </c>
      <c r="D563">
        <v>-13.48</v>
      </c>
      <c r="E563">
        <v>1.94</v>
      </c>
      <c r="F563">
        <v>-4.04</v>
      </c>
      <c r="G563">
        <v>-4.17</v>
      </c>
      <c r="H563">
        <v>2.2000000000000002</v>
      </c>
      <c r="I563">
        <v>-17.45</v>
      </c>
      <c r="J563">
        <v>-17.649999999999999</v>
      </c>
      <c r="K563">
        <v>3.36</v>
      </c>
      <c r="L563" t="s">
        <v>0</v>
      </c>
      <c r="M563" t="s">
        <v>0</v>
      </c>
      <c r="N563" t="s">
        <v>0</v>
      </c>
    </row>
    <row r="564" spans="1:14" x14ac:dyDescent="0.2">
      <c r="A564">
        <v>1986</v>
      </c>
      <c r="B564">
        <v>11</v>
      </c>
      <c r="C564">
        <v>-14.4</v>
      </c>
      <c r="D564">
        <v>-13.53</v>
      </c>
      <c r="E564">
        <v>1.91</v>
      </c>
      <c r="F564">
        <v>-4.07</v>
      </c>
      <c r="G564">
        <v>-4.2</v>
      </c>
      <c r="H564">
        <v>2.16</v>
      </c>
      <c r="I564">
        <v>-18.47</v>
      </c>
      <c r="J564">
        <v>-17.73</v>
      </c>
      <c r="K564">
        <v>3.34</v>
      </c>
      <c r="L564" t="s">
        <v>0</v>
      </c>
      <c r="M564" t="s">
        <v>0</v>
      </c>
      <c r="N564" t="s">
        <v>0</v>
      </c>
    </row>
    <row r="565" spans="1:14" x14ac:dyDescent="0.2">
      <c r="A565">
        <v>1986</v>
      </c>
      <c r="B565">
        <v>12</v>
      </c>
      <c r="C565">
        <v>-15.09</v>
      </c>
      <c r="D565">
        <v>-13.6</v>
      </c>
      <c r="E565">
        <v>1.88</v>
      </c>
      <c r="F565">
        <v>-4.21</v>
      </c>
      <c r="G565">
        <v>-4.26</v>
      </c>
      <c r="H565">
        <v>2.16</v>
      </c>
      <c r="I565">
        <v>-19.3</v>
      </c>
      <c r="J565">
        <v>-17.850000000000001</v>
      </c>
      <c r="K565">
        <v>3.32</v>
      </c>
      <c r="L565" t="s">
        <v>0</v>
      </c>
      <c r="M565" t="s">
        <v>0</v>
      </c>
      <c r="N565" t="s">
        <v>0</v>
      </c>
    </row>
    <row r="566" spans="1:14" x14ac:dyDescent="0.2">
      <c r="A566">
        <v>1987</v>
      </c>
      <c r="B566">
        <v>1</v>
      </c>
      <c r="C566">
        <v>-14.92</v>
      </c>
      <c r="D566">
        <v>-13.71</v>
      </c>
      <c r="E566">
        <v>1.81</v>
      </c>
      <c r="F566">
        <v>-4.0199999999999996</v>
      </c>
      <c r="G566">
        <v>-4.3099999999999996</v>
      </c>
      <c r="H566">
        <v>2.1</v>
      </c>
      <c r="I566">
        <v>-18.940000000000001</v>
      </c>
      <c r="J566">
        <v>-18.02</v>
      </c>
      <c r="K566">
        <v>3.19</v>
      </c>
      <c r="L566" t="s">
        <v>0</v>
      </c>
      <c r="M566" t="s">
        <v>0</v>
      </c>
      <c r="N566" t="s">
        <v>0</v>
      </c>
    </row>
    <row r="567" spans="1:14" x14ac:dyDescent="0.2">
      <c r="A567">
        <v>1987</v>
      </c>
      <c r="B567">
        <v>2</v>
      </c>
      <c r="C567">
        <v>-14.51</v>
      </c>
      <c r="D567">
        <v>-13.86</v>
      </c>
      <c r="E567">
        <v>1.92</v>
      </c>
      <c r="F567">
        <v>-4.22</v>
      </c>
      <c r="G567">
        <v>-4.3499999999999996</v>
      </c>
      <c r="H567">
        <v>2.08</v>
      </c>
      <c r="I567">
        <v>-18.73</v>
      </c>
      <c r="J567">
        <v>-18.22</v>
      </c>
      <c r="K567">
        <v>3.27</v>
      </c>
      <c r="L567" t="s">
        <v>0</v>
      </c>
      <c r="M567" t="s">
        <v>0</v>
      </c>
      <c r="N567" t="s">
        <v>0</v>
      </c>
    </row>
    <row r="568" spans="1:14" x14ac:dyDescent="0.2">
      <c r="A568">
        <v>1987</v>
      </c>
      <c r="B568">
        <v>3</v>
      </c>
      <c r="C568">
        <v>-13.79</v>
      </c>
      <c r="D568">
        <v>-13.99</v>
      </c>
      <c r="E568">
        <v>1.88</v>
      </c>
      <c r="F568">
        <v>-4.42</v>
      </c>
      <c r="G568">
        <v>-4.4000000000000004</v>
      </c>
      <c r="H568">
        <v>2.0699999999999998</v>
      </c>
      <c r="I568">
        <v>-18.21</v>
      </c>
      <c r="J568">
        <v>-18.39</v>
      </c>
      <c r="K568">
        <v>3.24</v>
      </c>
      <c r="L568" t="s">
        <v>0</v>
      </c>
      <c r="M568" t="s">
        <v>0</v>
      </c>
      <c r="N568" t="s">
        <v>0</v>
      </c>
    </row>
    <row r="569" spans="1:14" x14ac:dyDescent="0.2">
      <c r="A569">
        <v>1987</v>
      </c>
      <c r="B569">
        <v>4</v>
      </c>
      <c r="C569">
        <v>-13.3</v>
      </c>
      <c r="D569">
        <v>-14.02</v>
      </c>
      <c r="E569">
        <v>1.84</v>
      </c>
      <c r="F569">
        <v>-4.5</v>
      </c>
      <c r="G569">
        <v>-4.47</v>
      </c>
      <c r="H569">
        <v>2.06</v>
      </c>
      <c r="I569">
        <v>-17.8</v>
      </c>
      <c r="J569">
        <v>-18.489999999999998</v>
      </c>
      <c r="K569">
        <v>3.19</v>
      </c>
      <c r="L569" t="s">
        <v>0</v>
      </c>
      <c r="M569" t="s">
        <v>0</v>
      </c>
      <c r="N569" t="s">
        <v>0</v>
      </c>
    </row>
    <row r="570" spans="1:14" x14ac:dyDescent="0.2">
      <c r="A570">
        <v>1987</v>
      </c>
      <c r="B570">
        <v>5</v>
      </c>
      <c r="C570">
        <v>-13</v>
      </c>
      <c r="D570">
        <v>-13.95</v>
      </c>
      <c r="E570">
        <v>1.86</v>
      </c>
      <c r="F570">
        <v>-4.68</v>
      </c>
      <c r="G570">
        <v>-4.5599999999999996</v>
      </c>
      <c r="H570">
        <v>2.0299999999999998</v>
      </c>
      <c r="I570">
        <v>-17.68</v>
      </c>
      <c r="J570">
        <v>-18.510000000000002</v>
      </c>
      <c r="K570">
        <v>3.15</v>
      </c>
      <c r="L570" t="s">
        <v>0</v>
      </c>
      <c r="M570" t="s">
        <v>0</v>
      </c>
      <c r="N570" t="s">
        <v>0</v>
      </c>
    </row>
    <row r="571" spans="1:14" x14ac:dyDescent="0.2">
      <c r="A571">
        <v>1987</v>
      </c>
      <c r="B571">
        <v>6</v>
      </c>
      <c r="C571">
        <v>-13.57</v>
      </c>
      <c r="D571">
        <v>-13.82</v>
      </c>
      <c r="E571">
        <v>1.91</v>
      </c>
      <c r="F571">
        <v>-4.78</v>
      </c>
      <c r="G571">
        <v>-4.6500000000000004</v>
      </c>
      <c r="H571">
        <v>2.0299999999999998</v>
      </c>
      <c r="I571">
        <v>-18.350000000000001</v>
      </c>
      <c r="J571">
        <v>-18.47</v>
      </c>
      <c r="K571">
        <v>3.19</v>
      </c>
      <c r="L571" t="s">
        <v>0</v>
      </c>
      <c r="M571" t="s">
        <v>0</v>
      </c>
      <c r="N571" t="s">
        <v>0</v>
      </c>
    </row>
    <row r="572" spans="1:14" x14ac:dyDescent="0.2">
      <c r="A572">
        <v>1987</v>
      </c>
      <c r="B572">
        <v>7</v>
      </c>
      <c r="C572">
        <v>-13.79</v>
      </c>
      <c r="D572">
        <v>-13.7</v>
      </c>
      <c r="E572">
        <v>1.93</v>
      </c>
      <c r="F572">
        <v>-4.7300000000000004</v>
      </c>
      <c r="G572">
        <v>-4.74</v>
      </c>
      <c r="H572">
        <v>2.0299999999999998</v>
      </c>
      <c r="I572">
        <v>-18.52</v>
      </c>
      <c r="J572">
        <v>-18.440000000000001</v>
      </c>
      <c r="K572">
        <v>3.18</v>
      </c>
      <c r="L572" t="s">
        <v>0</v>
      </c>
      <c r="M572" t="s">
        <v>0</v>
      </c>
      <c r="N572" t="s">
        <v>0</v>
      </c>
    </row>
    <row r="573" spans="1:14" x14ac:dyDescent="0.2">
      <c r="A573">
        <v>1987</v>
      </c>
      <c r="B573">
        <v>8</v>
      </c>
      <c r="C573">
        <v>-14.57</v>
      </c>
      <c r="D573">
        <v>-13.63</v>
      </c>
      <c r="E573">
        <v>1.89</v>
      </c>
      <c r="F573">
        <v>-4.62</v>
      </c>
      <c r="G573">
        <v>-4.84</v>
      </c>
      <c r="H573">
        <v>2.0099999999999998</v>
      </c>
      <c r="I573">
        <v>-19.2</v>
      </c>
      <c r="J573">
        <v>-18.46</v>
      </c>
      <c r="K573">
        <v>3.12</v>
      </c>
      <c r="L573" t="s">
        <v>0</v>
      </c>
      <c r="M573" t="s">
        <v>0</v>
      </c>
      <c r="N573" t="s">
        <v>0</v>
      </c>
    </row>
    <row r="574" spans="1:14" x14ac:dyDescent="0.2">
      <c r="A574">
        <v>1987</v>
      </c>
      <c r="B574">
        <v>9</v>
      </c>
      <c r="C574">
        <v>-14.03</v>
      </c>
      <c r="D574">
        <v>-13.59</v>
      </c>
      <c r="E574">
        <v>1.86</v>
      </c>
      <c r="F574">
        <v>-4.88</v>
      </c>
      <c r="G574">
        <v>-4.93</v>
      </c>
      <c r="H574">
        <v>1.97</v>
      </c>
      <c r="I574">
        <v>-18.91</v>
      </c>
      <c r="J574">
        <v>-18.52</v>
      </c>
      <c r="K574">
        <v>3.06</v>
      </c>
      <c r="L574" t="s">
        <v>0</v>
      </c>
      <c r="M574" t="s">
        <v>0</v>
      </c>
      <c r="N574" t="s">
        <v>0</v>
      </c>
    </row>
    <row r="575" spans="1:14" x14ac:dyDescent="0.2">
      <c r="A575">
        <v>1987</v>
      </c>
      <c r="B575">
        <v>10</v>
      </c>
      <c r="C575">
        <v>-13.17</v>
      </c>
      <c r="D575">
        <v>-13.54</v>
      </c>
      <c r="E575">
        <v>1.77</v>
      </c>
      <c r="F575">
        <v>-5.01</v>
      </c>
      <c r="G575">
        <v>-5.0199999999999996</v>
      </c>
      <c r="H575">
        <v>1.98</v>
      </c>
      <c r="I575">
        <v>-18.190000000000001</v>
      </c>
      <c r="J575">
        <v>-18.559999999999999</v>
      </c>
      <c r="K575">
        <v>3.04</v>
      </c>
      <c r="L575" t="s">
        <v>0</v>
      </c>
      <c r="M575" t="s">
        <v>0</v>
      </c>
      <c r="N575" t="s">
        <v>0</v>
      </c>
    </row>
    <row r="576" spans="1:14" x14ac:dyDescent="0.2">
      <c r="A576">
        <v>1987</v>
      </c>
      <c r="B576">
        <v>11</v>
      </c>
      <c r="C576">
        <v>-12.96</v>
      </c>
      <c r="D576">
        <v>-13.48</v>
      </c>
      <c r="E576">
        <v>1.71</v>
      </c>
      <c r="F576">
        <v>-5.13</v>
      </c>
      <c r="G576">
        <v>-5.12</v>
      </c>
      <c r="H576">
        <v>1.98</v>
      </c>
      <c r="I576">
        <v>-18.09</v>
      </c>
      <c r="J576">
        <v>-18.600000000000001</v>
      </c>
      <c r="K576">
        <v>2.98</v>
      </c>
      <c r="L576" t="s">
        <v>0</v>
      </c>
      <c r="M576" t="s">
        <v>0</v>
      </c>
      <c r="N576" t="s">
        <v>0</v>
      </c>
    </row>
    <row r="577" spans="1:14" x14ac:dyDescent="0.2">
      <c r="A577">
        <v>1987</v>
      </c>
      <c r="B577">
        <v>12</v>
      </c>
      <c r="C577">
        <v>-13.46</v>
      </c>
      <c r="D577">
        <v>-13.4</v>
      </c>
      <c r="E577">
        <v>1.68</v>
      </c>
      <c r="F577">
        <v>-5.28</v>
      </c>
      <c r="G577">
        <v>-5.2</v>
      </c>
      <c r="H577">
        <v>1.99</v>
      </c>
      <c r="I577">
        <v>-18.739999999999998</v>
      </c>
      <c r="J577">
        <v>-18.600000000000001</v>
      </c>
      <c r="K577">
        <v>2.95</v>
      </c>
      <c r="L577" t="s">
        <v>0</v>
      </c>
      <c r="M577" t="s">
        <v>0</v>
      </c>
      <c r="N577" t="s">
        <v>0</v>
      </c>
    </row>
    <row r="578" spans="1:14" x14ac:dyDescent="0.2">
      <c r="A578">
        <v>1988</v>
      </c>
      <c r="B578">
        <v>1</v>
      </c>
      <c r="C578">
        <v>-13.58</v>
      </c>
      <c r="D578">
        <v>-13.29</v>
      </c>
      <c r="E578">
        <v>1.61</v>
      </c>
      <c r="F578">
        <v>-5.21</v>
      </c>
      <c r="G578">
        <v>-5.3</v>
      </c>
      <c r="H578">
        <v>1.95</v>
      </c>
      <c r="I578">
        <v>-18.79</v>
      </c>
      <c r="J578">
        <v>-18.59</v>
      </c>
      <c r="K578">
        <v>2.89</v>
      </c>
      <c r="L578" t="s">
        <v>0</v>
      </c>
      <c r="M578" t="s">
        <v>0</v>
      </c>
      <c r="N578" t="s">
        <v>0</v>
      </c>
    </row>
    <row r="579" spans="1:14" x14ac:dyDescent="0.2">
      <c r="A579">
        <v>1988</v>
      </c>
      <c r="B579">
        <v>2</v>
      </c>
      <c r="C579">
        <v>-14.11</v>
      </c>
      <c r="D579">
        <v>-13.15</v>
      </c>
      <c r="E579">
        <v>1.66</v>
      </c>
      <c r="F579">
        <v>-5.38</v>
      </c>
      <c r="G579">
        <v>-5.41</v>
      </c>
      <c r="H579">
        <v>2</v>
      </c>
      <c r="I579">
        <v>-19.489999999999998</v>
      </c>
      <c r="J579">
        <v>-18.559999999999999</v>
      </c>
      <c r="K579">
        <v>2.96</v>
      </c>
      <c r="L579" t="s">
        <v>0</v>
      </c>
      <c r="M579" t="s">
        <v>0</v>
      </c>
      <c r="N579" t="s">
        <v>0</v>
      </c>
    </row>
    <row r="580" spans="1:14" x14ac:dyDescent="0.2">
      <c r="A580">
        <v>1988</v>
      </c>
      <c r="B580">
        <v>3</v>
      </c>
      <c r="C580">
        <v>-13.26</v>
      </c>
      <c r="D580">
        <v>-13.01</v>
      </c>
      <c r="E580">
        <v>1.69</v>
      </c>
      <c r="F580">
        <v>-5.5</v>
      </c>
      <c r="G580">
        <v>-5.52</v>
      </c>
      <c r="H580">
        <v>2</v>
      </c>
      <c r="I580">
        <v>-18.760000000000002</v>
      </c>
      <c r="J580">
        <v>-18.53</v>
      </c>
      <c r="K580">
        <v>2.99</v>
      </c>
      <c r="L580" t="s">
        <v>0</v>
      </c>
      <c r="M580" t="s">
        <v>0</v>
      </c>
      <c r="N580" t="s">
        <v>0</v>
      </c>
    </row>
    <row r="581" spans="1:14" x14ac:dyDescent="0.2">
      <c r="A581">
        <v>1988</v>
      </c>
      <c r="B581">
        <v>4</v>
      </c>
      <c r="C581">
        <v>-12.63</v>
      </c>
      <c r="D581">
        <v>-12.93</v>
      </c>
      <c r="E581">
        <v>1.79</v>
      </c>
      <c r="F581">
        <v>-5.66</v>
      </c>
      <c r="G581">
        <v>-5.61</v>
      </c>
      <c r="H581">
        <v>1.98</v>
      </c>
      <c r="I581">
        <v>-18.29</v>
      </c>
      <c r="J581">
        <v>-18.54</v>
      </c>
      <c r="K581">
        <v>3.02</v>
      </c>
      <c r="L581" t="s">
        <v>0</v>
      </c>
      <c r="M581" t="s">
        <v>0</v>
      </c>
      <c r="N581" t="s">
        <v>0</v>
      </c>
    </row>
    <row r="582" spans="1:14" x14ac:dyDescent="0.2">
      <c r="A582">
        <v>1988</v>
      </c>
      <c r="B582">
        <v>5</v>
      </c>
      <c r="C582">
        <v>-12.26</v>
      </c>
      <c r="D582">
        <v>-12.87</v>
      </c>
      <c r="E582">
        <v>1.87</v>
      </c>
      <c r="F582">
        <v>-5.73</v>
      </c>
      <c r="G582">
        <v>-5.68</v>
      </c>
      <c r="H582">
        <v>1.99</v>
      </c>
      <c r="I582">
        <v>-18</v>
      </c>
      <c r="J582">
        <v>-18.55</v>
      </c>
      <c r="K582">
        <v>3.08</v>
      </c>
      <c r="L582" t="s">
        <v>0</v>
      </c>
      <c r="M582" t="s">
        <v>0</v>
      </c>
      <c r="N582" t="s">
        <v>0</v>
      </c>
    </row>
    <row r="583" spans="1:14" x14ac:dyDescent="0.2">
      <c r="A583">
        <v>1988</v>
      </c>
      <c r="B583">
        <v>6</v>
      </c>
      <c r="C583">
        <v>-12.36</v>
      </c>
      <c r="D583">
        <v>-12.83</v>
      </c>
      <c r="E583">
        <v>1.9</v>
      </c>
      <c r="F583">
        <v>-5.81</v>
      </c>
      <c r="G583">
        <v>-5.72</v>
      </c>
      <c r="H583">
        <v>2.02</v>
      </c>
      <c r="I583">
        <v>-18.170000000000002</v>
      </c>
      <c r="J583">
        <v>-18.55</v>
      </c>
      <c r="K583">
        <v>3.12</v>
      </c>
      <c r="L583" t="s">
        <v>0</v>
      </c>
      <c r="M583" t="s">
        <v>0</v>
      </c>
      <c r="N583" t="s">
        <v>0</v>
      </c>
    </row>
    <row r="584" spans="1:14" x14ac:dyDescent="0.2">
      <c r="A584">
        <v>1988</v>
      </c>
      <c r="B584">
        <v>7</v>
      </c>
      <c r="C584">
        <v>-12.4</v>
      </c>
      <c r="D584">
        <v>-12.82</v>
      </c>
      <c r="E584">
        <v>1.95</v>
      </c>
      <c r="F584">
        <v>-5.99</v>
      </c>
      <c r="G584">
        <v>-5.75</v>
      </c>
      <c r="H584">
        <v>2.0299999999999998</v>
      </c>
      <c r="I584">
        <v>-18.39</v>
      </c>
      <c r="J584">
        <v>-18.57</v>
      </c>
      <c r="K584">
        <v>3.12</v>
      </c>
      <c r="L584" t="s">
        <v>0</v>
      </c>
      <c r="M584" t="s">
        <v>0</v>
      </c>
      <c r="N584" t="s">
        <v>0</v>
      </c>
    </row>
    <row r="585" spans="1:14" x14ac:dyDescent="0.2">
      <c r="A585">
        <v>1988</v>
      </c>
      <c r="B585">
        <v>8</v>
      </c>
      <c r="C585">
        <v>-12.49</v>
      </c>
      <c r="D585">
        <v>-12.77</v>
      </c>
      <c r="E585">
        <v>2.0099999999999998</v>
      </c>
      <c r="F585">
        <v>-6.13</v>
      </c>
      <c r="G585">
        <v>-5.77</v>
      </c>
      <c r="H585">
        <v>2.0499999999999998</v>
      </c>
      <c r="I585">
        <v>-18.62</v>
      </c>
      <c r="J585">
        <v>-18.54</v>
      </c>
      <c r="K585">
        <v>3.14</v>
      </c>
      <c r="L585" t="s">
        <v>0</v>
      </c>
      <c r="M585" t="s">
        <v>0</v>
      </c>
      <c r="N585" t="s">
        <v>0</v>
      </c>
    </row>
    <row r="586" spans="1:14" x14ac:dyDescent="0.2">
      <c r="A586">
        <v>1988</v>
      </c>
      <c r="B586">
        <v>9</v>
      </c>
      <c r="C586">
        <v>-12.81</v>
      </c>
      <c r="D586">
        <v>-12.71</v>
      </c>
      <c r="E586">
        <v>2.0299999999999998</v>
      </c>
      <c r="F586">
        <v>-6.07</v>
      </c>
      <c r="G586">
        <v>-5.77</v>
      </c>
      <c r="H586">
        <v>2.04</v>
      </c>
      <c r="I586">
        <v>-18.88</v>
      </c>
      <c r="J586">
        <v>-18.48</v>
      </c>
      <c r="K586">
        <v>3.19</v>
      </c>
      <c r="L586" t="s">
        <v>0</v>
      </c>
      <c r="M586" t="s">
        <v>0</v>
      </c>
      <c r="N586" t="s">
        <v>0</v>
      </c>
    </row>
    <row r="587" spans="1:14" x14ac:dyDescent="0.2">
      <c r="A587">
        <v>1988</v>
      </c>
      <c r="B587">
        <v>10</v>
      </c>
      <c r="C587">
        <v>-12.46</v>
      </c>
      <c r="D587">
        <v>-12.68</v>
      </c>
      <c r="E587">
        <v>2.1</v>
      </c>
      <c r="F587">
        <v>-5.92</v>
      </c>
      <c r="G587">
        <v>-5.78</v>
      </c>
      <c r="H587">
        <v>2.0499999999999998</v>
      </c>
      <c r="I587">
        <v>-18.39</v>
      </c>
      <c r="J587">
        <v>-18.45</v>
      </c>
      <c r="K587">
        <v>3.27</v>
      </c>
      <c r="L587" t="s">
        <v>0</v>
      </c>
      <c r="M587" t="s">
        <v>0</v>
      </c>
      <c r="N587" t="s">
        <v>0</v>
      </c>
    </row>
    <row r="588" spans="1:14" x14ac:dyDescent="0.2">
      <c r="A588">
        <v>1988</v>
      </c>
      <c r="B588">
        <v>11</v>
      </c>
      <c r="C588">
        <v>-12.25</v>
      </c>
      <c r="D588">
        <v>-12.65</v>
      </c>
      <c r="E588">
        <v>2.0299999999999998</v>
      </c>
      <c r="F588">
        <v>-5.76</v>
      </c>
      <c r="G588">
        <v>-5.77</v>
      </c>
      <c r="H588">
        <v>2.06</v>
      </c>
      <c r="I588">
        <v>-18.010000000000002</v>
      </c>
      <c r="J588">
        <v>-18.43</v>
      </c>
      <c r="K588">
        <v>3.27</v>
      </c>
      <c r="L588" t="s">
        <v>0</v>
      </c>
      <c r="M588" t="s">
        <v>0</v>
      </c>
      <c r="N588" t="s">
        <v>0</v>
      </c>
    </row>
    <row r="589" spans="1:14" x14ac:dyDescent="0.2">
      <c r="A589">
        <v>1988</v>
      </c>
      <c r="B589">
        <v>12</v>
      </c>
      <c r="C589">
        <v>-13.23</v>
      </c>
      <c r="D589">
        <v>-12.62</v>
      </c>
      <c r="E589">
        <v>1.9</v>
      </c>
      <c r="F589">
        <v>-5.76</v>
      </c>
      <c r="G589">
        <v>-5.77</v>
      </c>
      <c r="H589">
        <v>2.1</v>
      </c>
      <c r="I589">
        <v>-18.989999999999998</v>
      </c>
      <c r="J589">
        <v>-18.39</v>
      </c>
      <c r="K589">
        <v>3.22</v>
      </c>
      <c r="L589" t="s">
        <v>0</v>
      </c>
      <c r="M589" t="s">
        <v>0</v>
      </c>
      <c r="N589" t="s">
        <v>0</v>
      </c>
    </row>
    <row r="590" spans="1:14" x14ac:dyDescent="0.2">
      <c r="A590">
        <v>1989</v>
      </c>
      <c r="B590">
        <v>1</v>
      </c>
      <c r="C590">
        <v>-13.46</v>
      </c>
      <c r="D590">
        <v>-12.59</v>
      </c>
      <c r="E590">
        <v>1.71</v>
      </c>
      <c r="F590">
        <v>-5.44</v>
      </c>
      <c r="G590">
        <v>-5.74</v>
      </c>
      <c r="H590">
        <v>2.09</v>
      </c>
      <c r="I590">
        <v>-18.899999999999999</v>
      </c>
      <c r="J590">
        <v>-18.329999999999998</v>
      </c>
      <c r="K590">
        <v>3.06</v>
      </c>
      <c r="L590" t="s">
        <v>0</v>
      </c>
      <c r="M590" t="s">
        <v>0</v>
      </c>
      <c r="N590" t="s">
        <v>0</v>
      </c>
    </row>
    <row r="591" spans="1:14" x14ac:dyDescent="0.2">
      <c r="A591">
        <v>1989</v>
      </c>
      <c r="B591">
        <v>2</v>
      </c>
      <c r="C591">
        <v>-13.09</v>
      </c>
      <c r="D591">
        <v>-12.57</v>
      </c>
      <c r="E591">
        <v>1.7</v>
      </c>
      <c r="F591">
        <v>-5.5</v>
      </c>
      <c r="G591">
        <v>-5.7</v>
      </c>
      <c r="H591">
        <v>2.11</v>
      </c>
      <c r="I591">
        <v>-18.59</v>
      </c>
      <c r="J591">
        <v>-18.27</v>
      </c>
      <c r="K591">
        <v>3.04</v>
      </c>
      <c r="L591" t="s">
        <v>0</v>
      </c>
      <c r="M591" t="s">
        <v>0</v>
      </c>
      <c r="N591" t="s">
        <v>0</v>
      </c>
    </row>
    <row r="592" spans="1:14" x14ac:dyDescent="0.2">
      <c r="A592">
        <v>1989</v>
      </c>
      <c r="B592">
        <v>3</v>
      </c>
      <c r="C592">
        <v>-12.87</v>
      </c>
      <c r="D592">
        <v>-12.56</v>
      </c>
      <c r="E592">
        <v>1.76</v>
      </c>
      <c r="F592">
        <v>-5.55</v>
      </c>
      <c r="G592">
        <v>-5.65</v>
      </c>
      <c r="H592">
        <v>2.1</v>
      </c>
      <c r="I592">
        <v>-18.420000000000002</v>
      </c>
      <c r="J592">
        <v>-18.21</v>
      </c>
      <c r="K592">
        <v>3.06</v>
      </c>
      <c r="L592" t="s">
        <v>0</v>
      </c>
      <c r="M592" t="s">
        <v>0</v>
      </c>
      <c r="N592" t="s">
        <v>0</v>
      </c>
    </row>
    <row r="593" spans="1:14" x14ac:dyDescent="0.2">
      <c r="A593">
        <v>1989</v>
      </c>
      <c r="B593">
        <v>4</v>
      </c>
      <c r="C593">
        <v>-12.23</v>
      </c>
      <c r="D593">
        <v>-12.57</v>
      </c>
      <c r="E593">
        <v>1.86</v>
      </c>
      <c r="F593">
        <v>-5.63</v>
      </c>
      <c r="G593">
        <v>-5.61</v>
      </c>
      <c r="H593">
        <v>2.0699999999999998</v>
      </c>
      <c r="I593">
        <v>-17.86</v>
      </c>
      <c r="J593">
        <v>-18.18</v>
      </c>
      <c r="K593">
        <v>3.1</v>
      </c>
      <c r="L593" t="s">
        <v>0</v>
      </c>
      <c r="M593" t="s">
        <v>0</v>
      </c>
      <c r="N593" t="s">
        <v>0</v>
      </c>
    </row>
    <row r="594" spans="1:14" x14ac:dyDescent="0.2">
      <c r="A594">
        <v>1989</v>
      </c>
      <c r="B594">
        <v>5</v>
      </c>
      <c r="C594">
        <v>-12.08</v>
      </c>
      <c r="D594">
        <v>-12.62</v>
      </c>
      <c r="E594">
        <v>1.97</v>
      </c>
      <c r="F594">
        <v>-5.71</v>
      </c>
      <c r="G594">
        <v>-5.57</v>
      </c>
      <c r="H594">
        <v>2.0499999999999998</v>
      </c>
      <c r="I594">
        <v>-17.79</v>
      </c>
      <c r="J594">
        <v>-18.190000000000001</v>
      </c>
      <c r="K594">
        <v>3.15</v>
      </c>
      <c r="L594" t="s">
        <v>0</v>
      </c>
      <c r="M594" t="s">
        <v>0</v>
      </c>
      <c r="N594" t="s">
        <v>0</v>
      </c>
    </row>
    <row r="595" spans="1:14" x14ac:dyDescent="0.2">
      <c r="A595">
        <v>1989</v>
      </c>
      <c r="B595">
        <v>6</v>
      </c>
      <c r="C595">
        <v>-11.89</v>
      </c>
      <c r="D595">
        <v>-12.66</v>
      </c>
      <c r="E595">
        <v>2</v>
      </c>
      <c r="F595">
        <v>-5.64</v>
      </c>
      <c r="G595">
        <v>-5.54</v>
      </c>
      <c r="H595">
        <v>2.0499999999999998</v>
      </c>
      <c r="I595">
        <v>-17.53</v>
      </c>
      <c r="J595">
        <v>-18.2</v>
      </c>
      <c r="K595">
        <v>3.11</v>
      </c>
      <c r="L595" t="s">
        <v>0</v>
      </c>
      <c r="M595" t="s">
        <v>0</v>
      </c>
      <c r="N595" t="s">
        <v>0</v>
      </c>
    </row>
    <row r="596" spans="1:14" x14ac:dyDescent="0.2">
      <c r="A596">
        <v>1989</v>
      </c>
      <c r="B596">
        <v>7</v>
      </c>
      <c r="C596">
        <v>-12</v>
      </c>
      <c r="D596">
        <v>-12.66</v>
      </c>
      <c r="E596">
        <v>1.99</v>
      </c>
      <c r="F596">
        <v>-5.62</v>
      </c>
      <c r="G596">
        <v>-5.49</v>
      </c>
      <c r="H596">
        <v>2.04</v>
      </c>
      <c r="I596">
        <v>-17.62</v>
      </c>
      <c r="J596">
        <v>-18.149999999999999</v>
      </c>
      <c r="K596">
        <v>3.04</v>
      </c>
      <c r="L596" t="s">
        <v>0</v>
      </c>
      <c r="M596" t="s">
        <v>0</v>
      </c>
      <c r="N596" t="s">
        <v>0</v>
      </c>
    </row>
    <row r="597" spans="1:14" x14ac:dyDescent="0.2">
      <c r="A597">
        <v>1989</v>
      </c>
      <c r="B597">
        <v>8</v>
      </c>
      <c r="C597">
        <v>-12.43</v>
      </c>
      <c r="D597">
        <v>-12.67</v>
      </c>
      <c r="E597">
        <v>2.0099999999999998</v>
      </c>
      <c r="F597">
        <v>-5.51</v>
      </c>
      <c r="G597">
        <v>-5.44</v>
      </c>
      <c r="H597">
        <v>2.04</v>
      </c>
      <c r="I597">
        <v>-17.940000000000001</v>
      </c>
      <c r="J597">
        <v>-18.11</v>
      </c>
      <c r="K597">
        <v>3.05</v>
      </c>
      <c r="L597" t="s">
        <v>0</v>
      </c>
      <c r="M597" t="s">
        <v>0</v>
      </c>
      <c r="N597" t="s">
        <v>0</v>
      </c>
    </row>
    <row r="598" spans="1:14" x14ac:dyDescent="0.2">
      <c r="A598">
        <v>1989</v>
      </c>
      <c r="B598">
        <v>9</v>
      </c>
      <c r="C598">
        <v>-12.69</v>
      </c>
      <c r="D598">
        <v>-12.7</v>
      </c>
      <c r="E598">
        <v>1.99</v>
      </c>
      <c r="F598">
        <v>-5.51</v>
      </c>
      <c r="G598">
        <v>-5.39</v>
      </c>
      <c r="H598">
        <v>2.0499999999999998</v>
      </c>
      <c r="I598">
        <v>-18.2</v>
      </c>
      <c r="J598">
        <v>-18.100000000000001</v>
      </c>
      <c r="K598">
        <v>3.08</v>
      </c>
      <c r="L598" t="s">
        <v>0</v>
      </c>
      <c r="M598" t="s">
        <v>0</v>
      </c>
      <c r="N598" t="s">
        <v>0</v>
      </c>
    </row>
    <row r="599" spans="1:14" x14ac:dyDescent="0.2">
      <c r="A599">
        <v>1989</v>
      </c>
      <c r="B599">
        <v>10</v>
      </c>
      <c r="C599">
        <v>-12.9</v>
      </c>
      <c r="D599">
        <v>-12.76</v>
      </c>
      <c r="E599">
        <v>2.0099999999999998</v>
      </c>
      <c r="F599">
        <v>-5.42</v>
      </c>
      <c r="G599">
        <v>-5.34</v>
      </c>
      <c r="H599">
        <v>2.06</v>
      </c>
      <c r="I599">
        <v>-18.329999999999998</v>
      </c>
      <c r="J599">
        <v>-18.09</v>
      </c>
      <c r="K599">
        <v>3.12</v>
      </c>
      <c r="L599" t="s">
        <v>0</v>
      </c>
      <c r="M599" t="s">
        <v>0</v>
      </c>
      <c r="N599" t="s">
        <v>0</v>
      </c>
    </row>
    <row r="600" spans="1:14" x14ac:dyDescent="0.2">
      <c r="A600">
        <v>1989</v>
      </c>
      <c r="B600">
        <v>11</v>
      </c>
      <c r="C600">
        <v>-13</v>
      </c>
      <c r="D600">
        <v>-12.84</v>
      </c>
      <c r="E600">
        <v>1.95</v>
      </c>
      <c r="F600">
        <v>-5.34</v>
      </c>
      <c r="G600">
        <v>-5.28</v>
      </c>
      <c r="H600">
        <v>2.08</v>
      </c>
      <c r="I600">
        <v>-18.329999999999998</v>
      </c>
      <c r="J600">
        <v>-18.12</v>
      </c>
      <c r="K600">
        <v>3.1</v>
      </c>
      <c r="L600" t="s">
        <v>0</v>
      </c>
      <c r="M600" t="s">
        <v>0</v>
      </c>
      <c r="N600" t="s">
        <v>0</v>
      </c>
    </row>
    <row r="601" spans="1:14" x14ac:dyDescent="0.2">
      <c r="A601">
        <v>1989</v>
      </c>
      <c r="B601">
        <v>12</v>
      </c>
      <c r="C601">
        <v>-13.35</v>
      </c>
      <c r="D601">
        <v>-13.01</v>
      </c>
      <c r="E601">
        <v>1.91</v>
      </c>
      <c r="F601">
        <v>-5.36</v>
      </c>
      <c r="G601">
        <v>-5.24</v>
      </c>
      <c r="H601">
        <v>2.1</v>
      </c>
      <c r="I601">
        <v>-18.71</v>
      </c>
      <c r="J601">
        <v>-18.260000000000002</v>
      </c>
      <c r="K601">
        <v>3.06</v>
      </c>
      <c r="L601" t="s">
        <v>0</v>
      </c>
      <c r="M601" t="s">
        <v>0</v>
      </c>
      <c r="N601" t="s">
        <v>0</v>
      </c>
    </row>
    <row r="602" spans="1:14" x14ac:dyDescent="0.2">
      <c r="A602">
        <v>1990</v>
      </c>
      <c r="B602">
        <v>1</v>
      </c>
      <c r="C602">
        <v>-13.34</v>
      </c>
      <c r="D602">
        <v>-13.28</v>
      </c>
      <c r="E602">
        <v>1.85</v>
      </c>
      <c r="F602">
        <v>-4.84</v>
      </c>
      <c r="G602">
        <v>-5.21</v>
      </c>
      <c r="H602">
        <v>2.0699999999999998</v>
      </c>
      <c r="I602">
        <v>-18.18</v>
      </c>
      <c r="J602">
        <v>-18.489999999999998</v>
      </c>
      <c r="K602">
        <v>2.97</v>
      </c>
      <c r="L602" t="s">
        <v>0</v>
      </c>
      <c r="M602" t="s">
        <v>0</v>
      </c>
      <c r="N602" t="s">
        <v>0</v>
      </c>
    </row>
    <row r="603" spans="1:14" x14ac:dyDescent="0.2">
      <c r="A603">
        <v>1990</v>
      </c>
      <c r="B603">
        <v>2</v>
      </c>
      <c r="C603">
        <v>-13.42</v>
      </c>
      <c r="D603">
        <v>-13.54</v>
      </c>
      <c r="E603">
        <v>1.83</v>
      </c>
      <c r="F603">
        <v>-4.88</v>
      </c>
      <c r="G603">
        <v>-5.19</v>
      </c>
      <c r="H603">
        <v>2.06</v>
      </c>
      <c r="I603">
        <v>-18.29</v>
      </c>
      <c r="J603">
        <v>-18.72</v>
      </c>
      <c r="K603">
        <v>2.91</v>
      </c>
      <c r="L603" t="s">
        <v>0</v>
      </c>
      <c r="M603" t="s">
        <v>0</v>
      </c>
      <c r="N603" t="s">
        <v>0</v>
      </c>
    </row>
    <row r="604" spans="1:14" x14ac:dyDescent="0.2">
      <c r="A604">
        <v>1990</v>
      </c>
      <c r="B604">
        <v>3</v>
      </c>
      <c r="C604">
        <v>-13.4</v>
      </c>
      <c r="D604">
        <v>-13.71</v>
      </c>
      <c r="E604">
        <v>1.85</v>
      </c>
      <c r="F604">
        <v>-4.9000000000000004</v>
      </c>
      <c r="G604">
        <v>-5.18</v>
      </c>
      <c r="H604">
        <v>2.0499999999999998</v>
      </c>
      <c r="I604">
        <v>-18.3</v>
      </c>
      <c r="J604">
        <v>-18.899999999999999</v>
      </c>
      <c r="K604">
        <v>2.89</v>
      </c>
      <c r="L604" t="s">
        <v>0</v>
      </c>
      <c r="M604" t="s">
        <v>0</v>
      </c>
      <c r="N604" t="s">
        <v>0</v>
      </c>
    </row>
    <row r="605" spans="1:14" x14ac:dyDescent="0.2">
      <c r="A605">
        <v>1990</v>
      </c>
      <c r="B605">
        <v>4</v>
      </c>
      <c r="C605">
        <v>-12.97</v>
      </c>
      <c r="D605">
        <v>-13.77</v>
      </c>
      <c r="E605">
        <v>1.92</v>
      </c>
      <c r="F605">
        <v>-4.97</v>
      </c>
      <c r="G605">
        <v>-5.19</v>
      </c>
      <c r="H605">
        <v>2.04</v>
      </c>
      <c r="I605">
        <v>-17.93</v>
      </c>
      <c r="J605">
        <v>-18.95</v>
      </c>
      <c r="K605">
        <v>2.96</v>
      </c>
      <c r="L605" t="s">
        <v>0</v>
      </c>
      <c r="M605" t="s">
        <v>0</v>
      </c>
      <c r="N605" t="s">
        <v>0</v>
      </c>
    </row>
    <row r="606" spans="1:14" x14ac:dyDescent="0.2">
      <c r="A606">
        <v>1990</v>
      </c>
      <c r="B606">
        <v>5</v>
      </c>
      <c r="C606">
        <v>-13.32</v>
      </c>
      <c r="D606">
        <v>-13.71</v>
      </c>
      <c r="E606">
        <v>2.2000000000000002</v>
      </c>
      <c r="F606">
        <v>-5.13</v>
      </c>
      <c r="G606">
        <v>-5.2</v>
      </c>
      <c r="H606">
        <v>2.04</v>
      </c>
      <c r="I606">
        <v>-18.45</v>
      </c>
      <c r="J606">
        <v>-18.91</v>
      </c>
      <c r="K606">
        <v>3.16</v>
      </c>
      <c r="L606" t="s">
        <v>0</v>
      </c>
      <c r="M606" t="s">
        <v>0</v>
      </c>
      <c r="N606" t="s">
        <v>0</v>
      </c>
    </row>
    <row r="607" spans="1:14" x14ac:dyDescent="0.2">
      <c r="A607">
        <v>1990</v>
      </c>
      <c r="B607">
        <v>6</v>
      </c>
      <c r="C607">
        <v>-14.83</v>
      </c>
      <c r="D607">
        <v>-13.62</v>
      </c>
      <c r="E607">
        <v>2.29</v>
      </c>
      <c r="F607">
        <v>-5.19</v>
      </c>
      <c r="G607">
        <v>-5.22</v>
      </c>
      <c r="H607">
        <v>2.04</v>
      </c>
      <c r="I607">
        <v>-20.02</v>
      </c>
      <c r="J607">
        <v>-18.84</v>
      </c>
      <c r="K607">
        <v>3.22</v>
      </c>
      <c r="L607" t="s">
        <v>0</v>
      </c>
      <c r="M607" t="s">
        <v>0</v>
      </c>
      <c r="N607" t="s">
        <v>0</v>
      </c>
    </row>
    <row r="608" spans="1:14" x14ac:dyDescent="0.2">
      <c r="A608">
        <v>1990</v>
      </c>
      <c r="B608">
        <v>7</v>
      </c>
      <c r="C608">
        <v>-15.39</v>
      </c>
      <c r="D608">
        <v>-13.51</v>
      </c>
      <c r="E608">
        <v>2.38</v>
      </c>
      <c r="F608">
        <v>-5.25</v>
      </c>
      <c r="G608">
        <v>-5.26</v>
      </c>
      <c r="H608">
        <v>2.04</v>
      </c>
      <c r="I608">
        <v>-20.65</v>
      </c>
      <c r="J608">
        <v>-18.77</v>
      </c>
      <c r="K608">
        <v>3.24</v>
      </c>
      <c r="L608" t="s">
        <v>0</v>
      </c>
      <c r="M608" t="s">
        <v>0</v>
      </c>
      <c r="N608" t="s">
        <v>0</v>
      </c>
    </row>
    <row r="609" spans="1:14" x14ac:dyDescent="0.2">
      <c r="A609">
        <v>1990</v>
      </c>
      <c r="B609">
        <v>8</v>
      </c>
      <c r="C609">
        <v>-15.19</v>
      </c>
      <c r="D609">
        <v>-13.38</v>
      </c>
      <c r="E609">
        <v>2.42</v>
      </c>
      <c r="F609">
        <v>-5.41</v>
      </c>
      <c r="G609">
        <v>-5.31</v>
      </c>
      <c r="H609">
        <v>2.02</v>
      </c>
      <c r="I609">
        <v>-20.6</v>
      </c>
      <c r="J609">
        <v>-18.690000000000001</v>
      </c>
      <c r="K609">
        <v>3.21</v>
      </c>
      <c r="L609" t="s">
        <v>0</v>
      </c>
      <c r="M609" t="s">
        <v>0</v>
      </c>
      <c r="N609" t="s">
        <v>0</v>
      </c>
    </row>
    <row r="610" spans="1:14" x14ac:dyDescent="0.2">
      <c r="A610">
        <v>1990</v>
      </c>
      <c r="B610">
        <v>9</v>
      </c>
      <c r="C610">
        <v>-14.18</v>
      </c>
      <c r="D610">
        <v>-13.2</v>
      </c>
      <c r="E610">
        <v>2.48</v>
      </c>
      <c r="F610">
        <v>-5.52</v>
      </c>
      <c r="G610">
        <v>-5.36</v>
      </c>
      <c r="H610">
        <v>2.0099999999999998</v>
      </c>
      <c r="I610">
        <v>-19.71</v>
      </c>
      <c r="J610">
        <v>-18.55</v>
      </c>
      <c r="K610">
        <v>3.19</v>
      </c>
      <c r="L610" t="s">
        <v>0</v>
      </c>
      <c r="M610" t="s">
        <v>0</v>
      </c>
      <c r="N610" t="s">
        <v>0</v>
      </c>
    </row>
    <row r="611" spans="1:14" x14ac:dyDescent="0.2">
      <c r="A611">
        <v>1990</v>
      </c>
      <c r="B611">
        <v>10</v>
      </c>
      <c r="C611">
        <v>-12.69</v>
      </c>
      <c r="D611">
        <v>-12.97</v>
      </c>
      <c r="E611">
        <v>2.23</v>
      </c>
      <c r="F611">
        <v>-5.5</v>
      </c>
      <c r="G611">
        <v>-5.41</v>
      </c>
      <c r="H611">
        <v>2.0099999999999998</v>
      </c>
      <c r="I611">
        <v>-18.190000000000001</v>
      </c>
      <c r="J611">
        <v>-18.38</v>
      </c>
      <c r="K611">
        <v>3.05</v>
      </c>
      <c r="L611" t="s">
        <v>0</v>
      </c>
      <c r="M611" t="s">
        <v>0</v>
      </c>
      <c r="N611" t="s">
        <v>0</v>
      </c>
    </row>
    <row r="612" spans="1:14" x14ac:dyDescent="0.2">
      <c r="A612">
        <v>1990</v>
      </c>
      <c r="B612">
        <v>11</v>
      </c>
      <c r="C612">
        <v>-11.98</v>
      </c>
      <c r="D612">
        <v>-12.74</v>
      </c>
      <c r="E612">
        <v>2.06</v>
      </c>
      <c r="F612">
        <v>-5.57</v>
      </c>
      <c r="G612">
        <v>-5.45</v>
      </c>
      <c r="H612">
        <v>2</v>
      </c>
      <c r="I612">
        <v>-17.559999999999999</v>
      </c>
      <c r="J612">
        <v>-18.190000000000001</v>
      </c>
      <c r="K612">
        <v>2.97</v>
      </c>
      <c r="L612" t="s">
        <v>0</v>
      </c>
      <c r="M612" t="s">
        <v>0</v>
      </c>
      <c r="N612" t="s">
        <v>0</v>
      </c>
    </row>
    <row r="613" spans="1:14" x14ac:dyDescent="0.2">
      <c r="A613">
        <v>1990</v>
      </c>
      <c r="B613">
        <v>12</v>
      </c>
      <c r="C613">
        <v>-12.1</v>
      </c>
      <c r="D613">
        <v>-12.51</v>
      </c>
      <c r="E613">
        <v>1.95</v>
      </c>
      <c r="F613">
        <v>-5.68</v>
      </c>
      <c r="G613">
        <v>-5.49</v>
      </c>
      <c r="H613">
        <v>2.02</v>
      </c>
      <c r="I613">
        <v>-17.78</v>
      </c>
      <c r="J613">
        <v>-18.010000000000002</v>
      </c>
      <c r="K613">
        <v>2.94</v>
      </c>
      <c r="L613" t="s">
        <v>0</v>
      </c>
      <c r="M613" t="s">
        <v>0</v>
      </c>
      <c r="N613" t="s">
        <v>0</v>
      </c>
    </row>
    <row r="614" spans="1:14" x14ac:dyDescent="0.2">
      <c r="A614">
        <v>1991</v>
      </c>
      <c r="B614">
        <v>1</v>
      </c>
      <c r="C614">
        <v>-11.86</v>
      </c>
      <c r="D614">
        <v>-12.27</v>
      </c>
      <c r="E614">
        <v>1.86</v>
      </c>
      <c r="F614">
        <v>-5.41</v>
      </c>
      <c r="G614">
        <v>-5.53</v>
      </c>
      <c r="H614">
        <v>2.2799999999999998</v>
      </c>
      <c r="I614">
        <v>-17.27</v>
      </c>
      <c r="J614">
        <v>-17.8</v>
      </c>
      <c r="K614">
        <v>3.12</v>
      </c>
      <c r="L614" t="s">
        <v>0</v>
      </c>
      <c r="M614" t="s">
        <v>0</v>
      </c>
      <c r="N614" t="s">
        <v>0</v>
      </c>
    </row>
    <row r="615" spans="1:14" x14ac:dyDescent="0.2">
      <c r="A615">
        <v>1991</v>
      </c>
      <c r="B615">
        <v>2</v>
      </c>
      <c r="C615">
        <v>-11.83</v>
      </c>
      <c r="D615">
        <v>-12.05</v>
      </c>
      <c r="E615">
        <v>1.85</v>
      </c>
      <c r="F615">
        <v>-5.43</v>
      </c>
      <c r="G615">
        <v>-5.56</v>
      </c>
      <c r="H615">
        <v>2.2799999999999998</v>
      </c>
      <c r="I615">
        <v>-17.260000000000002</v>
      </c>
      <c r="J615">
        <v>-17.600000000000001</v>
      </c>
      <c r="K615">
        <v>3.13</v>
      </c>
      <c r="L615" t="s">
        <v>0</v>
      </c>
      <c r="M615" t="s">
        <v>0</v>
      </c>
      <c r="N615" t="s">
        <v>0</v>
      </c>
    </row>
    <row r="616" spans="1:14" x14ac:dyDescent="0.2">
      <c r="A616">
        <v>1991</v>
      </c>
      <c r="B616">
        <v>3</v>
      </c>
      <c r="C616">
        <v>-10.67</v>
      </c>
      <c r="D616">
        <v>-11.9</v>
      </c>
      <c r="E616">
        <v>1.91</v>
      </c>
      <c r="F616">
        <v>-5.51</v>
      </c>
      <c r="G616">
        <v>-5.58</v>
      </c>
      <c r="H616">
        <v>2.2799999999999998</v>
      </c>
      <c r="I616">
        <v>-16.18</v>
      </c>
      <c r="J616">
        <v>-17.48</v>
      </c>
      <c r="K616">
        <v>3.17</v>
      </c>
      <c r="L616" t="s">
        <v>0</v>
      </c>
      <c r="M616" t="s">
        <v>0</v>
      </c>
      <c r="N616" t="s">
        <v>0</v>
      </c>
    </row>
    <row r="617" spans="1:14" x14ac:dyDescent="0.2">
      <c r="A617">
        <v>1991</v>
      </c>
      <c r="B617">
        <v>4</v>
      </c>
      <c r="C617">
        <v>-10.27</v>
      </c>
      <c r="D617">
        <v>-11.81</v>
      </c>
      <c r="E617">
        <v>1.97</v>
      </c>
      <c r="F617">
        <v>-5.55</v>
      </c>
      <c r="G617">
        <v>-5.59</v>
      </c>
      <c r="H617">
        <v>2.23</v>
      </c>
      <c r="I617">
        <v>-15.82</v>
      </c>
      <c r="J617">
        <v>-17.41</v>
      </c>
      <c r="K617">
        <v>3.2</v>
      </c>
      <c r="L617" t="s">
        <v>0</v>
      </c>
      <c r="M617" t="s">
        <v>0</v>
      </c>
      <c r="N617" t="s">
        <v>0</v>
      </c>
    </row>
    <row r="618" spans="1:14" x14ac:dyDescent="0.2">
      <c r="A618">
        <v>1991</v>
      </c>
      <c r="B618">
        <v>5</v>
      </c>
      <c r="C618">
        <v>-10.4</v>
      </c>
      <c r="D618">
        <v>-11.81</v>
      </c>
      <c r="E618">
        <v>2.11</v>
      </c>
      <c r="F618">
        <v>-5.66</v>
      </c>
      <c r="G618">
        <v>-5.6</v>
      </c>
      <c r="H618">
        <v>2.2200000000000002</v>
      </c>
      <c r="I618">
        <v>-16.059999999999999</v>
      </c>
      <c r="J618">
        <v>-17.41</v>
      </c>
      <c r="K618">
        <v>3.23</v>
      </c>
      <c r="L618" t="s">
        <v>0</v>
      </c>
      <c r="M618" t="s">
        <v>0</v>
      </c>
      <c r="N618" t="s">
        <v>0</v>
      </c>
    </row>
    <row r="619" spans="1:14" x14ac:dyDescent="0.2">
      <c r="A619">
        <v>1991</v>
      </c>
      <c r="B619">
        <v>6</v>
      </c>
      <c r="C619">
        <v>-12.37</v>
      </c>
      <c r="D619">
        <v>-11.85</v>
      </c>
      <c r="E619">
        <v>2.44</v>
      </c>
      <c r="F619">
        <v>-5.67</v>
      </c>
      <c r="G619">
        <v>-5.62</v>
      </c>
      <c r="H619">
        <v>2.25</v>
      </c>
      <c r="I619">
        <v>-18.04</v>
      </c>
      <c r="J619">
        <v>-17.47</v>
      </c>
      <c r="K619">
        <v>3.44</v>
      </c>
      <c r="L619" t="s">
        <v>0</v>
      </c>
      <c r="M619" t="s">
        <v>0</v>
      </c>
      <c r="N619" t="s">
        <v>0</v>
      </c>
    </row>
    <row r="620" spans="1:14" x14ac:dyDescent="0.2">
      <c r="A620">
        <v>1991</v>
      </c>
      <c r="B620">
        <v>7</v>
      </c>
      <c r="C620">
        <v>-12.09</v>
      </c>
      <c r="D620">
        <v>-11.94</v>
      </c>
      <c r="E620">
        <v>2.4900000000000002</v>
      </c>
      <c r="F620">
        <v>-5.6</v>
      </c>
      <c r="G620">
        <v>-5.64</v>
      </c>
      <c r="H620">
        <v>2.29</v>
      </c>
      <c r="I620">
        <v>-17.690000000000001</v>
      </c>
      <c r="J620">
        <v>-17.579999999999998</v>
      </c>
      <c r="K620">
        <v>3.51</v>
      </c>
      <c r="L620" t="s">
        <v>0</v>
      </c>
      <c r="M620" t="s">
        <v>0</v>
      </c>
      <c r="N620" t="s">
        <v>0</v>
      </c>
    </row>
    <row r="621" spans="1:14" x14ac:dyDescent="0.2">
      <c r="A621">
        <v>1991</v>
      </c>
      <c r="B621">
        <v>8</v>
      </c>
      <c r="C621">
        <v>-13.09</v>
      </c>
      <c r="D621">
        <v>-12.1</v>
      </c>
      <c r="E621">
        <v>2.52</v>
      </c>
      <c r="F621">
        <v>-5.7</v>
      </c>
      <c r="G621">
        <v>-5.64</v>
      </c>
      <c r="H621">
        <v>2.3199999999999998</v>
      </c>
      <c r="I621">
        <v>-18.8</v>
      </c>
      <c r="J621">
        <v>-17.739999999999998</v>
      </c>
      <c r="K621">
        <v>3.57</v>
      </c>
      <c r="L621" t="s">
        <v>0</v>
      </c>
      <c r="M621" t="s">
        <v>0</v>
      </c>
      <c r="N621" t="s">
        <v>0</v>
      </c>
    </row>
    <row r="622" spans="1:14" x14ac:dyDescent="0.2">
      <c r="A622">
        <v>1991</v>
      </c>
      <c r="B622">
        <v>9</v>
      </c>
      <c r="C622">
        <v>-12.72</v>
      </c>
      <c r="D622">
        <v>-12.34</v>
      </c>
      <c r="E622">
        <v>2.5</v>
      </c>
      <c r="F622">
        <v>-5.73</v>
      </c>
      <c r="G622">
        <v>-5.63</v>
      </c>
      <c r="H622">
        <v>2.35</v>
      </c>
      <c r="I622">
        <v>-18.45</v>
      </c>
      <c r="J622">
        <v>-17.97</v>
      </c>
      <c r="K622">
        <v>3.6</v>
      </c>
      <c r="L622" t="s">
        <v>0</v>
      </c>
      <c r="M622" t="s">
        <v>0</v>
      </c>
      <c r="N622" t="s">
        <v>0</v>
      </c>
    </row>
    <row r="623" spans="1:14" x14ac:dyDescent="0.2">
      <c r="A623">
        <v>1991</v>
      </c>
      <c r="B623">
        <v>10</v>
      </c>
      <c r="C623">
        <v>-12.07</v>
      </c>
      <c r="D623">
        <v>-12.6</v>
      </c>
      <c r="E623">
        <v>2.54</v>
      </c>
      <c r="F623">
        <v>-5.65</v>
      </c>
      <c r="G623">
        <v>-5.63</v>
      </c>
      <c r="H623">
        <v>2.4300000000000002</v>
      </c>
      <c r="I623">
        <v>-17.72</v>
      </c>
      <c r="J623">
        <v>-18.23</v>
      </c>
      <c r="K623">
        <v>3.76</v>
      </c>
      <c r="L623" t="s">
        <v>0</v>
      </c>
      <c r="M623" t="s">
        <v>0</v>
      </c>
      <c r="N623" t="s">
        <v>0</v>
      </c>
    </row>
    <row r="624" spans="1:14" x14ac:dyDescent="0.2">
      <c r="A624">
        <v>1991</v>
      </c>
      <c r="B624">
        <v>11</v>
      </c>
      <c r="C624">
        <v>-12.39</v>
      </c>
      <c r="D624">
        <v>-12.86</v>
      </c>
      <c r="E624">
        <v>2.5299999999999998</v>
      </c>
      <c r="F624">
        <v>-5.68</v>
      </c>
      <c r="G624">
        <v>-5.62</v>
      </c>
      <c r="H624">
        <v>2.46</v>
      </c>
      <c r="I624">
        <v>-18.079999999999998</v>
      </c>
      <c r="J624">
        <v>-18.48</v>
      </c>
      <c r="K624">
        <v>3.84</v>
      </c>
      <c r="L624" t="s">
        <v>0</v>
      </c>
      <c r="M624" t="s">
        <v>0</v>
      </c>
      <c r="N624" t="s">
        <v>0</v>
      </c>
    </row>
    <row r="625" spans="1:14" x14ac:dyDescent="0.2">
      <c r="A625">
        <v>1991</v>
      </c>
      <c r="B625">
        <v>12</v>
      </c>
      <c r="C625">
        <v>-12.83</v>
      </c>
      <c r="D625">
        <v>-13.03</v>
      </c>
      <c r="E625">
        <v>2.41</v>
      </c>
      <c r="F625">
        <v>-6.01</v>
      </c>
      <c r="G625">
        <v>-5.59</v>
      </c>
      <c r="H625">
        <v>2.5</v>
      </c>
      <c r="I625">
        <v>-18.84</v>
      </c>
      <c r="J625">
        <v>-18.62</v>
      </c>
      <c r="K625">
        <v>3.84</v>
      </c>
      <c r="L625" t="s">
        <v>0</v>
      </c>
      <c r="M625" t="s">
        <v>0</v>
      </c>
      <c r="N625" t="s">
        <v>0</v>
      </c>
    </row>
    <row r="626" spans="1:14" x14ac:dyDescent="0.2">
      <c r="A626">
        <v>1992</v>
      </c>
      <c r="B626">
        <v>1</v>
      </c>
      <c r="C626">
        <v>-13.25</v>
      </c>
      <c r="D626">
        <v>-13.15</v>
      </c>
      <c r="E626">
        <v>2.2999999999999998</v>
      </c>
      <c r="F626">
        <v>-5.47</v>
      </c>
      <c r="G626">
        <v>-5.54</v>
      </c>
      <c r="H626">
        <v>2.39</v>
      </c>
      <c r="I626">
        <v>-18.72</v>
      </c>
      <c r="J626">
        <v>-18.690000000000001</v>
      </c>
      <c r="K626">
        <v>3.66</v>
      </c>
      <c r="L626">
        <v>-1.7</v>
      </c>
      <c r="M626">
        <v>-1.63</v>
      </c>
      <c r="N626">
        <v>0.61</v>
      </c>
    </row>
    <row r="627" spans="1:14" x14ac:dyDescent="0.2">
      <c r="A627">
        <v>1992</v>
      </c>
      <c r="B627">
        <v>2</v>
      </c>
      <c r="C627">
        <v>-14.3</v>
      </c>
      <c r="D627">
        <v>-13.24</v>
      </c>
      <c r="E627">
        <v>2.2799999999999998</v>
      </c>
      <c r="F627">
        <v>-5.37</v>
      </c>
      <c r="G627">
        <v>-5.47</v>
      </c>
      <c r="H627">
        <v>2.35</v>
      </c>
      <c r="I627">
        <v>-19.66</v>
      </c>
      <c r="J627">
        <v>-18.7</v>
      </c>
      <c r="K627">
        <v>3.57</v>
      </c>
      <c r="L627">
        <v>-1.65</v>
      </c>
      <c r="M627">
        <v>-1.63</v>
      </c>
      <c r="N627">
        <v>0.61</v>
      </c>
    </row>
    <row r="628" spans="1:14" x14ac:dyDescent="0.2">
      <c r="A628">
        <v>1992</v>
      </c>
      <c r="B628">
        <v>3</v>
      </c>
      <c r="C628">
        <v>-13.85</v>
      </c>
      <c r="D628">
        <v>-13.27</v>
      </c>
      <c r="E628">
        <v>2.23</v>
      </c>
      <c r="F628">
        <v>-5.48</v>
      </c>
      <c r="G628">
        <v>-5.37</v>
      </c>
      <c r="H628">
        <v>2.33</v>
      </c>
      <c r="I628">
        <v>-19.329999999999998</v>
      </c>
      <c r="J628">
        <v>-18.649999999999999</v>
      </c>
      <c r="K628">
        <v>3.56</v>
      </c>
      <c r="L628">
        <v>-1.61</v>
      </c>
      <c r="M628">
        <v>-1.63</v>
      </c>
      <c r="N628">
        <v>0.61</v>
      </c>
    </row>
    <row r="629" spans="1:14" x14ac:dyDescent="0.2">
      <c r="A629">
        <v>1992</v>
      </c>
      <c r="B629">
        <v>4</v>
      </c>
      <c r="C629">
        <v>-13.52</v>
      </c>
      <c r="D629">
        <v>-13.32</v>
      </c>
      <c r="E629">
        <v>2.21</v>
      </c>
      <c r="F629">
        <v>-5.45</v>
      </c>
      <c r="G629">
        <v>-5.27</v>
      </c>
      <c r="H629">
        <v>2.2999999999999998</v>
      </c>
      <c r="I629">
        <v>-18.97</v>
      </c>
      <c r="J629">
        <v>-18.59</v>
      </c>
      <c r="K629">
        <v>3.54</v>
      </c>
      <c r="L629">
        <v>-1.43</v>
      </c>
      <c r="M629">
        <v>-1.64</v>
      </c>
      <c r="N629">
        <v>0.6</v>
      </c>
    </row>
    <row r="630" spans="1:14" x14ac:dyDescent="0.2">
      <c r="A630">
        <v>1992</v>
      </c>
      <c r="B630">
        <v>5</v>
      </c>
      <c r="C630">
        <v>-13.34</v>
      </c>
      <c r="D630">
        <v>-13.37</v>
      </c>
      <c r="E630">
        <v>2.3199999999999998</v>
      </c>
      <c r="F630">
        <v>-5.49</v>
      </c>
      <c r="G630">
        <v>-5.17</v>
      </c>
      <c r="H630">
        <v>2.25</v>
      </c>
      <c r="I630">
        <v>-18.829999999999998</v>
      </c>
      <c r="J630">
        <v>-18.54</v>
      </c>
      <c r="K630">
        <v>3.57</v>
      </c>
      <c r="L630">
        <v>-1.5</v>
      </c>
      <c r="M630">
        <v>-1.64</v>
      </c>
      <c r="N630">
        <v>0.59</v>
      </c>
    </row>
    <row r="631" spans="1:14" x14ac:dyDescent="0.2">
      <c r="A631">
        <v>1992</v>
      </c>
      <c r="B631">
        <v>6</v>
      </c>
      <c r="C631">
        <v>-13.44</v>
      </c>
      <c r="D631">
        <v>-13.4</v>
      </c>
      <c r="E631">
        <v>2.2999999999999998</v>
      </c>
      <c r="F631">
        <v>-5.19</v>
      </c>
      <c r="G631">
        <v>-5.0599999999999996</v>
      </c>
      <c r="H631">
        <v>2.2000000000000002</v>
      </c>
      <c r="I631">
        <v>-18.64</v>
      </c>
      <c r="J631">
        <v>-18.47</v>
      </c>
      <c r="K631">
        <v>3.51</v>
      </c>
      <c r="L631">
        <v>-1.61</v>
      </c>
      <c r="M631">
        <v>-1.64</v>
      </c>
      <c r="N631">
        <v>0.59</v>
      </c>
    </row>
    <row r="632" spans="1:14" x14ac:dyDescent="0.2">
      <c r="A632">
        <v>1992</v>
      </c>
      <c r="B632">
        <v>7</v>
      </c>
      <c r="C632">
        <v>-13.89</v>
      </c>
      <c r="D632">
        <v>-13.39</v>
      </c>
      <c r="E632">
        <v>2.14</v>
      </c>
      <c r="F632">
        <v>-4.92</v>
      </c>
      <c r="G632">
        <v>-4.97</v>
      </c>
      <c r="H632">
        <v>2.14</v>
      </c>
      <c r="I632">
        <v>-18.809999999999999</v>
      </c>
      <c r="J632">
        <v>-18.36</v>
      </c>
      <c r="K632">
        <v>3.31</v>
      </c>
      <c r="L632">
        <v>-1.72</v>
      </c>
      <c r="M632">
        <v>-1.64</v>
      </c>
      <c r="N632">
        <v>0.57999999999999996</v>
      </c>
    </row>
    <row r="633" spans="1:14" x14ac:dyDescent="0.2">
      <c r="A633">
        <v>1992</v>
      </c>
      <c r="B633">
        <v>8</v>
      </c>
      <c r="C633">
        <v>-13.36</v>
      </c>
      <c r="D633">
        <v>-13.3</v>
      </c>
      <c r="E633">
        <v>1.96</v>
      </c>
      <c r="F633">
        <v>-4.6399999999999997</v>
      </c>
      <c r="G633">
        <v>-4.9000000000000004</v>
      </c>
      <c r="H633">
        <v>2.11</v>
      </c>
      <c r="I633">
        <v>-18</v>
      </c>
      <c r="J633">
        <v>-18.2</v>
      </c>
      <c r="K633">
        <v>3.14</v>
      </c>
      <c r="L633">
        <v>-1.68</v>
      </c>
      <c r="M633">
        <v>-1.64</v>
      </c>
      <c r="N633">
        <v>0.56000000000000005</v>
      </c>
    </row>
    <row r="634" spans="1:14" x14ac:dyDescent="0.2">
      <c r="A634">
        <v>1992</v>
      </c>
      <c r="B634">
        <v>9</v>
      </c>
      <c r="C634">
        <v>-13.34</v>
      </c>
      <c r="D634">
        <v>-13.18</v>
      </c>
      <c r="E634">
        <v>1.94</v>
      </c>
      <c r="F634">
        <v>-4.5</v>
      </c>
      <c r="G634">
        <v>-4.84</v>
      </c>
      <c r="H634">
        <v>2.0699999999999998</v>
      </c>
      <c r="I634">
        <v>-17.84</v>
      </c>
      <c r="J634">
        <v>-18.03</v>
      </c>
      <c r="K634">
        <v>3.16</v>
      </c>
      <c r="L634">
        <v>-1.66</v>
      </c>
      <c r="M634">
        <v>-1.65</v>
      </c>
      <c r="N634">
        <v>0.56000000000000005</v>
      </c>
    </row>
    <row r="635" spans="1:14" x14ac:dyDescent="0.2">
      <c r="A635">
        <v>1992</v>
      </c>
      <c r="B635">
        <v>10</v>
      </c>
      <c r="C635">
        <v>-12.66</v>
      </c>
      <c r="D635">
        <v>-13.14</v>
      </c>
      <c r="E635">
        <v>1.81</v>
      </c>
      <c r="F635">
        <v>-4.4400000000000004</v>
      </c>
      <c r="G635">
        <v>-4.8</v>
      </c>
      <c r="H635">
        <v>2.02</v>
      </c>
      <c r="I635">
        <v>-17.100000000000001</v>
      </c>
      <c r="J635">
        <v>-17.940000000000001</v>
      </c>
      <c r="K635">
        <v>3.06</v>
      </c>
      <c r="L635">
        <v>-1.74</v>
      </c>
      <c r="M635">
        <v>-1.66</v>
      </c>
      <c r="N635">
        <v>0.55000000000000004</v>
      </c>
    </row>
    <row r="636" spans="1:14" x14ac:dyDescent="0.2">
      <c r="A636">
        <v>1992</v>
      </c>
      <c r="B636">
        <v>11</v>
      </c>
      <c r="C636">
        <v>-12.96</v>
      </c>
      <c r="D636">
        <v>-13.18</v>
      </c>
      <c r="E636">
        <v>1.76</v>
      </c>
      <c r="F636">
        <v>-4.46</v>
      </c>
      <c r="G636">
        <v>-4.78</v>
      </c>
      <c r="H636">
        <v>1.98</v>
      </c>
      <c r="I636">
        <v>-17.41</v>
      </c>
      <c r="J636">
        <v>-17.96</v>
      </c>
      <c r="K636">
        <v>2.98</v>
      </c>
      <c r="L636">
        <v>-1.71</v>
      </c>
      <c r="M636">
        <v>-1.69</v>
      </c>
      <c r="N636">
        <v>0.56000000000000005</v>
      </c>
    </row>
    <row r="637" spans="1:14" x14ac:dyDescent="0.2">
      <c r="A637">
        <v>1992</v>
      </c>
      <c r="B637">
        <v>12</v>
      </c>
      <c r="C637">
        <v>-13.05</v>
      </c>
      <c r="D637">
        <v>-13.3</v>
      </c>
      <c r="E637">
        <v>1.66</v>
      </c>
      <c r="F637">
        <v>-4.67</v>
      </c>
      <c r="G637">
        <v>-4.78</v>
      </c>
      <c r="H637">
        <v>1.94</v>
      </c>
      <c r="I637">
        <v>-17.72</v>
      </c>
      <c r="J637">
        <v>-18.079999999999998</v>
      </c>
      <c r="K637">
        <v>2.91</v>
      </c>
      <c r="L637">
        <v>-1.71</v>
      </c>
      <c r="M637">
        <v>-1.7</v>
      </c>
      <c r="N637">
        <v>0.56000000000000005</v>
      </c>
    </row>
    <row r="638" spans="1:14" x14ac:dyDescent="0.2">
      <c r="A638">
        <v>1993</v>
      </c>
      <c r="B638">
        <v>1</v>
      </c>
      <c r="C638">
        <v>-12.64</v>
      </c>
      <c r="D638">
        <v>-13.4</v>
      </c>
      <c r="E638">
        <v>1.53</v>
      </c>
      <c r="F638">
        <v>-4.5999999999999996</v>
      </c>
      <c r="G638">
        <v>-4.8</v>
      </c>
      <c r="H638">
        <v>1.89</v>
      </c>
      <c r="I638">
        <v>-17.239999999999998</v>
      </c>
      <c r="J638">
        <v>-18.2</v>
      </c>
      <c r="K638">
        <v>2.79</v>
      </c>
      <c r="L638">
        <v>-1.65</v>
      </c>
      <c r="M638">
        <v>-1.71</v>
      </c>
      <c r="N638">
        <v>0.55000000000000004</v>
      </c>
    </row>
    <row r="639" spans="1:14" x14ac:dyDescent="0.2">
      <c r="A639">
        <v>1993</v>
      </c>
      <c r="B639">
        <v>2</v>
      </c>
      <c r="C639">
        <v>-12.73</v>
      </c>
      <c r="D639">
        <v>-13.49</v>
      </c>
      <c r="E639">
        <v>1.51</v>
      </c>
      <c r="F639">
        <v>-4.5999999999999996</v>
      </c>
      <c r="G639">
        <v>-4.84</v>
      </c>
      <c r="H639">
        <v>1.88</v>
      </c>
      <c r="I639">
        <v>-17.329999999999998</v>
      </c>
      <c r="J639">
        <v>-18.329999999999998</v>
      </c>
      <c r="K639">
        <v>2.76</v>
      </c>
      <c r="L639">
        <v>-1.7</v>
      </c>
      <c r="M639">
        <v>-1.72</v>
      </c>
      <c r="N639">
        <v>0.54</v>
      </c>
    </row>
    <row r="640" spans="1:14" x14ac:dyDescent="0.2">
      <c r="A640">
        <v>1993</v>
      </c>
      <c r="B640">
        <v>3</v>
      </c>
      <c r="C640">
        <v>-12.68</v>
      </c>
      <c r="D640">
        <v>-13.57</v>
      </c>
      <c r="E640">
        <v>1.57</v>
      </c>
      <c r="F640">
        <v>-4.8600000000000003</v>
      </c>
      <c r="G640">
        <v>-4.91</v>
      </c>
      <c r="H640">
        <v>1.88</v>
      </c>
      <c r="I640">
        <v>-17.53</v>
      </c>
      <c r="J640">
        <v>-18.48</v>
      </c>
      <c r="K640">
        <v>2.78</v>
      </c>
      <c r="L640">
        <v>-1.72</v>
      </c>
      <c r="M640">
        <v>-1.73</v>
      </c>
      <c r="N640">
        <v>0.54</v>
      </c>
    </row>
    <row r="641" spans="1:14" x14ac:dyDescent="0.2">
      <c r="A641">
        <v>1993</v>
      </c>
      <c r="B641">
        <v>4</v>
      </c>
      <c r="C641">
        <v>-13.57</v>
      </c>
      <c r="D641">
        <v>-13.66</v>
      </c>
      <c r="E641">
        <v>1.69</v>
      </c>
      <c r="F641">
        <v>-5.12</v>
      </c>
      <c r="G641">
        <v>-4.9800000000000004</v>
      </c>
      <c r="H641">
        <v>1.86</v>
      </c>
      <c r="I641">
        <v>-18.690000000000001</v>
      </c>
      <c r="J641">
        <v>-18.64</v>
      </c>
      <c r="K641">
        <v>2.86</v>
      </c>
      <c r="L641">
        <v>-1.73</v>
      </c>
      <c r="M641">
        <v>-1.74</v>
      </c>
      <c r="N641">
        <v>0.54</v>
      </c>
    </row>
    <row r="642" spans="1:14" x14ac:dyDescent="0.2">
      <c r="A642">
        <v>1993</v>
      </c>
      <c r="B642">
        <v>5</v>
      </c>
      <c r="C642">
        <v>-14.28</v>
      </c>
      <c r="D642">
        <v>-13.75</v>
      </c>
      <c r="E642">
        <v>1.84</v>
      </c>
      <c r="F642">
        <v>-5.28</v>
      </c>
      <c r="G642">
        <v>-5.04</v>
      </c>
      <c r="H642">
        <v>1.86</v>
      </c>
      <c r="I642">
        <v>-19.559999999999999</v>
      </c>
      <c r="J642">
        <v>-18.78</v>
      </c>
      <c r="K642">
        <v>2.96</v>
      </c>
      <c r="L642">
        <v>-1.75</v>
      </c>
      <c r="M642">
        <v>-1.74</v>
      </c>
      <c r="N642">
        <v>0.55000000000000004</v>
      </c>
    </row>
    <row r="643" spans="1:14" x14ac:dyDescent="0.2">
      <c r="A643">
        <v>1993</v>
      </c>
      <c r="B643">
        <v>6</v>
      </c>
      <c r="C643">
        <v>-15.35</v>
      </c>
      <c r="D643">
        <v>-13.75</v>
      </c>
      <c r="E643">
        <v>1.9</v>
      </c>
      <c r="F643">
        <v>-5.35</v>
      </c>
      <c r="G643">
        <v>-5.09</v>
      </c>
      <c r="H643">
        <v>1.91</v>
      </c>
      <c r="I643">
        <v>-20.7</v>
      </c>
      <c r="J643">
        <v>-18.84</v>
      </c>
      <c r="K643">
        <v>3.05</v>
      </c>
      <c r="L643">
        <v>-1.75</v>
      </c>
      <c r="M643">
        <v>-1.75</v>
      </c>
      <c r="N643">
        <v>0.54</v>
      </c>
    </row>
    <row r="644" spans="1:14" x14ac:dyDescent="0.2">
      <c r="A644">
        <v>1993</v>
      </c>
      <c r="B644">
        <v>7</v>
      </c>
      <c r="C644">
        <v>-14.51</v>
      </c>
      <c r="D644">
        <v>-13.7</v>
      </c>
      <c r="E644">
        <v>2.1</v>
      </c>
      <c r="F644">
        <v>-5.24</v>
      </c>
      <c r="G644">
        <v>-5.1100000000000003</v>
      </c>
      <c r="H644">
        <v>1.99</v>
      </c>
      <c r="I644">
        <v>-19.75</v>
      </c>
      <c r="J644">
        <v>-18.8</v>
      </c>
      <c r="K644">
        <v>3.17</v>
      </c>
      <c r="L644">
        <v>-1.8</v>
      </c>
      <c r="M644">
        <v>-1.76</v>
      </c>
      <c r="N644">
        <v>0.54</v>
      </c>
    </row>
    <row r="645" spans="1:14" x14ac:dyDescent="0.2">
      <c r="A645">
        <v>1993</v>
      </c>
      <c r="B645">
        <v>8</v>
      </c>
      <c r="C645">
        <v>-14.81</v>
      </c>
      <c r="D645">
        <v>-13.61</v>
      </c>
      <c r="E645">
        <v>2.14</v>
      </c>
      <c r="F645">
        <v>-5.34</v>
      </c>
      <c r="G645">
        <v>-5.0999999999999996</v>
      </c>
      <c r="H645">
        <v>2.0099999999999998</v>
      </c>
      <c r="I645">
        <v>-20.149999999999999</v>
      </c>
      <c r="J645">
        <v>-18.71</v>
      </c>
      <c r="K645">
        <v>3.18</v>
      </c>
      <c r="L645">
        <v>-1.81</v>
      </c>
      <c r="M645">
        <v>-1.77</v>
      </c>
      <c r="N645">
        <v>0.54</v>
      </c>
    </row>
    <row r="646" spans="1:14" x14ac:dyDescent="0.2">
      <c r="A646">
        <v>1993</v>
      </c>
      <c r="B646">
        <v>9</v>
      </c>
      <c r="C646">
        <v>-13.95</v>
      </c>
      <c r="D646">
        <v>-13.5</v>
      </c>
      <c r="E646">
        <v>2.04</v>
      </c>
      <c r="F646">
        <v>-5.36</v>
      </c>
      <c r="G646">
        <v>-5.07</v>
      </c>
      <c r="H646">
        <v>2.02</v>
      </c>
      <c r="I646">
        <v>-19.309999999999999</v>
      </c>
      <c r="J646">
        <v>-18.57</v>
      </c>
      <c r="K646">
        <v>3.07</v>
      </c>
      <c r="L646">
        <v>-1.81</v>
      </c>
      <c r="M646">
        <v>-1.77</v>
      </c>
      <c r="N646">
        <v>0.54</v>
      </c>
    </row>
    <row r="647" spans="1:14" x14ac:dyDescent="0.2">
      <c r="A647">
        <v>1993</v>
      </c>
      <c r="B647">
        <v>10</v>
      </c>
      <c r="C647">
        <v>-14.2</v>
      </c>
      <c r="D647">
        <v>-13.35</v>
      </c>
      <c r="E647">
        <v>1.94</v>
      </c>
      <c r="F647">
        <v>-5.23</v>
      </c>
      <c r="G647">
        <v>-5</v>
      </c>
      <c r="H647">
        <v>2.0099999999999998</v>
      </c>
      <c r="I647">
        <v>-19.43</v>
      </c>
      <c r="J647">
        <v>-18.350000000000001</v>
      </c>
      <c r="K647">
        <v>2.97</v>
      </c>
      <c r="L647">
        <v>-1.76</v>
      </c>
      <c r="M647">
        <v>-1.77</v>
      </c>
      <c r="N647">
        <v>0.54</v>
      </c>
    </row>
    <row r="648" spans="1:14" x14ac:dyDescent="0.2">
      <c r="A648">
        <v>1993</v>
      </c>
      <c r="B648">
        <v>11</v>
      </c>
      <c r="C648">
        <v>-13.4</v>
      </c>
      <c r="D648">
        <v>-13.16</v>
      </c>
      <c r="E648">
        <v>1.84</v>
      </c>
      <c r="F648">
        <v>-5.15</v>
      </c>
      <c r="G648">
        <v>-4.91</v>
      </c>
      <c r="H648">
        <v>2.02</v>
      </c>
      <c r="I648">
        <v>-18.55</v>
      </c>
      <c r="J648">
        <v>-18.07</v>
      </c>
      <c r="K648">
        <v>2.91</v>
      </c>
      <c r="L648">
        <v>-1.82</v>
      </c>
      <c r="M648">
        <v>-1.76</v>
      </c>
      <c r="N648">
        <v>0.54</v>
      </c>
    </row>
    <row r="649" spans="1:14" x14ac:dyDescent="0.2">
      <c r="A649">
        <v>1993</v>
      </c>
      <c r="B649">
        <v>12</v>
      </c>
      <c r="C649">
        <v>-12.65</v>
      </c>
      <c r="D649">
        <v>-12.94</v>
      </c>
      <c r="E649">
        <v>1.6</v>
      </c>
      <c r="F649">
        <v>-5.17</v>
      </c>
      <c r="G649">
        <v>-4.82</v>
      </c>
      <c r="H649">
        <v>2</v>
      </c>
      <c r="I649">
        <v>-17.82</v>
      </c>
      <c r="J649">
        <v>-17.760000000000002</v>
      </c>
      <c r="K649">
        <v>2.79</v>
      </c>
      <c r="L649">
        <v>-1.81</v>
      </c>
      <c r="M649">
        <v>-1.74</v>
      </c>
      <c r="N649">
        <v>0.54</v>
      </c>
    </row>
    <row r="650" spans="1:14" x14ac:dyDescent="0.2">
      <c r="A650">
        <v>1994</v>
      </c>
      <c r="B650">
        <v>1</v>
      </c>
      <c r="C650">
        <v>-11.81</v>
      </c>
      <c r="D650">
        <v>-12.77</v>
      </c>
      <c r="E650">
        <v>1.49</v>
      </c>
      <c r="F650">
        <v>-4.55</v>
      </c>
      <c r="G650">
        <v>-4.7300000000000004</v>
      </c>
      <c r="H650">
        <v>1.92</v>
      </c>
      <c r="I650">
        <v>-16.36</v>
      </c>
      <c r="J650">
        <v>-17.510000000000002</v>
      </c>
      <c r="K650">
        <v>2.63</v>
      </c>
      <c r="L650">
        <v>-1.76</v>
      </c>
      <c r="M650">
        <v>-1.71</v>
      </c>
      <c r="N650">
        <v>0.53</v>
      </c>
    </row>
    <row r="651" spans="1:14" x14ac:dyDescent="0.2">
      <c r="A651">
        <v>1994</v>
      </c>
      <c r="B651">
        <v>2</v>
      </c>
      <c r="C651">
        <v>-11.46</v>
      </c>
      <c r="D651">
        <v>-12.64</v>
      </c>
      <c r="E651">
        <v>1.43</v>
      </c>
      <c r="F651">
        <v>-4.55</v>
      </c>
      <c r="G651">
        <v>-4.66</v>
      </c>
      <c r="H651">
        <v>1.92</v>
      </c>
      <c r="I651">
        <v>-16.02</v>
      </c>
      <c r="J651">
        <v>-17.309999999999999</v>
      </c>
      <c r="K651">
        <v>2.59</v>
      </c>
      <c r="L651">
        <v>-1.73</v>
      </c>
      <c r="M651">
        <v>-1.69</v>
      </c>
      <c r="N651">
        <v>0.53</v>
      </c>
    </row>
    <row r="652" spans="1:14" x14ac:dyDescent="0.2">
      <c r="A652">
        <v>1994</v>
      </c>
      <c r="B652">
        <v>3</v>
      </c>
      <c r="C652">
        <v>-11.33</v>
      </c>
      <c r="D652">
        <v>-12.51</v>
      </c>
      <c r="E652">
        <v>1.44</v>
      </c>
      <c r="F652">
        <v>-4.13</v>
      </c>
      <c r="G652">
        <v>-4.5999999999999996</v>
      </c>
      <c r="H652">
        <v>1.96</v>
      </c>
      <c r="I652">
        <v>-15.46</v>
      </c>
      <c r="J652">
        <v>-17.11</v>
      </c>
      <c r="K652">
        <v>2.61</v>
      </c>
      <c r="L652">
        <v>-1.73</v>
      </c>
      <c r="M652">
        <v>-1.66</v>
      </c>
      <c r="N652">
        <v>0.54</v>
      </c>
    </row>
    <row r="653" spans="1:14" x14ac:dyDescent="0.2">
      <c r="A653">
        <v>1994</v>
      </c>
      <c r="B653">
        <v>4</v>
      </c>
      <c r="C653">
        <v>-11.4</v>
      </c>
      <c r="D653">
        <v>-12.36</v>
      </c>
      <c r="E653">
        <v>1.47</v>
      </c>
      <c r="F653">
        <v>-4.1500000000000004</v>
      </c>
      <c r="G653">
        <v>-4.5599999999999996</v>
      </c>
      <c r="H653">
        <v>1.96</v>
      </c>
      <c r="I653">
        <v>-15.55</v>
      </c>
      <c r="J653">
        <v>-16.91</v>
      </c>
      <c r="K653">
        <v>2.66</v>
      </c>
      <c r="L653">
        <v>-1.65</v>
      </c>
      <c r="M653">
        <v>-1.64</v>
      </c>
      <c r="N653">
        <v>0.54</v>
      </c>
    </row>
    <row r="654" spans="1:14" x14ac:dyDescent="0.2">
      <c r="A654">
        <v>1994</v>
      </c>
      <c r="B654">
        <v>5</v>
      </c>
      <c r="C654">
        <v>-11.79</v>
      </c>
      <c r="D654">
        <v>-12.18</v>
      </c>
      <c r="E654">
        <v>1.57</v>
      </c>
      <c r="F654">
        <v>-4.08</v>
      </c>
      <c r="G654">
        <v>-4.53</v>
      </c>
      <c r="H654">
        <v>1.97</v>
      </c>
      <c r="I654">
        <v>-15.87</v>
      </c>
      <c r="J654">
        <v>-16.71</v>
      </c>
      <c r="K654">
        <v>2.75</v>
      </c>
      <c r="L654">
        <v>-1.57</v>
      </c>
      <c r="M654">
        <v>-1.63</v>
      </c>
      <c r="N654">
        <v>0.55000000000000004</v>
      </c>
    </row>
    <row r="655" spans="1:14" x14ac:dyDescent="0.2">
      <c r="A655">
        <v>1994</v>
      </c>
      <c r="B655">
        <v>6</v>
      </c>
      <c r="C655">
        <v>-12.66</v>
      </c>
      <c r="D655">
        <v>-12.04</v>
      </c>
      <c r="E655">
        <v>1.75</v>
      </c>
      <c r="F655">
        <v>-4.29</v>
      </c>
      <c r="G655">
        <v>-4.51</v>
      </c>
      <c r="H655">
        <v>1.96</v>
      </c>
      <c r="I655">
        <v>-16.95</v>
      </c>
      <c r="J655">
        <v>-16.55</v>
      </c>
      <c r="K655">
        <v>2.81</v>
      </c>
      <c r="L655">
        <v>-1.51</v>
      </c>
      <c r="M655">
        <v>-1.61</v>
      </c>
      <c r="N655">
        <v>0.55000000000000004</v>
      </c>
    </row>
    <row r="656" spans="1:14" x14ac:dyDescent="0.2">
      <c r="A656">
        <v>1994</v>
      </c>
      <c r="B656">
        <v>7</v>
      </c>
      <c r="C656">
        <v>-13.16</v>
      </c>
      <c r="D656">
        <v>-11.95</v>
      </c>
      <c r="E656">
        <v>2</v>
      </c>
      <c r="F656">
        <v>-4.37</v>
      </c>
      <c r="G656">
        <v>-4.5</v>
      </c>
      <c r="H656">
        <v>1.96</v>
      </c>
      <c r="I656">
        <v>-17.53</v>
      </c>
      <c r="J656">
        <v>-16.45</v>
      </c>
      <c r="K656">
        <v>2.96</v>
      </c>
      <c r="L656">
        <v>-1.45</v>
      </c>
      <c r="M656">
        <v>-1.6</v>
      </c>
      <c r="N656">
        <v>0.55000000000000004</v>
      </c>
    </row>
    <row r="657" spans="1:14" x14ac:dyDescent="0.2">
      <c r="A657">
        <v>1994</v>
      </c>
      <c r="B657">
        <v>8</v>
      </c>
      <c r="C657">
        <v>-13.03</v>
      </c>
      <c r="D657">
        <v>-11.92</v>
      </c>
      <c r="E657">
        <v>2.0299999999999998</v>
      </c>
      <c r="F657">
        <v>-4.53</v>
      </c>
      <c r="G657">
        <v>-4.5199999999999996</v>
      </c>
      <c r="H657">
        <v>1.96</v>
      </c>
      <c r="I657">
        <v>-17.559999999999999</v>
      </c>
      <c r="J657">
        <v>-16.440000000000001</v>
      </c>
      <c r="K657">
        <v>2.97</v>
      </c>
      <c r="L657">
        <v>-1.49</v>
      </c>
      <c r="M657">
        <v>-1.6</v>
      </c>
      <c r="N657">
        <v>0.55000000000000004</v>
      </c>
    </row>
    <row r="658" spans="1:14" x14ac:dyDescent="0.2">
      <c r="A658">
        <v>1994</v>
      </c>
      <c r="B658">
        <v>9</v>
      </c>
      <c r="C658">
        <v>-12.53</v>
      </c>
      <c r="D658">
        <v>-11.95</v>
      </c>
      <c r="E658">
        <v>1.99</v>
      </c>
      <c r="F658">
        <v>-4.6900000000000004</v>
      </c>
      <c r="G658">
        <v>-4.5599999999999996</v>
      </c>
      <c r="H658">
        <v>1.97</v>
      </c>
      <c r="I658">
        <v>-17.22</v>
      </c>
      <c r="J658">
        <v>-16.510000000000002</v>
      </c>
      <c r="K658">
        <v>2.98</v>
      </c>
      <c r="L658">
        <v>-1.53</v>
      </c>
      <c r="M658">
        <v>-1.59</v>
      </c>
      <c r="N658">
        <v>0.55000000000000004</v>
      </c>
    </row>
    <row r="659" spans="1:14" x14ac:dyDescent="0.2">
      <c r="A659">
        <v>1994</v>
      </c>
      <c r="B659">
        <v>10</v>
      </c>
      <c r="C659">
        <v>-11.89</v>
      </c>
      <c r="D659">
        <v>-11.97</v>
      </c>
      <c r="E659">
        <v>1.83</v>
      </c>
      <c r="F659">
        <v>-4.83</v>
      </c>
      <c r="G659">
        <v>-4.63</v>
      </c>
      <c r="H659">
        <v>1.98</v>
      </c>
      <c r="I659">
        <v>-16.71</v>
      </c>
      <c r="J659">
        <v>-16.600000000000001</v>
      </c>
      <c r="K659">
        <v>2.87</v>
      </c>
      <c r="L659">
        <v>-1.54</v>
      </c>
      <c r="M659">
        <v>-1.6</v>
      </c>
      <c r="N659">
        <v>0.55000000000000004</v>
      </c>
    </row>
    <row r="660" spans="1:14" x14ac:dyDescent="0.2">
      <c r="A660">
        <v>1994</v>
      </c>
      <c r="B660">
        <v>11</v>
      </c>
      <c r="C660">
        <v>-11.45</v>
      </c>
      <c r="D660">
        <v>-11.92</v>
      </c>
      <c r="E660">
        <v>1.7</v>
      </c>
      <c r="F660">
        <v>-4.8499999999999996</v>
      </c>
      <c r="G660">
        <v>-4.71</v>
      </c>
      <c r="H660">
        <v>1.98</v>
      </c>
      <c r="I660">
        <v>-16.3</v>
      </c>
      <c r="J660">
        <v>-16.63</v>
      </c>
      <c r="K660">
        <v>2.8</v>
      </c>
      <c r="L660">
        <v>-1.67</v>
      </c>
      <c r="M660">
        <v>-1.61</v>
      </c>
      <c r="N660">
        <v>0.55000000000000004</v>
      </c>
    </row>
    <row r="661" spans="1:14" x14ac:dyDescent="0.2">
      <c r="A661">
        <v>1994</v>
      </c>
      <c r="B661">
        <v>12</v>
      </c>
      <c r="C661">
        <v>-11.32</v>
      </c>
      <c r="D661">
        <v>-11.8</v>
      </c>
      <c r="E661">
        <v>1.5</v>
      </c>
      <c r="F661">
        <v>-4.97</v>
      </c>
      <c r="G661">
        <v>-4.8</v>
      </c>
      <c r="H661">
        <v>1.98</v>
      </c>
      <c r="I661">
        <v>-16.29</v>
      </c>
      <c r="J661">
        <v>-16.600000000000001</v>
      </c>
      <c r="K661">
        <v>2.68</v>
      </c>
      <c r="L661">
        <v>-1.68</v>
      </c>
      <c r="M661">
        <v>-1.61</v>
      </c>
      <c r="N661">
        <v>0.55000000000000004</v>
      </c>
    </row>
    <row r="662" spans="1:14" x14ac:dyDescent="0.2">
      <c r="A662">
        <v>1995</v>
      </c>
      <c r="B662">
        <v>1</v>
      </c>
      <c r="C662">
        <v>-10.9</v>
      </c>
      <c r="D662">
        <v>-11.68</v>
      </c>
      <c r="E662">
        <v>1.33</v>
      </c>
      <c r="F662">
        <v>-4.67</v>
      </c>
      <c r="G662">
        <v>-4.8600000000000003</v>
      </c>
      <c r="H662">
        <v>1.91</v>
      </c>
      <c r="I662">
        <v>-15.56</v>
      </c>
      <c r="J662">
        <v>-16.54</v>
      </c>
      <c r="K662">
        <v>2.44</v>
      </c>
      <c r="L662">
        <v>-1.63</v>
      </c>
      <c r="M662">
        <v>-1.61</v>
      </c>
      <c r="N662">
        <v>0.54</v>
      </c>
    </row>
    <row r="663" spans="1:14" x14ac:dyDescent="0.2">
      <c r="A663">
        <v>1995</v>
      </c>
      <c r="B663">
        <v>2</v>
      </c>
      <c r="C663">
        <v>-11.72</v>
      </c>
      <c r="D663">
        <v>-11.56</v>
      </c>
      <c r="E663">
        <v>1.36</v>
      </c>
      <c r="F663">
        <v>-4.83</v>
      </c>
      <c r="G663">
        <v>-4.92</v>
      </c>
      <c r="H663">
        <v>1.9</v>
      </c>
      <c r="I663">
        <v>-16.55</v>
      </c>
      <c r="J663">
        <v>-16.48</v>
      </c>
      <c r="K663">
        <v>2.41</v>
      </c>
      <c r="L663">
        <v>-1.68</v>
      </c>
      <c r="M663">
        <v>-1.6</v>
      </c>
      <c r="N663">
        <v>0.55000000000000004</v>
      </c>
    </row>
    <row r="664" spans="1:14" x14ac:dyDescent="0.2">
      <c r="A664">
        <v>1995</v>
      </c>
      <c r="B664">
        <v>3</v>
      </c>
      <c r="C664">
        <v>-11.76</v>
      </c>
      <c r="D664">
        <v>-11.49</v>
      </c>
      <c r="E664">
        <v>1.39</v>
      </c>
      <c r="F664">
        <v>-4.91</v>
      </c>
      <c r="G664">
        <v>-4.97</v>
      </c>
      <c r="H664">
        <v>1.91</v>
      </c>
      <c r="I664">
        <v>-16.670000000000002</v>
      </c>
      <c r="J664">
        <v>-16.46</v>
      </c>
      <c r="K664">
        <v>2.44</v>
      </c>
      <c r="L664">
        <v>-1.71</v>
      </c>
      <c r="M664">
        <v>-1.57</v>
      </c>
      <c r="N664">
        <v>0.55000000000000004</v>
      </c>
    </row>
    <row r="665" spans="1:14" x14ac:dyDescent="0.2">
      <c r="A665">
        <v>1995</v>
      </c>
      <c r="B665">
        <v>4</v>
      </c>
      <c r="C665">
        <v>-11.38</v>
      </c>
      <c r="D665">
        <v>-11.46</v>
      </c>
      <c r="E665">
        <v>1.47</v>
      </c>
      <c r="F665">
        <v>-5.0199999999999996</v>
      </c>
      <c r="G665">
        <v>-4.99</v>
      </c>
      <c r="H665">
        <v>1.93</v>
      </c>
      <c r="I665">
        <v>-16.41</v>
      </c>
      <c r="J665">
        <v>-16.45</v>
      </c>
      <c r="K665">
        <v>2.5299999999999998</v>
      </c>
      <c r="L665">
        <v>-1.76</v>
      </c>
      <c r="M665">
        <v>-1.55</v>
      </c>
      <c r="N665">
        <v>0.55000000000000004</v>
      </c>
    </row>
    <row r="666" spans="1:14" x14ac:dyDescent="0.2">
      <c r="A666">
        <v>1995</v>
      </c>
      <c r="B666">
        <v>5</v>
      </c>
      <c r="C666">
        <v>-10.63</v>
      </c>
      <c r="D666">
        <v>-11.44</v>
      </c>
      <c r="E666">
        <v>1.55</v>
      </c>
      <c r="F666">
        <v>-5.0999999999999996</v>
      </c>
      <c r="G666">
        <v>-5.01</v>
      </c>
      <c r="H666">
        <v>1.94</v>
      </c>
      <c r="I666">
        <v>-15.73</v>
      </c>
      <c r="J666">
        <v>-16.45</v>
      </c>
      <c r="K666">
        <v>2.58</v>
      </c>
      <c r="L666">
        <v>-1.68</v>
      </c>
      <c r="M666">
        <v>-1.52</v>
      </c>
      <c r="N666">
        <v>0.55000000000000004</v>
      </c>
    </row>
    <row r="667" spans="1:14" x14ac:dyDescent="0.2">
      <c r="A667">
        <v>1995</v>
      </c>
      <c r="B667">
        <v>6</v>
      </c>
      <c r="C667">
        <v>-11.08</v>
      </c>
      <c r="D667">
        <v>-11.42</v>
      </c>
      <c r="E667">
        <v>1.67</v>
      </c>
      <c r="F667">
        <v>-5.25</v>
      </c>
      <c r="G667">
        <v>-5.0199999999999996</v>
      </c>
      <c r="H667">
        <v>1.99</v>
      </c>
      <c r="I667">
        <v>-16.329999999999998</v>
      </c>
      <c r="J667">
        <v>-16.440000000000001</v>
      </c>
      <c r="K667">
        <v>2.74</v>
      </c>
      <c r="L667">
        <v>-1.55</v>
      </c>
      <c r="M667">
        <v>-1.48</v>
      </c>
      <c r="N667">
        <v>0.55000000000000004</v>
      </c>
    </row>
    <row r="668" spans="1:14" x14ac:dyDescent="0.2">
      <c r="A668">
        <v>1995</v>
      </c>
      <c r="B668">
        <v>7</v>
      </c>
      <c r="C668">
        <v>-11.71</v>
      </c>
      <c r="D668">
        <v>-11.37</v>
      </c>
      <c r="E668">
        <v>1.88</v>
      </c>
      <c r="F668">
        <v>-5.07</v>
      </c>
      <c r="G668">
        <v>-5.0199999999999996</v>
      </c>
      <c r="H668">
        <v>2.06</v>
      </c>
      <c r="I668">
        <v>-16.78</v>
      </c>
      <c r="J668">
        <v>-16.39</v>
      </c>
      <c r="K668">
        <v>2.96</v>
      </c>
      <c r="L668">
        <v>-1.35</v>
      </c>
      <c r="M668">
        <v>-1.44</v>
      </c>
      <c r="N668">
        <v>0.56000000000000005</v>
      </c>
    </row>
    <row r="669" spans="1:14" x14ac:dyDescent="0.2">
      <c r="A669">
        <v>1995</v>
      </c>
      <c r="B669">
        <v>8</v>
      </c>
      <c r="C669">
        <v>-11.66</v>
      </c>
      <c r="D669">
        <v>-11.27</v>
      </c>
      <c r="E669">
        <v>1.75</v>
      </c>
      <c r="F669">
        <v>-5.2</v>
      </c>
      <c r="G669">
        <v>-5</v>
      </c>
      <c r="H669">
        <v>2.11</v>
      </c>
      <c r="I669">
        <v>-16.86</v>
      </c>
      <c r="J669">
        <v>-16.27</v>
      </c>
      <c r="K669">
        <v>2.92</v>
      </c>
      <c r="L669">
        <v>-1.28</v>
      </c>
      <c r="M669">
        <v>-1.41</v>
      </c>
      <c r="N669">
        <v>0.56999999999999995</v>
      </c>
    </row>
    <row r="670" spans="1:14" x14ac:dyDescent="0.2">
      <c r="A670">
        <v>1995</v>
      </c>
      <c r="B670">
        <v>9</v>
      </c>
      <c r="C670">
        <v>-12.17</v>
      </c>
      <c r="D670">
        <v>-11.09</v>
      </c>
      <c r="E670">
        <v>1.7</v>
      </c>
      <c r="F670">
        <v>-5.16</v>
      </c>
      <c r="G670">
        <v>-4.9800000000000004</v>
      </c>
      <c r="H670">
        <v>2.13</v>
      </c>
      <c r="I670">
        <v>-17.32</v>
      </c>
      <c r="J670">
        <v>-16.07</v>
      </c>
      <c r="K670">
        <v>2.92</v>
      </c>
      <c r="L670">
        <v>-1.18</v>
      </c>
      <c r="M670">
        <v>-1.36</v>
      </c>
      <c r="N670">
        <v>0.57999999999999996</v>
      </c>
    </row>
    <row r="671" spans="1:14" x14ac:dyDescent="0.2">
      <c r="A671">
        <v>1995</v>
      </c>
      <c r="B671">
        <v>10</v>
      </c>
      <c r="C671">
        <v>-11.54</v>
      </c>
      <c r="D671">
        <v>-10.87</v>
      </c>
      <c r="E671">
        <v>1.62</v>
      </c>
      <c r="F671">
        <v>-4.9800000000000004</v>
      </c>
      <c r="G671">
        <v>-4.97</v>
      </c>
      <c r="H671">
        <v>2.16</v>
      </c>
      <c r="I671">
        <v>-16.52</v>
      </c>
      <c r="J671">
        <v>-15.84</v>
      </c>
      <c r="K671">
        <v>2.91</v>
      </c>
      <c r="L671">
        <v>-1.21</v>
      </c>
      <c r="M671">
        <v>-1.32</v>
      </c>
      <c r="N671">
        <v>0.57999999999999996</v>
      </c>
    </row>
    <row r="672" spans="1:14" x14ac:dyDescent="0.2">
      <c r="A672">
        <v>1995</v>
      </c>
      <c r="B672">
        <v>11</v>
      </c>
      <c r="C672">
        <v>-11.48</v>
      </c>
      <c r="D672">
        <v>-10.7</v>
      </c>
      <c r="E672">
        <v>1.54</v>
      </c>
      <c r="F672">
        <v>-5.04</v>
      </c>
      <c r="G672">
        <v>-4.9400000000000004</v>
      </c>
      <c r="H672">
        <v>2.1</v>
      </c>
      <c r="I672">
        <v>-16.52</v>
      </c>
      <c r="J672">
        <v>-15.63</v>
      </c>
      <c r="K672">
        <v>2.81</v>
      </c>
      <c r="L672">
        <v>-1.27</v>
      </c>
      <c r="M672">
        <v>-1.27</v>
      </c>
      <c r="N672">
        <v>0.59</v>
      </c>
    </row>
    <row r="673" spans="1:14" x14ac:dyDescent="0.2">
      <c r="A673">
        <v>1995</v>
      </c>
      <c r="B673">
        <v>12</v>
      </c>
      <c r="C673">
        <v>-10.85</v>
      </c>
      <c r="D673">
        <v>-10.57</v>
      </c>
      <c r="E673">
        <v>1.55</v>
      </c>
      <c r="F673">
        <v>-5.0199999999999996</v>
      </c>
      <c r="G673">
        <v>-4.88</v>
      </c>
      <c r="H673">
        <v>2.08</v>
      </c>
      <c r="I673">
        <v>-15.87</v>
      </c>
      <c r="J673">
        <v>-15.45</v>
      </c>
      <c r="K673">
        <v>2.77</v>
      </c>
      <c r="L673">
        <v>-1.21</v>
      </c>
      <c r="M673">
        <v>-1.24</v>
      </c>
      <c r="N673">
        <v>0.59</v>
      </c>
    </row>
    <row r="674" spans="1:14" x14ac:dyDescent="0.2">
      <c r="A674">
        <v>1996</v>
      </c>
      <c r="B674">
        <v>1</v>
      </c>
      <c r="C674">
        <v>-10.09</v>
      </c>
      <c r="D674">
        <v>-10.43</v>
      </c>
      <c r="E674">
        <v>1.55</v>
      </c>
      <c r="F674">
        <v>-4.57</v>
      </c>
      <c r="G674">
        <v>-4.82</v>
      </c>
      <c r="H674">
        <v>2.08</v>
      </c>
      <c r="I674">
        <v>-14.65</v>
      </c>
      <c r="J674">
        <v>-15.25</v>
      </c>
      <c r="K674">
        <v>2.77</v>
      </c>
      <c r="L674">
        <v>-1.21</v>
      </c>
      <c r="M674">
        <v>-1.21</v>
      </c>
      <c r="N674">
        <v>0.59</v>
      </c>
    </row>
    <row r="675" spans="1:14" x14ac:dyDescent="0.2">
      <c r="A675">
        <v>1996</v>
      </c>
      <c r="B675">
        <v>2</v>
      </c>
      <c r="C675">
        <v>-10.01</v>
      </c>
      <c r="D675">
        <v>-10.29</v>
      </c>
      <c r="E675">
        <v>1.55</v>
      </c>
      <c r="F675">
        <v>-4.57</v>
      </c>
      <c r="G675">
        <v>-4.76</v>
      </c>
      <c r="H675">
        <v>2.08</v>
      </c>
      <c r="I675">
        <v>-14.58</v>
      </c>
      <c r="J675">
        <v>-15.05</v>
      </c>
      <c r="K675">
        <v>2.77</v>
      </c>
      <c r="L675">
        <v>-1.21</v>
      </c>
      <c r="M675">
        <v>-1.21</v>
      </c>
      <c r="N675">
        <v>0.59</v>
      </c>
    </row>
    <row r="676" spans="1:14" x14ac:dyDescent="0.2">
      <c r="A676">
        <v>1996</v>
      </c>
      <c r="B676">
        <v>3</v>
      </c>
      <c r="C676">
        <v>-9.2100000000000009</v>
      </c>
      <c r="D676">
        <v>-10.15</v>
      </c>
      <c r="E676">
        <v>1.46</v>
      </c>
      <c r="F676">
        <v>-4.71</v>
      </c>
      <c r="G676">
        <v>-4.7</v>
      </c>
      <c r="H676">
        <v>2</v>
      </c>
      <c r="I676">
        <v>-13.93</v>
      </c>
      <c r="J676">
        <v>-14.85</v>
      </c>
      <c r="K676">
        <v>2.6</v>
      </c>
      <c r="L676">
        <v>-1.17</v>
      </c>
      <c r="M676">
        <v>-1.21</v>
      </c>
      <c r="N676">
        <v>0.57999999999999996</v>
      </c>
    </row>
    <row r="677" spans="1:14" x14ac:dyDescent="0.2">
      <c r="A677">
        <v>1996</v>
      </c>
      <c r="B677">
        <v>4</v>
      </c>
      <c r="C677">
        <v>-8.7200000000000006</v>
      </c>
      <c r="D677">
        <v>-10.01</v>
      </c>
      <c r="E677">
        <v>1.55</v>
      </c>
      <c r="F677">
        <v>-4.82</v>
      </c>
      <c r="G677">
        <v>-4.6399999999999997</v>
      </c>
      <c r="H677">
        <v>2.0099999999999998</v>
      </c>
      <c r="I677">
        <v>-13.54</v>
      </c>
      <c r="J677">
        <v>-14.65</v>
      </c>
      <c r="K677">
        <v>2.66</v>
      </c>
      <c r="L677">
        <v>-1.21</v>
      </c>
      <c r="M677">
        <v>-1.22</v>
      </c>
      <c r="N677">
        <v>0.59</v>
      </c>
    </row>
    <row r="678" spans="1:14" x14ac:dyDescent="0.2">
      <c r="A678">
        <v>1996</v>
      </c>
      <c r="B678">
        <v>5</v>
      </c>
      <c r="C678">
        <v>-9.0500000000000007</v>
      </c>
      <c r="D678">
        <v>-9.8800000000000008</v>
      </c>
      <c r="E678">
        <v>1.54</v>
      </c>
      <c r="F678">
        <v>-4.6100000000000003</v>
      </c>
      <c r="G678">
        <v>-4.59</v>
      </c>
      <c r="H678">
        <v>2.04</v>
      </c>
      <c r="I678">
        <v>-13.65</v>
      </c>
      <c r="J678">
        <v>-14.47</v>
      </c>
      <c r="K678">
        <v>2.7</v>
      </c>
      <c r="L678">
        <v>-1.18</v>
      </c>
      <c r="M678">
        <v>-1.22</v>
      </c>
      <c r="N678">
        <v>0.59</v>
      </c>
    </row>
    <row r="679" spans="1:14" x14ac:dyDescent="0.2">
      <c r="A679">
        <v>1996</v>
      </c>
      <c r="B679">
        <v>6</v>
      </c>
      <c r="C679">
        <v>-9.58</v>
      </c>
      <c r="D679">
        <v>-9.7899999999999991</v>
      </c>
      <c r="E679">
        <v>1.61</v>
      </c>
      <c r="F679">
        <v>-4.42</v>
      </c>
      <c r="G679">
        <v>-4.54</v>
      </c>
      <c r="H679">
        <v>2.0499999999999998</v>
      </c>
      <c r="I679">
        <v>-14</v>
      </c>
      <c r="J679">
        <v>-14.33</v>
      </c>
      <c r="K679">
        <v>2.76</v>
      </c>
      <c r="L679">
        <v>-1.17</v>
      </c>
      <c r="M679">
        <v>-1.22</v>
      </c>
      <c r="N679">
        <v>0.59</v>
      </c>
    </row>
    <row r="680" spans="1:14" x14ac:dyDescent="0.2">
      <c r="A680">
        <v>1996</v>
      </c>
      <c r="B680">
        <v>7</v>
      </c>
      <c r="C680">
        <v>-9.9600000000000009</v>
      </c>
      <c r="D680">
        <v>-9.73</v>
      </c>
      <c r="E680">
        <v>1.68</v>
      </c>
      <c r="F680">
        <v>-4.47</v>
      </c>
      <c r="G680">
        <v>-4.51</v>
      </c>
      <c r="H680">
        <v>2.0699999999999998</v>
      </c>
      <c r="I680">
        <v>-14.43</v>
      </c>
      <c r="J680">
        <v>-14.24</v>
      </c>
      <c r="K680">
        <v>2.84</v>
      </c>
      <c r="L680">
        <v>-1.22</v>
      </c>
      <c r="M680">
        <v>-1.25</v>
      </c>
      <c r="N680">
        <v>0.6</v>
      </c>
    </row>
    <row r="681" spans="1:14" x14ac:dyDescent="0.2">
      <c r="A681">
        <v>1996</v>
      </c>
      <c r="B681">
        <v>8</v>
      </c>
      <c r="C681">
        <v>-10.039999999999999</v>
      </c>
      <c r="D681">
        <v>-9.67</v>
      </c>
      <c r="E681">
        <v>1.79</v>
      </c>
      <c r="F681">
        <v>-4.37</v>
      </c>
      <c r="G681">
        <v>-4.4800000000000004</v>
      </c>
      <c r="H681">
        <v>2.12</v>
      </c>
      <c r="I681">
        <v>-14.41</v>
      </c>
      <c r="J681">
        <v>-14.15</v>
      </c>
      <c r="K681">
        <v>2.99</v>
      </c>
      <c r="L681">
        <v>-1.25</v>
      </c>
      <c r="M681">
        <v>-1.29</v>
      </c>
      <c r="N681">
        <v>0.6</v>
      </c>
    </row>
    <row r="682" spans="1:14" x14ac:dyDescent="0.2">
      <c r="A682">
        <v>1996</v>
      </c>
      <c r="B682">
        <v>9</v>
      </c>
      <c r="C682">
        <v>-10.51</v>
      </c>
      <c r="D682">
        <v>-9.6199999999999992</v>
      </c>
      <c r="E682">
        <v>1.69</v>
      </c>
      <c r="F682">
        <v>-4.38</v>
      </c>
      <c r="G682">
        <v>-4.4400000000000004</v>
      </c>
      <c r="H682">
        <v>2.1800000000000002</v>
      </c>
      <c r="I682">
        <v>-14.88</v>
      </c>
      <c r="J682">
        <v>-14.07</v>
      </c>
      <c r="K682">
        <v>2.97</v>
      </c>
      <c r="L682">
        <v>-1.28</v>
      </c>
      <c r="M682">
        <v>-1.34</v>
      </c>
      <c r="N682">
        <v>0.62</v>
      </c>
    </row>
    <row r="683" spans="1:14" x14ac:dyDescent="0.2">
      <c r="A683">
        <v>1996</v>
      </c>
      <c r="B683">
        <v>10</v>
      </c>
      <c r="C683">
        <v>-9.75</v>
      </c>
      <c r="D683">
        <v>-9.64</v>
      </c>
      <c r="E683">
        <v>1.59</v>
      </c>
      <c r="F683">
        <v>-4.38</v>
      </c>
      <c r="G683">
        <v>-4.38</v>
      </c>
      <c r="H683">
        <v>2.23</v>
      </c>
      <c r="I683">
        <v>-14.13</v>
      </c>
      <c r="J683">
        <v>-14.02</v>
      </c>
      <c r="K683">
        <v>2.95</v>
      </c>
      <c r="L683">
        <v>-1.26</v>
      </c>
      <c r="M683">
        <v>-1.39</v>
      </c>
      <c r="N683">
        <v>0.63</v>
      </c>
    </row>
    <row r="684" spans="1:14" x14ac:dyDescent="0.2">
      <c r="A684">
        <v>1996</v>
      </c>
      <c r="B684">
        <v>11</v>
      </c>
      <c r="C684">
        <v>-10.029999999999999</v>
      </c>
      <c r="D684">
        <v>-9.6999999999999993</v>
      </c>
      <c r="E684">
        <v>1.54</v>
      </c>
      <c r="F684">
        <v>-4.4800000000000004</v>
      </c>
      <c r="G684">
        <v>-4.32</v>
      </c>
      <c r="H684">
        <v>2.25</v>
      </c>
      <c r="I684">
        <v>-14.51</v>
      </c>
      <c r="J684">
        <v>-14.02</v>
      </c>
      <c r="K684">
        <v>2.94</v>
      </c>
      <c r="L684">
        <v>-1.27</v>
      </c>
      <c r="M684">
        <v>-1.44</v>
      </c>
      <c r="N684">
        <v>0.65</v>
      </c>
    </row>
    <row r="685" spans="1:14" x14ac:dyDescent="0.2">
      <c r="A685">
        <v>1996</v>
      </c>
      <c r="B685">
        <v>12</v>
      </c>
      <c r="C685">
        <v>-10.15</v>
      </c>
      <c r="D685">
        <v>-9.77</v>
      </c>
      <c r="E685">
        <v>1.54</v>
      </c>
      <c r="F685">
        <v>-4.47</v>
      </c>
      <c r="G685">
        <v>-4.29</v>
      </c>
      <c r="H685">
        <v>2.25</v>
      </c>
      <c r="I685">
        <v>-14.62</v>
      </c>
      <c r="J685">
        <v>-14.05</v>
      </c>
      <c r="K685">
        <v>2.94</v>
      </c>
      <c r="L685">
        <v>-1.27</v>
      </c>
      <c r="M685">
        <v>-1.5</v>
      </c>
      <c r="N685">
        <v>0.65</v>
      </c>
    </row>
    <row r="686" spans="1:14" x14ac:dyDescent="0.2">
      <c r="A686">
        <v>1997</v>
      </c>
      <c r="B686">
        <v>1</v>
      </c>
      <c r="C686">
        <v>-9.4700000000000006</v>
      </c>
      <c r="D686">
        <v>-9.86</v>
      </c>
      <c r="E686">
        <v>1.38</v>
      </c>
      <c r="F686">
        <v>-4.25</v>
      </c>
      <c r="G686">
        <v>-4.26</v>
      </c>
      <c r="H686">
        <v>2.2000000000000002</v>
      </c>
      <c r="I686">
        <v>-13.71</v>
      </c>
      <c r="J686">
        <v>-14.12</v>
      </c>
      <c r="K686">
        <v>2.8</v>
      </c>
      <c r="L686">
        <v>-1.72</v>
      </c>
      <c r="M686">
        <v>-1.55</v>
      </c>
      <c r="N686">
        <v>0.8</v>
      </c>
    </row>
    <row r="687" spans="1:14" x14ac:dyDescent="0.2">
      <c r="A687">
        <v>1997</v>
      </c>
      <c r="B687">
        <v>2</v>
      </c>
      <c r="C687">
        <v>-9.14</v>
      </c>
      <c r="D687">
        <v>-9.9700000000000006</v>
      </c>
      <c r="E687">
        <v>1.37</v>
      </c>
      <c r="F687">
        <v>-4.2300000000000004</v>
      </c>
      <c r="G687">
        <v>-4.24</v>
      </c>
      <c r="H687">
        <v>2.1800000000000002</v>
      </c>
      <c r="I687">
        <v>-13.37</v>
      </c>
      <c r="J687">
        <v>-14.21</v>
      </c>
      <c r="K687">
        <v>2.78</v>
      </c>
      <c r="L687">
        <v>-1.74</v>
      </c>
      <c r="M687">
        <v>-1.61</v>
      </c>
      <c r="N687">
        <v>0.79</v>
      </c>
    </row>
    <row r="688" spans="1:14" x14ac:dyDescent="0.2">
      <c r="A688">
        <v>1997</v>
      </c>
      <c r="B688">
        <v>3</v>
      </c>
      <c r="C688">
        <v>-9.02</v>
      </c>
      <c r="D688">
        <v>-10.06</v>
      </c>
      <c r="E688">
        <v>1.38</v>
      </c>
      <c r="F688">
        <v>-4.12</v>
      </c>
      <c r="G688">
        <v>-4.24</v>
      </c>
      <c r="H688">
        <v>2.15</v>
      </c>
      <c r="I688">
        <v>-13.14</v>
      </c>
      <c r="J688">
        <v>-14.3</v>
      </c>
      <c r="K688">
        <v>2.75</v>
      </c>
      <c r="L688">
        <v>-1.77</v>
      </c>
      <c r="M688">
        <v>-1.65</v>
      </c>
      <c r="N688">
        <v>0.79</v>
      </c>
    </row>
    <row r="689" spans="1:14" x14ac:dyDescent="0.2">
      <c r="A689">
        <v>1997</v>
      </c>
      <c r="B689">
        <v>4</v>
      </c>
      <c r="C689">
        <v>-9.2799999999999994</v>
      </c>
      <c r="D689">
        <v>-10.16</v>
      </c>
      <c r="E689">
        <v>1.43</v>
      </c>
      <c r="F689">
        <v>-4</v>
      </c>
      <c r="G689">
        <v>-4.25</v>
      </c>
      <c r="H689">
        <v>2.14</v>
      </c>
      <c r="I689">
        <v>-13.28</v>
      </c>
      <c r="J689">
        <v>-14.4</v>
      </c>
      <c r="K689">
        <v>2.79</v>
      </c>
      <c r="L689">
        <v>-1.8</v>
      </c>
      <c r="M689">
        <v>-1.68</v>
      </c>
      <c r="N689">
        <v>0.79</v>
      </c>
    </row>
    <row r="690" spans="1:14" x14ac:dyDescent="0.2">
      <c r="A690">
        <v>1997</v>
      </c>
      <c r="B690">
        <v>5</v>
      </c>
      <c r="C690">
        <v>-9.82</v>
      </c>
      <c r="D690">
        <v>-10.28</v>
      </c>
      <c r="E690">
        <v>1.45</v>
      </c>
      <c r="F690">
        <v>-4.0199999999999996</v>
      </c>
      <c r="G690">
        <v>-4.26</v>
      </c>
      <c r="H690">
        <v>2.14</v>
      </c>
      <c r="I690">
        <v>-13.84</v>
      </c>
      <c r="J690">
        <v>-14.54</v>
      </c>
      <c r="K690">
        <v>2.86</v>
      </c>
      <c r="L690">
        <v>-1.86</v>
      </c>
      <c r="M690">
        <v>-1.71</v>
      </c>
      <c r="N690">
        <v>0.8</v>
      </c>
    </row>
    <row r="691" spans="1:14" x14ac:dyDescent="0.2">
      <c r="A691">
        <v>1997</v>
      </c>
      <c r="B691">
        <v>6</v>
      </c>
      <c r="C691">
        <v>-10.56</v>
      </c>
      <c r="D691">
        <v>-10.39</v>
      </c>
      <c r="E691">
        <v>1.5</v>
      </c>
      <c r="F691">
        <v>-4.0999999999999996</v>
      </c>
      <c r="G691">
        <v>-4.2699999999999996</v>
      </c>
      <c r="H691">
        <v>2.14</v>
      </c>
      <c r="I691">
        <v>-14.66</v>
      </c>
      <c r="J691">
        <v>-14.66</v>
      </c>
      <c r="K691">
        <v>2.86</v>
      </c>
      <c r="L691">
        <v>-1.89</v>
      </c>
      <c r="M691">
        <v>-1.76</v>
      </c>
      <c r="N691">
        <v>0.81</v>
      </c>
    </row>
    <row r="692" spans="1:14" x14ac:dyDescent="0.2">
      <c r="A692">
        <v>1997</v>
      </c>
      <c r="B692">
        <v>7</v>
      </c>
      <c r="C692">
        <v>-11.21</v>
      </c>
      <c r="D692">
        <v>-10.52</v>
      </c>
      <c r="E692">
        <v>1.5</v>
      </c>
      <c r="F692">
        <v>-4.1399999999999997</v>
      </c>
      <c r="G692">
        <v>-4.29</v>
      </c>
      <c r="H692">
        <v>2.14</v>
      </c>
      <c r="I692">
        <v>-15.35</v>
      </c>
      <c r="J692">
        <v>-14.81</v>
      </c>
      <c r="K692">
        <v>2.84</v>
      </c>
      <c r="L692">
        <v>-1.88</v>
      </c>
      <c r="M692">
        <v>-1.79</v>
      </c>
      <c r="N692">
        <v>0.81</v>
      </c>
    </row>
    <row r="693" spans="1:14" x14ac:dyDescent="0.2">
      <c r="A693">
        <v>1997</v>
      </c>
      <c r="B693">
        <v>8</v>
      </c>
      <c r="C693">
        <v>-11.31</v>
      </c>
      <c r="D693">
        <v>-10.69</v>
      </c>
      <c r="E693">
        <v>1.44</v>
      </c>
      <c r="F693">
        <v>-4.3</v>
      </c>
      <c r="G693">
        <v>-4.3</v>
      </c>
      <c r="H693">
        <v>2.15</v>
      </c>
      <c r="I693">
        <v>-15.61</v>
      </c>
      <c r="J693">
        <v>-14.99</v>
      </c>
      <c r="K693">
        <v>2.83</v>
      </c>
      <c r="L693">
        <v>-1.83</v>
      </c>
      <c r="M693">
        <v>-1.78</v>
      </c>
      <c r="N693">
        <v>0.82</v>
      </c>
    </row>
    <row r="694" spans="1:14" x14ac:dyDescent="0.2">
      <c r="A694">
        <v>1997</v>
      </c>
      <c r="B694">
        <v>9</v>
      </c>
      <c r="C694">
        <v>-11.44</v>
      </c>
      <c r="D694">
        <v>-10.81</v>
      </c>
      <c r="E694">
        <v>1.45</v>
      </c>
      <c r="F694">
        <v>-4.42</v>
      </c>
      <c r="G694">
        <v>-4.33</v>
      </c>
      <c r="H694">
        <v>2.15</v>
      </c>
      <c r="I694">
        <v>-15.86</v>
      </c>
      <c r="J694">
        <v>-15.14</v>
      </c>
      <c r="K694">
        <v>2.85</v>
      </c>
      <c r="L694">
        <v>-1.71</v>
      </c>
      <c r="M694">
        <v>-1.78</v>
      </c>
      <c r="N694">
        <v>0.83</v>
      </c>
    </row>
    <row r="695" spans="1:14" x14ac:dyDescent="0.2">
      <c r="A695">
        <v>1997</v>
      </c>
      <c r="B695">
        <v>10</v>
      </c>
      <c r="C695">
        <v>-11.18</v>
      </c>
      <c r="D695">
        <v>-10.86</v>
      </c>
      <c r="E695">
        <v>1.44</v>
      </c>
      <c r="F695">
        <v>-4.49</v>
      </c>
      <c r="G695">
        <v>-4.37</v>
      </c>
      <c r="H695">
        <v>2.14</v>
      </c>
      <c r="I695">
        <v>-15.67</v>
      </c>
      <c r="J695">
        <v>-15.22</v>
      </c>
      <c r="K695">
        <v>2.81</v>
      </c>
      <c r="L695">
        <v>-1.58</v>
      </c>
      <c r="M695">
        <v>-1.78</v>
      </c>
      <c r="N695">
        <v>0.84</v>
      </c>
    </row>
    <row r="696" spans="1:14" x14ac:dyDescent="0.2">
      <c r="A696">
        <v>1997</v>
      </c>
      <c r="B696">
        <v>11</v>
      </c>
      <c r="C696">
        <v>-11.57</v>
      </c>
      <c r="D696">
        <v>-10.85</v>
      </c>
      <c r="E696">
        <v>1.41</v>
      </c>
      <c r="F696">
        <v>-4.5999999999999996</v>
      </c>
      <c r="G696">
        <v>-4.41</v>
      </c>
      <c r="H696">
        <v>2.12</v>
      </c>
      <c r="I696">
        <v>-16.170000000000002</v>
      </c>
      <c r="J696">
        <v>-15.25</v>
      </c>
      <c r="K696">
        <v>2.81</v>
      </c>
      <c r="L696">
        <v>-1.8</v>
      </c>
      <c r="M696">
        <v>-1.77</v>
      </c>
      <c r="N696">
        <v>0.85</v>
      </c>
    </row>
    <row r="697" spans="1:14" x14ac:dyDescent="0.2">
      <c r="A697">
        <v>1997</v>
      </c>
      <c r="B697">
        <v>12</v>
      </c>
      <c r="C697">
        <v>-11.16</v>
      </c>
      <c r="D697">
        <v>-10.78</v>
      </c>
      <c r="E697">
        <v>1.36</v>
      </c>
      <c r="F697">
        <v>-4.75</v>
      </c>
      <c r="G697">
        <v>-4.43</v>
      </c>
      <c r="H697">
        <v>2.11</v>
      </c>
      <c r="I697">
        <v>-15.91</v>
      </c>
      <c r="J697">
        <v>-15.21</v>
      </c>
      <c r="K697">
        <v>2.77</v>
      </c>
      <c r="L697">
        <v>-1.88</v>
      </c>
      <c r="M697">
        <v>-1.76</v>
      </c>
      <c r="N697">
        <v>0.85</v>
      </c>
    </row>
    <row r="698" spans="1:14" x14ac:dyDescent="0.2">
      <c r="A698">
        <v>1998</v>
      </c>
      <c r="B698">
        <v>1</v>
      </c>
      <c r="C698">
        <v>-11.59</v>
      </c>
      <c r="D698">
        <v>-10.62</v>
      </c>
      <c r="E698">
        <v>1.29</v>
      </c>
      <c r="F698">
        <v>-4.4000000000000004</v>
      </c>
      <c r="G698">
        <v>-4.4400000000000004</v>
      </c>
      <c r="H698">
        <v>2</v>
      </c>
      <c r="I698">
        <v>-16</v>
      </c>
      <c r="J698">
        <v>-15.05</v>
      </c>
      <c r="K698">
        <v>2.64</v>
      </c>
      <c r="L698">
        <v>-1.68</v>
      </c>
      <c r="M698">
        <v>-1.74</v>
      </c>
      <c r="N698">
        <v>0.82</v>
      </c>
    </row>
    <row r="699" spans="1:14" x14ac:dyDescent="0.2">
      <c r="A699">
        <v>1998</v>
      </c>
      <c r="B699">
        <v>2</v>
      </c>
      <c r="C699">
        <v>-11.1</v>
      </c>
      <c r="D699">
        <v>-10.38</v>
      </c>
      <c r="E699">
        <v>1.32</v>
      </c>
      <c r="F699">
        <v>-4.42</v>
      </c>
      <c r="G699">
        <v>-4.43</v>
      </c>
      <c r="H699">
        <v>1.99</v>
      </c>
      <c r="I699">
        <v>-15.52</v>
      </c>
      <c r="J699">
        <v>-14.81</v>
      </c>
      <c r="K699">
        <v>2.69</v>
      </c>
      <c r="L699">
        <v>-1.74</v>
      </c>
      <c r="M699">
        <v>-1.73</v>
      </c>
      <c r="N699">
        <v>0.82</v>
      </c>
    </row>
    <row r="700" spans="1:14" x14ac:dyDescent="0.2">
      <c r="A700">
        <v>1998</v>
      </c>
      <c r="B700">
        <v>3</v>
      </c>
      <c r="C700">
        <v>-10.07</v>
      </c>
      <c r="D700">
        <v>-10.11</v>
      </c>
      <c r="E700">
        <v>1.24</v>
      </c>
      <c r="F700">
        <v>-4.49</v>
      </c>
      <c r="G700">
        <v>-4.3899999999999997</v>
      </c>
      <c r="H700">
        <v>1.98</v>
      </c>
      <c r="I700">
        <v>-14.56</v>
      </c>
      <c r="J700">
        <v>-14.5</v>
      </c>
      <c r="K700">
        <v>2.6</v>
      </c>
      <c r="L700">
        <v>-1.76</v>
      </c>
      <c r="M700">
        <v>-1.72</v>
      </c>
      <c r="N700">
        <v>0.82</v>
      </c>
    </row>
    <row r="701" spans="1:14" x14ac:dyDescent="0.2">
      <c r="A701">
        <v>1998</v>
      </c>
      <c r="B701">
        <v>4</v>
      </c>
      <c r="C701">
        <v>-9.27</v>
      </c>
      <c r="D701">
        <v>-9.7799999999999994</v>
      </c>
      <c r="E701">
        <v>1.23</v>
      </c>
      <c r="F701">
        <v>-4.5199999999999996</v>
      </c>
      <c r="G701">
        <v>-4.34</v>
      </c>
      <c r="H701">
        <v>1.98</v>
      </c>
      <c r="I701">
        <v>-13.79</v>
      </c>
      <c r="J701">
        <v>-14.12</v>
      </c>
      <c r="K701">
        <v>2.56</v>
      </c>
      <c r="L701">
        <v>-1.73</v>
      </c>
      <c r="M701">
        <v>-1.72</v>
      </c>
      <c r="N701">
        <v>0.82</v>
      </c>
    </row>
    <row r="702" spans="1:14" x14ac:dyDescent="0.2">
      <c r="A702">
        <v>1998</v>
      </c>
      <c r="B702">
        <v>5</v>
      </c>
      <c r="C702">
        <v>-9.6</v>
      </c>
      <c r="D702">
        <v>-9.41</v>
      </c>
      <c r="E702">
        <v>1.23</v>
      </c>
      <c r="F702">
        <v>-4.49</v>
      </c>
      <c r="G702">
        <v>-4.2699999999999996</v>
      </c>
      <c r="H702">
        <v>1.98</v>
      </c>
      <c r="I702">
        <v>-14.09</v>
      </c>
      <c r="J702">
        <v>-13.68</v>
      </c>
      <c r="K702">
        <v>2.5499999999999998</v>
      </c>
      <c r="L702">
        <v>-1.7</v>
      </c>
      <c r="M702">
        <v>-1.72</v>
      </c>
      <c r="N702">
        <v>0.82</v>
      </c>
    </row>
    <row r="703" spans="1:14" x14ac:dyDescent="0.2">
      <c r="A703">
        <v>1998</v>
      </c>
      <c r="B703">
        <v>6</v>
      </c>
      <c r="C703">
        <v>-9.1999999999999993</v>
      </c>
      <c r="D703">
        <v>-9.07</v>
      </c>
      <c r="E703">
        <v>1.21</v>
      </c>
      <c r="F703">
        <v>-4.2300000000000004</v>
      </c>
      <c r="G703">
        <v>-4.18</v>
      </c>
      <c r="H703">
        <v>2.0099999999999998</v>
      </c>
      <c r="I703">
        <v>-13.43</v>
      </c>
      <c r="J703">
        <v>-13.25</v>
      </c>
      <c r="K703">
        <v>2.5499999999999998</v>
      </c>
      <c r="L703">
        <v>-1.69</v>
      </c>
      <c r="M703">
        <v>-1.7</v>
      </c>
      <c r="N703">
        <v>0.82</v>
      </c>
    </row>
    <row r="704" spans="1:14" x14ac:dyDescent="0.2">
      <c r="A704">
        <v>1998</v>
      </c>
      <c r="B704">
        <v>7</v>
      </c>
      <c r="C704">
        <v>-8.56</v>
      </c>
      <c r="D704">
        <v>-8.7799999999999994</v>
      </c>
      <c r="E704">
        <v>1.22</v>
      </c>
      <c r="F704">
        <v>-4.17</v>
      </c>
      <c r="G704">
        <v>-4.08</v>
      </c>
      <c r="H704">
        <v>2.0299999999999998</v>
      </c>
      <c r="I704">
        <v>-12.73</v>
      </c>
      <c r="J704">
        <v>-12.86</v>
      </c>
      <c r="K704">
        <v>2.59</v>
      </c>
      <c r="L704">
        <v>-1.7</v>
      </c>
      <c r="M704">
        <v>-1.69</v>
      </c>
      <c r="N704">
        <v>0.82</v>
      </c>
    </row>
    <row r="705" spans="1:14" x14ac:dyDescent="0.2">
      <c r="A705">
        <v>1998</v>
      </c>
      <c r="B705">
        <v>8</v>
      </c>
      <c r="C705">
        <v>-8.35</v>
      </c>
      <c r="D705">
        <v>-8.51</v>
      </c>
      <c r="E705">
        <v>1.36</v>
      </c>
      <c r="F705">
        <v>-4.01</v>
      </c>
      <c r="G705">
        <v>-3.99</v>
      </c>
      <c r="H705">
        <v>2.06</v>
      </c>
      <c r="I705">
        <v>-12.36</v>
      </c>
      <c r="J705">
        <v>-12.5</v>
      </c>
      <c r="K705">
        <v>2.66</v>
      </c>
      <c r="L705">
        <v>-1.71</v>
      </c>
      <c r="M705">
        <v>-1.68</v>
      </c>
      <c r="N705">
        <v>0.82</v>
      </c>
    </row>
    <row r="706" spans="1:14" x14ac:dyDescent="0.2">
      <c r="A706">
        <v>1998</v>
      </c>
      <c r="B706">
        <v>9</v>
      </c>
      <c r="C706">
        <v>-7.78</v>
      </c>
      <c r="D706">
        <v>-8.3000000000000007</v>
      </c>
      <c r="E706">
        <v>1.33</v>
      </c>
      <c r="F706">
        <v>-3.91</v>
      </c>
      <c r="G706">
        <v>-3.91</v>
      </c>
      <c r="H706">
        <v>2.09</v>
      </c>
      <c r="I706">
        <v>-11.68</v>
      </c>
      <c r="J706">
        <v>-12.21</v>
      </c>
      <c r="K706">
        <v>2.68</v>
      </c>
      <c r="L706">
        <v>-1.69</v>
      </c>
      <c r="M706">
        <v>-1.66</v>
      </c>
      <c r="N706">
        <v>0.82</v>
      </c>
    </row>
    <row r="707" spans="1:14" x14ac:dyDescent="0.2">
      <c r="A707">
        <v>1998</v>
      </c>
      <c r="B707">
        <v>10</v>
      </c>
      <c r="C707">
        <v>-7.06</v>
      </c>
      <c r="D707">
        <v>-8.1300000000000008</v>
      </c>
      <c r="E707">
        <v>1.4</v>
      </c>
      <c r="F707">
        <v>-3.72</v>
      </c>
      <c r="G707">
        <v>-3.83</v>
      </c>
      <c r="H707">
        <v>2.11</v>
      </c>
      <c r="I707">
        <v>-10.78</v>
      </c>
      <c r="J707">
        <v>-11.96</v>
      </c>
      <c r="K707">
        <v>2.75</v>
      </c>
      <c r="L707">
        <v>-1.57</v>
      </c>
      <c r="M707">
        <v>-1.65</v>
      </c>
      <c r="N707">
        <v>0.82</v>
      </c>
    </row>
    <row r="708" spans="1:14" x14ac:dyDescent="0.2">
      <c r="A708">
        <v>1998</v>
      </c>
      <c r="B708">
        <v>11</v>
      </c>
      <c r="C708">
        <v>-6.89</v>
      </c>
      <c r="D708">
        <v>-7.92</v>
      </c>
      <c r="E708">
        <v>1.36</v>
      </c>
      <c r="F708">
        <v>-3.59</v>
      </c>
      <c r="G708">
        <v>-3.75</v>
      </c>
      <c r="H708">
        <v>2.11</v>
      </c>
      <c r="I708">
        <v>-10.48</v>
      </c>
      <c r="J708">
        <v>-11.67</v>
      </c>
      <c r="K708">
        <v>2.71</v>
      </c>
      <c r="L708">
        <v>-1.68</v>
      </c>
      <c r="M708">
        <v>-1.65</v>
      </c>
      <c r="N708">
        <v>0.83</v>
      </c>
    </row>
    <row r="709" spans="1:14" x14ac:dyDescent="0.2">
      <c r="A709">
        <v>1998</v>
      </c>
      <c r="B709">
        <v>12</v>
      </c>
      <c r="C709">
        <v>-7.67</v>
      </c>
      <c r="D709">
        <v>-7.71</v>
      </c>
      <c r="E709">
        <v>1.3</v>
      </c>
      <c r="F709">
        <v>-3.62</v>
      </c>
      <c r="G709">
        <v>-3.69</v>
      </c>
      <c r="H709">
        <v>2.12</v>
      </c>
      <c r="I709">
        <v>-11.28</v>
      </c>
      <c r="J709">
        <v>-11.4</v>
      </c>
      <c r="K709">
        <v>2.7</v>
      </c>
      <c r="L709">
        <v>-1.69</v>
      </c>
      <c r="M709">
        <v>-1.65</v>
      </c>
      <c r="N709">
        <v>0.83</v>
      </c>
    </row>
    <row r="710" spans="1:14" x14ac:dyDescent="0.2">
      <c r="A710">
        <v>1999</v>
      </c>
      <c r="B710">
        <v>1</v>
      </c>
      <c r="C710">
        <v>-8</v>
      </c>
      <c r="D710">
        <v>-7.6</v>
      </c>
      <c r="E710">
        <v>1.31</v>
      </c>
      <c r="F710">
        <v>-3.26</v>
      </c>
      <c r="G710">
        <v>-3.65</v>
      </c>
      <c r="H710">
        <v>2.0499999999999998</v>
      </c>
      <c r="I710">
        <v>-11.26</v>
      </c>
      <c r="J710">
        <v>-11.25</v>
      </c>
      <c r="K710">
        <v>2.56</v>
      </c>
      <c r="L710">
        <v>-1.55</v>
      </c>
      <c r="M710">
        <v>-1.65</v>
      </c>
      <c r="N710">
        <v>0.79</v>
      </c>
    </row>
    <row r="711" spans="1:14" x14ac:dyDescent="0.2">
      <c r="A711">
        <v>1999</v>
      </c>
      <c r="B711">
        <v>2</v>
      </c>
      <c r="C711">
        <v>-8.19</v>
      </c>
      <c r="D711">
        <v>-7.54</v>
      </c>
      <c r="E711">
        <v>1.38</v>
      </c>
      <c r="F711">
        <v>-3.44</v>
      </c>
      <c r="G711">
        <v>-3.62</v>
      </c>
      <c r="H711">
        <v>2.0499999999999998</v>
      </c>
      <c r="I711">
        <v>-11.63</v>
      </c>
      <c r="J711">
        <v>-11.16</v>
      </c>
      <c r="K711">
        <v>2.64</v>
      </c>
      <c r="L711">
        <v>-1.54</v>
      </c>
      <c r="M711">
        <v>-1.66</v>
      </c>
      <c r="N711">
        <v>0.79</v>
      </c>
    </row>
    <row r="712" spans="1:14" x14ac:dyDescent="0.2">
      <c r="A712">
        <v>1999</v>
      </c>
      <c r="B712">
        <v>3</v>
      </c>
      <c r="C712">
        <v>-8.01</v>
      </c>
      <c r="D712">
        <v>-7.5</v>
      </c>
      <c r="E712">
        <v>1.44</v>
      </c>
      <c r="F712">
        <v>-3.47</v>
      </c>
      <c r="G712">
        <v>-3.61</v>
      </c>
      <c r="H712">
        <v>2.04</v>
      </c>
      <c r="I712">
        <v>-11.48</v>
      </c>
      <c r="J712">
        <v>-11.1</v>
      </c>
      <c r="K712">
        <v>2.71</v>
      </c>
      <c r="L712">
        <v>-1.63</v>
      </c>
      <c r="M712">
        <v>-1.66</v>
      </c>
      <c r="N712">
        <v>0.79</v>
      </c>
    </row>
    <row r="713" spans="1:14" x14ac:dyDescent="0.2">
      <c r="A713">
        <v>1999</v>
      </c>
      <c r="B713">
        <v>4</v>
      </c>
      <c r="C713">
        <v>-7.31</v>
      </c>
      <c r="D713">
        <v>-7.47</v>
      </c>
      <c r="E713">
        <v>1.43</v>
      </c>
      <c r="F713">
        <v>-3.52</v>
      </c>
      <c r="G713">
        <v>-3.6</v>
      </c>
      <c r="H713">
        <v>2.0499999999999998</v>
      </c>
      <c r="I713">
        <v>-10.84</v>
      </c>
      <c r="J713">
        <v>-11.07</v>
      </c>
      <c r="K713">
        <v>2.71</v>
      </c>
      <c r="L713">
        <v>-1.67</v>
      </c>
      <c r="M713">
        <v>-1.67</v>
      </c>
      <c r="N713">
        <v>0.79</v>
      </c>
    </row>
    <row r="714" spans="1:14" x14ac:dyDescent="0.2">
      <c r="A714">
        <v>1999</v>
      </c>
      <c r="B714">
        <v>5</v>
      </c>
      <c r="C714">
        <v>-6.47</v>
      </c>
      <c r="D714">
        <v>-7.46</v>
      </c>
      <c r="E714">
        <v>1.47</v>
      </c>
      <c r="F714">
        <v>-3.62</v>
      </c>
      <c r="G714">
        <v>-3.6</v>
      </c>
      <c r="H714">
        <v>2.06</v>
      </c>
      <c r="I714">
        <v>-10.09</v>
      </c>
      <c r="J714">
        <v>-11.06</v>
      </c>
      <c r="K714">
        <v>2.7</v>
      </c>
      <c r="L714">
        <v>-1.68</v>
      </c>
      <c r="M714">
        <v>-1.68</v>
      </c>
      <c r="N714">
        <v>0.79</v>
      </c>
    </row>
    <row r="715" spans="1:14" x14ac:dyDescent="0.2">
      <c r="A715">
        <v>1999</v>
      </c>
      <c r="B715">
        <v>6</v>
      </c>
      <c r="C715">
        <v>-7.32</v>
      </c>
      <c r="D715">
        <v>-7.39</v>
      </c>
      <c r="E715">
        <v>1.57</v>
      </c>
      <c r="F715">
        <v>-3.67</v>
      </c>
      <c r="G715">
        <v>-3.61</v>
      </c>
      <c r="H715">
        <v>2.0699999999999998</v>
      </c>
      <c r="I715">
        <v>-10.99</v>
      </c>
      <c r="J715">
        <v>-11</v>
      </c>
      <c r="K715">
        <v>2.78</v>
      </c>
      <c r="L715">
        <v>-1.72</v>
      </c>
      <c r="M715">
        <v>-1.69</v>
      </c>
      <c r="N715">
        <v>0.79</v>
      </c>
    </row>
    <row r="716" spans="1:14" x14ac:dyDescent="0.2">
      <c r="A716">
        <v>1999</v>
      </c>
      <c r="B716">
        <v>7</v>
      </c>
      <c r="C716">
        <v>-7.71</v>
      </c>
      <c r="D716">
        <v>-7.28</v>
      </c>
      <c r="E716">
        <v>1.66</v>
      </c>
      <c r="F716">
        <v>-3.72</v>
      </c>
      <c r="G716">
        <v>-3.62</v>
      </c>
      <c r="H716">
        <v>2.0699999999999998</v>
      </c>
      <c r="I716">
        <v>-11.43</v>
      </c>
      <c r="J716">
        <v>-10.9</v>
      </c>
      <c r="K716">
        <v>2.85</v>
      </c>
      <c r="L716">
        <v>-1.75</v>
      </c>
      <c r="M716">
        <v>-1.69</v>
      </c>
      <c r="N716">
        <v>0.79</v>
      </c>
    </row>
    <row r="717" spans="1:14" x14ac:dyDescent="0.2">
      <c r="A717">
        <v>1999</v>
      </c>
      <c r="B717">
        <v>8</v>
      </c>
      <c r="C717">
        <v>-7.91</v>
      </c>
      <c r="D717">
        <v>-7.19</v>
      </c>
      <c r="E717">
        <v>1.69</v>
      </c>
      <c r="F717">
        <v>-3.81</v>
      </c>
      <c r="G717">
        <v>-3.62</v>
      </c>
      <c r="H717">
        <v>2.09</v>
      </c>
      <c r="I717">
        <v>-11.71</v>
      </c>
      <c r="J717">
        <v>-10.81</v>
      </c>
      <c r="K717">
        <v>2.88</v>
      </c>
      <c r="L717">
        <v>-1.79</v>
      </c>
      <c r="M717">
        <v>-1.69</v>
      </c>
      <c r="N717">
        <v>0.78</v>
      </c>
    </row>
    <row r="718" spans="1:14" x14ac:dyDescent="0.2">
      <c r="A718">
        <v>1999</v>
      </c>
      <c r="B718">
        <v>9</v>
      </c>
      <c r="C718">
        <v>-7.08</v>
      </c>
      <c r="D718">
        <v>-7.16</v>
      </c>
      <c r="E718">
        <v>1.62</v>
      </c>
      <c r="F718">
        <v>-3.79</v>
      </c>
      <c r="G718">
        <v>-3.63</v>
      </c>
      <c r="H718">
        <v>2.1</v>
      </c>
      <c r="I718">
        <v>-10.88</v>
      </c>
      <c r="J718">
        <v>-10.78</v>
      </c>
      <c r="K718">
        <v>2.89</v>
      </c>
      <c r="L718">
        <v>-1.69</v>
      </c>
      <c r="M718">
        <v>-1.69</v>
      </c>
      <c r="N718">
        <v>0.79</v>
      </c>
    </row>
    <row r="719" spans="1:14" x14ac:dyDescent="0.2">
      <c r="A719">
        <v>1999</v>
      </c>
      <c r="B719">
        <v>10</v>
      </c>
      <c r="C719">
        <v>-7.13</v>
      </c>
      <c r="D719">
        <v>-7.19</v>
      </c>
      <c r="E719">
        <v>1.57</v>
      </c>
      <c r="F719">
        <v>-3.71</v>
      </c>
      <c r="G719">
        <v>-3.63</v>
      </c>
      <c r="H719">
        <v>2.1</v>
      </c>
      <c r="I719">
        <v>-10.85</v>
      </c>
      <c r="J719">
        <v>-10.82</v>
      </c>
      <c r="K719">
        <v>2.85</v>
      </c>
      <c r="L719">
        <v>-1.75</v>
      </c>
      <c r="M719">
        <v>-1.69</v>
      </c>
      <c r="N719">
        <v>0.79</v>
      </c>
    </row>
    <row r="720" spans="1:14" x14ac:dyDescent="0.2">
      <c r="A720">
        <v>1999</v>
      </c>
      <c r="B720">
        <v>11</v>
      </c>
      <c r="C720">
        <v>-6.46</v>
      </c>
      <c r="D720">
        <v>-7.3</v>
      </c>
      <c r="E720">
        <v>1.53</v>
      </c>
      <c r="F720">
        <v>-3.58</v>
      </c>
      <c r="G720">
        <v>-3.64</v>
      </c>
      <c r="H720">
        <v>2.1</v>
      </c>
      <c r="I720">
        <v>-10.039999999999999</v>
      </c>
      <c r="J720">
        <v>-10.94</v>
      </c>
      <c r="K720">
        <v>2.82</v>
      </c>
      <c r="L720">
        <v>-1.75</v>
      </c>
      <c r="M720">
        <v>-1.69</v>
      </c>
      <c r="N720">
        <v>0.78</v>
      </c>
    </row>
    <row r="721" spans="1:14" x14ac:dyDescent="0.2">
      <c r="A721">
        <v>1999</v>
      </c>
      <c r="B721">
        <v>12</v>
      </c>
      <c r="C721">
        <v>-6.6</v>
      </c>
      <c r="D721">
        <v>-7.41</v>
      </c>
      <c r="E721">
        <v>1.52</v>
      </c>
      <c r="F721">
        <v>-3.76</v>
      </c>
      <c r="G721">
        <v>-3.63</v>
      </c>
      <c r="H721">
        <v>2.1</v>
      </c>
      <c r="I721">
        <v>-10.36</v>
      </c>
      <c r="J721">
        <v>-11.04</v>
      </c>
      <c r="K721">
        <v>2.81</v>
      </c>
      <c r="L721">
        <v>-1.77</v>
      </c>
      <c r="M721">
        <v>-1.69</v>
      </c>
      <c r="N721">
        <v>0.78</v>
      </c>
    </row>
    <row r="722" spans="1:14" x14ac:dyDescent="0.2">
      <c r="A722">
        <v>2000</v>
      </c>
      <c r="B722">
        <v>1</v>
      </c>
      <c r="C722">
        <v>-6.43</v>
      </c>
      <c r="D722">
        <v>-7.44</v>
      </c>
      <c r="E722">
        <v>1.48</v>
      </c>
      <c r="F722">
        <v>-3.41</v>
      </c>
      <c r="G722">
        <v>-3.62</v>
      </c>
      <c r="H722">
        <v>2.02</v>
      </c>
      <c r="I722">
        <v>-9.83</v>
      </c>
      <c r="J722">
        <v>-11.06</v>
      </c>
      <c r="K722">
        <v>2.69</v>
      </c>
      <c r="L722">
        <v>-1.58</v>
      </c>
      <c r="M722">
        <v>-1.69</v>
      </c>
      <c r="N722">
        <v>0.72</v>
      </c>
    </row>
    <row r="723" spans="1:14" x14ac:dyDescent="0.2">
      <c r="A723">
        <v>2000</v>
      </c>
      <c r="B723">
        <v>2</v>
      </c>
      <c r="C723">
        <v>-7.47</v>
      </c>
      <c r="D723">
        <v>-7.38</v>
      </c>
      <c r="E723">
        <v>1.49</v>
      </c>
      <c r="F723">
        <v>-3.42</v>
      </c>
      <c r="G723">
        <v>-3.61</v>
      </c>
      <c r="H723">
        <v>2</v>
      </c>
      <c r="I723">
        <v>-10.89</v>
      </c>
      <c r="J723">
        <v>-10.99</v>
      </c>
      <c r="K723">
        <v>2.7</v>
      </c>
      <c r="L723">
        <v>-1.54</v>
      </c>
      <c r="M723">
        <v>-1.68</v>
      </c>
      <c r="N723">
        <v>0.72</v>
      </c>
    </row>
    <row r="724" spans="1:14" x14ac:dyDescent="0.2">
      <c r="A724">
        <v>2000</v>
      </c>
      <c r="B724">
        <v>3</v>
      </c>
      <c r="C724">
        <v>-7.94</v>
      </c>
      <c r="D724">
        <v>-7.34</v>
      </c>
      <c r="E724">
        <v>1.51</v>
      </c>
      <c r="F724">
        <v>-3.52</v>
      </c>
      <c r="G724">
        <v>-3.59</v>
      </c>
      <c r="H724">
        <v>2</v>
      </c>
      <c r="I724">
        <v>-11.47</v>
      </c>
      <c r="J724">
        <v>-10.93</v>
      </c>
      <c r="K724">
        <v>2.73</v>
      </c>
      <c r="L724">
        <v>-1.63</v>
      </c>
      <c r="M724">
        <v>-1.68</v>
      </c>
      <c r="N724">
        <v>0.72</v>
      </c>
    </row>
    <row r="725" spans="1:14" x14ac:dyDescent="0.2">
      <c r="A725">
        <v>2000</v>
      </c>
      <c r="B725">
        <v>4</v>
      </c>
      <c r="C725">
        <v>-8.26</v>
      </c>
      <c r="D725">
        <v>-7.33</v>
      </c>
      <c r="E725">
        <v>1.51</v>
      </c>
      <c r="F725">
        <v>-3.61</v>
      </c>
      <c r="G725">
        <v>-3.59</v>
      </c>
      <c r="H725">
        <v>2</v>
      </c>
      <c r="I725">
        <v>-11.88</v>
      </c>
      <c r="J725">
        <v>-10.92</v>
      </c>
      <c r="K725">
        <v>2.74</v>
      </c>
      <c r="L725">
        <v>-1.66</v>
      </c>
      <c r="M725">
        <v>-1.67</v>
      </c>
      <c r="N725">
        <v>0.72</v>
      </c>
    </row>
    <row r="726" spans="1:14" x14ac:dyDescent="0.2">
      <c r="A726">
        <v>2000</v>
      </c>
      <c r="B726">
        <v>5</v>
      </c>
      <c r="C726">
        <v>-8.19</v>
      </c>
      <c r="D726">
        <v>-7.37</v>
      </c>
      <c r="E726">
        <v>1.55</v>
      </c>
      <c r="F726">
        <v>-3.61</v>
      </c>
      <c r="G726">
        <v>-3.59</v>
      </c>
      <c r="H726">
        <v>2</v>
      </c>
      <c r="I726">
        <v>-11.81</v>
      </c>
      <c r="J726">
        <v>-10.95</v>
      </c>
      <c r="K726">
        <v>2.75</v>
      </c>
      <c r="L726">
        <v>-1.69</v>
      </c>
      <c r="M726">
        <v>-1.67</v>
      </c>
      <c r="N726">
        <v>0.73</v>
      </c>
    </row>
    <row r="727" spans="1:14" x14ac:dyDescent="0.2">
      <c r="A727">
        <v>2000</v>
      </c>
      <c r="B727">
        <v>6</v>
      </c>
      <c r="C727">
        <v>-8.19</v>
      </c>
      <c r="D727">
        <v>-7.46</v>
      </c>
      <c r="E727">
        <v>1.62</v>
      </c>
      <c r="F727">
        <v>-3.53</v>
      </c>
      <c r="G727">
        <v>-3.59</v>
      </c>
      <c r="H727">
        <v>1.97</v>
      </c>
      <c r="I727">
        <v>-11.72</v>
      </c>
      <c r="J727">
        <v>-11.05</v>
      </c>
      <c r="K727">
        <v>2.77</v>
      </c>
      <c r="L727">
        <v>-1.71</v>
      </c>
      <c r="M727">
        <v>-1.66</v>
      </c>
      <c r="N727">
        <v>0.73</v>
      </c>
    </row>
    <row r="728" spans="1:14" x14ac:dyDescent="0.2">
      <c r="A728">
        <v>2000</v>
      </c>
      <c r="B728">
        <v>7</v>
      </c>
      <c r="C728">
        <v>-7.5</v>
      </c>
      <c r="D728">
        <v>-7.57</v>
      </c>
      <c r="E728">
        <v>1.62</v>
      </c>
      <c r="F728">
        <v>-3.58</v>
      </c>
      <c r="G728">
        <v>-3.6</v>
      </c>
      <c r="H728">
        <v>1.97</v>
      </c>
      <c r="I728">
        <v>-11.08</v>
      </c>
      <c r="J728">
        <v>-11.16</v>
      </c>
      <c r="K728">
        <v>2.76</v>
      </c>
      <c r="L728">
        <v>-1.68</v>
      </c>
      <c r="M728">
        <v>-1.66</v>
      </c>
      <c r="N728">
        <v>0.73</v>
      </c>
    </row>
    <row r="729" spans="1:14" x14ac:dyDescent="0.2">
      <c r="A729">
        <v>2000</v>
      </c>
      <c r="B729">
        <v>8</v>
      </c>
      <c r="C729">
        <v>-6.78</v>
      </c>
      <c r="D729">
        <v>-7.66</v>
      </c>
      <c r="E729">
        <v>1.61</v>
      </c>
      <c r="F729">
        <v>-3.63</v>
      </c>
      <c r="G729">
        <v>-3.6</v>
      </c>
      <c r="H729">
        <v>1.94</v>
      </c>
      <c r="I729">
        <v>-10.41</v>
      </c>
      <c r="J729">
        <v>-11.26</v>
      </c>
      <c r="K729">
        <v>2.72</v>
      </c>
      <c r="L729">
        <v>-1.7</v>
      </c>
      <c r="M729">
        <v>-1.66</v>
      </c>
      <c r="N729">
        <v>0.73</v>
      </c>
    </row>
    <row r="730" spans="1:14" x14ac:dyDescent="0.2">
      <c r="A730">
        <v>2000</v>
      </c>
      <c r="B730">
        <v>9</v>
      </c>
      <c r="C730">
        <v>-7.16</v>
      </c>
      <c r="D730">
        <v>-7.69</v>
      </c>
      <c r="E730">
        <v>1.6</v>
      </c>
      <c r="F730">
        <v>-3.67</v>
      </c>
      <c r="G730">
        <v>-3.61</v>
      </c>
      <c r="H730">
        <v>1.9</v>
      </c>
      <c r="I730">
        <v>-10.84</v>
      </c>
      <c r="J730">
        <v>-11.31</v>
      </c>
      <c r="K730">
        <v>2.64</v>
      </c>
      <c r="L730">
        <v>-1.68</v>
      </c>
      <c r="M730">
        <v>-1.66</v>
      </c>
      <c r="N730">
        <v>0.73</v>
      </c>
    </row>
    <row r="731" spans="1:14" x14ac:dyDescent="0.2">
      <c r="A731">
        <v>2000</v>
      </c>
      <c r="B731">
        <v>10</v>
      </c>
      <c r="C731">
        <v>-6.89</v>
      </c>
      <c r="D731">
        <v>-7.7</v>
      </c>
      <c r="E731">
        <v>1.55</v>
      </c>
      <c r="F731">
        <v>-3.66</v>
      </c>
      <c r="G731">
        <v>-3.61</v>
      </c>
      <c r="H731">
        <v>1.91</v>
      </c>
      <c r="I731">
        <v>-10.55</v>
      </c>
      <c r="J731">
        <v>-11.31</v>
      </c>
      <c r="K731">
        <v>2.6</v>
      </c>
      <c r="L731">
        <v>-1.67</v>
      </c>
      <c r="M731">
        <v>-1.65</v>
      </c>
      <c r="N731">
        <v>0.74</v>
      </c>
    </row>
    <row r="732" spans="1:14" x14ac:dyDescent="0.2">
      <c r="A732">
        <v>2000</v>
      </c>
      <c r="B732">
        <v>11</v>
      </c>
      <c r="C732">
        <v>-7.5</v>
      </c>
      <c r="D732">
        <v>-7.69</v>
      </c>
      <c r="E732">
        <v>1.54</v>
      </c>
      <c r="F732">
        <v>-3.68</v>
      </c>
      <c r="G732">
        <v>-3.61</v>
      </c>
      <c r="H732">
        <v>1.93</v>
      </c>
      <c r="I732">
        <v>-11.18</v>
      </c>
      <c r="J732">
        <v>-11.29</v>
      </c>
      <c r="K732">
        <v>2.61</v>
      </c>
      <c r="L732">
        <v>-1.66</v>
      </c>
      <c r="M732">
        <v>-1.64</v>
      </c>
      <c r="N732">
        <v>0.74</v>
      </c>
    </row>
    <row r="733" spans="1:14" x14ac:dyDescent="0.2">
      <c r="A733">
        <v>2000</v>
      </c>
      <c r="B733">
        <v>12</v>
      </c>
      <c r="C733">
        <v>-7.71</v>
      </c>
      <c r="D733">
        <v>-7.65</v>
      </c>
      <c r="E733">
        <v>1.57</v>
      </c>
      <c r="F733">
        <v>-3.79</v>
      </c>
      <c r="G733">
        <v>-3.6</v>
      </c>
      <c r="H733">
        <v>1.93</v>
      </c>
      <c r="I733">
        <v>-11.5</v>
      </c>
      <c r="J733">
        <v>-11.24</v>
      </c>
      <c r="K733">
        <v>2.62</v>
      </c>
      <c r="L733">
        <v>-1.68</v>
      </c>
      <c r="M733">
        <v>-1.62</v>
      </c>
      <c r="N733">
        <v>0.74</v>
      </c>
    </row>
    <row r="734" spans="1:14" x14ac:dyDescent="0.2">
      <c r="A734">
        <v>2001</v>
      </c>
      <c r="B734">
        <v>1</v>
      </c>
      <c r="C734">
        <v>-8</v>
      </c>
      <c r="D734">
        <v>-7.59</v>
      </c>
      <c r="E734">
        <v>1.5</v>
      </c>
      <c r="F734">
        <v>-3.48</v>
      </c>
      <c r="G734">
        <v>-3.58</v>
      </c>
      <c r="H734">
        <v>1.86</v>
      </c>
      <c r="I734">
        <v>-11.48</v>
      </c>
      <c r="J734">
        <v>-11.18</v>
      </c>
      <c r="K734">
        <v>2.4900000000000002</v>
      </c>
      <c r="L734">
        <v>-1.63</v>
      </c>
      <c r="M734">
        <v>-1.61</v>
      </c>
      <c r="N734">
        <v>0.7</v>
      </c>
    </row>
    <row r="735" spans="1:14" x14ac:dyDescent="0.2">
      <c r="A735">
        <v>2001</v>
      </c>
      <c r="B735">
        <v>2</v>
      </c>
      <c r="C735">
        <v>-8.07</v>
      </c>
      <c r="D735">
        <v>-7.56</v>
      </c>
      <c r="E735">
        <v>1.51</v>
      </c>
      <c r="F735">
        <v>-3.55</v>
      </c>
      <c r="G735">
        <v>-3.57</v>
      </c>
      <c r="H735">
        <v>1.85</v>
      </c>
      <c r="I735">
        <v>-11.62</v>
      </c>
      <c r="J735">
        <v>-11.13</v>
      </c>
      <c r="K735">
        <v>2.5099999999999998</v>
      </c>
      <c r="L735">
        <v>-1.6</v>
      </c>
      <c r="M735">
        <v>-1.6</v>
      </c>
      <c r="N735">
        <v>0.7</v>
      </c>
    </row>
    <row r="736" spans="1:14" x14ac:dyDescent="0.2">
      <c r="A736">
        <v>2001</v>
      </c>
      <c r="B736">
        <v>3</v>
      </c>
      <c r="C736">
        <v>-8.16</v>
      </c>
      <c r="D736">
        <v>-7.52</v>
      </c>
      <c r="E736">
        <v>1.55</v>
      </c>
      <c r="F736">
        <v>-3.6</v>
      </c>
      <c r="G736">
        <v>-3.56</v>
      </c>
      <c r="H736">
        <v>1.86</v>
      </c>
      <c r="I736">
        <v>-11.75</v>
      </c>
      <c r="J736">
        <v>-11.08</v>
      </c>
      <c r="K736">
        <v>2.59</v>
      </c>
      <c r="L736">
        <v>-1.57</v>
      </c>
      <c r="M736">
        <v>-1.6</v>
      </c>
      <c r="N736">
        <v>0.7</v>
      </c>
    </row>
    <row r="737" spans="1:14" x14ac:dyDescent="0.2">
      <c r="A737">
        <v>2001</v>
      </c>
      <c r="B737">
        <v>4</v>
      </c>
      <c r="C737">
        <v>-8.2200000000000006</v>
      </c>
      <c r="D737">
        <v>-7.45</v>
      </c>
      <c r="E737">
        <v>1.57</v>
      </c>
      <c r="F737">
        <v>-3.54</v>
      </c>
      <c r="G737">
        <v>-3.55</v>
      </c>
      <c r="H737">
        <v>1.85</v>
      </c>
      <c r="I737">
        <v>-11.76</v>
      </c>
      <c r="J737">
        <v>-11</v>
      </c>
      <c r="K737">
        <v>2.5499999999999998</v>
      </c>
      <c r="L737">
        <v>-1.52</v>
      </c>
      <c r="M737">
        <v>-1.6</v>
      </c>
      <c r="N737">
        <v>0.68</v>
      </c>
    </row>
    <row r="738" spans="1:14" x14ac:dyDescent="0.2">
      <c r="A738">
        <v>2001</v>
      </c>
      <c r="B738">
        <v>5</v>
      </c>
      <c r="C738">
        <v>-7.95</v>
      </c>
      <c r="D738">
        <v>-7.34</v>
      </c>
      <c r="E738">
        <v>1.56</v>
      </c>
      <c r="F738">
        <v>-3.51</v>
      </c>
      <c r="G738">
        <v>-3.55</v>
      </c>
      <c r="H738">
        <v>1.85</v>
      </c>
      <c r="I738">
        <v>-11.46</v>
      </c>
      <c r="J738">
        <v>-10.89</v>
      </c>
      <c r="K738">
        <v>2.5099999999999998</v>
      </c>
      <c r="L738">
        <v>-1.5</v>
      </c>
      <c r="M738">
        <v>-1.6</v>
      </c>
      <c r="N738">
        <v>0.67</v>
      </c>
    </row>
    <row r="739" spans="1:14" x14ac:dyDescent="0.2">
      <c r="A739">
        <v>2001</v>
      </c>
      <c r="B739">
        <v>6</v>
      </c>
      <c r="C739">
        <v>-7.49</v>
      </c>
      <c r="D739">
        <v>-7.2</v>
      </c>
      <c r="E739">
        <v>1.6</v>
      </c>
      <c r="F739">
        <v>-3.39</v>
      </c>
      <c r="G739">
        <v>-3.55</v>
      </c>
      <c r="H739">
        <v>1.83</v>
      </c>
      <c r="I739">
        <v>-10.89</v>
      </c>
      <c r="J739">
        <v>-10.75</v>
      </c>
      <c r="K739">
        <v>2.52</v>
      </c>
      <c r="L739">
        <v>-1.53</v>
      </c>
      <c r="M739">
        <v>-1.6</v>
      </c>
      <c r="N739">
        <v>0.66</v>
      </c>
    </row>
    <row r="740" spans="1:14" x14ac:dyDescent="0.2">
      <c r="A740">
        <v>2001</v>
      </c>
      <c r="B740">
        <v>7</v>
      </c>
      <c r="C740">
        <v>-6.89</v>
      </c>
      <c r="D740">
        <v>-7.02</v>
      </c>
      <c r="E740">
        <v>1.71</v>
      </c>
      <c r="F740">
        <v>-3.41</v>
      </c>
      <c r="G740">
        <v>-3.55</v>
      </c>
      <c r="H740">
        <v>1.82</v>
      </c>
      <c r="I740">
        <v>-10.3</v>
      </c>
      <c r="J740">
        <v>-10.57</v>
      </c>
      <c r="K740">
        <v>2.57</v>
      </c>
      <c r="L740">
        <v>-1.57</v>
      </c>
      <c r="M740">
        <v>-1.59</v>
      </c>
      <c r="N740">
        <v>0.66</v>
      </c>
    </row>
    <row r="741" spans="1:14" x14ac:dyDescent="0.2">
      <c r="A741">
        <v>2001</v>
      </c>
      <c r="B741">
        <v>8</v>
      </c>
      <c r="C741">
        <v>-6.64</v>
      </c>
      <c r="D741">
        <v>-6.79</v>
      </c>
      <c r="E741">
        <v>1.8</v>
      </c>
      <c r="F741">
        <v>-3.49</v>
      </c>
      <c r="G741">
        <v>-3.53</v>
      </c>
      <c r="H741">
        <v>1.8</v>
      </c>
      <c r="I741">
        <v>-10.130000000000001</v>
      </c>
      <c r="J741">
        <v>-10.32</v>
      </c>
      <c r="K741">
        <v>2.62</v>
      </c>
      <c r="L741">
        <v>-1.62</v>
      </c>
      <c r="M741">
        <v>-1.59</v>
      </c>
      <c r="N741">
        <v>0.66</v>
      </c>
    </row>
    <row r="742" spans="1:14" x14ac:dyDescent="0.2">
      <c r="A742">
        <v>2001</v>
      </c>
      <c r="B742">
        <v>9</v>
      </c>
      <c r="C742">
        <v>-6.22</v>
      </c>
      <c r="D742">
        <v>-6.54</v>
      </c>
      <c r="E742">
        <v>1.79</v>
      </c>
      <c r="F742">
        <v>-3.57</v>
      </c>
      <c r="G742">
        <v>-3.51</v>
      </c>
      <c r="H742">
        <v>1.78</v>
      </c>
      <c r="I742">
        <v>-9.7899999999999991</v>
      </c>
      <c r="J742">
        <v>-10.050000000000001</v>
      </c>
      <c r="K742">
        <v>2.58</v>
      </c>
      <c r="L742">
        <v>-1.68</v>
      </c>
      <c r="M742">
        <v>-1.59</v>
      </c>
      <c r="N742">
        <v>0.66</v>
      </c>
    </row>
    <row r="743" spans="1:14" x14ac:dyDescent="0.2">
      <c r="A743">
        <v>2001</v>
      </c>
      <c r="B743">
        <v>10</v>
      </c>
      <c r="C743">
        <v>-6.15</v>
      </c>
      <c r="D743">
        <v>-6.26</v>
      </c>
      <c r="E743">
        <v>1.85</v>
      </c>
      <c r="F743">
        <v>-3.58</v>
      </c>
      <c r="G743">
        <v>-3.48</v>
      </c>
      <c r="H743">
        <v>1.75</v>
      </c>
      <c r="I743">
        <v>-9.73</v>
      </c>
      <c r="J743">
        <v>-9.73</v>
      </c>
      <c r="K743">
        <v>2.6</v>
      </c>
      <c r="L743">
        <v>-1.66</v>
      </c>
      <c r="M743">
        <v>-1.59</v>
      </c>
      <c r="N743">
        <v>0.66</v>
      </c>
    </row>
    <row r="744" spans="1:14" x14ac:dyDescent="0.2">
      <c r="A744">
        <v>2001</v>
      </c>
      <c r="B744">
        <v>11</v>
      </c>
      <c r="C744">
        <v>-5.74</v>
      </c>
      <c r="D744">
        <v>-5.96</v>
      </c>
      <c r="E744">
        <v>1.72</v>
      </c>
      <c r="F744">
        <v>-3.74</v>
      </c>
      <c r="G744">
        <v>-3.45</v>
      </c>
      <c r="H744">
        <v>1.72</v>
      </c>
      <c r="I744">
        <v>-9.48</v>
      </c>
      <c r="J744">
        <v>-9.41</v>
      </c>
      <c r="K744">
        <v>2.48</v>
      </c>
      <c r="L744">
        <v>-1.64</v>
      </c>
      <c r="M744">
        <v>-1.58</v>
      </c>
      <c r="N744">
        <v>0.66</v>
      </c>
    </row>
    <row r="745" spans="1:14" x14ac:dyDescent="0.2">
      <c r="A745">
        <v>2001</v>
      </c>
      <c r="B745">
        <v>12</v>
      </c>
      <c r="C745">
        <v>-6</v>
      </c>
      <c r="D745">
        <v>-5.69</v>
      </c>
      <c r="E745">
        <v>1.64</v>
      </c>
      <c r="F745">
        <v>-3.8</v>
      </c>
      <c r="G745">
        <v>-3.42</v>
      </c>
      <c r="H745">
        <v>1.72</v>
      </c>
      <c r="I745">
        <v>-9.7899999999999991</v>
      </c>
      <c r="J745">
        <v>-9.11</v>
      </c>
      <c r="K745">
        <v>2.4500000000000002</v>
      </c>
      <c r="L745">
        <v>-1.67</v>
      </c>
      <c r="M745">
        <v>-1.58</v>
      </c>
      <c r="N745">
        <v>0.66</v>
      </c>
    </row>
    <row r="746" spans="1:14" x14ac:dyDescent="0.2">
      <c r="A746">
        <v>2002</v>
      </c>
      <c r="B746">
        <v>1</v>
      </c>
      <c r="C746">
        <v>-5.34</v>
      </c>
      <c r="D746">
        <v>-5.48</v>
      </c>
      <c r="E746">
        <v>1.54</v>
      </c>
      <c r="F746">
        <v>-3.36</v>
      </c>
      <c r="G746">
        <v>-3.4</v>
      </c>
      <c r="H746">
        <v>1.66</v>
      </c>
      <c r="I746">
        <v>-8.6999999999999993</v>
      </c>
      <c r="J746">
        <v>-8.8800000000000008</v>
      </c>
      <c r="K746">
        <v>2.36</v>
      </c>
      <c r="L746">
        <v>-1.54</v>
      </c>
      <c r="M746">
        <v>-1.58</v>
      </c>
      <c r="N746">
        <v>0.62</v>
      </c>
    </row>
    <row r="747" spans="1:14" x14ac:dyDescent="0.2">
      <c r="A747">
        <v>2002</v>
      </c>
      <c r="B747">
        <v>2</v>
      </c>
      <c r="C747">
        <v>-5.28</v>
      </c>
      <c r="D747">
        <v>-5.31</v>
      </c>
      <c r="E747">
        <v>1.53</v>
      </c>
      <c r="F747">
        <v>-3.27</v>
      </c>
      <c r="G747">
        <v>-3.38</v>
      </c>
      <c r="H747">
        <v>1.64</v>
      </c>
      <c r="I747">
        <v>-8.5399999999999991</v>
      </c>
      <c r="J747">
        <v>-8.68</v>
      </c>
      <c r="K747">
        <v>2.3199999999999998</v>
      </c>
      <c r="L747">
        <v>-1.57</v>
      </c>
      <c r="M747">
        <v>-1.56</v>
      </c>
      <c r="N747">
        <v>0.62</v>
      </c>
    </row>
    <row r="748" spans="1:14" x14ac:dyDescent="0.2">
      <c r="A748">
        <v>2002</v>
      </c>
      <c r="B748">
        <v>3</v>
      </c>
      <c r="C748">
        <v>-4.91</v>
      </c>
      <c r="D748">
        <v>-5.17</v>
      </c>
      <c r="E748">
        <v>1.55</v>
      </c>
      <c r="F748">
        <v>-3.28</v>
      </c>
      <c r="G748">
        <v>-3.34</v>
      </c>
      <c r="H748">
        <v>1.66</v>
      </c>
      <c r="I748">
        <v>-8.19</v>
      </c>
      <c r="J748">
        <v>-8.51</v>
      </c>
      <c r="K748">
        <v>2.33</v>
      </c>
      <c r="L748">
        <v>-1.54</v>
      </c>
      <c r="M748">
        <v>-1.55</v>
      </c>
      <c r="N748">
        <v>0.62</v>
      </c>
    </row>
    <row r="749" spans="1:14" x14ac:dyDescent="0.2">
      <c r="A749">
        <v>2002</v>
      </c>
      <c r="B749">
        <v>4</v>
      </c>
      <c r="C749">
        <v>-4.7</v>
      </c>
      <c r="D749">
        <v>-5.0199999999999996</v>
      </c>
      <c r="E749">
        <v>1.66</v>
      </c>
      <c r="F749">
        <v>-3.16</v>
      </c>
      <c r="G749">
        <v>-3.29</v>
      </c>
      <c r="H749">
        <v>1.66</v>
      </c>
      <c r="I749">
        <v>-7.86</v>
      </c>
      <c r="J749">
        <v>-8.32</v>
      </c>
      <c r="K749">
        <v>2.35</v>
      </c>
      <c r="L749">
        <v>-1.51</v>
      </c>
      <c r="M749">
        <v>-1.53</v>
      </c>
      <c r="N749">
        <v>0.62</v>
      </c>
    </row>
    <row r="750" spans="1:14" x14ac:dyDescent="0.2">
      <c r="A750">
        <v>2002</v>
      </c>
      <c r="B750">
        <v>5</v>
      </c>
      <c r="C750">
        <v>-4.38</v>
      </c>
      <c r="D750">
        <v>-4.84</v>
      </c>
      <c r="E750">
        <v>1.65</v>
      </c>
      <c r="F750">
        <v>-3.19</v>
      </c>
      <c r="G750">
        <v>-3.22</v>
      </c>
      <c r="H750">
        <v>1.66</v>
      </c>
      <c r="I750">
        <v>-7.56</v>
      </c>
      <c r="J750">
        <v>-8.07</v>
      </c>
      <c r="K750">
        <v>2.35</v>
      </c>
      <c r="L750">
        <v>-1.48</v>
      </c>
      <c r="M750">
        <v>-1.51</v>
      </c>
      <c r="N750">
        <v>0.62</v>
      </c>
    </row>
    <row r="751" spans="1:14" x14ac:dyDescent="0.2">
      <c r="A751">
        <v>2002</v>
      </c>
      <c r="B751">
        <v>6</v>
      </c>
      <c r="C751">
        <v>-4.5599999999999996</v>
      </c>
      <c r="D751">
        <v>-4.6399999999999997</v>
      </c>
      <c r="E751">
        <v>1.76</v>
      </c>
      <c r="F751">
        <v>-3.12</v>
      </c>
      <c r="G751">
        <v>-3.14</v>
      </c>
      <c r="H751">
        <v>1.65</v>
      </c>
      <c r="I751">
        <v>-7.68</v>
      </c>
      <c r="J751">
        <v>-7.79</v>
      </c>
      <c r="K751">
        <v>2.39</v>
      </c>
      <c r="L751">
        <v>-1.51</v>
      </c>
      <c r="M751">
        <v>-1.49</v>
      </c>
      <c r="N751">
        <v>0.62</v>
      </c>
    </row>
    <row r="752" spans="1:14" x14ac:dyDescent="0.2">
      <c r="A752">
        <v>2002</v>
      </c>
      <c r="B752">
        <v>7</v>
      </c>
      <c r="C752">
        <v>-4.8</v>
      </c>
      <c r="D752">
        <v>-4.43</v>
      </c>
      <c r="E752">
        <v>1.77</v>
      </c>
      <c r="F752">
        <v>-3.14</v>
      </c>
      <c r="G752">
        <v>-3.06</v>
      </c>
      <c r="H752">
        <v>1.64</v>
      </c>
      <c r="I752">
        <v>-7.95</v>
      </c>
      <c r="J752">
        <v>-7.49</v>
      </c>
      <c r="K752">
        <v>2.4</v>
      </c>
      <c r="L752">
        <v>-1.44</v>
      </c>
      <c r="M752">
        <v>-1.48</v>
      </c>
      <c r="N752">
        <v>0.61</v>
      </c>
    </row>
    <row r="753" spans="1:14" x14ac:dyDescent="0.2">
      <c r="A753">
        <v>2002</v>
      </c>
      <c r="B753">
        <v>8</v>
      </c>
      <c r="C753">
        <v>-4.59</v>
      </c>
      <c r="D753">
        <v>-4.2300000000000004</v>
      </c>
      <c r="E753">
        <v>1.75</v>
      </c>
      <c r="F753">
        <v>-3.12</v>
      </c>
      <c r="G753">
        <v>-2.97</v>
      </c>
      <c r="H753">
        <v>1.65</v>
      </c>
      <c r="I753">
        <v>-7.7</v>
      </c>
      <c r="J753">
        <v>-7.2</v>
      </c>
      <c r="K753">
        <v>2.39</v>
      </c>
      <c r="L753">
        <v>-1.44</v>
      </c>
      <c r="M753">
        <v>-1.46</v>
      </c>
      <c r="N753">
        <v>0.61</v>
      </c>
    </row>
    <row r="754" spans="1:14" x14ac:dyDescent="0.2">
      <c r="A754">
        <v>2002</v>
      </c>
      <c r="B754">
        <v>9</v>
      </c>
      <c r="C754">
        <v>-4.9400000000000004</v>
      </c>
      <c r="D754">
        <v>-4.01</v>
      </c>
      <c r="E754">
        <v>1.65</v>
      </c>
      <c r="F754">
        <v>-3.11</v>
      </c>
      <c r="G754">
        <v>-2.89</v>
      </c>
      <c r="H754">
        <v>1.61</v>
      </c>
      <c r="I754">
        <v>-8.0399999999999991</v>
      </c>
      <c r="J754">
        <v>-6.9</v>
      </c>
      <c r="K754">
        <v>2.31</v>
      </c>
      <c r="L754">
        <v>-1.45</v>
      </c>
      <c r="M754">
        <v>-1.45</v>
      </c>
      <c r="N754">
        <v>0.6</v>
      </c>
    </row>
    <row r="755" spans="1:14" x14ac:dyDescent="0.2">
      <c r="A755">
        <v>2002</v>
      </c>
      <c r="B755">
        <v>10</v>
      </c>
      <c r="C755">
        <v>-4</v>
      </c>
      <c r="D755">
        <v>-3.79</v>
      </c>
      <c r="E755">
        <v>1.55</v>
      </c>
      <c r="F755">
        <v>-2.89</v>
      </c>
      <c r="G755">
        <v>-2.81</v>
      </c>
      <c r="H755">
        <v>1.58</v>
      </c>
      <c r="I755">
        <v>-6.89</v>
      </c>
      <c r="J755">
        <v>-6.6</v>
      </c>
      <c r="K755">
        <v>2.23</v>
      </c>
      <c r="L755">
        <v>-1.44</v>
      </c>
      <c r="M755">
        <v>-1.43</v>
      </c>
      <c r="N755">
        <v>0.6</v>
      </c>
    </row>
    <row r="756" spans="1:14" x14ac:dyDescent="0.2">
      <c r="A756">
        <v>2002</v>
      </c>
      <c r="B756">
        <v>11</v>
      </c>
      <c r="C756">
        <v>-3.57</v>
      </c>
      <c r="D756">
        <v>-3.56</v>
      </c>
      <c r="E756">
        <v>1.54</v>
      </c>
      <c r="F756">
        <v>-2.8</v>
      </c>
      <c r="G756">
        <v>-2.74</v>
      </c>
      <c r="H756">
        <v>1.59</v>
      </c>
      <c r="I756">
        <v>-6.38</v>
      </c>
      <c r="J756">
        <v>-6.3</v>
      </c>
      <c r="K756">
        <v>2.2599999999999998</v>
      </c>
      <c r="L756">
        <v>-1.43</v>
      </c>
      <c r="M756">
        <v>-1.42</v>
      </c>
      <c r="N756">
        <v>0.6</v>
      </c>
    </row>
    <row r="757" spans="1:14" x14ac:dyDescent="0.2">
      <c r="A757">
        <v>2002</v>
      </c>
      <c r="B757">
        <v>12</v>
      </c>
      <c r="C757">
        <v>-3.37</v>
      </c>
      <c r="D757">
        <v>-3.34</v>
      </c>
      <c r="E757">
        <v>1.53</v>
      </c>
      <c r="F757">
        <v>-2.73</v>
      </c>
      <c r="G757">
        <v>-2.68</v>
      </c>
      <c r="H757">
        <v>1.58</v>
      </c>
      <c r="I757">
        <v>-6.1</v>
      </c>
      <c r="J757">
        <v>-6.02</v>
      </c>
      <c r="K757">
        <v>2.27</v>
      </c>
      <c r="L757">
        <v>-1.47</v>
      </c>
      <c r="M757">
        <v>-1.4</v>
      </c>
      <c r="N757">
        <v>0.6</v>
      </c>
    </row>
    <row r="758" spans="1:14" x14ac:dyDescent="0.2">
      <c r="A758">
        <v>2003</v>
      </c>
      <c r="B758">
        <v>1</v>
      </c>
      <c r="C758">
        <v>-2.93</v>
      </c>
      <c r="D758">
        <v>-3.13</v>
      </c>
      <c r="E758">
        <v>1.5</v>
      </c>
      <c r="F758">
        <v>-2.38</v>
      </c>
      <c r="G758">
        <v>-2.62</v>
      </c>
      <c r="H758">
        <v>1.48</v>
      </c>
      <c r="I758">
        <v>-5.31</v>
      </c>
      <c r="J758">
        <v>-5.75</v>
      </c>
      <c r="K758">
        <v>2.1800000000000002</v>
      </c>
      <c r="L758">
        <v>-1.32</v>
      </c>
      <c r="M758">
        <v>-1.38</v>
      </c>
      <c r="N758">
        <v>0.56000000000000005</v>
      </c>
    </row>
    <row r="759" spans="1:14" x14ac:dyDescent="0.2">
      <c r="A759">
        <v>2003</v>
      </c>
      <c r="B759">
        <v>2</v>
      </c>
      <c r="C759">
        <v>-2.69</v>
      </c>
      <c r="D759">
        <v>-2.92</v>
      </c>
      <c r="E759">
        <v>1.51</v>
      </c>
      <c r="F759">
        <v>-2.2799999999999998</v>
      </c>
      <c r="G759">
        <v>-2.57</v>
      </c>
      <c r="H759">
        <v>1.46</v>
      </c>
      <c r="I759">
        <v>-4.96</v>
      </c>
      <c r="J759">
        <v>-5.49</v>
      </c>
      <c r="K759">
        <v>2.15</v>
      </c>
      <c r="L759">
        <v>-1.37</v>
      </c>
      <c r="M759">
        <v>-1.35</v>
      </c>
      <c r="N759">
        <v>0.56000000000000005</v>
      </c>
    </row>
    <row r="760" spans="1:14" x14ac:dyDescent="0.2">
      <c r="A760">
        <v>2003</v>
      </c>
      <c r="B760">
        <v>3</v>
      </c>
      <c r="C760">
        <v>-2.3199999999999998</v>
      </c>
      <c r="D760">
        <v>-2.69</v>
      </c>
      <c r="E760">
        <v>1.42</v>
      </c>
      <c r="F760">
        <v>-2.2799999999999998</v>
      </c>
      <c r="G760">
        <v>-2.52</v>
      </c>
      <c r="H760">
        <v>1.42</v>
      </c>
      <c r="I760">
        <v>-4.5999999999999996</v>
      </c>
      <c r="J760">
        <v>-5.22</v>
      </c>
      <c r="K760">
        <v>2.0499999999999998</v>
      </c>
      <c r="L760">
        <v>-1.4</v>
      </c>
      <c r="M760">
        <v>-1.33</v>
      </c>
      <c r="N760">
        <v>0.56999999999999995</v>
      </c>
    </row>
    <row r="761" spans="1:14" x14ac:dyDescent="0.2">
      <c r="A761">
        <v>2003</v>
      </c>
      <c r="B761">
        <v>4</v>
      </c>
      <c r="C761">
        <v>-1.98</v>
      </c>
      <c r="D761">
        <v>-2.4700000000000002</v>
      </c>
      <c r="E761">
        <v>1.42</v>
      </c>
      <c r="F761">
        <v>-2.27</v>
      </c>
      <c r="G761">
        <v>-2.5</v>
      </c>
      <c r="H761">
        <v>1.39</v>
      </c>
      <c r="I761">
        <v>-4.25</v>
      </c>
      <c r="J761">
        <v>-4.97</v>
      </c>
      <c r="K761">
        <v>2.04</v>
      </c>
      <c r="L761">
        <v>-1.36</v>
      </c>
      <c r="M761">
        <v>-1.31</v>
      </c>
      <c r="N761">
        <v>0.56999999999999995</v>
      </c>
    </row>
    <row r="762" spans="1:14" x14ac:dyDescent="0.2">
      <c r="A762">
        <v>2003</v>
      </c>
      <c r="B762">
        <v>5</v>
      </c>
      <c r="C762">
        <v>-1.61</v>
      </c>
      <c r="D762">
        <v>-2.3199999999999998</v>
      </c>
      <c r="E762">
        <v>1.4</v>
      </c>
      <c r="F762">
        <v>-2.41</v>
      </c>
      <c r="G762">
        <v>-2.48</v>
      </c>
      <c r="H762">
        <v>1.38</v>
      </c>
      <c r="I762">
        <v>-4.01</v>
      </c>
      <c r="J762">
        <v>-4.8</v>
      </c>
      <c r="K762">
        <v>2.0299999999999998</v>
      </c>
      <c r="L762">
        <v>-1.31</v>
      </c>
      <c r="M762">
        <v>-1.29</v>
      </c>
      <c r="N762">
        <v>0.56999999999999995</v>
      </c>
    </row>
    <row r="763" spans="1:14" x14ac:dyDescent="0.2">
      <c r="A763">
        <v>2003</v>
      </c>
      <c r="B763">
        <v>6</v>
      </c>
      <c r="C763">
        <v>-2.06</v>
      </c>
      <c r="D763">
        <v>-2.2599999999999998</v>
      </c>
      <c r="E763">
        <v>1.42</v>
      </c>
      <c r="F763">
        <v>-2.39</v>
      </c>
      <c r="G763">
        <v>-2.4700000000000002</v>
      </c>
      <c r="H763">
        <v>1.36</v>
      </c>
      <c r="I763">
        <v>-4.45</v>
      </c>
      <c r="J763">
        <v>-4.74</v>
      </c>
      <c r="K763">
        <v>2.04</v>
      </c>
      <c r="L763">
        <v>-1.23</v>
      </c>
      <c r="M763">
        <v>-1.26</v>
      </c>
      <c r="N763">
        <v>0.56999999999999995</v>
      </c>
    </row>
    <row r="764" spans="1:14" x14ac:dyDescent="0.2">
      <c r="A764">
        <v>2003</v>
      </c>
      <c r="B764">
        <v>7</v>
      </c>
      <c r="C764">
        <v>-2.2799999999999998</v>
      </c>
      <c r="D764">
        <v>-2.27</v>
      </c>
      <c r="E764">
        <v>1.41</v>
      </c>
      <c r="F764">
        <v>-2.46</v>
      </c>
      <c r="G764">
        <v>-2.48</v>
      </c>
      <c r="H764">
        <v>1.35</v>
      </c>
      <c r="I764">
        <v>-4.74</v>
      </c>
      <c r="J764">
        <v>-4.75</v>
      </c>
      <c r="K764">
        <v>2.02</v>
      </c>
      <c r="L764">
        <v>-1.1499999999999999</v>
      </c>
      <c r="M764">
        <v>-1.24</v>
      </c>
      <c r="N764">
        <v>0.56999999999999995</v>
      </c>
    </row>
    <row r="765" spans="1:14" x14ac:dyDescent="0.2">
      <c r="A765">
        <v>2003</v>
      </c>
      <c r="B765">
        <v>8</v>
      </c>
      <c r="C765">
        <v>-2.0699999999999998</v>
      </c>
      <c r="D765">
        <v>-2.33</v>
      </c>
      <c r="E765">
        <v>1.45</v>
      </c>
      <c r="F765">
        <v>-2.5299999999999998</v>
      </c>
      <c r="G765">
        <v>-2.4900000000000002</v>
      </c>
      <c r="H765">
        <v>1.34</v>
      </c>
      <c r="I765">
        <v>-4.5999999999999996</v>
      </c>
      <c r="J765">
        <v>-4.82</v>
      </c>
      <c r="K765">
        <v>2.0499999999999998</v>
      </c>
      <c r="L765">
        <v>-1.1399999999999999</v>
      </c>
      <c r="M765">
        <v>-1.2</v>
      </c>
      <c r="N765">
        <v>0.56999999999999995</v>
      </c>
    </row>
    <row r="766" spans="1:14" x14ac:dyDescent="0.2">
      <c r="A766">
        <v>2003</v>
      </c>
      <c r="B766">
        <v>9</v>
      </c>
      <c r="C766">
        <v>-1.92</v>
      </c>
      <c r="D766">
        <v>-2.42</v>
      </c>
      <c r="E766">
        <v>1.39</v>
      </c>
      <c r="F766">
        <v>-2.67</v>
      </c>
      <c r="G766">
        <v>-2.5</v>
      </c>
      <c r="H766">
        <v>1.32</v>
      </c>
      <c r="I766">
        <v>-4.59</v>
      </c>
      <c r="J766">
        <v>-4.92</v>
      </c>
      <c r="K766">
        <v>2</v>
      </c>
      <c r="L766">
        <v>-1.18</v>
      </c>
      <c r="M766">
        <v>-1.17</v>
      </c>
      <c r="N766">
        <v>0.56000000000000005</v>
      </c>
    </row>
    <row r="767" spans="1:14" x14ac:dyDescent="0.2">
      <c r="A767">
        <v>2003</v>
      </c>
      <c r="B767">
        <v>10</v>
      </c>
      <c r="C767">
        <v>-1.7</v>
      </c>
      <c r="D767">
        <v>-2.5099999999999998</v>
      </c>
      <c r="E767">
        <v>1.37</v>
      </c>
      <c r="F767">
        <v>-2.65</v>
      </c>
      <c r="G767">
        <v>-2.5099999999999998</v>
      </c>
      <c r="H767">
        <v>1.31</v>
      </c>
      <c r="I767">
        <v>-4.3499999999999996</v>
      </c>
      <c r="J767">
        <v>-5.03</v>
      </c>
      <c r="K767">
        <v>2</v>
      </c>
      <c r="L767">
        <v>-1.18</v>
      </c>
      <c r="M767">
        <v>-1.1299999999999999</v>
      </c>
      <c r="N767">
        <v>0.56000000000000005</v>
      </c>
    </row>
    <row r="768" spans="1:14" x14ac:dyDescent="0.2">
      <c r="A768">
        <v>2003</v>
      </c>
      <c r="B768">
        <v>11</v>
      </c>
      <c r="C768">
        <v>-2.34</v>
      </c>
      <c r="D768">
        <v>-2.62</v>
      </c>
      <c r="E768">
        <v>1.33</v>
      </c>
      <c r="F768">
        <v>-2.65</v>
      </c>
      <c r="G768">
        <v>-2.5099999999999998</v>
      </c>
      <c r="H768">
        <v>1.29</v>
      </c>
      <c r="I768">
        <v>-5</v>
      </c>
      <c r="J768">
        <v>-5.13</v>
      </c>
      <c r="K768">
        <v>1.96</v>
      </c>
      <c r="L768">
        <v>-1.18</v>
      </c>
      <c r="M768">
        <v>-1.1000000000000001</v>
      </c>
      <c r="N768">
        <v>0.56000000000000005</v>
      </c>
    </row>
    <row r="769" spans="1:14" x14ac:dyDescent="0.2">
      <c r="A769">
        <v>2003</v>
      </c>
      <c r="B769">
        <v>12</v>
      </c>
      <c r="C769">
        <v>-3.17</v>
      </c>
      <c r="D769">
        <v>-2.73</v>
      </c>
      <c r="E769">
        <v>1.25</v>
      </c>
      <c r="F769">
        <v>-2.77</v>
      </c>
      <c r="G769">
        <v>-2.5</v>
      </c>
      <c r="H769">
        <v>1.27</v>
      </c>
      <c r="I769">
        <v>-5.93</v>
      </c>
      <c r="J769">
        <v>-5.23</v>
      </c>
      <c r="K769">
        <v>1.87</v>
      </c>
      <c r="L769">
        <v>-1.18</v>
      </c>
      <c r="M769">
        <v>-1.07</v>
      </c>
      <c r="N769">
        <v>0.56999999999999995</v>
      </c>
    </row>
    <row r="770" spans="1:14" x14ac:dyDescent="0.2">
      <c r="A770">
        <v>2004</v>
      </c>
      <c r="B770">
        <v>1</v>
      </c>
      <c r="C770">
        <v>-3.29</v>
      </c>
      <c r="D770">
        <v>-2.8</v>
      </c>
      <c r="E770">
        <v>1.17</v>
      </c>
      <c r="F770">
        <v>-2.4700000000000002</v>
      </c>
      <c r="G770">
        <v>-2.4900000000000002</v>
      </c>
      <c r="H770">
        <v>1.22</v>
      </c>
      <c r="I770">
        <v>-5.76</v>
      </c>
      <c r="J770">
        <v>-5.29</v>
      </c>
      <c r="K770">
        <v>1.74</v>
      </c>
      <c r="L770">
        <v>-0.98</v>
      </c>
      <c r="M770">
        <v>-1.05</v>
      </c>
      <c r="N770">
        <v>0.53</v>
      </c>
    </row>
    <row r="771" spans="1:14" x14ac:dyDescent="0.2">
      <c r="A771">
        <v>2004</v>
      </c>
      <c r="B771">
        <v>2</v>
      </c>
      <c r="C771">
        <v>-3.72</v>
      </c>
      <c r="D771">
        <v>-2.84</v>
      </c>
      <c r="E771">
        <v>1.03</v>
      </c>
      <c r="F771">
        <v>-2.44</v>
      </c>
      <c r="G771">
        <v>-2.4700000000000002</v>
      </c>
      <c r="H771">
        <v>1.21</v>
      </c>
      <c r="I771">
        <v>-6.16</v>
      </c>
      <c r="J771">
        <v>-5.32</v>
      </c>
      <c r="K771">
        <v>1.65</v>
      </c>
      <c r="L771">
        <v>-0.94</v>
      </c>
      <c r="M771">
        <v>-1.02</v>
      </c>
      <c r="N771">
        <v>0.53</v>
      </c>
    </row>
    <row r="772" spans="1:14" x14ac:dyDescent="0.2">
      <c r="A772">
        <v>2004</v>
      </c>
      <c r="B772">
        <v>3</v>
      </c>
      <c r="C772">
        <v>-3.48</v>
      </c>
      <c r="D772">
        <v>-2.88</v>
      </c>
      <c r="E772">
        <v>0.98</v>
      </c>
      <c r="F772">
        <v>-2.4300000000000002</v>
      </c>
      <c r="G772">
        <v>-2.4500000000000002</v>
      </c>
      <c r="H772">
        <v>1.21</v>
      </c>
      <c r="I772">
        <v>-5.91</v>
      </c>
      <c r="J772">
        <v>-5.33</v>
      </c>
      <c r="K772">
        <v>1.62</v>
      </c>
      <c r="L772">
        <v>-0.95</v>
      </c>
      <c r="M772">
        <v>-1</v>
      </c>
      <c r="N772">
        <v>0.53</v>
      </c>
    </row>
    <row r="773" spans="1:14" x14ac:dyDescent="0.2">
      <c r="A773">
        <v>2004</v>
      </c>
      <c r="B773">
        <v>4</v>
      </c>
      <c r="C773">
        <v>-3.07</v>
      </c>
      <c r="D773">
        <v>-2.94</v>
      </c>
      <c r="E773">
        <v>0.94</v>
      </c>
      <c r="F773">
        <v>-2.3199999999999998</v>
      </c>
      <c r="G773">
        <v>-2.42</v>
      </c>
      <c r="H773">
        <v>1.17</v>
      </c>
      <c r="I773">
        <v>-5.39</v>
      </c>
      <c r="J773">
        <v>-5.36</v>
      </c>
      <c r="K773">
        <v>1.59</v>
      </c>
      <c r="L773">
        <v>-0.97</v>
      </c>
      <c r="M773">
        <v>-0.98</v>
      </c>
      <c r="N773">
        <v>0.53</v>
      </c>
    </row>
    <row r="774" spans="1:14" x14ac:dyDescent="0.2">
      <c r="A774">
        <v>2004</v>
      </c>
      <c r="B774">
        <v>5</v>
      </c>
      <c r="C774">
        <v>-3.05</v>
      </c>
      <c r="D774">
        <v>-2.99</v>
      </c>
      <c r="E774">
        <v>0.88</v>
      </c>
      <c r="F774">
        <v>-2.31</v>
      </c>
      <c r="G774">
        <v>-2.4</v>
      </c>
      <c r="H774">
        <v>1.1599999999999999</v>
      </c>
      <c r="I774">
        <v>-5.36</v>
      </c>
      <c r="J774">
        <v>-5.39</v>
      </c>
      <c r="K774">
        <v>1.56</v>
      </c>
      <c r="L774">
        <v>-0.95</v>
      </c>
      <c r="M774">
        <v>-0.95</v>
      </c>
      <c r="N774">
        <v>0.52</v>
      </c>
    </row>
    <row r="775" spans="1:14" x14ac:dyDescent="0.2">
      <c r="A775">
        <v>2004</v>
      </c>
      <c r="B775">
        <v>6</v>
      </c>
      <c r="C775">
        <v>-3.23</v>
      </c>
      <c r="D775">
        <v>-3</v>
      </c>
      <c r="E775">
        <v>0.86</v>
      </c>
      <c r="F775">
        <v>-2.25</v>
      </c>
      <c r="G775">
        <v>-2.38</v>
      </c>
      <c r="H775">
        <v>1.1499999999999999</v>
      </c>
      <c r="I775">
        <v>-5.47</v>
      </c>
      <c r="J775">
        <v>-5.38</v>
      </c>
      <c r="K775">
        <v>1.53</v>
      </c>
      <c r="L775">
        <v>-0.91</v>
      </c>
      <c r="M775">
        <v>-0.93</v>
      </c>
      <c r="N775">
        <v>0.53</v>
      </c>
    </row>
    <row r="776" spans="1:14" x14ac:dyDescent="0.2">
      <c r="A776">
        <v>2004</v>
      </c>
      <c r="B776">
        <v>7</v>
      </c>
      <c r="C776">
        <v>-2.82</v>
      </c>
      <c r="D776">
        <v>-3</v>
      </c>
      <c r="E776">
        <v>0.85</v>
      </c>
      <c r="F776">
        <v>-2.27</v>
      </c>
      <c r="G776">
        <v>-2.36</v>
      </c>
      <c r="H776">
        <v>1.1499999999999999</v>
      </c>
      <c r="I776">
        <v>-5.08</v>
      </c>
      <c r="J776">
        <v>-5.36</v>
      </c>
      <c r="K776">
        <v>1.5</v>
      </c>
      <c r="L776">
        <v>-0.86</v>
      </c>
      <c r="M776">
        <v>-0.91</v>
      </c>
      <c r="N776">
        <v>0.52</v>
      </c>
    </row>
    <row r="777" spans="1:14" x14ac:dyDescent="0.2">
      <c r="A777">
        <v>2004</v>
      </c>
      <c r="B777">
        <v>8</v>
      </c>
      <c r="C777">
        <v>-2.63</v>
      </c>
      <c r="D777">
        <v>-2.99</v>
      </c>
      <c r="E777">
        <v>0.85</v>
      </c>
      <c r="F777">
        <v>-2.34</v>
      </c>
      <c r="G777">
        <v>-2.35</v>
      </c>
      <c r="H777">
        <v>1.1299999999999999</v>
      </c>
      <c r="I777">
        <v>-4.97</v>
      </c>
      <c r="J777">
        <v>-5.34</v>
      </c>
      <c r="K777">
        <v>1.5</v>
      </c>
      <c r="L777">
        <v>-0.86</v>
      </c>
      <c r="M777">
        <v>-0.9</v>
      </c>
      <c r="N777">
        <v>0.52</v>
      </c>
    </row>
    <row r="778" spans="1:14" x14ac:dyDescent="0.2">
      <c r="A778">
        <v>2004</v>
      </c>
      <c r="B778">
        <v>9</v>
      </c>
      <c r="C778">
        <v>-2.2799999999999998</v>
      </c>
      <c r="D778">
        <v>-2.97</v>
      </c>
      <c r="E778">
        <v>0.86</v>
      </c>
      <c r="F778">
        <v>-2.33</v>
      </c>
      <c r="G778">
        <v>-2.36</v>
      </c>
      <c r="H778">
        <v>1.1100000000000001</v>
      </c>
      <c r="I778">
        <v>-4.6100000000000003</v>
      </c>
      <c r="J778">
        <v>-5.33</v>
      </c>
      <c r="K778">
        <v>1.45</v>
      </c>
      <c r="L778">
        <v>-0.88</v>
      </c>
      <c r="M778">
        <v>-0.89</v>
      </c>
      <c r="N778">
        <v>0.52</v>
      </c>
    </row>
    <row r="779" spans="1:14" x14ac:dyDescent="0.2">
      <c r="A779">
        <v>2004</v>
      </c>
      <c r="B779">
        <v>10</v>
      </c>
      <c r="C779">
        <v>-2.62</v>
      </c>
      <c r="D779">
        <v>-2.95</v>
      </c>
      <c r="E779">
        <v>0.88</v>
      </c>
      <c r="F779">
        <v>-2.38</v>
      </c>
      <c r="G779">
        <v>-2.37</v>
      </c>
      <c r="H779">
        <v>1.1000000000000001</v>
      </c>
      <c r="I779">
        <v>-5</v>
      </c>
      <c r="J779">
        <v>-5.33</v>
      </c>
      <c r="K779">
        <v>1.47</v>
      </c>
      <c r="L779">
        <v>-0.9</v>
      </c>
      <c r="M779">
        <v>-0.87</v>
      </c>
      <c r="N779">
        <v>0.53</v>
      </c>
    </row>
    <row r="780" spans="1:14" x14ac:dyDescent="0.2">
      <c r="A780">
        <v>2004</v>
      </c>
      <c r="B780">
        <v>11</v>
      </c>
      <c r="C780">
        <v>-2.68</v>
      </c>
      <c r="D780">
        <v>-2.94</v>
      </c>
      <c r="E780">
        <v>0.88</v>
      </c>
      <c r="F780">
        <v>-2.36</v>
      </c>
      <c r="G780">
        <v>-2.39</v>
      </c>
      <c r="H780">
        <v>1.08</v>
      </c>
      <c r="I780">
        <v>-5.04</v>
      </c>
      <c r="J780">
        <v>-5.33</v>
      </c>
      <c r="K780">
        <v>1.49</v>
      </c>
      <c r="L780">
        <v>-0.92</v>
      </c>
      <c r="M780">
        <v>-0.87</v>
      </c>
      <c r="N780">
        <v>0.52</v>
      </c>
    </row>
    <row r="781" spans="1:14" x14ac:dyDescent="0.2">
      <c r="A781">
        <v>2004</v>
      </c>
      <c r="B781">
        <v>12</v>
      </c>
      <c r="C781">
        <v>-3.11</v>
      </c>
      <c r="D781">
        <v>-2.92</v>
      </c>
      <c r="E781">
        <v>0.84</v>
      </c>
      <c r="F781">
        <v>-2.4900000000000002</v>
      </c>
      <c r="G781">
        <v>-2.4</v>
      </c>
      <c r="H781">
        <v>1.07</v>
      </c>
      <c r="I781">
        <v>-5.6</v>
      </c>
      <c r="J781">
        <v>-5.32</v>
      </c>
      <c r="K781">
        <v>1.48</v>
      </c>
      <c r="L781">
        <v>-0.91</v>
      </c>
      <c r="M781">
        <v>-0.86</v>
      </c>
      <c r="N781">
        <v>0.52</v>
      </c>
    </row>
    <row r="782" spans="1:14" x14ac:dyDescent="0.2">
      <c r="A782">
        <v>2005</v>
      </c>
      <c r="B782">
        <v>1</v>
      </c>
      <c r="C782">
        <v>-3.24</v>
      </c>
      <c r="D782">
        <v>-2.92</v>
      </c>
      <c r="E782">
        <v>0.76</v>
      </c>
      <c r="F782">
        <v>-2.34</v>
      </c>
      <c r="G782">
        <v>-2.41</v>
      </c>
      <c r="H782">
        <v>1.04</v>
      </c>
      <c r="I782">
        <v>-5.58</v>
      </c>
      <c r="J782">
        <v>-5.33</v>
      </c>
      <c r="K782">
        <v>1.4</v>
      </c>
      <c r="L782">
        <v>-0.8</v>
      </c>
      <c r="M782">
        <v>-0.86</v>
      </c>
      <c r="N782">
        <v>0.48</v>
      </c>
    </row>
    <row r="783" spans="1:14" x14ac:dyDescent="0.2">
      <c r="A783">
        <v>2005</v>
      </c>
      <c r="B783">
        <v>2</v>
      </c>
      <c r="C783">
        <v>-3.55</v>
      </c>
      <c r="D783">
        <v>-2.91</v>
      </c>
      <c r="E783">
        <v>0.72</v>
      </c>
      <c r="F783">
        <v>-2.4700000000000002</v>
      </c>
      <c r="G783">
        <v>-2.41</v>
      </c>
      <c r="H783">
        <v>1.04</v>
      </c>
      <c r="I783">
        <v>-6.03</v>
      </c>
      <c r="J783">
        <v>-5.32</v>
      </c>
      <c r="K783">
        <v>1.36</v>
      </c>
      <c r="L783">
        <v>-0.79</v>
      </c>
      <c r="M783">
        <v>-0.85</v>
      </c>
      <c r="N783">
        <v>0.49</v>
      </c>
    </row>
    <row r="784" spans="1:14" x14ac:dyDescent="0.2">
      <c r="A784">
        <v>2005</v>
      </c>
      <c r="B784">
        <v>3</v>
      </c>
      <c r="C784">
        <v>-3.27</v>
      </c>
      <c r="D784">
        <v>-2.92</v>
      </c>
      <c r="E784">
        <v>0.69</v>
      </c>
      <c r="F784">
        <v>-2.5299999999999998</v>
      </c>
      <c r="G784">
        <v>-2.4</v>
      </c>
      <c r="H784">
        <v>1.02</v>
      </c>
      <c r="I784">
        <v>-5.81</v>
      </c>
      <c r="J784">
        <v>-5.31</v>
      </c>
      <c r="K784">
        <v>1.33</v>
      </c>
      <c r="L784">
        <v>-0.81</v>
      </c>
      <c r="M784">
        <v>-0.84</v>
      </c>
      <c r="N784">
        <v>0.49</v>
      </c>
    </row>
    <row r="785" spans="1:14" x14ac:dyDescent="0.2">
      <c r="A785">
        <v>2005</v>
      </c>
      <c r="B785">
        <v>4</v>
      </c>
      <c r="C785">
        <v>-2.86</v>
      </c>
      <c r="D785">
        <v>-2.9</v>
      </c>
      <c r="E785">
        <v>0.69</v>
      </c>
      <c r="F785">
        <v>-2.5</v>
      </c>
      <c r="G785">
        <v>-2.38</v>
      </c>
      <c r="H785">
        <v>1.01</v>
      </c>
      <c r="I785">
        <v>-5.36</v>
      </c>
      <c r="J785">
        <v>-5.28</v>
      </c>
      <c r="K785">
        <v>1.31</v>
      </c>
      <c r="L785">
        <v>-0.86</v>
      </c>
      <c r="M785">
        <v>-0.84</v>
      </c>
      <c r="N785">
        <v>0.49</v>
      </c>
    </row>
    <row r="786" spans="1:14" x14ac:dyDescent="0.2">
      <c r="A786">
        <v>2005</v>
      </c>
      <c r="B786">
        <v>5</v>
      </c>
      <c r="C786">
        <v>-2.86</v>
      </c>
      <c r="D786">
        <v>-2.85</v>
      </c>
      <c r="E786">
        <v>0.71</v>
      </c>
      <c r="F786">
        <v>-2.5099999999999998</v>
      </c>
      <c r="G786">
        <v>-2.35</v>
      </c>
      <c r="H786">
        <v>1</v>
      </c>
      <c r="I786">
        <v>-5.37</v>
      </c>
      <c r="J786">
        <v>-5.2</v>
      </c>
      <c r="K786">
        <v>1.3</v>
      </c>
      <c r="L786">
        <v>-0.87</v>
      </c>
      <c r="M786">
        <v>-0.83</v>
      </c>
      <c r="N786">
        <v>0.48</v>
      </c>
    </row>
    <row r="787" spans="1:14" x14ac:dyDescent="0.2">
      <c r="A787">
        <v>2005</v>
      </c>
      <c r="B787">
        <v>6</v>
      </c>
      <c r="C787">
        <v>-3.04</v>
      </c>
      <c r="D787">
        <v>-2.77</v>
      </c>
      <c r="E787">
        <v>0.72</v>
      </c>
      <c r="F787">
        <v>-2.39</v>
      </c>
      <c r="G787">
        <v>-2.33</v>
      </c>
      <c r="H787">
        <v>0.98</v>
      </c>
      <c r="I787">
        <v>-5.43</v>
      </c>
      <c r="J787">
        <v>-5.0999999999999996</v>
      </c>
      <c r="K787">
        <v>1.26</v>
      </c>
      <c r="L787">
        <v>-0.85</v>
      </c>
      <c r="M787">
        <v>-0.81</v>
      </c>
      <c r="N787">
        <v>0.48</v>
      </c>
    </row>
    <row r="788" spans="1:14" x14ac:dyDescent="0.2">
      <c r="A788">
        <v>2005</v>
      </c>
      <c r="B788">
        <v>7</v>
      </c>
      <c r="C788">
        <v>-2.86</v>
      </c>
      <c r="D788">
        <v>-2.64</v>
      </c>
      <c r="E788">
        <v>0.7</v>
      </c>
      <c r="F788">
        <v>-2.31</v>
      </c>
      <c r="G788">
        <v>-2.29</v>
      </c>
      <c r="H788">
        <v>0.97</v>
      </c>
      <c r="I788">
        <v>-5.17</v>
      </c>
      <c r="J788">
        <v>-4.93</v>
      </c>
      <c r="K788">
        <v>1.23</v>
      </c>
      <c r="L788">
        <v>-0.8</v>
      </c>
      <c r="M788">
        <v>-0.8</v>
      </c>
      <c r="N788">
        <v>0.49</v>
      </c>
    </row>
    <row r="789" spans="1:14" x14ac:dyDescent="0.2">
      <c r="A789">
        <v>2005</v>
      </c>
      <c r="B789">
        <v>8</v>
      </c>
      <c r="C789">
        <v>-2.5099999999999998</v>
      </c>
      <c r="D789">
        <v>-2.4900000000000002</v>
      </c>
      <c r="E789">
        <v>0.65</v>
      </c>
      <c r="F789">
        <v>-2.25</v>
      </c>
      <c r="G789">
        <v>-2.2200000000000002</v>
      </c>
      <c r="H789">
        <v>0.97</v>
      </c>
      <c r="I789">
        <v>-4.76</v>
      </c>
      <c r="J789">
        <v>-4.72</v>
      </c>
      <c r="K789">
        <v>1.17</v>
      </c>
      <c r="L789">
        <v>-0.8</v>
      </c>
      <c r="M789">
        <v>-0.78</v>
      </c>
      <c r="N789">
        <v>0.49</v>
      </c>
    </row>
    <row r="790" spans="1:14" x14ac:dyDescent="0.2">
      <c r="A790">
        <v>2005</v>
      </c>
      <c r="B790">
        <v>9</v>
      </c>
      <c r="C790">
        <v>-2.4500000000000002</v>
      </c>
      <c r="D790">
        <v>-2.36</v>
      </c>
      <c r="E790">
        <v>0.64</v>
      </c>
      <c r="F790">
        <v>-2.17</v>
      </c>
      <c r="G790">
        <v>-2.15</v>
      </c>
      <c r="H790">
        <v>0.95</v>
      </c>
      <c r="I790">
        <v>-4.62</v>
      </c>
      <c r="J790">
        <v>-4.5</v>
      </c>
      <c r="K790">
        <v>1.1299999999999999</v>
      </c>
      <c r="L790">
        <v>-0.79</v>
      </c>
      <c r="M790">
        <v>-0.76</v>
      </c>
      <c r="N790">
        <v>0.49</v>
      </c>
    </row>
    <row r="791" spans="1:14" x14ac:dyDescent="0.2">
      <c r="A791">
        <v>2005</v>
      </c>
      <c r="B791">
        <v>10</v>
      </c>
      <c r="C791">
        <v>-2.0699999999999998</v>
      </c>
      <c r="D791">
        <v>-2.23</v>
      </c>
      <c r="E791">
        <v>0.64</v>
      </c>
      <c r="F791">
        <v>-2.0499999999999998</v>
      </c>
      <c r="G791">
        <v>-2.06</v>
      </c>
      <c r="H791">
        <v>0.93</v>
      </c>
      <c r="I791">
        <v>-4.12</v>
      </c>
      <c r="J791">
        <v>-4.29</v>
      </c>
      <c r="K791">
        <v>1.1299999999999999</v>
      </c>
      <c r="L791">
        <v>-0.79</v>
      </c>
      <c r="M791">
        <v>-0.74</v>
      </c>
      <c r="N791">
        <v>0.48</v>
      </c>
    </row>
    <row r="792" spans="1:14" x14ac:dyDescent="0.2">
      <c r="A792">
        <v>2005</v>
      </c>
      <c r="B792">
        <v>11</v>
      </c>
      <c r="C792">
        <v>-2.08</v>
      </c>
      <c r="D792">
        <v>-2.0699999999999998</v>
      </c>
      <c r="E792">
        <v>0.64</v>
      </c>
      <c r="F792">
        <v>-2.12</v>
      </c>
      <c r="G792">
        <v>-1.96</v>
      </c>
      <c r="H792">
        <v>0.92</v>
      </c>
      <c r="I792">
        <v>-4.2</v>
      </c>
      <c r="J792">
        <v>-4.03</v>
      </c>
      <c r="K792">
        <v>1.1200000000000001</v>
      </c>
      <c r="L792">
        <v>-0.79</v>
      </c>
      <c r="M792">
        <v>-0.72</v>
      </c>
      <c r="N792">
        <v>0.48</v>
      </c>
    </row>
    <row r="793" spans="1:14" x14ac:dyDescent="0.2">
      <c r="A793">
        <v>2005</v>
      </c>
      <c r="B793">
        <v>12</v>
      </c>
      <c r="C793">
        <v>-1.76</v>
      </c>
      <c r="D793">
        <v>-1.89</v>
      </c>
      <c r="E793">
        <v>0.63</v>
      </c>
      <c r="F793">
        <v>-2.1800000000000002</v>
      </c>
      <c r="G793">
        <v>-1.85</v>
      </c>
      <c r="H793">
        <v>0.73</v>
      </c>
      <c r="I793">
        <v>-3.94</v>
      </c>
      <c r="J793">
        <v>-3.74</v>
      </c>
      <c r="K793">
        <v>0.98</v>
      </c>
      <c r="L793">
        <v>-0.74</v>
      </c>
      <c r="M793">
        <v>-0.7</v>
      </c>
      <c r="N793">
        <v>0.42</v>
      </c>
    </row>
    <row r="794" spans="1:14" x14ac:dyDescent="0.2">
      <c r="A794">
        <v>2006</v>
      </c>
      <c r="B794">
        <v>1</v>
      </c>
      <c r="C794">
        <v>-1.42</v>
      </c>
      <c r="D794">
        <v>-1.72</v>
      </c>
      <c r="E794">
        <v>0.79</v>
      </c>
      <c r="F794">
        <v>-1.61</v>
      </c>
      <c r="G794">
        <v>-1.75</v>
      </c>
      <c r="H794">
        <v>1.01</v>
      </c>
      <c r="I794">
        <v>-3.03</v>
      </c>
      <c r="J794">
        <v>-3.47</v>
      </c>
      <c r="K794">
        <v>1.33</v>
      </c>
      <c r="L794">
        <v>-0.61</v>
      </c>
      <c r="M794">
        <v>-0.69</v>
      </c>
      <c r="N794">
        <v>0.39</v>
      </c>
    </row>
    <row r="795" spans="1:14" x14ac:dyDescent="0.2">
      <c r="A795">
        <v>2006</v>
      </c>
      <c r="B795">
        <v>2</v>
      </c>
      <c r="C795">
        <v>-1.9</v>
      </c>
      <c r="D795">
        <v>-1.59</v>
      </c>
      <c r="E795">
        <v>0.75</v>
      </c>
      <c r="F795">
        <v>-1.63</v>
      </c>
      <c r="G795">
        <v>-1.67</v>
      </c>
      <c r="H795">
        <v>0.99</v>
      </c>
      <c r="I795">
        <v>-3.53</v>
      </c>
      <c r="J795">
        <v>-3.26</v>
      </c>
      <c r="K795">
        <v>1.26</v>
      </c>
      <c r="L795">
        <v>-0.56999999999999995</v>
      </c>
      <c r="M795">
        <v>-0.68</v>
      </c>
      <c r="N795">
        <v>0.39</v>
      </c>
    </row>
    <row r="796" spans="1:14" x14ac:dyDescent="0.2">
      <c r="A796">
        <v>2006</v>
      </c>
      <c r="B796">
        <v>3</v>
      </c>
      <c r="C796">
        <v>-1.68</v>
      </c>
      <c r="D796">
        <v>-1.53</v>
      </c>
      <c r="E796">
        <v>0.78</v>
      </c>
      <c r="F796">
        <v>-1.54</v>
      </c>
      <c r="G796">
        <v>-1.61</v>
      </c>
      <c r="H796">
        <v>0.99</v>
      </c>
      <c r="I796">
        <v>-3.22</v>
      </c>
      <c r="J796">
        <v>-3.14</v>
      </c>
      <c r="K796">
        <v>1.29</v>
      </c>
      <c r="L796">
        <v>-0.55000000000000004</v>
      </c>
      <c r="M796">
        <v>-0.69</v>
      </c>
      <c r="N796">
        <v>0.39</v>
      </c>
    </row>
    <row r="797" spans="1:14" x14ac:dyDescent="0.2">
      <c r="A797">
        <v>2006</v>
      </c>
      <c r="B797">
        <v>4</v>
      </c>
      <c r="C797">
        <v>-1.31</v>
      </c>
      <c r="D797">
        <v>-1.52</v>
      </c>
      <c r="E797">
        <v>0.75</v>
      </c>
      <c r="F797">
        <v>-1.4</v>
      </c>
      <c r="G797">
        <v>-1.57</v>
      </c>
      <c r="H797">
        <v>0.98</v>
      </c>
      <c r="I797">
        <v>-2.72</v>
      </c>
      <c r="J797">
        <v>-3.1</v>
      </c>
      <c r="K797">
        <v>1.35</v>
      </c>
      <c r="L797">
        <v>-0.57999999999999996</v>
      </c>
      <c r="M797">
        <v>-0.69</v>
      </c>
      <c r="N797">
        <v>0.39</v>
      </c>
    </row>
    <row r="798" spans="1:14" x14ac:dyDescent="0.2">
      <c r="A798">
        <v>2006</v>
      </c>
      <c r="B798">
        <v>5</v>
      </c>
      <c r="C798">
        <v>-0.75</v>
      </c>
      <c r="D798">
        <v>-1.53</v>
      </c>
      <c r="E798">
        <v>0.76</v>
      </c>
      <c r="F798">
        <v>-1.1399999999999999</v>
      </c>
      <c r="G798">
        <v>-1.55</v>
      </c>
      <c r="H798">
        <v>0.98</v>
      </c>
      <c r="I798">
        <v>-1.89</v>
      </c>
      <c r="J798">
        <v>-3.08</v>
      </c>
      <c r="K798">
        <v>1.36</v>
      </c>
      <c r="L798">
        <v>-0.61</v>
      </c>
      <c r="M798">
        <v>-0.69</v>
      </c>
      <c r="N798">
        <v>0.39</v>
      </c>
    </row>
    <row r="799" spans="1:14" x14ac:dyDescent="0.2">
      <c r="A799">
        <v>2006</v>
      </c>
      <c r="B799">
        <v>6</v>
      </c>
      <c r="C799">
        <v>-0.8</v>
      </c>
      <c r="D799">
        <v>-1.55</v>
      </c>
      <c r="E799">
        <v>0.73</v>
      </c>
      <c r="F799">
        <v>-1.19</v>
      </c>
      <c r="G799">
        <v>-1.53</v>
      </c>
      <c r="H799">
        <v>0.98</v>
      </c>
      <c r="I799">
        <v>-1.98</v>
      </c>
      <c r="J799">
        <v>-3.08</v>
      </c>
      <c r="K799">
        <v>1.35</v>
      </c>
      <c r="L799">
        <v>-0.69</v>
      </c>
      <c r="M799">
        <v>-0.7</v>
      </c>
      <c r="N799">
        <v>0.4</v>
      </c>
    </row>
    <row r="800" spans="1:14" x14ac:dyDescent="0.2">
      <c r="A800">
        <v>2006</v>
      </c>
      <c r="B800">
        <v>7</v>
      </c>
      <c r="C800">
        <v>-0.83</v>
      </c>
      <c r="D800">
        <v>-1.59</v>
      </c>
      <c r="E800">
        <v>0.75</v>
      </c>
      <c r="F800">
        <v>-1.18</v>
      </c>
      <c r="G800">
        <v>-1.49</v>
      </c>
      <c r="H800">
        <v>0.97</v>
      </c>
      <c r="I800">
        <v>-2.0099999999999998</v>
      </c>
      <c r="J800">
        <v>-3.08</v>
      </c>
      <c r="K800">
        <v>1.34</v>
      </c>
      <c r="L800">
        <v>-0.71</v>
      </c>
      <c r="M800">
        <v>-0.71</v>
      </c>
      <c r="N800">
        <v>0.39</v>
      </c>
    </row>
    <row r="801" spans="1:14" x14ac:dyDescent="0.2">
      <c r="A801">
        <v>2006</v>
      </c>
      <c r="B801">
        <v>8</v>
      </c>
      <c r="C801">
        <v>-1.54</v>
      </c>
      <c r="D801">
        <v>-1.62</v>
      </c>
      <c r="E801">
        <v>0.73</v>
      </c>
      <c r="F801">
        <v>-1.42</v>
      </c>
      <c r="G801">
        <v>-1.46</v>
      </c>
      <c r="H801">
        <v>0.97</v>
      </c>
      <c r="I801">
        <v>-2.95</v>
      </c>
      <c r="J801">
        <v>-3.08</v>
      </c>
      <c r="K801">
        <v>1.3</v>
      </c>
      <c r="L801">
        <v>-0.78</v>
      </c>
      <c r="M801">
        <v>-0.73</v>
      </c>
      <c r="N801">
        <v>0.38</v>
      </c>
    </row>
    <row r="802" spans="1:14" x14ac:dyDescent="0.2">
      <c r="A802">
        <v>2006</v>
      </c>
      <c r="B802">
        <v>9</v>
      </c>
      <c r="C802">
        <v>-2.02</v>
      </c>
      <c r="D802">
        <v>-1.7</v>
      </c>
      <c r="E802">
        <v>0.77</v>
      </c>
      <c r="F802">
        <v>-1.56</v>
      </c>
      <c r="G802">
        <v>-1.44</v>
      </c>
      <c r="H802">
        <v>0.97</v>
      </c>
      <c r="I802">
        <v>-3.58</v>
      </c>
      <c r="J802">
        <v>-3.14</v>
      </c>
      <c r="K802">
        <v>1.32</v>
      </c>
      <c r="L802">
        <v>-0.82</v>
      </c>
      <c r="M802">
        <v>-0.75</v>
      </c>
      <c r="N802">
        <v>0.38</v>
      </c>
    </row>
    <row r="803" spans="1:14" x14ac:dyDescent="0.2">
      <c r="A803">
        <v>2006</v>
      </c>
      <c r="B803">
        <v>10</v>
      </c>
      <c r="C803">
        <v>-2.2999999999999998</v>
      </c>
      <c r="D803">
        <v>-1.84</v>
      </c>
      <c r="E803">
        <v>0.77</v>
      </c>
      <c r="F803">
        <v>-1.8</v>
      </c>
      <c r="G803">
        <v>-1.44</v>
      </c>
      <c r="H803">
        <v>0.96</v>
      </c>
      <c r="I803">
        <v>-4.0999999999999996</v>
      </c>
      <c r="J803">
        <v>-3.28</v>
      </c>
      <c r="K803">
        <v>1.33</v>
      </c>
      <c r="L803">
        <v>-0.85</v>
      </c>
      <c r="M803">
        <v>-0.78</v>
      </c>
      <c r="N803">
        <v>0.37</v>
      </c>
    </row>
    <row r="804" spans="1:14" x14ac:dyDescent="0.2">
      <c r="A804">
        <v>2006</v>
      </c>
      <c r="B804">
        <v>11</v>
      </c>
      <c r="C804">
        <v>-2</v>
      </c>
      <c r="D804">
        <v>-2.0299999999999998</v>
      </c>
      <c r="E804">
        <v>0.75</v>
      </c>
      <c r="F804">
        <v>-1.91</v>
      </c>
      <c r="G804">
        <v>-1.46</v>
      </c>
      <c r="H804">
        <v>0.94</v>
      </c>
      <c r="I804">
        <v>-3.9</v>
      </c>
      <c r="J804">
        <v>-3.5</v>
      </c>
      <c r="K804">
        <v>1.3</v>
      </c>
      <c r="L804">
        <v>-0.85</v>
      </c>
      <c r="M804">
        <v>-0.79</v>
      </c>
      <c r="N804">
        <v>0.38</v>
      </c>
    </row>
    <row r="805" spans="1:14" x14ac:dyDescent="0.2">
      <c r="A805">
        <v>2006</v>
      </c>
      <c r="B805">
        <v>12</v>
      </c>
      <c r="C805">
        <v>-2.34</v>
      </c>
      <c r="D805">
        <v>-2.25</v>
      </c>
      <c r="E805">
        <v>0.74</v>
      </c>
      <c r="F805">
        <v>-1.78</v>
      </c>
      <c r="G805">
        <v>-1.49</v>
      </c>
      <c r="H805">
        <v>0.94</v>
      </c>
      <c r="I805">
        <v>-4.12</v>
      </c>
      <c r="J805">
        <v>-3.74</v>
      </c>
      <c r="K805">
        <v>1.27</v>
      </c>
      <c r="L805">
        <v>-0.88</v>
      </c>
      <c r="M805">
        <v>-0.8</v>
      </c>
      <c r="N805">
        <v>0.39</v>
      </c>
    </row>
    <row r="806" spans="1:14" x14ac:dyDescent="0.2">
      <c r="A806">
        <v>2007</v>
      </c>
      <c r="B806">
        <v>1</v>
      </c>
      <c r="C806">
        <v>-1.74</v>
      </c>
      <c r="D806">
        <v>-2.42</v>
      </c>
      <c r="E806">
        <v>0.66</v>
      </c>
      <c r="F806">
        <v>-1.1399999999999999</v>
      </c>
      <c r="G806">
        <v>-1.51</v>
      </c>
      <c r="H806">
        <v>0.81</v>
      </c>
      <c r="I806">
        <v>-2.88</v>
      </c>
      <c r="J806">
        <v>-3.93</v>
      </c>
      <c r="K806">
        <v>1.1100000000000001</v>
      </c>
      <c r="L806">
        <v>-0.81</v>
      </c>
      <c r="M806">
        <v>-0.8</v>
      </c>
      <c r="N806">
        <v>0.34</v>
      </c>
    </row>
    <row r="807" spans="1:14" x14ac:dyDescent="0.2">
      <c r="A807">
        <v>2007</v>
      </c>
      <c r="B807">
        <v>2</v>
      </c>
      <c r="C807">
        <v>-2.4700000000000002</v>
      </c>
      <c r="D807">
        <v>-2.5299999999999998</v>
      </c>
      <c r="E807">
        <v>0.66</v>
      </c>
      <c r="F807">
        <v>-1.28</v>
      </c>
      <c r="G807">
        <v>-1.52</v>
      </c>
      <c r="H807">
        <v>0.81</v>
      </c>
      <c r="I807">
        <v>-3.75</v>
      </c>
      <c r="J807">
        <v>-4.05</v>
      </c>
      <c r="K807">
        <v>1.1499999999999999</v>
      </c>
      <c r="L807">
        <v>-0.82</v>
      </c>
      <c r="M807">
        <v>-0.79</v>
      </c>
      <c r="N807">
        <v>0.35</v>
      </c>
    </row>
    <row r="808" spans="1:14" x14ac:dyDescent="0.2">
      <c r="A808">
        <v>2007</v>
      </c>
      <c r="B808">
        <v>3</v>
      </c>
      <c r="C808">
        <v>-2.99</v>
      </c>
      <c r="D808">
        <v>-2.58</v>
      </c>
      <c r="E808">
        <v>0.64</v>
      </c>
      <c r="F808">
        <v>-1.39</v>
      </c>
      <c r="G808">
        <v>-1.5</v>
      </c>
      <c r="H808">
        <v>0.82</v>
      </c>
      <c r="I808">
        <v>-4.38</v>
      </c>
      <c r="J808">
        <v>-4.08</v>
      </c>
      <c r="K808">
        <v>1.1100000000000001</v>
      </c>
      <c r="L808">
        <v>-0.83</v>
      </c>
      <c r="M808">
        <v>-0.77</v>
      </c>
      <c r="N808">
        <v>0.35</v>
      </c>
    </row>
    <row r="809" spans="1:14" x14ac:dyDescent="0.2">
      <c r="A809">
        <v>2007</v>
      </c>
      <c r="B809">
        <v>4</v>
      </c>
      <c r="C809">
        <v>-3.27</v>
      </c>
      <c r="D809">
        <v>-2.58</v>
      </c>
      <c r="E809">
        <v>0.63</v>
      </c>
      <c r="F809">
        <v>-1.55</v>
      </c>
      <c r="G809">
        <v>-1.45</v>
      </c>
      <c r="H809">
        <v>0.81</v>
      </c>
      <c r="I809">
        <v>-4.82</v>
      </c>
      <c r="J809">
        <v>-4.0199999999999996</v>
      </c>
      <c r="K809">
        <v>1.1000000000000001</v>
      </c>
      <c r="L809">
        <v>-0.8</v>
      </c>
      <c r="M809">
        <v>-0.75</v>
      </c>
      <c r="N809">
        <v>0.35</v>
      </c>
    </row>
    <row r="810" spans="1:14" x14ac:dyDescent="0.2">
      <c r="A810">
        <v>2007</v>
      </c>
      <c r="B810">
        <v>5</v>
      </c>
      <c r="C810">
        <v>-3.45</v>
      </c>
      <c r="D810">
        <v>-2.56</v>
      </c>
      <c r="E810">
        <v>0.6</v>
      </c>
      <c r="F810">
        <v>-1.59</v>
      </c>
      <c r="G810">
        <v>-1.37</v>
      </c>
      <c r="H810">
        <v>0.8</v>
      </c>
      <c r="I810">
        <v>-5.04</v>
      </c>
      <c r="J810">
        <v>-3.93</v>
      </c>
      <c r="K810">
        <v>1.06</v>
      </c>
      <c r="L810">
        <v>-0.79</v>
      </c>
      <c r="M810">
        <v>-0.73</v>
      </c>
      <c r="N810">
        <v>0.34</v>
      </c>
    </row>
    <row r="811" spans="1:14" x14ac:dyDescent="0.2">
      <c r="A811">
        <v>2007</v>
      </c>
      <c r="B811">
        <v>6</v>
      </c>
      <c r="C811">
        <v>-3.18</v>
      </c>
      <c r="D811">
        <v>-2.56</v>
      </c>
      <c r="E811">
        <v>0.59</v>
      </c>
      <c r="F811">
        <v>-1.46</v>
      </c>
      <c r="G811">
        <v>-1.3</v>
      </c>
      <c r="H811">
        <v>0.8</v>
      </c>
      <c r="I811">
        <v>-4.6500000000000004</v>
      </c>
      <c r="J811">
        <v>-3.86</v>
      </c>
      <c r="K811">
        <v>1.05</v>
      </c>
      <c r="L811">
        <v>-0.7</v>
      </c>
      <c r="M811">
        <v>-0.7</v>
      </c>
      <c r="N811">
        <v>0.34</v>
      </c>
    </row>
    <row r="812" spans="1:14" x14ac:dyDescent="0.2">
      <c r="A812">
        <v>2007</v>
      </c>
      <c r="B812">
        <v>7</v>
      </c>
      <c r="C812">
        <v>-2.61</v>
      </c>
      <c r="D812">
        <v>-2.54</v>
      </c>
      <c r="E812">
        <v>0.62</v>
      </c>
      <c r="F812">
        <v>-1.41</v>
      </c>
      <c r="G812">
        <v>-1.26</v>
      </c>
      <c r="H812">
        <v>0.8</v>
      </c>
      <c r="I812">
        <v>-4.0199999999999996</v>
      </c>
      <c r="J812">
        <v>-3.8</v>
      </c>
      <c r="K812">
        <v>1.07</v>
      </c>
      <c r="L812">
        <v>-0.65</v>
      </c>
      <c r="M812">
        <v>-0.66</v>
      </c>
      <c r="N812">
        <v>0.33</v>
      </c>
    </row>
    <row r="813" spans="1:14" x14ac:dyDescent="0.2">
      <c r="A813">
        <v>2007</v>
      </c>
      <c r="B813">
        <v>8</v>
      </c>
      <c r="C813">
        <v>-2.44</v>
      </c>
      <c r="D813">
        <v>-2.4900000000000002</v>
      </c>
      <c r="E813">
        <v>0.65</v>
      </c>
      <c r="F813">
        <v>-1.29</v>
      </c>
      <c r="G813">
        <v>-1.23</v>
      </c>
      <c r="H813">
        <v>0.79</v>
      </c>
      <c r="I813">
        <v>-3.73</v>
      </c>
      <c r="J813">
        <v>-3.72</v>
      </c>
      <c r="K813">
        <v>1.0900000000000001</v>
      </c>
      <c r="L813">
        <v>-0.61</v>
      </c>
      <c r="M813">
        <v>-0.62</v>
      </c>
      <c r="N813">
        <v>0.33</v>
      </c>
    </row>
    <row r="814" spans="1:14" x14ac:dyDescent="0.2">
      <c r="A814">
        <v>2007</v>
      </c>
      <c r="B814">
        <v>9</v>
      </c>
      <c r="C814">
        <v>-2.27</v>
      </c>
      <c r="D814">
        <v>-2.38</v>
      </c>
      <c r="E814">
        <v>0.66</v>
      </c>
      <c r="F814">
        <v>-1.18</v>
      </c>
      <c r="G814">
        <v>-1.19</v>
      </c>
      <c r="H814">
        <v>0.79</v>
      </c>
      <c r="I814">
        <v>-3.45</v>
      </c>
      <c r="J814">
        <v>-3.57</v>
      </c>
      <c r="K814">
        <v>1.08</v>
      </c>
      <c r="L814">
        <v>-0.57999999999999996</v>
      </c>
      <c r="M814">
        <v>-0.59</v>
      </c>
      <c r="N814">
        <v>0.34</v>
      </c>
    </row>
    <row r="815" spans="1:14" x14ac:dyDescent="0.2">
      <c r="A815">
        <v>2007</v>
      </c>
      <c r="B815">
        <v>10</v>
      </c>
      <c r="C815">
        <v>-1.97</v>
      </c>
      <c r="D815">
        <v>-2.23</v>
      </c>
      <c r="E815">
        <v>0.64</v>
      </c>
      <c r="F815">
        <v>-0.94</v>
      </c>
      <c r="G815">
        <v>-1.1299999999999999</v>
      </c>
      <c r="H815">
        <v>0.78</v>
      </c>
      <c r="I815">
        <v>-2.91</v>
      </c>
      <c r="J815">
        <v>-3.36</v>
      </c>
      <c r="K815">
        <v>1.03</v>
      </c>
      <c r="L815">
        <v>-0.57999999999999996</v>
      </c>
      <c r="M815">
        <v>-0.55000000000000004</v>
      </c>
      <c r="N815">
        <v>0.35</v>
      </c>
    </row>
    <row r="816" spans="1:14" x14ac:dyDescent="0.2">
      <c r="A816">
        <v>2007</v>
      </c>
      <c r="B816">
        <v>11</v>
      </c>
      <c r="C816">
        <v>-2.0699999999999998</v>
      </c>
      <c r="D816">
        <v>-2.0499999999999998</v>
      </c>
      <c r="E816">
        <v>0.65</v>
      </c>
      <c r="F816">
        <v>-0.94</v>
      </c>
      <c r="G816">
        <v>-1.06</v>
      </c>
      <c r="H816">
        <v>0.78</v>
      </c>
      <c r="I816">
        <v>-3.01</v>
      </c>
      <c r="J816">
        <v>-3.11</v>
      </c>
      <c r="K816">
        <v>1.07</v>
      </c>
      <c r="L816">
        <v>-0.53</v>
      </c>
      <c r="M816">
        <v>-0.51</v>
      </c>
      <c r="N816">
        <v>0.35</v>
      </c>
    </row>
    <row r="817" spans="1:14" x14ac:dyDescent="0.2">
      <c r="A817">
        <v>2007</v>
      </c>
      <c r="B817">
        <v>12</v>
      </c>
      <c r="C817">
        <v>-2.14</v>
      </c>
      <c r="D817">
        <v>-1.86</v>
      </c>
      <c r="E817">
        <v>0.66</v>
      </c>
      <c r="F817">
        <v>-1.05</v>
      </c>
      <c r="G817">
        <v>-0.99</v>
      </c>
      <c r="H817">
        <v>0.78</v>
      </c>
      <c r="I817">
        <v>-3.19</v>
      </c>
      <c r="J817">
        <v>-2.85</v>
      </c>
      <c r="K817">
        <v>1.08</v>
      </c>
      <c r="L817">
        <v>-0.5</v>
      </c>
      <c r="M817">
        <v>-0.48</v>
      </c>
      <c r="N817">
        <v>0.35</v>
      </c>
    </row>
    <row r="818" spans="1:14" x14ac:dyDescent="0.2">
      <c r="A818">
        <v>2008</v>
      </c>
      <c r="B818">
        <v>1</v>
      </c>
      <c r="C818">
        <v>-1.6</v>
      </c>
      <c r="D818">
        <v>-1.68</v>
      </c>
      <c r="E818">
        <v>0.57999999999999996</v>
      </c>
      <c r="F818">
        <v>-0.85</v>
      </c>
      <c r="G818">
        <v>-0.94</v>
      </c>
      <c r="H818">
        <v>0.69</v>
      </c>
      <c r="I818">
        <v>-2.4500000000000002</v>
      </c>
      <c r="J818">
        <v>-2.62</v>
      </c>
      <c r="K818">
        <v>0.93</v>
      </c>
      <c r="L818">
        <v>-0.34</v>
      </c>
      <c r="M818">
        <v>-0.45</v>
      </c>
      <c r="N818">
        <v>0.3</v>
      </c>
    </row>
    <row r="819" spans="1:14" x14ac:dyDescent="0.2">
      <c r="A819">
        <v>2008</v>
      </c>
      <c r="B819">
        <v>2</v>
      </c>
      <c r="C819">
        <v>-1.36</v>
      </c>
      <c r="D819">
        <v>-1.53</v>
      </c>
      <c r="E819">
        <v>0.55000000000000004</v>
      </c>
      <c r="F819">
        <v>-0.89</v>
      </c>
      <c r="G819">
        <v>-0.89</v>
      </c>
      <c r="H819">
        <v>0.69</v>
      </c>
      <c r="I819">
        <v>-2.25</v>
      </c>
      <c r="J819">
        <v>-2.4300000000000002</v>
      </c>
      <c r="K819">
        <v>0.92</v>
      </c>
      <c r="L819">
        <v>-0.36</v>
      </c>
      <c r="M819">
        <v>-0.43</v>
      </c>
      <c r="N819">
        <v>0.3</v>
      </c>
    </row>
    <row r="820" spans="1:14" x14ac:dyDescent="0.2">
      <c r="A820">
        <v>2008</v>
      </c>
      <c r="B820">
        <v>3</v>
      </c>
      <c r="C820">
        <v>-1.42</v>
      </c>
      <c r="D820">
        <v>-1.41</v>
      </c>
      <c r="E820">
        <v>0.53</v>
      </c>
      <c r="F820">
        <v>-0.8</v>
      </c>
      <c r="G820">
        <v>-0.86</v>
      </c>
      <c r="H820">
        <v>0.68</v>
      </c>
      <c r="I820">
        <v>-2.2200000000000002</v>
      </c>
      <c r="J820">
        <v>-2.27</v>
      </c>
      <c r="K820">
        <v>0.89</v>
      </c>
      <c r="L820">
        <v>-0.37</v>
      </c>
      <c r="M820">
        <v>-0.41</v>
      </c>
      <c r="N820">
        <v>0.3</v>
      </c>
    </row>
    <row r="821" spans="1:14" x14ac:dyDescent="0.2">
      <c r="A821">
        <v>2008</v>
      </c>
      <c r="B821">
        <v>4</v>
      </c>
      <c r="C821">
        <v>-1.28</v>
      </c>
      <c r="D821">
        <v>-1.34</v>
      </c>
      <c r="E821">
        <v>0.56000000000000005</v>
      </c>
      <c r="F821">
        <v>-0.68</v>
      </c>
      <c r="G821">
        <v>-0.86</v>
      </c>
      <c r="H821">
        <v>0.68</v>
      </c>
      <c r="I821">
        <v>-1.96</v>
      </c>
      <c r="J821">
        <v>-2.2000000000000002</v>
      </c>
      <c r="K821">
        <v>0.91</v>
      </c>
      <c r="L821">
        <v>-0.36</v>
      </c>
      <c r="M821">
        <v>-0.39</v>
      </c>
      <c r="N821">
        <v>0.3</v>
      </c>
    </row>
    <row r="822" spans="1:14" x14ac:dyDescent="0.2">
      <c r="A822">
        <v>2008</v>
      </c>
      <c r="B822">
        <v>5</v>
      </c>
      <c r="C822">
        <v>-1.1499999999999999</v>
      </c>
      <c r="D822">
        <v>-1.31</v>
      </c>
      <c r="E822">
        <v>0.55000000000000004</v>
      </c>
      <c r="F822">
        <v>-0.77</v>
      </c>
      <c r="G822">
        <v>-0.88</v>
      </c>
      <c r="H822">
        <v>0.69</v>
      </c>
      <c r="I822">
        <v>-1.93</v>
      </c>
      <c r="J822">
        <v>-2.2000000000000002</v>
      </c>
      <c r="K822">
        <v>0.92</v>
      </c>
      <c r="L822">
        <v>-0.34</v>
      </c>
      <c r="M822">
        <v>-0.38</v>
      </c>
      <c r="N822">
        <v>0.3</v>
      </c>
    </row>
    <row r="823" spans="1:14" x14ac:dyDescent="0.2">
      <c r="A823">
        <v>2008</v>
      </c>
      <c r="B823">
        <v>6</v>
      </c>
      <c r="C823">
        <v>-0.78</v>
      </c>
      <c r="D823">
        <v>-1.29</v>
      </c>
      <c r="E823">
        <v>0.52</v>
      </c>
      <c r="F823">
        <v>-0.77</v>
      </c>
      <c r="G823">
        <v>-0.91</v>
      </c>
      <c r="H823">
        <v>0.7</v>
      </c>
      <c r="I823">
        <v>-1.55</v>
      </c>
      <c r="J823">
        <v>-2.2000000000000002</v>
      </c>
      <c r="K823">
        <v>0.92</v>
      </c>
      <c r="L823">
        <v>-0.36</v>
      </c>
      <c r="M823">
        <v>-0.36</v>
      </c>
      <c r="N823">
        <v>0.3</v>
      </c>
    </row>
    <row r="824" spans="1:14" x14ac:dyDescent="0.2">
      <c r="A824">
        <v>2008</v>
      </c>
      <c r="B824">
        <v>7</v>
      </c>
      <c r="C824">
        <v>-0.82</v>
      </c>
      <c r="D824">
        <v>-1.26</v>
      </c>
      <c r="E824">
        <v>0.54</v>
      </c>
      <c r="F824">
        <v>-0.82</v>
      </c>
      <c r="G824">
        <v>-0.92</v>
      </c>
      <c r="H824">
        <v>0.7</v>
      </c>
      <c r="I824">
        <v>-1.63</v>
      </c>
      <c r="J824">
        <v>-2.1800000000000002</v>
      </c>
      <c r="K824">
        <v>0.96</v>
      </c>
      <c r="L824">
        <v>-0.39</v>
      </c>
      <c r="M824">
        <v>-0.36</v>
      </c>
      <c r="N824">
        <v>0.3</v>
      </c>
    </row>
    <row r="825" spans="1:14" x14ac:dyDescent="0.2">
      <c r="A825">
        <v>2008</v>
      </c>
      <c r="B825">
        <v>8</v>
      </c>
      <c r="C825">
        <v>-0.63</v>
      </c>
      <c r="D825">
        <v>-1.22</v>
      </c>
      <c r="E825">
        <v>0.54</v>
      </c>
      <c r="F825">
        <v>-0.76</v>
      </c>
      <c r="G825">
        <v>-0.92</v>
      </c>
      <c r="H825">
        <v>0.71</v>
      </c>
      <c r="I825">
        <v>-1.39</v>
      </c>
      <c r="J825">
        <v>-2.14</v>
      </c>
      <c r="K825">
        <v>0.96</v>
      </c>
      <c r="L825">
        <v>-0.33</v>
      </c>
      <c r="M825">
        <v>-0.35</v>
      </c>
      <c r="N825">
        <v>0.3</v>
      </c>
    </row>
    <row r="826" spans="1:14" x14ac:dyDescent="0.2">
      <c r="A826">
        <v>2008</v>
      </c>
      <c r="B826">
        <v>9</v>
      </c>
      <c r="C826">
        <v>-1.07</v>
      </c>
      <c r="D826">
        <v>-1.1499999999999999</v>
      </c>
      <c r="E826">
        <v>0.52</v>
      </c>
      <c r="F826">
        <v>-0.96</v>
      </c>
      <c r="G826">
        <v>-0.91</v>
      </c>
      <c r="H826">
        <v>0.71</v>
      </c>
      <c r="I826">
        <v>-2.0299999999999998</v>
      </c>
      <c r="J826">
        <v>-2.0499999999999998</v>
      </c>
      <c r="K826">
        <v>0.96</v>
      </c>
      <c r="L826">
        <v>-0.34</v>
      </c>
      <c r="M826">
        <v>-0.34</v>
      </c>
      <c r="N826">
        <v>0.3</v>
      </c>
    </row>
    <row r="827" spans="1:14" x14ac:dyDescent="0.2">
      <c r="A827">
        <v>2008</v>
      </c>
      <c r="B827">
        <v>10</v>
      </c>
      <c r="C827">
        <v>-1.53</v>
      </c>
      <c r="D827">
        <v>-1.05</v>
      </c>
      <c r="E827">
        <v>0.53</v>
      </c>
      <c r="F827">
        <v>-1.17</v>
      </c>
      <c r="G827">
        <v>-0.9</v>
      </c>
      <c r="H827">
        <v>0.7</v>
      </c>
      <c r="I827">
        <v>-2.7</v>
      </c>
      <c r="J827">
        <v>-1.96</v>
      </c>
      <c r="K827">
        <v>0.97</v>
      </c>
      <c r="L827">
        <v>-0.37</v>
      </c>
      <c r="M827">
        <v>-0.34</v>
      </c>
      <c r="N827">
        <v>0.3</v>
      </c>
    </row>
    <row r="828" spans="1:14" x14ac:dyDescent="0.2">
      <c r="A828">
        <v>2008</v>
      </c>
      <c r="B828">
        <v>11</v>
      </c>
      <c r="C828">
        <v>-1.87</v>
      </c>
      <c r="D828">
        <v>-0.99</v>
      </c>
      <c r="E828">
        <v>0.56999999999999995</v>
      </c>
      <c r="F828">
        <v>-1.23</v>
      </c>
      <c r="G828">
        <v>-0.92</v>
      </c>
      <c r="H828">
        <v>0.68</v>
      </c>
      <c r="I828">
        <v>-3.09</v>
      </c>
      <c r="J828">
        <v>-1.9</v>
      </c>
      <c r="K828">
        <v>0.96</v>
      </c>
      <c r="L828">
        <v>-0.38</v>
      </c>
      <c r="M828">
        <v>-0.33</v>
      </c>
      <c r="N828">
        <v>0.3</v>
      </c>
    </row>
    <row r="829" spans="1:14" x14ac:dyDescent="0.2">
      <c r="A829">
        <v>2008</v>
      </c>
      <c r="B829">
        <v>12</v>
      </c>
      <c r="C829">
        <v>-1.82</v>
      </c>
      <c r="D829">
        <v>-0.97</v>
      </c>
      <c r="E829">
        <v>0.57999999999999996</v>
      </c>
      <c r="F829">
        <v>-1.32</v>
      </c>
      <c r="G829">
        <v>-0.94</v>
      </c>
      <c r="H829">
        <v>0.67</v>
      </c>
      <c r="I829">
        <v>-3.14</v>
      </c>
      <c r="J829">
        <v>-1.9</v>
      </c>
      <c r="K829">
        <v>0.92</v>
      </c>
      <c r="L829">
        <v>-0.37</v>
      </c>
      <c r="M829">
        <v>-0.33</v>
      </c>
      <c r="N829">
        <v>0.3</v>
      </c>
    </row>
    <row r="830" spans="1:14" x14ac:dyDescent="0.2">
      <c r="A830">
        <v>2009</v>
      </c>
      <c r="B830">
        <v>1</v>
      </c>
      <c r="C830">
        <v>-1.27</v>
      </c>
      <c r="D830">
        <v>-0.98</v>
      </c>
      <c r="E830">
        <v>0.49</v>
      </c>
      <c r="F830">
        <v>-0.88</v>
      </c>
      <c r="G830">
        <v>-0.95</v>
      </c>
      <c r="H830">
        <v>0.56999999999999995</v>
      </c>
      <c r="I830">
        <v>-2.15</v>
      </c>
      <c r="J830">
        <v>-1.93</v>
      </c>
      <c r="K830">
        <v>0.76</v>
      </c>
      <c r="L830">
        <v>-0.28000000000000003</v>
      </c>
      <c r="M830">
        <v>-0.32</v>
      </c>
      <c r="N830">
        <v>0.25</v>
      </c>
    </row>
    <row r="831" spans="1:14" x14ac:dyDescent="0.2">
      <c r="A831">
        <v>2009</v>
      </c>
      <c r="B831">
        <v>2</v>
      </c>
      <c r="C831">
        <v>-0.73</v>
      </c>
      <c r="D831">
        <v>-1</v>
      </c>
      <c r="E831">
        <v>0.51</v>
      </c>
      <c r="F831">
        <v>-0.78</v>
      </c>
      <c r="G831">
        <v>-0.96</v>
      </c>
      <c r="H831">
        <v>0.57999999999999996</v>
      </c>
      <c r="I831">
        <v>-1.5</v>
      </c>
      <c r="J831">
        <v>-1.96</v>
      </c>
      <c r="K831">
        <v>0.8</v>
      </c>
      <c r="L831">
        <v>-0.26</v>
      </c>
      <c r="M831">
        <v>-0.32</v>
      </c>
      <c r="N831">
        <v>0.25</v>
      </c>
    </row>
    <row r="832" spans="1:14" x14ac:dyDescent="0.2">
      <c r="A832">
        <v>2009</v>
      </c>
      <c r="B832">
        <v>3</v>
      </c>
      <c r="C832">
        <v>-0.26</v>
      </c>
      <c r="D832">
        <v>-1</v>
      </c>
      <c r="E832">
        <v>0.49</v>
      </c>
      <c r="F832">
        <v>-0.68</v>
      </c>
      <c r="G832">
        <v>-0.96</v>
      </c>
      <c r="H832">
        <v>0.56999999999999995</v>
      </c>
      <c r="I832">
        <v>-0.93</v>
      </c>
      <c r="J832">
        <v>-1.96</v>
      </c>
      <c r="K832">
        <v>0.77</v>
      </c>
      <c r="L832">
        <v>-0.28000000000000003</v>
      </c>
      <c r="M832">
        <v>-0.31</v>
      </c>
      <c r="N832">
        <v>0.25</v>
      </c>
    </row>
    <row r="833" spans="1:14" x14ac:dyDescent="0.2">
      <c r="A833">
        <v>2009</v>
      </c>
      <c r="B833">
        <v>4</v>
      </c>
      <c r="C833">
        <v>-0.18</v>
      </c>
      <c r="D833">
        <v>-0.95</v>
      </c>
      <c r="E833">
        <v>0.53</v>
      </c>
      <c r="F833">
        <v>-0.78</v>
      </c>
      <c r="G833">
        <v>-0.94</v>
      </c>
      <c r="H833">
        <v>0.56999999999999995</v>
      </c>
      <c r="I833">
        <v>-0.96</v>
      </c>
      <c r="J833">
        <v>-1.89</v>
      </c>
      <c r="K833">
        <v>0.81</v>
      </c>
      <c r="L833">
        <v>-0.31</v>
      </c>
      <c r="M833">
        <v>-0.31</v>
      </c>
      <c r="N833">
        <v>0.25</v>
      </c>
    </row>
    <row r="834" spans="1:14" x14ac:dyDescent="0.2">
      <c r="A834">
        <v>2009</v>
      </c>
      <c r="B834">
        <v>5</v>
      </c>
      <c r="C834">
        <v>-0.6</v>
      </c>
      <c r="D834">
        <v>-0.88</v>
      </c>
      <c r="E834">
        <v>0.53</v>
      </c>
      <c r="F834">
        <v>-1.01</v>
      </c>
      <c r="G834">
        <v>-0.9</v>
      </c>
      <c r="H834">
        <v>0.57999999999999996</v>
      </c>
      <c r="I834">
        <v>-1.61</v>
      </c>
      <c r="J834">
        <v>-1.77</v>
      </c>
      <c r="K834">
        <v>0.84</v>
      </c>
      <c r="L834">
        <v>-0.28999999999999998</v>
      </c>
      <c r="M834">
        <v>-0.3</v>
      </c>
      <c r="N834">
        <v>0.25</v>
      </c>
    </row>
    <row r="835" spans="1:14" x14ac:dyDescent="0.2">
      <c r="A835">
        <v>2009</v>
      </c>
      <c r="B835">
        <v>6</v>
      </c>
      <c r="C835">
        <v>-0.89</v>
      </c>
      <c r="D835">
        <v>-0.8</v>
      </c>
      <c r="E835">
        <v>0.52</v>
      </c>
      <c r="F835">
        <v>-1</v>
      </c>
      <c r="G835">
        <v>-0.84</v>
      </c>
      <c r="H835">
        <v>0.57999999999999996</v>
      </c>
      <c r="I835">
        <v>-1.89</v>
      </c>
      <c r="J835">
        <v>-1.65</v>
      </c>
      <c r="K835">
        <v>0.83</v>
      </c>
      <c r="L835">
        <v>-0.33</v>
      </c>
      <c r="M835">
        <v>-0.3</v>
      </c>
      <c r="N835">
        <v>0.25</v>
      </c>
    </row>
    <row r="836" spans="1:14" x14ac:dyDescent="0.2">
      <c r="A836">
        <v>2009</v>
      </c>
      <c r="B836">
        <v>7</v>
      </c>
      <c r="C836">
        <v>-0.97</v>
      </c>
      <c r="D836">
        <v>-0.76</v>
      </c>
      <c r="E836">
        <v>0.52</v>
      </c>
      <c r="F836">
        <v>-0.85</v>
      </c>
      <c r="G836">
        <v>-0.79</v>
      </c>
      <c r="H836">
        <v>0.57999999999999996</v>
      </c>
      <c r="I836">
        <v>-1.82</v>
      </c>
      <c r="J836">
        <v>-1.56</v>
      </c>
      <c r="K836">
        <v>0.86</v>
      </c>
      <c r="L836">
        <v>-0.3</v>
      </c>
      <c r="M836">
        <v>-0.28999999999999998</v>
      </c>
      <c r="N836">
        <v>0.25</v>
      </c>
    </row>
    <row r="837" spans="1:14" x14ac:dyDescent="0.2">
      <c r="A837">
        <v>2009</v>
      </c>
      <c r="B837">
        <v>8</v>
      </c>
      <c r="C837">
        <v>-0.99</v>
      </c>
      <c r="D837">
        <v>-0.78</v>
      </c>
      <c r="E837">
        <v>0.55000000000000004</v>
      </c>
      <c r="F837">
        <v>-0.9</v>
      </c>
      <c r="G837">
        <v>-0.76</v>
      </c>
      <c r="H837">
        <v>0.57999999999999996</v>
      </c>
      <c r="I837">
        <v>-1.89</v>
      </c>
      <c r="J837">
        <v>-1.54</v>
      </c>
      <c r="K837">
        <v>0.88</v>
      </c>
      <c r="L837">
        <v>-0.28000000000000003</v>
      </c>
      <c r="M837">
        <v>-0.28000000000000003</v>
      </c>
      <c r="N837">
        <v>0.24</v>
      </c>
    </row>
    <row r="838" spans="1:14" x14ac:dyDescent="0.2">
      <c r="A838">
        <v>2009</v>
      </c>
      <c r="B838">
        <v>9</v>
      </c>
      <c r="C838">
        <v>-0.76</v>
      </c>
      <c r="D838">
        <v>-0.87</v>
      </c>
      <c r="E838">
        <v>0.54</v>
      </c>
      <c r="F838">
        <v>-0.86</v>
      </c>
      <c r="G838">
        <v>-0.74</v>
      </c>
      <c r="H838">
        <v>0.59</v>
      </c>
      <c r="I838">
        <v>-1.61</v>
      </c>
      <c r="J838">
        <v>-1.61</v>
      </c>
      <c r="K838">
        <v>0.88</v>
      </c>
      <c r="L838">
        <v>-0.27</v>
      </c>
      <c r="M838">
        <v>-0.27</v>
      </c>
      <c r="N838">
        <v>0.24</v>
      </c>
    </row>
    <row r="839" spans="1:14" x14ac:dyDescent="0.2">
      <c r="A839">
        <v>2009</v>
      </c>
      <c r="B839">
        <v>10</v>
      </c>
      <c r="C839">
        <v>-0.66</v>
      </c>
      <c r="D839">
        <v>-0.97</v>
      </c>
      <c r="E839">
        <v>0.54</v>
      </c>
      <c r="F839">
        <v>-0.77</v>
      </c>
      <c r="G839">
        <v>-0.73</v>
      </c>
      <c r="H839">
        <v>0.6</v>
      </c>
      <c r="I839">
        <v>-1.42</v>
      </c>
      <c r="J839">
        <v>-1.7</v>
      </c>
      <c r="K839">
        <v>0.85</v>
      </c>
      <c r="L839">
        <v>-0.31</v>
      </c>
      <c r="M839">
        <v>-0.26</v>
      </c>
      <c r="N839">
        <v>0.24</v>
      </c>
    </row>
    <row r="840" spans="1:14" x14ac:dyDescent="0.2">
      <c r="A840">
        <v>2009</v>
      </c>
      <c r="B840">
        <v>11</v>
      </c>
      <c r="C840">
        <v>-0.9</v>
      </c>
      <c r="D840">
        <v>-1.04</v>
      </c>
      <c r="E840">
        <v>0.55000000000000004</v>
      </c>
      <c r="F840">
        <v>-0.65</v>
      </c>
      <c r="G840">
        <v>-0.7</v>
      </c>
      <c r="H840">
        <v>0.6</v>
      </c>
      <c r="I840">
        <v>-1.55</v>
      </c>
      <c r="J840">
        <v>-1.74</v>
      </c>
      <c r="K840">
        <v>0.86</v>
      </c>
      <c r="L840">
        <v>-0.31</v>
      </c>
      <c r="M840">
        <v>-0.25</v>
      </c>
      <c r="N840">
        <v>0.24</v>
      </c>
    </row>
    <row r="841" spans="1:14" x14ac:dyDescent="0.2">
      <c r="A841">
        <v>2009</v>
      </c>
      <c r="B841">
        <v>12</v>
      </c>
      <c r="C841">
        <v>-1.04</v>
      </c>
      <c r="D841">
        <v>-1.07</v>
      </c>
      <c r="E841">
        <v>0.54</v>
      </c>
      <c r="F841">
        <v>-0.63</v>
      </c>
      <c r="G841">
        <v>-0.67</v>
      </c>
      <c r="H841">
        <v>0.59</v>
      </c>
      <c r="I841">
        <v>-1.68</v>
      </c>
      <c r="J841">
        <v>-1.74</v>
      </c>
      <c r="K841">
        <v>0.82</v>
      </c>
      <c r="L841">
        <v>-0.32</v>
      </c>
      <c r="M841">
        <v>-0.24</v>
      </c>
      <c r="N841">
        <v>0.24</v>
      </c>
    </row>
    <row r="842" spans="1:14" x14ac:dyDescent="0.2">
      <c r="A842">
        <v>2010</v>
      </c>
      <c r="B842">
        <v>1</v>
      </c>
      <c r="C842">
        <v>-1.1200000000000001</v>
      </c>
      <c r="D842">
        <v>-1.08</v>
      </c>
      <c r="E842">
        <v>0.48</v>
      </c>
      <c r="F842">
        <v>-0.37</v>
      </c>
      <c r="G842">
        <v>-0.64</v>
      </c>
      <c r="H842">
        <v>0.48</v>
      </c>
      <c r="I842">
        <v>-1.49</v>
      </c>
      <c r="J842">
        <v>-1.72</v>
      </c>
      <c r="K842">
        <v>0.71</v>
      </c>
      <c r="L842">
        <v>-0.14000000000000001</v>
      </c>
      <c r="M842">
        <v>-0.23</v>
      </c>
      <c r="N842">
        <v>0.19</v>
      </c>
    </row>
    <row r="843" spans="1:14" x14ac:dyDescent="0.2">
      <c r="A843">
        <v>2010</v>
      </c>
      <c r="B843">
        <v>2</v>
      </c>
      <c r="C843">
        <v>-1.34</v>
      </c>
      <c r="D843">
        <v>-1.08</v>
      </c>
      <c r="E843">
        <v>0.47</v>
      </c>
      <c r="F843">
        <v>-0.5</v>
      </c>
      <c r="G843">
        <v>-0.62</v>
      </c>
      <c r="H843">
        <v>0.47</v>
      </c>
      <c r="I843">
        <v>-1.84</v>
      </c>
      <c r="J843">
        <v>-1.71</v>
      </c>
      <c r="K843">
        <v>0.7</v>
      </c>
      <c r="L843">
        <v>-0.19</v>
      </c>
      <c r="M843">
        <v>-0.22</v>
      </c>
      <c r="N843">
        <v>0.19</v>
      </c>
    </row>
    <row r="844" spans="1:14" x14ac:dyDescent="0.2">
      <c r="A844">
        <v>2010</v>
      </c>
      <c r="B844">
        <v>3</v>
      </c>
      <c r="C844">
        <v>-1.64</v>
      </c>
      <c r="D844">
        <v>-1.08</v>
      </c>
      <c r="E844">
        <v>0.46</v>
      </c>
      <c r="F844">
        <v>-0.52</v>
      </c>
      <c r="G844">
        <v>-0.6</v>
      </c>
      <c r="H844">
        <v>0.47</v>
      </c>
      <c r="I844">
        <v>-2.16</v>
      </c>
      <c r="J844">
        <v>-1.68</v>
      </c>
      <c r="K844">
        <v>0.7</v>
      </c>
      <c r="L844">
        <v>-0.18</v>
      </c>
      <c r="M844">
        <v>-0.22</v>
      </c>
      <c r="N844">
        <v>0.18</v>
      </c>
    </row>
    <row r="845" spans="1:14" x14ac:dyDescent="0.2">
      <c r="A845">
        <v>2010</v>
      </c>
      <c r="B845">
        <v>4</v>
      </c>
      <c r="C845">
        <v>-1.32</v>
      </c>
      <c r="D845">
        <v>-1.08</v>
      </c>
      <c r="E845">
        <v>0.46</v>
      </c>
      <c r="F845">
        <v>-0.57999999999999996</v>
      </c>
      <c r="G845">
        <v>-0.57999999999999996</v>
      </c>
      <c r="H845">
        <v>0.47</v>
      </c>
      <c r="I845">
        <v>-1.9</v>
      </c>
      <c r="J845">
        <v>-1.65</v>
      </c>
      <c r="K845">
        <v>0.68</v>
      </c>
      <c r="L845">
        <v>-0.17</v>
      </c>
      <c r="M845">
        <v>-0.21</v>
      </c>
      <c r="N845">
        <v>0.18</v>
      </c>
    </row>
    <row r="846" spans="1:14" x14ac:dyDescent="0.2">
      <c r="A846">
        <v>2010</v>
      </c>
      <c r="B846">
        <v>5</v>
      </c>
      <c r="C846">
        <v>-1.1399999999999999</v>
      </c>
      <c r="D846">
        <v>-1.06</v>
      </c>
      <c r="E846">
        <v>0.44</v>
      </c>
      <c r="F846">
        <v>-0.56999999999999995</v>
      </c>
      <c r="G846">
        <v>-0.56000000000000005</v>
      </c>
      <c r="H846">
        <v>0.47</v>
      </c>
      <c r="I846">
        <v>-1.71</v>
      </c>
      <c r="J846">
        <v>-1.63</v>
      </c>
      <c r="K846">
        <v>0.67</v>
      </c>
      <c r="L846">
        <v>-0.15</v>
      </c>
      <c r="M846">
        <v>-0.2</v>
      </c>
      <c r="N846">
        <v>0.18</v>
      </c>
    </row>
    <row r="847" spans="1:14" x14ac:dyDescent="0.2">
      <c r="A847">
        <v>2010</v>
      </c>
      <c r="B847">
        <v>6</v>
      </c>
      <c r="C847">
        <v>-1.02</v>
      </c>
      <c r="D847">
        <v>-1.04</v>
      </c>
      <c r="E847">
        <v>0.41</v>
      </c>
      <c r="F847">
        <v>-0.62</v>
      </c>
      <c r="G847">
        <v>-0.56000000000000005</v>
      </c>
      <c r="H847">
        <v>0.47</v>
      </c>
      <c r="I847">
        <v>-1.64</v>
      </c>
      <c r="J847">
        <v>-1.6</v>
      </c>
      <c r="K847">
        <v>0.67</v>
      </c>
      <c r="L847">
        <v>-0.16</v>
      </c>
      <c r="M847">
        <v>-0.19</v>
      </c>
      <c r="N847">
        <v>0.18</v>
      </c>
    </row>
    <row r="848" spans="1:14" x14ac:dyDescent="0.2">
      <c r="A848">
        <v>2010</v>
      </c>
      <c r="B848">
        <v>7</v>
      </c>
      <c r="C848">
        <v>-1.0900000000000001</v>
      </c>
      <c r="D848">
        <v>-0.99</v>
      </c>
      <c r="E848">
        <v>0.39</v>
      </c>
      <c r="F848">
        <v>-0.67</v>
      </c>
      <c r="G848">
        <v>-0.56000000000000005</v>
      </c>
      <c r="H848">
        <v>0.45</v>
      </c>
      <c r="I848">
        <v>-1.76</v>
      </c>
      <c r="J848">
        <v>-1.56</v>
      </c>
      <c r="K848">
        <v>0.64</v>
      </c>
      <c r="L848">
        <v>-0.23</v>
      </c>
      <c r="M848">
        <v>-0.17</v>
      </c>
      <c r="N848">
        <v>0.18</v>
      </c>
    </row>
    <row r="849" spans="1:14" x14ac:dyDescent="0.2">
      <c r="A849">
        <v>2010</v>
      </c>
      <c r="B849">
        <v>8</v>
      </c>
      <c r="C849">
        <v>-0.89</v>
      </c>
      <c r="D849">
        <v>-0.93</v>
      </c>
      <c r="E849">
        <v>0.4</v>
      </c>
      <c r="F849">
        <v>-0.62</v>
      </c>
      <c r="G849">
        <v>-0.56000000000000005</v>
      </c>
      <c r="H849">
        <v>0.43</v>
      </c>
      <c r="I849">
        <v>-1.52</v>
      </c>
      <c r="J849">
        <v>-1.49</v>
      </c>
      <c r="K849">
        <v>0.62</v>
      </c>
      <c r="L849">
        <v>-0.23</v>
      </c>
      <c r="M849">
        <v>-0.15</v>
      </c>
      <c r="N849">
        <v>0.18</v>
      </c>
    </row>
    <row r="850" spans="1:14" x14ac:dyDescent="0.2">
      <c r="A850">
        <v>2010</v>
      </c>
      <c r="B850">
        <v>9</v>
      </c>
      <c r="C850">
        <v>-0.85</v>
      </c>
      <c r="D850">
        <v>-0.83</v>
      </c>
      <c r="E850">
        <v>0.4</v>
      </c>
      <c r="F850">
        <v>-0.56999999999999995</v>
      </c>
      <c r="G850">
        <v>-0.54</v>
      </c>
      <c r="H850">
        <v>0.42</v>
      </c>
      <c r="I850">
        <v>-1.42</v>
      </c>
      <c r="J850">
        <v>-1.37</v>
      </c>
      <c r="K850">
        <v>0.61</v>
      </c>
      <c r="L850">
        <v>-0.21</v>
      </c>
      <c r="M850">
        <v>-0.13</v>
      </c>
      <c r="N850">
        <v>0.18</v>
      </c>
    </row>
    <row r="851" spans="1:14" x14ac:dyDescent="0.2">
      <c r="A851">
        <v>2010</v>
      </c>
      <c r="B851">
        <v>10</v>
      </c>
      <c r="C851">
        <v>-0.47</v>
      </c>
      <c r="D851">
        <v>-0.71</v>
      </c>
      <c r="E851">
        <v>0.43</v>
      </c>
      <c r="F851">
        <v>-0.47</v>
      </c>
      <c r="G851">
        <v>-0.5</v>
      </c>
      <c r="H851">
        <v>0.41</v>
      </c>
      <c r="I851">
        <v>-0.94</v>
      </c>
      <c r="J851">
        <v>-1.22</v>
      </c>
      <c r="K851">
        <v>0.63</v>
      </c>
      <c r="L851">
        <v>-0.17</v>
      </c>
      <c r="M851">
        <v>-0.11</v>
      </c>
      <c r="N851">
        <v>0.18</v>
      </c>
    </row>
    <row r="852" spans="1:14" x14ac:dyDescent="0.2">
      <c r="A852">
        <v>2010</v>
      </c>
      <c r="B852">
        <v>11</v>
      </c>
      <c r="C852">
        <v>-0.77</v>
      </c>
      <c r="D852">
        <v>-0.62</v>
      </c>
      <c r="E852">
        <v>0.4</v>
      </c>
      <c r="F852">
        <v>-0.56999999999999995</v>
      </c>
      <c r="G852">
        <v>-0.45</v>
      </c>
      <c r="H852">
        <v>0.4</v>
      </c>
      <c r="I852">
        <v>-1.34</v>
      </c>
      <c r="J852">
        <v>-1.06</v>
      </c>
      <c r="K852">
        <v>0.57999999999999996</v>
      </c>
      <c r="L852">
        <v>-0.18</v>
      </c>
      <c r="M852">
        <v>-0.1</v>
      </c>
      <c r="N852">
        <v>0.18</v>
      </c>
    </row>
    <row r="853" spans="1:14" x14ac:dyDescent="0.2">
      <c r="A853">
        <v>2010</v>
      </c>
      <c r="B853">
        <v>12</v>
      </c>
      <c r="C853">
        <v>-0.64</v>
      </c>
      <c r="D853">
        <v>-0.53</v>
      </c>
      <c r="E853">
        <v>0.42</v>
      </c>
      <c r="F853">
        <v>-0.66</v>
      </c>
      <c r="G853">
        <v>-0.38</v>
      </c>
      <c r="H853">
        <v>0.4</v>
      </c>
      <c r="I853">
        <v>-1.3</v>
      </c>
      <c r="J853">
        <v>-0.92</v>
      </c>
      <c r="K853">
        <v>0.56999999999999995</v>
      </c>
      <c r="L853">
        <v>-0.15</v>
      </c>
      <c r="M853">
        <v>-0.08</v>
      </c>
      <c r="N853">
        <v>0.18</v>
      </c>
    </row>
    <row r="854" spans="1:14" x14ac:dyDescent="0.2">
      <c r="A854">
        <v>2011</v>
      </c>
      <c r="B854">
        <v>1</v>
      </c>
      <c r="C854">
        <v>-0.36</v>
      </c>
      <c r="D854">
        <v>-0.45</v>
      </c>
      <c r="E854">
        <v>0.42</v>
      </c>
      <c r="F854">
        <v>-0.46</v>
      </c>
      <c r="G854">
        <v>-0.33</v>
      </c>
      <c r="H854">
        <v>0.31</v>
      </c>
      <c r="I854">
        <v>-0.82</v>
      </c>
      <c r="J854">
        <v>-0.78</v>
      </c>
      <c r="K854">
        <v>0.5</v>
      </c>
      <c r="L854">
        <v>0.06</v>
      </c>
      <c r="M854">
        <v>-0.06</v>
      </c>
      <c r="N854">
        <v>0.13</v>
      </c>
    </row>
    <row r="855" spans="1:14" x14ac:dyDescent="0.2">
      <c r="A855">
        <v>2011</v>
      </c>
      <c r="B855">
        <v>2</v>
      </c>
      <c r="C855">
        <v>-0.46</v>
      </c>
      <c r="D855">
        <v>-0.36</v>
      </c>
      <c r="E855">
        <v>0.43</v>
      </c>
      <c r="F855">
        <v>-0.38</v>
      </c>
      <c r="G855">
        <v>-0.28000000000000003</v>
      </c>
      <c r="H855">
        <v>0.3</v>
      </c>
      <c r="I855">
        <v>-0.84</v>
      </c>
      <c r="J855">
        <v>-0.64</v>
      </c>
      <c r="K855">
        <v>0.48</v>
      </c>
      <c r="L855">
        <v>0.06</v>
      </c>
      <c r="M855">
        <v>-0.04</v>
      </c>
      <c r="N855">
        <v>0.12</v>
      </c>
    </row>
    <row r="856" spans="1:14" x14ac:dyDescent="0.2">
      <c r="A856">
        <v>2011</v>
      </c>
      <c r="B856">
        <v>3</v>
      </c>
      <c r="C856">
        <v>-0.16</v>
      </c>
      <c r="D856">
        <v>-0.25</v>
      </c>
      <c r="E856">
        <v>0.41</v>
      </c>
      <c r="F856">
        <v>-0.18</v>
      </c>
      <c r="G856">
        <v>-0.22</v>
      </c>
      <c r="H856">
        <v>0.3</v>
      </c>
      <c r="I856">
        <v>-0.33</v>
      </c>
      <c r="J856">
        <v>-0.47</v>
      </c>
      <c r="K856">
        <v>0.47</v>
      </c>
      <c r="L856">
        <v>0.05</v>
      </c>
      <c r="M856">
        <v>-0.02</v>
      </c>
      <c r="N856">
        <v>0.12</v>
      </c>
    </row>
    <row r="857" spans="1:14" x14ac:dyDescent="0.2">
      <c r="A857">
        <v>2011</v>
      </c>
      <c r="B857">
        <v>4</v>
      </c>
      <c r="C857">
        <v>-0.04</v>
      </c>
      <c r="D857">
        <v>-0.15</v>
      </c>
      <c r="E857">
        <v>0.37</v>
      </c>
      <c r="F857">
        <v>0.05</v>
      </c>
      <c r="G857">
        <v>-0.17</v>
      </c>
      <c r="H857">
        <v>0.28999999999999998</v>
      </c>
      <c r="I857">
        <v>0</v>
      </c>
      <c r="J857">
        <v>-0.32</v>
      </c>
      <c r="K857">
        <v>0.47</v>
      </c>
      <c r="L857">
        <v>0.05</v>
      </c>
      <c r="M857">
        <v>0</v>
      </c>
      <c r="N857">
        <v>0.12</v>
      </c>
    </row>
    <row r="858" spans="1:14" x14ac:dyDescent="0.2">
      <c r="A858">
        <v>2011</v>
      </c>
      <c r="B858">
        <v>5</v>
      </c>
      <c r="C858">
        <v>-0.1</v>
      </c>
      <c r="D858">
        <v>-0.06</v>
      </c>
      <c r="E858">
        <v>0.36</v>
      </c>
      <c r="F858">
        <v>0.2</v>
      </c>
      <c r="G858">
        <v>-0.12</v>
      </c>
      <c r="H858">
        <v>0.3</v>
      </c>
      <c r="I858">
        <v>0.09</v>
      </c>
      <c r="J858">
        <v>-0.18</v>
      </c>
      <c r="K858">
        <v>0.46</v>
      </c>
      <c r="L858">
        <v>0.06</v>
      </c>
      <c r="M858">
        <v>0.02</v>
      </c>
      <c r="N858">
        <v>0.12</v>
      </c>
    </row>
    <row r="859" spans="1:14" x14ac:dyDescent="0.2">
      <c r="A859">
        <v>2011</v>
      </c>
      <c r="B859">
        <v>6</v>
      </c>
      <c r="C859">
        <v>-0.08</v>
      </c>
      <c r="D859">
        <v>0.03</v>
      </c>
      <c r="E859">
        <v>0.37</v>
      </c>
      <c r="F859">
        <v>0.09</v>
      </c>
      <c r="G859">
        <v>-0.06</v>
      </c>
      <c r="H859">
        <v>0.31</v>
      </c>
      <c r="I859">
        <v>0.01</v>
      </c>
      <c r="J859">
        <v>-0.03</v>
      </c>
      <c r="K859">
        <v>0.49</v>
      </c>
      <c r="L859">
        <v>0.04</v>
      </c>
      <c r="M859">
        <v>0.03</v>
      </c>
      <c r="N859">
        <v>0.12</v>
      </c>
    </row>
    <row r="860" spans="1:14" x14ac:dyDescent="0.2">
      <c r="A860">
        <v>2011</v>
      </c>
      <c r="B860">
        <v>7</v>
      </c>
      <c r="C860">
        <v>-7.0000000000000007E-2</v>
      </c>
      <c r="D860">
        <v>0.13</v>
      </c>
      <c r="E860">
        <v>0.37</v>
      </c>
      <c r="F860">
        <v>-0.05</v>
      </c>
      <c r="G860">
        <v>0.02</v>
      </c>
      <c r="H860">
        <v>0.32</v>
      </c>
      <c r="I860">
        <v>-0.12</v>
      </c>
      <c r="J860">
        <v>0.15</v>
      </c>
      <c r="K860">
        <v>0.48</v>
      </c>
      <c r="L860">
        <v>0.04</v>
      </c>
      <c r="M860">
        <v>0.04</v>
      </c>
      <c r="N860">
        <v>0.12</v>
      </c>
    </row>
    <row r="861" spans="1:14" x14ac:dyDescent="0.2">
      <c r="A861">
        <v>2011</v>
      </c>
      <c r="B861">
        <v>8</v>
      </c>
      <c r="C861">
        <v>0.26</v>
      </c>
      <c r="D861">
        <v>0.26</v>
      </c>
      <c r="E861">
        <v>0.37</v>
      </c>
      <c r="F861">
        <v>0.05</v>
      </c>
      <c r="G861">
        <v>0.1</v>
      </c>
      <c r="H861">
        <v>0.32</v>
      </c>
      <c r="I861">
        <v>0.31</v>
      </c>
      <c r="J861">
        <v>0.36</v>
      </c>
      <c r="K861">
        <v>0.48</v>
      </c>
      <c r="L861">
        <v>0.02</v>
      </c>
      <c r="M861">
        <v>0.05</v>
      </c>
      <c r="N861">
        <v>0.12</v>
      </c>
    </row>
    <row r="862" spans="1:14" x14ac:dyDescent="0.2">
      <c r="A862">
        <v>2011</v>
      </c>
      <c r="B862">
        <v>9</v>
      </c>
      <c r="C862">
        <v>0.65</v>
      </c>
      <c r="D862">
        <v>0.39</v>
      </c>
      <c r="E862">
        <v>0.37</v>
      </c>
      <c r="F862">
        <v>7.0000000000000007E-2</v>
      </c>
      <c r="G862">
        <v>0.18</v>
      </c>
      <c r="H862">
        <v>0.31</v>
      </c>
      <c r="I862">
        <v>0.72</v>
      </c>
      <c r="J862">
        <v>0.56999999999999995</v>
      </c>
      <c r="K862">
        <v>0.5</v>
      </c>
      <c r="L862">
        <v>0.02</v>
      </c>
      <c r="M862">
        <v>7.0000000000000007E-2</v>
      </c>
      <c r="N862">
        <v>0.12</v>
      </c>
    </row>
    <row r="863" spans="1:14" x14ac:dyDescent="0.2">
      <c r="A863">
        <v>2011</v>
      </c>
      <c r="B863">
        <v>10</v>
      </c>
      <c r="C863">
        <v>0.4</v>
      </c>
      <c r="D863">
        <v>0.49</v>
      </c>
      <c r="E863">
        <v>0.38</v>
      </c>
      <c r="F863">
        <v>0.06</v>
      </c>
      <c r="G863">
        <v>0.24</v>
      </c>
      <c r="H863">
        <v>0.3</v>
      </c>
      <c r="I863">
        <v>0.47</v>
      </c>
      <c r="J863">
        <v>0.73</v>
      </c>
      <c r="K863">
        <v>0.52</v>
      </c>
      <c r="L863">
        <v>0.03</v>
      </c>
      <c r="M863">
        <v>0.08</v>
      </c>
      <c r="N863">
        <v>0.13</v>
      </c>
    </row>
    <row r="864" spans="1:14" x14ac:dyDescent="0.2">
      <c r="A864">
        <v>2011</v>
      </c>
      <c r="B864">
        <v>11</v>
      </c>
      <c r="C864">
        <v>0.52</v>
      </c>
      <c r="D864">
        <v>0.56999999999999995</v>
      </c>
      <c r="E864">
        <v>0.37</v>
      </c>
      <c r="F864">
        <v>0.1</v>
      </c>
      <c r="G864">
        <v>0.28000000000000003</v>
      </c>
      <c r="H864">
        <v>0.3</v>
      </c>
      <c r="I864">
        <v>0.63</v>
      </c>
      <c r="J864">
        <v>0.84</v>
      </c>
      <c r="K864">
        <v>0.49</v>
      </c>
      <c r="L864">
        <v>0.03</v>
      </c>
      <c r="M864">
        <v>0.09</v>
      </c>
      <c r="N864">
        <v>0.13</v>
      </c>
    </row>
    <row r="865" spans="1:14" x14ac:dyDescent="0.2">
      <c r="A865">
        <v>2011</v>
      </c>
      <c r="B865">
        <v>12</v>
      </c>
      <c r="C865">
        <v>0.27</v>
      </c>
      <c r="D865">
        <v>0.62</v>
      </c>
      <c r="E865">
        <v>0.36</v>
      </c>
      <c r="F865">
        <v>0.16</v>
      </c>
      <c r="G865">
        <v>0.31</v>
      </c>
      <c r="H865">
        <v>0.3</v>
      </c>
      <c r="I865">
        <v>0.43</v>
      </c>
      <c r="J865">
        <v>0.92</v>
      </c>
      <c r="K865">
        <v>0.49</v>
      </c>
      <c r="L865">
        <v>0</v>
      </c>
      <c r="M865">
        <v>0.1</v>
      </c>
      <c r="N865">
        <v>0.13</v>
      </c>
    </row>
    <row r="866" spans="1:14" x14ac:dyDescent="0.2">
      <c r="A866">
        <v>2012</v>
      </c>
      <c r="B866">
        <v>1</v>
      </c>
      <c r="C866">
        <v>1.03</v>
      </c>
      <c r="D866">
        <v>0.64</v>
      </c>
      <c r="E866">
        <v>0.32</v>
      </c>
      <c r="F866">
        <v>0.56000000000000005</v>
      </c>
      <c r="G866">
        <v>0.35</v>
      </c>
      <c r="H866">
        <v>0.27</v>
      </c>
      <c r="I866">
        <v>1.59</v>
      </c>
      <c r="J866">
        <v>0.99</v>
      </c>
      <c r="K866">
        <v>0.41</v>
      </c>
      <c r="L866">
        <v>0.17</v>
      </c>
      <c r="M866">
        <v>0.12</v>
      </c>
      <c r="N866">
        <v>0.09</v>
      </c>
    </row>
    <row r="867" spans="1:14" x14ac:dyDescent="0.2">
      <c r="A867">
        <v>2012</v>
      </c>
      <c r="B867">
        <v>2</v>
      </c>
      <c r="C867">
        <v>1.28</v>
      </c>
      <c r="D867">
        <v>0.64</v>
      </c>
      <c r="E867">
        <v>0.35</v>
      </c>
      <c r="F867">
        <v>0.66</v>
      </c>
      <c r="G867">
        <v>0.4</v>
      </c>
      <c r="H867">
        <v>0.26</v>
      </c>
      <c r="I867">
        <v>1.94</v>
      </c>
      <c r="J867">
        <v>1.04</v>
      </c>
      <c r="K867">
        <v>0.44</v>
      </c>
      <c r="L867">
        <v>0.19</v>
      </c>
      <c r="M867">
        <v>0.14000000000000001</v>
      </c>
      <c r="N867">
        <v>0.09</v>
      </c>
    </row>
    <row r="868" spans="1:14" x14ac:dyDescent="0.2">
      <c r="A868">
        <v>2012</v>
      </c>
      <c r="B868">
        <v>3</v>
      </c>
      <c r="C868">
        <v>1.28</v>
      </c>
      <c r="D868">
        <v>0.61</v>
      </c>
      <c r="E868">
        <v>0.34</v>
      </c>
      <c r="F868">
        <v>0.63</v>
      </c>
      <c r="G868">
        <v>0.45</v>
      </c>
      <c r="H868">
        <v>0.26</v>
      </c>
      <c r="I868">
        <v>1.91</v>
      </c>
      <c r="J868">
        <v>1.06</v>
      </c>
      <c r="K868">
        <v>0.43</v>
      </c>
      <c r="L868">
        <v>0.21</v>
      </c>
      <c r="M868">
        <v>0.16</v>
      </c>
      <c r="N868">
        <v>0.09</v>
      </c>
    </row>
    <row r="869" spans="1:14" x14ac:dyDescent="0.2">
      <c r="A869">
        <v>2012</v>
      </c>
      <c r="B869">
        <v>4</v>
      </c>
      <c r="C869">
        <v>0.96</v>
      </c>
      <c r="D869">
        <v>0.6</v>
      </c>
      <c r="E869">
        <v>0.32</v>
      </c>
      <c r="F869">
        <v>0.61</v>
      </c>
      <c r="G869">
        <v>0.5</v>
      </c>
      <c r="H869">
        <v>0.26</v>
      </c>
      <c r="I869">
        <v>1.58</v>
      </c>
      <c r="J869">
        <v>1.1000000000000001</v>
      </c>
      <c r="K869">
        <v>0.41</v>
      </c>
      <c r="L869">
        <v>0.21</v>
      </c>
      <c r="M869">
        <v>0.18</v>
      </c>
      <c r="N869">
        <v>0.09</v>
      </c>
    </row>
    <row r="870" spans="1:14" x14ac:dyDescent="0.2">
      <c r="A870">
        <v>2012</v>
      </c>
      <c r="B870">
        <v>5</v>
      </c>
      <c r="C870">
        <v>0.71</v>
      </c>
      <c r="D870">
        <v>0.6</v>
      </c>
      <c r="E870">
        <v>0.28999999999999998</v>
      </c>
      <c r="F870">
        <v>0.52</v>
      </c>
      <c r="G870">
        <v>0.56000000000000005</v>
      </c>
      <c r="H870">
        <v>0.26</v>
      </c>
      <c r="I870">
        <v>1.24</v>
      </c>
      <c r="J870">
        <v>1.1599999999999999</v>
      </c>
      <c r="K870">
        <v>0.4</v>
      </c>
      <c r="L870">
        <v>0.18</v>
      </c>
      <c r="M870">
        <v>0.2</v>
      </c>
      <c r="N870">
        <v>0.09</v>
      </c>
    </row>
    <row r="871" spans="1:14" x14ac:dyDescent="0.2">
      <c r="A871">
        <v>2012</v>
      </c>
      <c r="B871">
        <v>6</v>
      </c>
      <c r="C871">
        <v>0.26</v>
      </c>
      <c r="D871">
        <v>0.63</v>
      </c>
      <c r="E871">
        <v>0.28000000000000003</v>
      </c>
      <c r="F871">
        <v>0.52</v>
      </c>
      <c r="G871">
        <v>0.61</v>
      </c>
      <c r="H871">
        <v>0.26</v>
      </c>
      <c r="I871">
        <v>0.78</v>
      </c>
      <c r="J871">
        <v>1.24</v>
      </c>
      <c r="K871">
        <v>0.37</v>
      </c>
      <c r="L871">
        <v>0.22</v>
      </c>
      <c r="M871">
        <v>0.22</v>
      </c>
      <c r="N871">
        <v>0.09</v>
      </c>
    </row>
    <row r="872" spans="1:14" x14ac:dyDescent="0.2">
      <c r="A872">
        <v>2012</v>
      </c>
      <c r="B872">
        <v>7</v>
      </c>
      <c r="C872">
        <v>0.13</v>
      </c>
      <c r="D872">
        <v>0.67</v>
      </c>
      <c r="E872">
        <v>0.27</v>
      </c>
      <c r="F872">
        <v>0.55000000000000004</v>
      </c>
      <c r="G872">
        <v>0.66</v>
      </c>
      <c r="H872">
        <v>0.26</v>
      </c>
      <c r="I872">
        <v>0.68</v>
      </c>
      <c r="J872">
        <v>1.33</v>
      </c>
      <c r="K872">
        <v>0.37</v>
      </c>
      <c r="L872">
        <v>0.23</v>
      </c>
      <c r="M872">
        <v>0.24</v>
      </c>
      <c r="N872">
        <v>0.09</v>
      </c>
    </row>
    <row r="873" spans="1:14" x14ac:dyDescent="0.2">
      <c r="A873">
        <v>2012</v>
      </c>
      <c r="B873">
        <v>8</v>
      </c>
      <c r="C873">
        <v>0.05</v>
      </c>
      <c r="D873">
        <v>0.7</v>
      </c>
      <c r="E873">
        <v>0.28999999999999998</v>
      </c>
      <c r="F873">
        <v>0.6</v>
      </c>
      <c r="G873">
        <v>0.71</v>
      </c>
      <c r="H873">
        <v>0.24</v>
      </c>
      <c r="I873">
        <v>0.65</v>
      </c>
      <c r="J873">
        <v>1.41</v>
      </c>
      <c r="K873">
        <v>0.36</v>
      </c>
      <c r="L873">
        <v>0.25</v>
      </c>
      <c r="M873">
        <v>0.26</v>
      </c>
      <c r="N873">
        <v>0.1</v>
      </c>
    </row>
    <row r="874" spans="1:14" x14ac:dyDescent="0.2">
      <c r="A874">
        <v>2012</v>
      </c>
      <c r="B874">
        <v>9</v>
      </c>
      <c r="C874">
        <v>0.27</v>
      </c>
      <c r="D874">
        <v>0.72</v>
      </c>
      <c r="E874">
        <v>0.31</v>
      </c>
      <c r="F874">
        <v>0.7</v>
      </c>
      <c r="G874">
        <v>0.76</v>
      </c>
      <c r="H874">
        <v>0.24</v>
      </c>
      <c r="I874">
        <v>0.96</v>
      </c>
      <c r="J874">
        <v>1.47</v>
      </c>
      <c r="K874">
        <v>0.37</v>
      </c>
      <c r="L874">
        <v>0.25</v>
      </c>
      <c r="M874">
        <v>0.28000000000000003</v>
      </c>
      <c r="N874">
        <v>0.1</v>
      </c>
    </row>
    <row r="875" spans="1:14" x14ac:dyDescent="0.2">
      <c r="A875">
        <v>2012</v>
      </c>
      <c r="B875">
        <v>10</v>
      </c>
      <c r="C875">
        <v>0.47</v>
      </c>
      <c r="D875">
        <v>0.73</v>
      </c>
      <c r="E875">
        <v>0.31</v>
      </c>
      <c r="F875">
        <v>0.76</v>
      </c>
      <c r="G875">
        <v>0.79</v>
      </c>
      <c r="H875">
        <v>0.24</v>
      </c>
      <c r="I875">
        <v>1.23</v>
      </c>
      <c r="J875">
        <v>1.52</v>
      </c>
      <c r="K875">
        <v>0.36</v>
      </c>
      <c r="L875">
        <v>0.28000000000000003</v>
      </c>
      <c r="M875">
        <v>0.3</v>
      </c>
      <c r="N875">
        <v>0.1</v>
      </c>
    </row>
    <row r="876" spans="1:14" x14ac:dyDescent="0.2">
      <c r="A876">
        <v>2012</v>
      </c>
      <c r="B876">
        <v>11</v>
      </c>
      <c r="C876">
        <v>0.56000000000000005</v>
      </c>
      <c r="D876">
        <v>0.74</v>
      </c>
      <c r="E876">
        <v>0.33</v>
      </c>
      <c r="F876">
        <v>0.77</v>
      </c>
      <c r="G876">
        <v>0.82</v>
      </c>
      <c r="H876">
        <v>0.22</v>
      </c>
      <c r="I876">
        <v>1.33</v>
      </c>
      <c r="J876">
        <v>1.57</v>
      </c>
      <c r="K876">
        <v>0.39</v>
      </c>
      <c r="L876">
        <v>0.28000000000000003</v>
      </c>
      <c r="M876">
        <v>0.32</v>
      </c>
      <c r="N876">
        <v>0.1</v>
      </c>
    </row>
    <row r="877" spans="1:14" x14ac:dyDescent="0.2">
      <c r="A877">
        <v>2012</v>
      </c>
      <c r="B877">
        <v>12</v>
      </c>
      <c r="C877">
        <v>0.91</v>
      </c>
      <c r="D877">
        <v>0.78</v>
      </c>
      <c r="E877">
        <v>0.31</v>
      </c>
      <c r="F877">
        <v>0.75</v>
      </c>
      <c r="G877">
        <v>0.85</v>
      </c>
      <c r="H877">
        <v>0.23</v>
      </c>
      <c r="I877">
        <v>1.66</v>
      </c>
      <c r="J877">
        <v>1.63</v>
      </c>
      <c r="K877">
        <v>0.36</v>
      </c>
      <c r="L877">
        <v>0.24</v>
      </c>
      <c r="M877">
        <v>0.34</v>
      </c>
      <c r="N877">
        <v>0.1</v>
      </c>
    </row>
    <row r="878" spans="1:14" x14ac:dyDescent="0.2">
      <c r="A878">
        <v>2013</v>
      </c>
      <c r="B878">
        <v>1</v>
      </c>
      <c r="C878">
        <v>1.31</v>
      </c>
      <c r="D878">
        <v>0.81</v>
      </c>
      <c r="E878">
        <v>0.32</v>
      </c>
      <c r="F878">
        <v>1.1399999999999999</v>
      </c>
      <c r="G878">
        <v>0.87</v>
      </c>
      <c r="H878">
        <v>0.19</v>
      </c>
      <c r="I878">
        <v>2.4500000000000002</v>
      </c>
      <c r="J878">
        <v>1.68</v>
      </c>
      <c r="K878">
        <v>0.35</v>
      </c>
      <c r="L878">
        <v>0.44</v>
      </c>
      <c r="M878">
        <v>0.36</v>
      </c>
      <c r="N878">
        <v>0.08</v>
      </c>
    </row>
    <row r="879" spans="1:14" x14ac:dyDescent="0.2">
      <c r="A879">
        <v>2013</v>
      </c>
      <c r="B879">
        <v>2</v>
      </c>
      <c r="C879">
        <v>1.68</v>
      </c>
      <c r="D879">
        <v>0.85</v>
      </c>
      <c r="E879">
        <v>0.34</v>
      </c>
      <c r="F879">
        <v>1.27</v>
      </c>
      <c r="G879">
        <v>0.9</v>
      </c>
      <c r="H879">
        <v>0.2</v>
      </c>
      <c r="I879">
        <v>2.95</v>
      </c>
      <c r="J879">
        <v>1.75</v>
      </c>
      <c r="K879">
        <v>0.36</v>
      </c>
      <c r="L879">
        <v>0.44</v>
      </c>
      <c r="M879">
        <v>0.38</v>
      </c>
      <c r="N879">
        <v>0.08</v>
      </c>
    </row>
    <row r="880" spans="1:14" x14ac:dyDescent="0.2">
      <c r="A880">
        <v>2013</v>
      </c>
      <c r="B880">
        <v>3</v>
      </c>
      <c r="C880">
        <v>1.35</v>
      </c>
      <c r="D880">
        <v>0.92</v>
      </c>
      <c r="E880">
        <v>0.28999999999999998</v>
      </c>
      <c r="F880">
        <v>1.1299999999999999</v>
      </c>
      <c r="G880">
        <v>0.92</v>
      </c>
      <c r="H880">
        <v>0.2</v>
      </c>
      <c r="I880">
        <v>2.48</v>
      </c>
      <c r="J880">
        <v>1.84</v>
      </c>
      <c r="K880">
        <v>0.33</v>
      </c>
      <c r="L880">
        <v>0.46</v>
      </c>
      <c r="M880">
        <v>0.39</v>
      </c>
      <c r="N880">
        <v>0.08</v>
      </c>
    </row>
    <row r="881" spans="1:14" x14ac:dyDescent="0.2">
      <c r="A881">
        <v>2013</v>
      </c>
      <c r="B881">
        <v>4</v>
      </c>
      <c r="C881">
        <v>1.07</v>
      </c>
      <c r="D881">
        <v>1.02</v>
      </c>
      <c r="E881">
        <v>0.3</v>
      </c>
      <c r="F881">
        <v>1</v>
      </c>
      <c r="G881">
        <v>0.95</v>
      </c>
      <c r="H881">
        <v>0.19</v>
      </c>
      <c r="I881">
        <v>2.0699999999999998</v>
      </c>
      <c r="J881">
        <v>1.97</v>
      </c>
      <c r="K881">
        <v>0.32</v>
      </c>
      <c r="L881">
        <v>0.46</v>
      </c>
      <c r="M881">
        <v>0.41</v>
      </c>
      <c r="N881">
        <v>0.08</v>
      </c>
    </row>
    <row r="882" spans="1:14" x14ac:dyDescent="0.2">
      <c r="A882">
        <v>2013</v>
      </c>
      <c r="B882">
        <v>5</v>
      </c>
      <c r="C882">
        <v>1</v>
      </c>
      <c r="D882">
        <v>1.1399999999999999</v>
      </c>
      <c r="E882">
        <v>0.3</v>
      </c>
      <c r="F882">
        <v>0.88</v>
      </c>
      <c r="G882">
        <v>0.98</v>
      </c>
      <c r="H882">
        <v>0.2</v>
      </c>
      <c r="I882">
        <v>1.88</v>
      </c>
      <c r="J882">
        <v>2.13</v>
      </c>
      <c r="K882">
        <v>0.32</v>
      </c>
      <c r="L882">
        <v>0.43</v>
      </c>
      <c r="M882">
        <v>0.43</v>
      </c>
      <c r="N882">
        <v>0.08</v>
      </c>
    </row>
    <row r="883" spans="1:14" x14ac:dyDescent="0.2">
      <c r="A883">
        <v>2013</v>
      </c>
      <c r="B883">
        <v>6</v>
      </c>
      <c r="C883">
        <v>0.78</v>
      </c>
      <c r="D883">
        <v>1.27</v>
      </c>
      <c r="E883">
        <v>0.26</v>
      </c>
      <c r="F883">
        <v>0.82</v>
      </c>
      <c r="G883">
        <v>1.03</v>
      </c>
      <c r="H883">
        <v>0.21</v>
      </c>
      <c r="I883">
        <v>1.61</v>
      </c>
      <c r="J883">
        <v>2.29</v>
      </c>
      <c r="K883">
        <v>0.28999999999999998</v>
      </c>
      <c r="L883">
        <v>0.45</v>
      </c>
      <c r="M883">
        <v>0.44</v>
      </c>
      <c r="N883">
        <v>0.08</v>
      </c>
    </row>
    <row r="884" spans="1:14" x14ac:dyDescent="0.2">
      <c r="A884">
        <v>2013</v>
      </c>
      <c r="B884">
        <v>7</v>
      </c>
      <c r="C884">
        <v>0.42</v>
      </c>
      <c r="D884">
        <v>1.36</v>
      </c>
      <c r="E884">
        <v>0.24</v>
      </c>
      <c r="F884">
        <v>0.8</v>
      </c>
      <c r="G884">
        <v>1.07</v>
      </c>
      <c r="H884">
        <v>0.22</v>
      </c>
      <c r="I884">
        <v>1.22</v>
      </c>
      <c r="J884">
        <v>2.4300000000000002</v>
      </c>
      <c r="K884">
        <v>0.28999999999999998</v>
      </c>
      <c r="L884">
        <v>0.48</v>
      </c>
      <c r="M884">
        <v>0.46</v>
      </c>
      <c r="N884">
        <v>0.08</v>
      </c>
    </row>
    <row r="885" spans="1:14" x14ac:dyDescent="0.2">
      <c r="A885">
        <v>2013</v>
      </c>
      <c r="B885">
        <v>8</v>
      </c>
      <c r="C885">
        <v>0.74</v>
      </c>
      <c r="D885">
        <v>1.42</v>
      </c>
      <c r="E885">
        <v>0.26</v>
      </c>
      <c r="F885">
        <v>0.91</v>
      </c>
      <c r="G885">
        <v>1.1000000000000001</v>
      </c>
      <c r="H885">
        <v>0.23</v>
      </c>
      <c r="I885">
        <v>1.65</v>
      </c>
      <c r="J885">
        <v>2.52</v>
      </c>
      <c r="K885">
        <v>0.34</v>
      </c>
      <c r="L885">
        <v>0.44</v>
      </c>
      <c r="M885">
        <v>0.47</v>
      </c>
      <c r="N885">
        <v>7.0000000000000007E-2</v>
      </c>
    </row>
    <row r="886" spans="1:14" x14ac:dyDescent="0.2">
      <c r="A886">
        <v>2013</v>
      </c>
      <c r="B886">
        <v>9</v>
      </c>
      <c r="C886">
        <v>1.24</v>
      </c>
      <c r="D886">
        <v>1.46</v>
      </c>
      <c r="E886">
        <v>0.37</v>
      </c>
      <c r="F886">
        <v>1.03</v>
      </c>
      <c r="G886">
        <v>1.1100000000000001</v>
      </c>
      <c r="H886">
        <v>0.31</v>
      </c>
      <c r="I886">
        <v>2.27</v>
      </c>
      <c r="J886">
        <v>2.58</v>
      </c>
      <c r="K886">
        <v>0.49</v>
      </c>
      <c r="L886">
        <v>0.45</v>
      </c>
      <c r="M886">
        <v>0.48</v>
      </c>
      <c r="N886">
        <v>0.1</v>
      </c>
    </row>
    <row r="887" spans="1:14" x14ac:dyDescent="0.2">
      <c r="A887">
        <v>2013</v>
      </c>
      <c r="B887">
        <v>10</v>
      </c>
      <c r="C887">
        <v>1.82</v>
      </c>
      <c r="D887">
        <v>1.51</v>
      </c>
      <c r="E887">
        <v>0.38</v>
      </c>
      <c r="F887">
        <v>1.08</v>
      </c>
      <c r="G887">
        <v>1.1399999999999999</v>
      </c>
      <c r="H887">
        <v>0.31</v>
      </c>
      <c r="I887">
        <v>2.9</v>
      </c>
      <c r="J887">
        <v>2.65</v>
      </c>
      <c r="K887">
        <v>0.48</v>
      </c>
      <c r="L887">
        <v>0.46</v>
      </c>
      <c r="M887">
        <v>0.49</v>
      </c>
      <c r="N887">
        <v>0.09</v>
      </c>
    </row>
    <row r="888" spans="1:14" x14ac:dyDescent="0.2">
      <c r="A888">
        <v>2013</v>
      </c>
      <c r="B888">
        <v>11</v>
      </c>
      <c r="C888">
        <v>2.2400000000000002</v>
      </c>
      <c r="D888">
        <v>1.58</v>
      </c>
      <c r="E888">
        <v>0.38</v>
      </c>
      <c r="F888">
        <v>1.23</v>
      </c>
      <c r="G888">
        <v>1.18</v>
      </c>
      <c r="H888">
        <v>0.28999999999999998</v>
      </c>
      <c r="I888">
        <v>3.47</v>
      </c>
      <c r="J888">
        <v>2.76</v>
      </c>
      <c r="K888">
        <v>0.44</v>
      </c>
      <c r="L888">
        <v>0.45</v>
      </c>
      <c r="M888">
        <v>0.51</v>
      </c>
      <c r="N888">
        <v>0.09</v>
      </c>
    </row>
    <row r="889" spans="1:14" x14ac:dyDescent="0.2">
      <c r="A889">
        <v>2013</v>
      </c>
      <c r="B889">
        <v>12</v>
      </c>
      <c r="C889">
        <v>2.19</v>
      </c>
      <c r="D889">
        <v>1.69</v>
      </c>
      <c r="E889">
        <v>0.35</v>
      </c>
      <c r="F889">
        <v>1.29</v>
      </c>
      <c r="G889">
        <v>1.23</v>
      </c>
      <c r="H889">
        <v>0.28000000000000003</v>
      </c>
      <c r="I889">
        <v>3.48</v>
      </c>
      <c r="J889">
        <v>2.92</v>
      </c>
      <c r="K889">
        <v>0.4</v>
      </c>
      <c r="L889">
        <v>0.45</v>
      </c>
      <c r="M889">
        <v>0.52</v>
      </c>
      <c r="N889">
        <v>0.08</v>
      </c>
    </row>
    <row r="890" spans="1:14" x14ac:dyDescent="0.2">
      <c r="A890">
        <v>2014</v>
      </c>
      <c r="B890">
        <v>1</v>
      </c>
      <c r="C890">
        <v>2.33</v>
      </c>
      <c r="D890">
        <v>1.84</v>
      </c>
      <c r="E890">
        <v>0.39</v>
      </c>
      <c r="F890">
        <v>1.61</v>
      </c>
      <c r="G890">
        <v>1.29</v>
      </c>
      <c r="H890">
        <v>0.34</v>
      </c>
      <c r="I890">
        <v>3.94</v>
      </c>
      <c r="J890">
        <v>3.14</v>
      </c>
      <c r="K890">
        <v>0.52</v>
      </c>
      <c r="L890">
        <v>0.6</v>
      </c>
      <c r="M890">
        <v>0.54</v>
      </c>
      <c r="N890">
        <v>0.13</v>
      </c>
    </row>
    <row r="891" spans="1:14" x14ac:dyDescent="0.2">
      <c r="A891">
        <v>2014</v>
      </c>
      <c r="B891">
        <v>2</v>
      </c>
      <c r="C891">
        <v>2.0499999999999998</v>
      </c>
      <c r="D891">
        <v>1.97</v>
      </c>
      <c r="E891">
        <v>0.41</v>
      </c>
      <c r="F891">
        <v>1.46</v>
      </c>
      <c r="G891">
        <v>1.35</v>
      </c>
      <c r="H891">
        <v>0.33</v>
      </c>
      <c r="I891">
        <v>3.51</v>
      </c>
      <c r="J891">
        <v>3.32</v>
      </c>
      <c r="K891">
        <v>0.56000000000000005</v>
      </c>
      <c r="L891">
        <v>0.57999999999999996</v>
      </c>
      <c r="M891">
        <v>0.56000000000000005</v>
      </c>
      <c r="N891">
        <v>0.13</v>
      </c>
    </row>
    <row r="892" spans="1:14" x14ac:dyDescent="0.2">
      <c r="A892">
        <v>2014</v>
      </c>
      <c r="B892">
        <v>3</v>
      </c>
      <c r="C892">
        <v>1.94</v>
      </c>
      <c r="D892">
        <v>2.04</v>
      </c>
      <c r="E892">
        <v>0.41</v>
      </c>
      <c r="F892">
        <v>1.38</v>
      </c>
      <c r="G892">
        <v>1.39</v>
      </c>
      <c r="H892">
        <v>0.32</v>
      </c>
      <c r="I892">
        <v>3.32</v>
      </c>
      <c r="J892">
        <v>3.43</v>
      </c>
      <c r="K892">
        <v>0.55000000000000004</v>
      </c>
      <c r="L892">
        <v>0.57999999999999996</v>
      </c>
      <c r="M892">
        <v>0.56999999999999995</v>
      </c>
      <c r="N892">
        <v>0.13</v>
      </c>
    </row>
    <row r="893" spans="1:14" x14ac:dyDescent="0.2">
      <c r="A893">
        <v>2014</v>
      </c>
      <c r="B893">
        <v>4</v>
      </c>
      <c r="C893">
        <v>1.74</v>
      </c>
      <c r="D893">
        <v>2.04</v>
      </c>
      <c r="E893">
        <v>0.45</v>
      </c>
      <c r="F893">
        <v>1.36</v>
      </c>
      <c r="G893">
        <v>1.42</v>
      </c>
      <c r="H893">
        <v>0.32</v>
      </c>
      <c r="I893">
        <v>3.1</v>
      </c>
      <c r="J893">
        <v>3.46</v>
      </c>
      <c r="K893">
        <v>0.59</v>
      </c>
      <c r="L893">
        <v>0.6</v>
      </c>
      <c r="M893">
        <v>0.59</v>
      </c>
      <c r="N893">
        <v>0.13</v>
      </c>
    </row>
    <row r="894" spans="1:14" x14ac:dyDescent="0.2">
      <c r="A894">
        <v>2014</v>
      </c>
      <c r="B894">
        <v>5</v>
      </c>
      <c r="C894">
        <v>1.97</v>
      </c>
      <c r="D894">
        <v>1.99</v>
      </c>
      <c r="E894">
        <v>0.46</v>
      </c>
      <c r="F894">
        <v>1.44</v>
      </c>
      <c r="G894">
        <v>1.44</v>
      </c>
      <c r="H894">
        <v>0.32</v>
      </c>
      <c r="I894">
        <v>3.4</v>
      </c>
      <c r="J894">
        <v>3.43</v>
      </c>
      <c r="K894">
        <v>0.61</v>
      </c>
      <c r="L894">
        <v>0.62</v>
      </c>
      <c r="M894">
        <v>0.61</v>
      </c>
      <c r="N894">
        <v>0.13</v>
      </c>
    </row>
    <row r="895" spans="1:14" x14ac:dyDescent="0.2">
      <c r="A895">
        <v>2014</v>
      </c>
      <c r="B895">
        <v>6</v>
      </c>
      <c r="C895">
        <v>2.41</v>
      </c>
      <c r="D895">
        <v>1.93</v>
      </c>
      <c r="E895">
        <v>0.47</v>
      </c>
      <c r="F895">
        <v>1.55</v>
      </c>
      <c r="G895">
        <v>1.46</v>
      </c>
      <c r="H895">
        <v>0.32</v>
      </c>
      <c r="I895">
        <v>3.96</v>
      </c>
      <c r="J895">
        <v>3.39</v>
      </c>
      <c r="K895">
        <v>0.59</v>
      </c>
      <c r="L895">
        <v>0.67</v>
      </c>
      <c r="M895">
        <v>0.63</v>
      </c>
      <c r="N895">
        <v>0.12</v>
      </c>
    </row>
    <row r="896" spans="1:14" x14ac:dyDescent="0.2">
      <c r="A896">
        <v>2014</v>
      </c>
      <c r="B896">
        <v>7</v>
      </c>
      <c r="C896">
        <v>2.38</v>
      </c>
      <c r="D896">
        <v>1.92</v>
      </c>
      <c r="E896">
        <v>0.48</v>
      </c>
      <c r="F896">
        <v>1.6</v>
      </c>
      <c r="G896">
        <v>1.49</v>
      </c>
      <c r="H896">
        <v>0.32</v>
      </c>
      <c r="I896">
        <v>3.98</v>
      </c>
      <c r="J896">
        <v>3.41</v>
      </c>
      <c r="K896">
        <v>0.6</v>
      </c>
      <c r="L896">
        <v>0.67</v>
      </c>
      <c r="M896">
        <v>0.65</v>
      </c>
      <c r="N896">
        <v>0.13</v>
      </c>
    </row>
    <row r="897" spans="1:14" x14ac:dyDescent="0.2">
      <c r="A897">
        <v>2014</v>
      </c>
      <c r="B897">
        <v>8</v>
      </c>
      <c r="C897">
        <v>1.97</v>
      </c>
      <c r="D897">
        <v>1.99</v>
      </c>
      <c r="E897">
        <v>0.44</v>
      </c>
      <c r="F897">
        <v>1.47</v>
      </c>
      <c r="G897">
        <v>1.53</v>
      </c>
      <c r="H897">
        <v>0.31</v>
      </c>
      <c r="I897">
        <v>3.44</v>
      </c>
      <c r="J897">
        <v>3.52</v>
      </c>
      <c r="K897">
        <v>0.55000000000000004</v>
      </c>
      <c r="L897">
        <v>0.65</v>
      </c>
      <c r="M897">
        <v>0.68</v>
      </c>
      <c r="N897">
        <v>0.13</v>
      </c>
    </row>
    <row r="898" spans="1:14" x14ac:dyDescent="0.2">
      <c r="A898">
        <v>2014</v>
      </c>
      <c r="B898">
        <v>9</v>
      </c>
      <c r="C898">
        <v>1.57</v>
      </c>
      <c r="D898">
        <v>2.11</v>
      </c>
      <c r="E898">
        <v>0.39</v>
      </c>
      <c r="F898">
        <v>1.4</v>
      </c>
      <c r="G898">
        <v>1.58</v>
      </c>
      <c r="H898">
        <v>0.3</v>
      </c>
      <c r="I898">
        <v>2.98</v>
      </c>
      <c r="J898">
        <v>3.69</v>
      </c>
      <c r="K898">
        <v>0.51</v>
      </c>
      <c r="L898">
        <v>0.65</v>
      </c>
      <c r="M898">
        <v>0.7</v>
      </c>
      <c r="N898">
        <v>0.12</v>
      </c>
    </row>
    <row r="899" spans="1:14" x14ac:dyDescent="0.2">
      <c r="A899">
        <v>2014</v>
      </c>
      <c r="B899">
        <v>10</v>
      </c>
      <c r="C899">
        <v>1.44</v>
      </c>
      <c r="D899">
        <v>2.25</v>
      </c>
      <c r="E899">
        <v>0.4</v>
      </c>
      <c r="F899">
        <v>1.44</v>
      </c>
      <c r="G899">
        <v>1.63</v>
      </c>
      <c r="H899">
        <v>0.3</v>
      </c>
      <c r="I899">
        <v>2.88</v>
      </c>
      <c r="J899">
        <v>3.88</v>
      </c>
      <c r="K899">
        <v>0.52</v>
      </c>
      <c r="L899">
        <v>0.67</v>
      </c>
      <c r="M899">
        <v>0.73</v>
      </c>
      <c r="N899">
        <v>0.12</v>
      </c>
    </row>
    <row r="900" spans="1:14" x14ac:dyDescent="0.2">
      <c r="A900">
        <v>2014</v>
      </c>
      <c r="B900">
        <v>11</v>
      </c>
      <c r="C900">
        <v>1.38</v>
      </c>
      <c r="D900">
        <v>2.4</v>
      </c>
      <c r="E900">
        <v>0.41</v>
      </c>
      <c r="F900">
        <v>1.43</v>
      </c>
      <c r="G900">
        <v>1.68</v>
      </c>
      <c r="H900">
        <v>0.28999999999999998</v>
      </c>
      <c r="I900">
        <v>2.81</v>
      </c>
      <c r="J900">
        <v>4.07</v>
      </c>
      <c r="K900">
        <v>0.52</v>
      </c>
      <c r="L900">
        <v>0.67</v>
      </c>
      <c r="M900">
        <v>0.75</v>
      </c>
      <c r="N900">
        <v>0.12</v>
      </c>
    </row>
    <row r="901" spans="1:14" x14ac:dyDescent="0.2">
      <c r="A901">
        <v>2014</v>
      </c>
      <c r="B901">
        <v>12</v>
      </c>
      <c r="C901">
        <v>1.64</v>
      </c>
      <c r="D901">
        <v>2.5</v>
      </c>
      <c r="E901">
        <v>0.42</v>
      </c>
      <c r="F901">
        <v>1.51</v>
      </c>
      <c r="G901">
        <v>1.72</v>
      </c>
      <c r="H901">
        <v>0.28000000000000003</v>
      </c>
      <c r="I901">
        <v>3.16</v>
      </c>
      <c r="J901">
        <v>4.22</v>
      </c>
      <c r="K901">
        <v>0.52</v>
      </c>
      <c r="L901">
        <v>0.69</v>
      </c>
      <c r="M901">
        <v>0.77</v>
      </c>
      <c r="N901">
        <v>0.11</v>
      </c>
    </row>
    <row r="902" spans="1:14" x14ac:dyDescent="0.2">
      <c r="A902">
        <v>2015</v>
      </c>
      <c r="B902">
        <v>1</v>
      </c>
      <c r="C902">
        <v>2.81</v>
      </c>
      <c r="D902">
        <v>2.58</v>
      </c>
      <c r="E902">
        <v>0.42</v>
      </c>
      <c r="F902">
        <v>1.99</v>
      </c>
      <c r="G902">
        <v>1.76</v>
      </c>
      <c r="H902">
        <v>0.3</v>
      </c>
      <c r="I902">
        <v>4.8099999999999996</v>
      </c>
      <c r="J902">
        <v>4.34</v>
      </c>
      <c r="K902">
        <v>0.53</v>
      </c>
      <c r="L902">
        <v>0.9</v>
      </c>
      <c r="M902">
        <v>0.79</v>
      </c>
      <c r="N902">
        <v>0.12</v>
      </c>
    </row>
    <row r="903" spans="1:14" x14ac:dyDescent="0.2">
      <c r="A903">
        <v>2015</v>
      </c>
      <c r="B903">
        <v>2</v>
      </c>
      <c r="C903">
        <v>3.24</v>
      </c>
      <c r="D903">
        <v>2.68</v>
      </c>
      <c r="E903">
        <v>0.41</v>
      </c>
      <c r="F903">
        <v>2.0699999999999998</v>
      </c>
      <c r="G903">
        <v>1.8</v>
      </c>
      <c r="H903">
        <v>0.31</v>
      </c>
      <c r="I903">
        <v>5.3</v>
      </c>
      <c r="J903">
        <v>4.4800000000000004</v>
      </c>
      <c r="K903">
        <v>0.53</v>
      </c>
      <c r="L903">
        <v>0.94</v>
      </c>
      <c r="M903">
        <v>0.81</v>
      </c>
      <c r="N903">
        <v>0.13</v>
      </c>
    </row>
    <row r="904" spans="1:14" x14ac:dyDescent="0.2">
      <c r="A904">
        <v>2015</v>
      </c>
      <c r="B904">
        <v>3</v>
      </c>
      <c r="C904">
        <v>3.55</v>
      </c>
      <c r="D904">
        <v>2.81</v>
      </c>
      <c r="E904">
        <v>0.4</v>
      </c>
      <c r="F904">
        <v>1.96</v>
      </c>
      <c r="G904">
        <v>1.84</v>
      </c>
      <c r="H904">
        <v>0.31</v>
      </c>
      <c r="I904">
        <v>5.51</v>
      </c>
      <c r="J904">
        <v>4.66</v>
      </c>
      <c r="K904">
        <v>0.53</v>
      </c>
      <c r="L904">
        <v>0.9</v>
      </c>
      <c r="M904">
        <v>0.82</v>
      </c>
      <c r="N904">
        <v>0.13</v>
      </c>
    </row>
    <row r="905" spans="1:14" x14ac:dyDescent="0.2">
      <c r="A905">
        <v>2015</v>
      </c>
      <c r="B905">
        <v>4</v>
      </c>
      <c r="C905">
        <v>3.6</v>
      </c>
      <c r="D905">
        <v>2.94</v>
      </c>
      <c r="E905">
        <v>0.36</v>
      </c>
      <c r="F905">
        <v>1.98</v>
      </c>
      <c r="G905">
        <v>1.88</v>
      </c>
      <c r="H905">
        <v>0.3</v>
      </c>
      <c r="I905">
        <v>5.58</v>
      </c>
      <c r="J905">
        <v>4.82</v>
      </c>
      <c r="K905">
        <v>0.49</v>
      </c>
      <c r="L905">
        <v>0.9</v>
      </c>
      <c r="M905">
        <v>0.84</v>
      </c>
      <c r="N905">
        <v>0.13</v>
      </c>
    </row>
    <row r="906" spans="1:14" x14ac:dyDescent="0.2">
      <c r="A906">
        <v>2015</v>
      </c>
      <c r="B906">
        <v>5</v>
      </c>
      <c r="C906">
        <v>3.51</v>
      </c>
      <c r="D906">
        <v>3.05</v>
      </c>
      <c r="E906">
        <v>0.35</v>
      </c>
      <c r="F906">
        <v>2.04</v>
      </c>
      <c r="G906">
        <v>1.91</v>
      </c>
      <c r="H906">
        <v>0.3</v>
      </c>
      <c r="I906">
        <v>5.55</v>
      </c>
      <c r="J906">
        <v>4.96</v>
      </c>
      <c r="K906">
        <v>0.48</v>
      </c>
      <c r="L906">
        <v>0.89</v>
      </c>
      <c r="M906">
        <v>0.85</v>
      </c>
      <c r="N906">
        <v>0.12</v>
      </c>
    </row>
    <row r="907" spans="1:14" x14ac:dyDescent="0.2">
      <c r="A907">
        <v>2015</v>
      </c>
      <c r="B907">
        <v>6</v>
      </c>
      <c r="C907">
        <v>3.29</v>
      </c>
      <c r="D907">
        <v>3.17</v>
      </c>
      <c r="E907">
        <v>0.36</v>
      </c>
      <c r="F907">
        <v>2.0499999999999998</v>
      </c>
      <c r="G907">
        <v>1.93</v>
      </c>
      <c r="H907">
        <v>0.3</v>
      </c>
      <c r="I907">
        <v>5.34</v>
      </c>
      <c r="J907">
        <v>5.0999999999999996</v>
      </c>
      <c r="K907">
        <v>0.47</v>
      </c>
      <c r="L907">
        <v>0.86</v>
      </c>
      <c r="M907">
        <v>0.86</v>
      </c>
      <c r="N907">
        <v>0.12</v>
      </c>
    </row>
    <row r="908" spans="1:14" x14ac:dyDescent="0.2">
      <c r="A908">
        <v>2015</v>
      </c>
      <c r="B908">
        <v>7</v>
      </c>
      <c r="C908">
        <v>3.42</v>
      </c>
      <c r="D908">
        <v>3.23</v>
      </c>
      <c r="E908">
        <v>0.37</v>
      </c>
      <c r="F908">
        <v>2.04</v>
      </c>
      <c r="G908">
        <v>1.95</v>
      </c>
      <c r="H908">
        <v>0.28999999999999998</v>
      </c>
      <c r="I908">
        <v>5.46</v>
      </c>
      <c r="J908">
        <v>5.18</v>
      </c>
      <c r="K908">
        <v>0.47</v>
      </c>
      <c r="L908">
        <v>0.86</v>
      </c>
      <c r="M908">
        <v>0.88</v>
      </c>
      <c r="N908">
        <v>0.12</v>
      </c>
    </row>
    <row r="909" spans="1:14" x14ac:dyDescent="0.2">
      <c r="A909">
        <v>2015</v>
      </c>
      <c r="B909">
        <v>8</v>
      </c>
      <c r="C909">
        <v>3.46</v>
      </c>
      <c r="D909">
        <v>3.21</v>
      </c>
      <c r="E909">
        <v>0.28999999999999998</v>
      </c>
      <c r="F909">
        <v>1.95</v>
      </c>
      <c r="G909">
        <v>1.96</v>
      </c>
      <c r="H909">
        <v>0.3</v>
      </c>
      <c r="I909">
        <v>5.41</v>
      </c>
      <c r="J909">
        <v>5.17</v>
      </c>
      <c r="K909">
        <v>0.41</v>
      </c>
      <c r="L909">
        <v>0.87</v>
      </c>
      <c r="M909">
        <v>0.89</v>
      </c>
      <c r="N909">
        <v>0.12</v>
      </c>
    </row>
    <row r="910" spans="1:14" x14ac:dyDescent="0.2">
      <c r="A910">
        <v>2015</v>
      </c>
      <c r="B910">
        <v>9</v>
      </c>
      <c r="C910">
        <v>3.21</v>
      </c>
      <c r="D910">
        <v>3.13</v>
      </c>
      <c r="E910">
        <v>0.28999999999999998</v>
      </c>
      <c r="F910">
        <v>1.93</v>
      </c>
      <c r="G910">
        <v>1.98</v>
      </c>
      <c r="H910">
        <v>0.31</v>
      </c>
      <c r="I910">
        <v>5.14</v>
      </c>
      <c r="J910">
        <v>5.1100000000000003</v>
      </c>
      <c r="K910">
        <v>0.41</v>
      </c>
      <c r="L910">
        <v>0.84</v>
      </c>
      <c r="M910">
        <v>0.9</v>
      </c>
      <c r="N910">
        <v>0.12</v>
      </c>
    </row>
    <row r="911" spans="1:14" x14ac:dyDescent="0.2">
      <c r="A911">
        <v>2015</v>
      </c>
      <c r="B911">
        <v>10</v>
      </c>
      <c r="C911">
        <v>2.76</v>
      </c>
      <c r="D911">
        <v>3.04</v>
      </c>
      <c r="E911">
        <v>0.31</v>
      </c>
      <c r="F911">
        <v>1.8</v>
      </c>
      <c r="G911">
        <v>1.99</v>
      </c>
      <c r="H911">
        <v>0.3</v>
      </c>
      <c r="I911">
        <v>4.5599999999999996</v>
      </c>
      <c r="J911">
        <v>5.03</v>
      </c>
      <c r="K911">
        <v>0.42</v>
      </c>
      <c r="L911">
        <v>0.84</v>
      </c>
      <c r="M911">
        <v>0.91</v>
      </c>
      <c r="N911">
        <v>0.11</v>
      </c>
    </row>
    <row r="912" spans="1:14" x14ac:dyDescent="0.2">
      <c r="A912">
        <v>2015</v>
      </c>
      <c r="B912">
        <v>11</v>
      </c>
      <c r="C912">
        <v>2.88</v>
      </c>
      <c r="D912">
        <v>2.96</v>
      </c>
      <c r="E912">
        <v>0.33</v>
      </c>
      <c r="F912">
        <v>1.76</v>
      </c>
      <c r="G912">
        <v>1.98</v>
      </c>
      <c r="H912">
        <v>0.28999999999999998</v>
      </c>
      <c r="I912">
        <v>4.6399999999999997</v>
      </c>
      <c r="J912">
        <v>4.9400000000000004</v>
      </c>
      <c r="K912">
        <v>0.43</v>
      </c>
      <c r="L912">
        <v>0.82</v>
      </c>
      <c r="M912">
        <v>0.93</v>
      </c>
      <c r="N912">
        <v>0.11</v>
      </c>
    </row>
    <row r="913" spans="1:14" x14ac:dyDescent="0.2">
      <c r="A913">
        <v>2015</v>
      </c>
      <c r="B913">
        <v>12</v>
      </c>
      <c r="C913">
        <v>2.95</v>
      </c>
      <c r="D913">
        <v>2.9</v>
      </c>
      <c r="E913">
        <v>0.32</v>
      </c>
      <c r="F913">
        <v>1.73</v>
      </c>
      <c r="G913">
        <v>1.96</v>
      </c>
      <c r="H913">
        <v>0.28000000000000003</v>
      </c>
      <c r="I913">
        <v>4.68</v>
      </c>
      <c r="J913">
        <v>4.8600000000000003</v>
      </c>
      <c r="K913">
        <v>0.41</v>
      </c>
      <c r="L913">
        <v>0.82</v>
      </c>
      <c r="M913">
        <v>0.95</v>
      </c>
      <c r="N913">
        <v>0.11</v>
      </c>
    </row>
    <row r="914" spans="1:14" x14ac:dyDescent="0.2">
      <c r="A914">
        <v>2016</v>
      </c>
      <c r="B914">
        <v>1</v>
      </c>
      <c r="C914">
        <v>2.97</v>
      </c>
      <c r="D914">
        <v>2.86</v>
      </c>
      <c r="E914">
        <v>0.36</v>
      </c>
      <c r="F914">
        <v>2.19</v>
      </c>
      <c r="G914">
        <v>1.95</v>
      </c>
      <c r="H914">
        <v>0.37</v>
      </c>
      <c r="I914">
        <v>5.16</v>
      </c>
      <c r="J914">
        <v>4.8</v>
      </c>
      <c r="K914">
        <v>0.52</v>
      </c>
      <c r="L914">
        <v>1.03</v>
      </c>
      <c r="M914">
        <v>0.97</v>
      </c>
      <c r="N914">
        <v>0.15</v>
      </c>
    </row>
    <row r="915" spans="1:14" x14ac:dyDescent="0.2">
      <c r="A915">
        <v>2016</v>
      </c>
      <c r="B915">
        <v>2</v>
      </c>
      <c r="C915">
        <v>2.5099999999999998</v>
      </c>
      <c r="D915">
        <v>2.8</v>
      </c>
      <c r="E915">
        <v>0.36</v>
      </c>
      <c r="F915">
        <v>2.23</v>
      </c>
      <c r="G915">
        <v>1.94</v>
      </c>
      <c r="H915">
        <v>0.35</v>
      </c>
      <c r="I915">
        <v>4.74</v>
      </c>
      <c r="J915">
        <v>4.74</v>
      </c>
      <c r="K915">
        <v>0.51</v>
      </c>
      <c r="L915">
        <v>1.06</v>
      </c>
      <c r="M915">
        <v>0.99</v>
      </c>
      <c r="N915">
        <v>0.15</v>
      </c>
    </row>
    <row r="916" spans="1:14" x14ac:dyDescent="0.2">
      <c r="A916">
        <v>2016</v>
      </c>
      <c r="B916">
        <v>3</v>
      </c>
      <c r="C916">
        <v>2.4500000000000002</v>
      </c>
      <c r="D916">
        <v>2.74</v>
      </c>
      <c r="E916">
        <v>0.35</v>
      </c>
      <c r="F916">
        <v>2.12</v>
      </c>
      <c r="G916">
        <v>1.95</v>
      </c>
      <c r="H916">
        <v>0.35</v>
      </c>
      <c r="I916">
        <v>4.58</v>
      </c>
      <c r="J916">
        <v>4.6900000000000004</v>
      </c>
      <c r="K916">
        <v>0.5</v>
      </c>
      <c r="L916">
        <v>1.07</v>
      </c>
      <c r="M916">
        <v>1.01</v>
      </c>
      <c r="N916">
        <v>0.15</v>
      </c>
    </row>
    <row r="917" spans="1:14" x14ac:dyDescent="0.2">
      <c r="A917">
        <v>2016</v>
      </c>
      <c r="B917">
        <v>4</v>
      </c>
      <c r="C917">
        <v>2.63</v>
      </c>
      <c r="D917">
        <v>2.7</v>
      </c>
      <c r="E917">
        <v>0.33</v>
      </c>
      <c r="F917">
        <v>1.99</v>
      </c>
      <c r="G917">
        <v>1.98</v>
      </c>
      <c r="H917">
        <v>0.34</v>
      </c>
      <c r="I917">
        <v>4.62</v>
      </c>
      <c r="J917">
        <v>4.68</v>
      </c>
      <c r="K917">
        <v>0.47</v>
      </c>
      <c r="L917">
        <v>1.0900000000000001</v>
      </c>
      <c r="M917">
        <v>1.03</v>
      </c>
      <c r="N917">
        <v>0.15</v>
      </c>
    </row>
    <row r="918" spans="1:14" x14ac:dyDescent="0.2">
      <c r="A918">
        <v>2016</v>
      </c>
      <c r="B918">
        <v>5</v>
      </c>
      <c r="C918">
        <v>2.56</v>
      </c>
      <c r="D918">
        <v>2.69</v>
      </c>
      <c r="E918">
        <v>0.34</v>
      </c>
      <c r="F918">
        <v>1.81</v>
      </c>
      <c r="G918">
        <v>2.02</v>
      </c>
      <c r="H918">
        <v>0.33</v>
      </c>
      <c r="I918">
        <v>4.37</v>
      </c>
      <c r="J918">
        <v>4.71</v>
      </c>
      <c r="K918">
        <v>0.48</v>
      </c>
      <c r="L918">
        <v>1.1100000000000001</v>
      </c>
      <c r="M918">
        <v>1.06</v>
      </c>
      <c r="N918">
        <v>0.14000000000000001</v>
      </c>
    </row>
    <row r="919" spans="1:14" x14ac:dyDescent="0.2">
      <c r="A919">
        <v>2016</v>
      </c>
      <c r="B919">
        <v>6</v>
      </c>
      <c r="C919">
        <v>2.8</v>
      </c>
      <c r="D919">
        <v>2.69</v>
      </c>
      <c r="E919">
        <v>0.34</v>
      </c>
      <c r="F919">
        <v>1.86</v>
      </c>
      <c r="G919">
        <v>2.0699999999999998</v>
      </c>
      <c r="H919">
        <v>0.33</v>
      </c>
      <c r="I919">
        <v>4.6500000000000004</v>
      </c>
      <c r="J919">
        <v>4.7699999999999996</v>
      </c>
      <c r="K919">
        <v>0.48</v>
      </c>
      <c r="L919">
        <v>1.1000000000000001</v>
      </c>
      <c r="M919">
        <v>1.0900000000000001</v>
      </c>
      <c r="N919">
        <v>0.14000000000000001</v>
      </c>
    </row>
    <row r="920" spans="1:14" x14ac:dyDescent="0.2">
      <c r="A920">
        <v>2016</v>
      </c>
      <c r="B920">
        <v>7</v>
      </c>
      <c r="C920">
        <v>2.79</v>
      </c>
      <c r="D920">
        <v>2.74</v>
      </c>
      <c r="E920">
        <v>0.28999999999999998</v>
      </c>
      <c r="F920">
        <v>1.92</v>
      </c>
      <c r="G920">
        <v>2.13</v>
      </c>
      <c r="H920">
        <v>0.33</v>
      </c>
      <c r="I920">
        <v>4.71</v>
      </c>
      <c r="J920">
        <v>4.8600000000000003</v>
      </c>
      <c r="K920">
        <v>0.43</v>
      </c>
      <c r="L920">
        <v>1.1100000000000001</v>
      </c>
      <c r="M920">
        <v>1.1200000000000001</v>
      </c>
      <c r="N920">
        <v>0.14000000000000001</v>
      </c>
    </row>
    <row r="921" spans="1:14" x14ac:dyDescent="0.2">
      <c r="A921">
        <v>2016</v>
      </c>
      <c r="B921">
        <v>8</v>
      </c>
      <c r="C921">
        <v>2.75</v>
      </c>
      <c r="D921">
        <v>2.84</v>
      </c>
      <c r="E921">
        <v>0.26</v>
      </c>
      <c r="F921">
        <v>2.0099999999999998</v>
      </c>
      <c r="G921">
        <v>2.1800000000000002</v>
      </c>
      <c r="H921">
        <v>0.32</v>
      </c>
      <c r="I921">
        <v>4.76</v>
      </c>
      <c r="J921">
        <v>5.01</v>
      </c>
      <c r="K921">
        <v>0.39</v>
      </c>
      <c r="L921">
        <v>1.08</v>
      </c>
      <c r="M921">
        <v>1.1399999999999999</v>
      </c>
      <c r="N921">
        <v>0.14000000000000001</v>
      </c>
    </row>
    <row r="922" spans="1:14" x14ac:dyDescent="0.2">
      <c r="A922">
        <v>2016</v>
      </c>
      <c r="B922">
        <v>9</v>
      </c>
      <c r="C922">
        <v>2.34</v>
      </c>
      <c r="D922">
        <v>3.01</v>
      </c>
      <c r="E922">
        <v>0.26</v>
      </c>
      <c r="F922">
        <v>2.11</v>
      </c>
      <c r="G922">
        <v>2.23</v>
      </c>
      <c r="H922">
        <v>0.32</v>
      </c>
      <c r="I922">
        <v>4.45</v>
      </c>
      <c r="J922">
        <v>5.24</v>
      </c>
      <c r="K922">
        <v>0.39</v>
      </c>
      <c r="L922">
        <v>1.1100000000000001</v>
      </c>
      <c r="M922">
        <v>1.17</v>
      </c>
      <c r="N922">
        <v>0.14000000000000001</v>
      </c>
    </row>
    <row r="923" spans="1:14" x14ac:dyDescent="0.2">
      <c r="A923">
        <v>2016</v>
      </c>
      <c r="B923">
        <v>10</v>
      </c>
      <c r="C923">
        <v>2.71</v>
      </c>
      <c r="D923">
        <v>3.22</v>
      </c>
      <c r="E923">
        <v>0.28999999999999998</v>
      </c>
      <c r="F923">
        <v>2.25</v>
      </c>
      <c r="G923">
        <v>2.29</v>
      </c>
      <c r="H923">
        <v>0.32</v>
      </c>
      <c r="I923">
        <v>4.95</v>
      </c>
      <c r="J923">
        <v>5.5</v>
      </c>
      <c r="K923">
        <v>0.42</v>
      </c>
      <c r="L923">
        <v>1.1399999999999999</v>
      </c>
      <c r="M923">
        <v>1.19</v>
      </c>
      <c r="N923">
        <v>0.13</v>
      </c>
    </row>
    <row r="924" spans="1:14" x14ac:dyDescent="0.2">
      <c r="A924">
        <v>2016</v>
      </c>
      <c r="B924">
        <v>11</v>
      </c>
      <c r="C924">
        <v>2.73</v>
      </c>
      <c r="D924">
        <v>3.43</v>
      </c>
      <c r="E924">
        <v>0.27</v>
      </c>
      <c r="F924">
        <v>2.31</v>
      </c>
      <c r="G924">
        <v>2.36</v>
      </c>
      <c r="H924">
        <v>0.32</v>
      </c>
      <c r="I924">
        <v>5.05</v>
      </c>
      <c r="J924">
        <v>5.78</v>
      </c>
      <c r="K924">
        <v>0.4</v>
      </c>
      <c r="L924">
        <v>1.17</v>
      </c>
      <c r="M924">
        <v>1.22</v>
      </c>
      <c r="N924">
        <v>0.13</v>
      </c>
    </row>
    <row r="925" spans="1:14" x14ac:dyDescent="0.2">
      <c r="A925">
        <v>2016</v>
      </c>
      <c r="B925">
        <v>12</v>
      </c>
      <c r="C925">
        <v>3.24</v>
      </c>
      <c r="D925">
        <v>3.6</v>
      </c>
      <c r="E925">
        <v>0.25</v>
      </c>
      <c r="F925">
        <v>2.42</v>
      </c>
      <c r="G925">
        <v>2.44</v>
      </c>
      <c r="H925">
        <v>0.31</v>
      </c>
      <c r="I925">
        <v>5.66</v>
      </c>
      <c r="J925">
        <v>6.03</v>
      </c>
      <c r="K925">
        <v>0.4</v>
      </c>
      <c r="L925">
        <v>1.1599999999999999</v>
      </c>
      <c r="M925">
        <v>1.25</v>
      </c>
      <c r="N925">
        <v>0.13</v>
      </c>
    </row>
    <row r="926" spans="1:14" x14ac:dyDescent="0.2">
      <c r="A926">
        <v>2017</v>
      </c>
      <c r="B926">
        <v>1</v>
      </c>
      <c r="C926">
        <v>3.65</v>
      </c>
      <c r="D926">
        <v>3.74</v>
      </c>
      <c r="E926">
        <v>0.27</v>
      </c>
      <c r="F926">
        <v>2.83</v>
      </c>
      <c r="G926">
        <v>2.52</v>
      </c>
      <c r="H926">
        <v>0.38</v>
      </c>
      <c r="I926">
        <v>6.48</v>
      </c>
      <c r="J926">
        <v>6.26</v>
      </c>
      <c r="K926">
        <v>0.48</v>
      </c>
      <c r="L926">
        <v>1.36</v>
      </c>
      <c r="M926">
        <v>1.28</v>
      </c>
      <c r="N926">
        <v>0.17</v>
      </c>
    </row>
    <row r="927" spans="1:14" x14ac:dyDescent="0.2">
      <c r="A927">
        <v>2017</v>
      </c>
      <c r="B927">
        <v>2</v>
      </c>
      <c r="C927">
        <v>4.2300000000000004</v>
      </c>
      <c r="D927">
        <v>3.89</v>
      </c>
      <c r="E927">
        <v>0.26</v>
      </c>
      <c r="F927">
        <v>2.75</v>
      </c>
      <c r="G927">
        <v>2.59</v>
      </c>
      <c r="H927">
        <v>0.38</v>
      </c>
      <c r="I927">
        <v>6.97</v>
      </c>
      <c r="J927">
        <v>6.47</v>
      </c>
      <c r="K927">
        <v>0.47</v>
      </c>
      <c r="L927">
        <v>1.38</v>
      </c>
      <c r="M927">
        <v>1.31</v>
      </c>
      <c r="N927">
        <v>0.16</v>
      </c>
    </row>
    <row r="928" spans="1:14" x14ac:dyDescent="0.2">
      <c r="A928">
        <v>2017</v>
      </c>
      <c r="B928">
        <v>3</v>
      </c>
      <c r="C928">
        <v>4.93</v>
      </c>
      <c r="D928">
        <v>4.0599999999999996</v>
      </c>
      <c r="E928">
        <v>0.28000000000000003</v>
      </c>
      <c r="F928">
        <v>2.79</v>
      </c>
      <c r="G928">
        <v>2.65</v>
      </c>
      <c r="H928">
        <v>0.37</v>
      </c>
      <c r="I928">
        <v>7.72</v>
      </c>
      <c r="J928">
        <v>6.71</v>
      </c>
      <c r="K928">
        <v>0.47</v>
      </c>
      <c r="L928">
        <v>1.37</v>
      </c>
      <c r="M928">
        <v>1.34</v>
      </c>
      <c r="N928">
        <v>0.16</v>
      </c>
    </row>
    <row r="929" spans="1:14" x14ac:dyDescent="0.2">
      <c r="A929">
        <v>2017</v>
      </c>
      <c r="B929">
        <v>4</v>
      </c>
      <c r="C929">
        <v>5.17</v>
      </c>
      <c r="D929">
        <v>4.26</v>
      </c>
      <c r="E929">
        <v>0.3</v>
      </c>
      <c r="F929">
        <v>2.76</v>
      </c>
      <c r="G929">
        <v>2.71</v>
      </c>
      <c r="H929">
        <v>0.37</v>
      </c>
      <c r="I929">
        <v>7.94</v>
      </c>
      <c r="J929">
        <v>6.97</v>
      </c>
      <c r="K929">
        <v>0.47</v>
      </c>
      <c r="L929">
        <v>1.4</v>
      </c>
      <c r="M929">
        <v>1.37</v>
      </c>
      <c r="N929">
        <v>0.16</v>
      </c>
    </row>
    <row r="930" spans="1:14" x14ac:dyDescent="0.2">
      <c r="A930">
        <v>2017</v>
      </c>
      <c r="B930">
        <v>5</v>
      </c>
      <c r="C930">
        <v>4.96</v>
      </c>
      <c r="D930">
        <v>4.43</v>
      </c>
      <c r="E930">
        <v>0.31</v>
      </c>
      <c r="F930">
        <v>2.8</v>
      </c>
      <c r="G930">
        <v>2.76</v>
      </c>
      <c r="H930">
        <v>0.36</v>
      </c>
      <c r="I930">
        <v>7.76</v>
      </c>
      <c r="J930">
        <v>7.19</v>
      </c>
      <c r="K930">
        <v>0.47</v>
      </c>
      <c r="L930">
        <v>1.46</v>
      </c>
      <c r="M930">
        <v>1.4</v>
      </c>
      <c r="N930">
        <v>0.15</v>
      </c>
    </row>
    <row r="931" spans="1:14" x14ac:dyDescent="0.2">
      <c r="A931">
        <v>2017</v>
      </c>
      <c r="B931">
        <v>6</v>
      </c>
      <c r="C931">
        <v>4.4800000000000004</v>
      </c>
      <c r="D931">
        <v>4.57</v>
      </c>
      <c r="E931">
        <v>0.28999999999999998</v>
      </c>
      <c r="F931">
        <v>2.8</v>
      </c>
      <c r="G931">
        <v>2.79</v>
      </c>
      <c r="H931">
        <v>0.36</v>
      </c>
      <c r="I931">
        <v>7.28</v>
      </c>
      <c r="J931">
        <v>7.36</v>
      </c>
      <c r="K931">
        <v>0.44</v>
      </c>
      <c r="L931">
        <v>1.47</v>
      </c>
      <c r="M931">
        <v>1.43</v>
      </c>
      <c r="N931">
        <v>0.15</v>
      </c>
    </row>
    <row r="932" spans="1:14" x14ac:dyDescent="0.2">
      <c r="A932">
        <v>2017</v>
      </c>
      <c r="B932">
        <v>7</v>
      </c>
      <c r="C932">
        <v>4.59</v>
      </c>
      <c r="D932">
        <v>4.66</v>
      </c>
      <c r="E932">
        <v>0.3</v>
      </c>
      <c r="F932">
        <v>2.83</v>
      </c>
      <c r="G932">
        <v>2.81</v>
      </c>
      <c r="H932">
        <v>0.36</v>
      </c>
      <c r="I932">
        <v>7.41</v>
      </c>
      <c r="J932">
        <v>7.47</v>
      </c>
      <c r="K932">
        <v>0.45</v>
      </c>
      <c r="L932">
        <v>1.46</v>
      </c>
      <c r="M932">
        <v>1.46</v>
      </c>
      <c r="N932">
        <v>0.15</v>
      </c>
    </row>
    <row r="933" spans="1:14" x14ac:dyDescent="0.2">
      <c r="A933">
        <v>2017</v>
      </c>
      <c r="B933">
        <v>8</v>
      </c>
      <c r="C933">
        <v>4.43</v>
      </c>
      <c r="D933">
        <v>4.7300000000000004</v>
      </c>
      <c r="E933">
        <v>0.28999999999999998</v>
      </c>
      <c r="F933">
        <v>2.79</v>
      </c>
      <c r="G933">
        <v>2.81</v>
      </c>
      <c r="H933">
        <v>0.34</v>
      </c>
      <c r="I933">
        <v>7.22</v>
      </c>
      <c r="J933">
        <v>7.55</v>
      </c>
      <c r="K933">
        <v>0.44</v>
      </c>
      <c r="L933">
        <v>1.46</v>
      </c>
      <c r="M933">
        <v>1.49</v>
      </c>
      <c r="N933">
        <v>0.14000000000000001</v>
      </c>
    </row>
    <row r="934" spans="1:14" x14ac:dyDescent="0.2">
      <c r="A934">
        <v>2017</v>
      </c>
      <c r="B934">
        <v>9</v>
      </c>
      <c r="C934">
        <v>4.84</v>
      </c>
      <c r="D934">
        <v>4.79</v>
      </c>
      <c r="E934">
        <v>0.27</v>
      </c>
      <c r="F934">
        <v>2.9</v>
      </c>
      <c r="G934">
        <v>2.81</v>
      </c>
      <c r="H934">
        <v>0.34</v>
      </c>
      <c r="I934">
        <v>7.75</v>
      </c>
      <c r="J934">
        <v>7.6</v>
      </c>
      <c r="K934">
        <v>0.41</v>
      </c>
      <c r="L934">
        <v>1.48</v>
      </c>
      <c r="M934">
        <v>1.52</v>
      </c>
      <c r="N934">
        <v>0.14000000000000001</v>
      </c>
    </row>
    <row r="935" spans="1:14" x14ac:dyDescent="0.2">
      <c r="A935">
        <v>2017</v>
      </c>
      <c r="B935">
        <v>10</v>
      </c>
      <c r="C935">
        <v>4.9400000000000004</v>
      </c>
      <c r="D935">
        <v>4.8099999999999996</v>
      </c>
      <c r="E935">
        <v>0.27</v>
      </c>
      <c r="F935">
        <v>2.92</v>
      </c>
      <c r="G935">
        <v>2.8</v>
      </c>
      <c r="H935">
        <v>0.32</v>
      </c>
      <c r="I935">
        <v>7.86</v>
      </c>
      <c r="J935">
        <v>7.61</v>
      </c>
      <c r="K935">
        <v>0.39</v>
      </c>
      <c r="L935">
        <v>1.51</v>
      </c>
      <c r="M935">
        <v>1.54</v>
      </c>
      <c r="N935">
        <v>0.13</v>
      </c>
    </row>
    <row r="936" spans="1:14" x14ac:dyDescent="0.2">
      <c r="A936">
        <v>2017</v>
      </c>
      <c r="B936">
        <v>11</v>
      </c>
      <c r="C936">
        <v>4.7</v>
      </c>
      <c r="D936">
        <v>4.83</v>
      </c>
      <c r="E936">
        <v>0.26</v>
      </c>
      <c r="F936">
        <v>2.84</v>
      </c>
      <c r="G936">
        <v>2.77</v>
      </c>
      <c r="H936">
        <v>0.32</v>
      </c>
      <c r="I936">
        <v>7.54</v>
      </c>
      <c r="J936">
        <v>7.6</v>
      </c>
      <c r="K936">
        <v>0.38</v>
      </c>
      <c r="L936">
        <v>1.51</v>
      </c>
      <c r="M936">
        <v>1.56</v>
      </c>
      <c r="N936">
        <v>0.13</v>
      </c>
    </row>
    <row r="937" spans="1:14" x14ac:dyDescent="0.2">
      <c r="A937">
        <v>2017</v>
      </c>
      <c r="B937">
        <v>12</v>
      </c>
      <c r="C937">
        <v>4.49</v>
      </c>
      <c r="D937">
        <v>4.8499999999999996</v>
      </c>
      <c r="E937">
        <v>0.25</v>
      </c>
      <c r="F937">
        <v>2.65</v>
      </c>
      <c r="G937">
        <v>2.73</v>
      </c>
      <c r="H937">
        <v>0.31</v>
      </c>
      <c r="I937">
        <v>7.14</v>
      </c>
      <c r="J937">
        <v>7.59</v>
      </c>
      <c r="K937">
        <v>0.38</v>
      </c>
      <c r="L937">
        <v>1.54</v>
      </c>
      <c r="M937">
        <v>1.57</v>
      </c>
      <c r="N937">
        <v>0.12</v>
      </c>
    </row>
    <row r="938" spans="1:14" x14ac:dyDescent="0.2">
      <c r="A938">
        <v>2018</v>
      </c>
      <c r="B938">
        <v>1</v>
      </c>
      <c r="C938">
        <v>4.67</v>
      </c>
      <c r="D938">
        <v>4.87</v>
      </c>
      <c r="E938">
        <v>0.28999999999999998</v>
      </c>
      <c r="F938">
        <v>2.89</v>
      </c>
      <c r="G938">
        <v>2.69</v>
      </c>
      <c r="H938">
        <v>0.39</v>
      </c>
      <c r="I938">
        <v>7.56</v>
      </c>
      <c r="J938">
        <v>7.56</v>
      </c>
      <c r="K938">
        <v>0.49</v>
      </c>
      <c r="L938">
        <v>1.73</v>
      </c>
      <c r="M938">
        <v>1.59</v>
      </c>
      <c r="N938">
        <v>0.16</v>
      </c>
    </row>
    <row r="939" spans="1:14" x14ac:dyDescent="0.2">
      <c r="A939">
        <v>2018</v>
      </c>
      <c r="B939">
        <v>2</v>
      </c>
      <c r="C939">
        <v>4.99</v>
      </c>
      <c r="D939">
        <v>4.8899999999999997</v>
      </c>
      <c r="E939">
        <v>0.27</v>
      </c>
      <c r="F939">
        <v>2.87</v>
      </c>
      <c r="G939">
        <v>2.64</v>
      </c>
      <c r="H939">
        <v>0.38</v>
      </c>
      <c r="I939">
        <v>7.86</v>
      </c>
      <c r="J939">
        <v>7.53</v>
      </c>
      <c r="K939">
        <v>0.49</v>
      </c>
      <c r="L939">
        <v>1.72</v>
      </c>
      <c r="M939">
        <v>1.6</v>
      </c>
      <c r="N939">
        <v>0.16</v>
      </c>
    </row>
    <row r="940" spans="1:14" x14ac:dyDescent="0.2">
      <c r="A940">
        <v>2018</v>
      </c>
      <c r="B940">
        <v>3</v>
      </c>
      <c r="C940">
        <v>5.39</v>
      </c>
      <c r="D940">
        <v>4.91</v>
      </c>
      <c r="E940">
        <v>0.25</v>
      </c>
      <c r="F940">
        <v>2.65</v>
      </c>
      <c r="G940">
        <v>2.59</v>
      </c>
      <c r="H940">
        <v>0.37</v>
      </c>
      <c r="I940">
        <v>8.0399999999999991</v>
      </c>
      <c r="J940">
        <v>7.5</v>
      </c>
      <c r="K940">
        <v>0.47</v>
      </c>
      <c r="L940">
        <v>1.67</v>
      </c>
      <c r="M940">
        <v>1.63</v>
      </c>
      <c r="N940">
        <v>0.16</v>
      </c>
    </row>
    <row r="941" spans="1:14" x14ac:dyDescent="0.2">
      <c r="A941">
        <v>2018</v>
      </c>
      <c r="B941">
        <v>4</v>
      </c>
      <c r="C941">
        <v>5.3</v>
      </c>
      <c r="D941">
        <v>4.91</v>
      </c>
      <c r="E941">
        <v>0.27</v>
      </c>
      <c r="F941">
        <v>2.5</v>
      </c>
      <c r="G941">
        <v>2.5499999999999998</v>
      </c>
      <c r="H941">
        <v>0.36</v>
      </c>
      <c r="I941">
        <v>7.79</v>
      </c>
      <c r="J941">
        <v>7.46</v>
      </c>
      <c r="K941">
        <v>0.48</v>
      </c>
      <c r="L941">
        <v>1.63</v>
      </c>
      <c r="M941">
        <v>1.65</v>
      </c>
      <c r="N941">
        <v>0.16</v>
      </c>
    </row>
    <row r="942" spans="1:14" x14ac:dyDescent="0.2">
      <c r="A942">
        <v>2018</v>
      </c>
      <c r="B942">
        <v>5</v>
      </c>
      <c r="C942">
        <v>5.34</v>
      </c>
      <c r="D942">
        <v>4.9400000000000004</v>
      </c>
      <c r="E942">
        <v>0.26</v>
      </c>
      <c r="F942">
        <v>2.41</v>
      </c>
      <c r="G942">
        <v>2.52</v>
      </c>
      <c r="H942">
        <v>0.36</v>
      </c>
      <c r="I942">
        <v>7.75</v>
      </c>
      <c r="J942">
        <v>7.46</v>
      </c>
      <c r="K942">
        <v>0.48</v>
      </c>
      <c r="L942">
        <v>1.64</v>
      </c>
      <c r="M942">
        <v>1.68</v>
      </c>
      <c r="N942">
        <v>0.16</v>
      </c>
    </row>
    <row r="943" spans="1:14" x14ac:dyDescent="0.2">
      <c r="A943">
        <v>2018</v>
      </c>
      <c r="B943">
        <v>6</v>
      </c>
      <c r="C943">
        <v>4.6900000000000004</v>
      </c>
      <c r="D943">
        <v>5</v>
      </c>
      <c r="E943">
        <v>0.26</v>
      </c>
      <c r="F943">
        <v>2.3199999999999998</v>
      </c>
      <c r="G943">
        <v>2.5099999999999998</v>
      </c>
      <c r="H943">
        <v>0.36</v>
      </c>
      <c r="I943">
        <v>7.01</v>
      </c>
      <c r="J943">
        <v>7.5</v>
      </c>
      <c r="K943">
        <v>0.48</v>
      </c>
      <c r="L943">
        <v>1.6</v>
      </c>
      <c r="M943">
        <v>1.71</v>
      </c>
      <c r="N943">
        <v>0.15</v>
      </c>
    </row>
    <row r="944" spans="1:14" x14ac:dyDescent="0.2">
      <c r="A944">
        <v>2018</v>
      </c>
      <c r="B944">
        <v>7</v>
      </c>
      <c r="C944">
        <v>4.7</v>
      </c>
      <c r="D944">
        <v>5.0599999999999996</v>
      </c>
      <c r="E944">
        <v>0.24</v>
      </c>
      <c r="F944">
        <v>2.2599999999999998</v>
      </c>
      <c r="G944">
        <v>2.5</v>
      </c>
      <c r="H944">
        <v>0.35</v>
      </c>
      <c r="I944">
        <v>6.97</v>
      </c>
      <c r="J944">
        <v>7.55</v>
      </c>
      <c r="K944">
        <v>0.46</v>
      </c>
      <c r="L944">
        <v>1.62</v>
      </c>
      <c r="M944">
        <v>1.73</v>
      </c>
      <c r="N944">
        <v>0.15</v>
      </c>
    </row>
    <row r="945" spans="1:14" x14ac:dyDescent="0.2">
      <c r="A945">
        <v>2018</v>
      </c>
      <c r="B945">
        <v>8</v>
      </c>
      <c r="C945">
        <v>4.87</v>
      </c>
      <c r="D945">
        <v>5.12</v>
      </c>
      <c r="E945">
        <v>0.28000000000000003</v>
      </c>
      <c r="F945">
        <v>2.2000000000000002</v>
      </c>
      <c r="G945">
        <v>2.4900000000000002</v>
      </c>
      <c r="H945">
        <v>0.33</v>
      </c>
      <c r="I945">
        <v>7.07</v>
      </c>
      <c r="J945">
        <v>7.61</v>
      </c>
      <c r="K945">
        <v>0.44</v>
      </c>
      <c r="L945">
        <v>1.74</v>
      </c>
      <c r="M945">
        <v>1.76</v>
      </c>
      <c r="N945">
        <v>0.15</v>
      </c>
    </row>
    <row r="946" spans="1:14" x14ac:dyDescent="0.2">
      <c r="A946">
        <v>2018</v>
      </c>
      <c r="B946">
        <v>9</v>
      </c>
      <c r="C946">
        <v>4.78</v>
      </c>
      <c r="D946">
        <v>5.22</v>
      </c>
      <c r="E946">
        <v>0.3</v>
      </c>
      <c r="F946">
        <v>2.33</v>
      </c>
      <c r="G946">
        <v>2.5</v>
      </c>
      <c r="H946">
        <v>0.32</v>
      </c>
      <c r="I946">
        <v>7.11</v>
      </c>
      <c r="J946">
        <v>7.72</v>
      </c>
      <c r="K946">
        <v>0.42</v>
      </c>
      <c r="L946">
        <v>1.78</v>
      </c>
      <c r="M946">
        <v>1.79</v>
      </c>
      <c r="N946">
        <v>0.15</v>
      </c>
    </row>
    <row r="947" spans="1:14" x14ac:dyDescent="0.2">
      <c r="A947">
        <v>2018</v>
      </c>
      <c r="B947">
        <v>10</v>
      </c>
      <c r="C947">
        <v>5.13</v>
      </c>
      <c r="D947">
        <v>5.34</v>
      </c>
      <c r="E947">
        <v>0.32</v>
      </c>
      <c r="F947">
        <v>2.44</v>
      </c>
      <c r="G947">
        <v>2.5499999999999998</v>
      </c>
      <c r="H947">
        <v>0.32</v>
      </c>
      <c r="I947">
        <v>7.57</v>
      </c>
      <c r="J947">
        <v>7.89</v>
      </c>
      <c r="K947">
        <v>0.44</v>
      </c>
      <c r="L947">
        <v>1.84</v>
      </c>
      <c r="M947">
        <v>1.83</v>
      </c>
      <c r="N947">
        <v>0.15</v>
      </c>
    </row>
    <row r="948" spans="1:14" x14ac:dyDescent="0.2">
      <c r="A948">
        <v>2018</v>
      </c>
      <c r="B948">
        <v>11</v>
      </c>
      <c r="C948">
        <v>5.24</v>
      </c>
      <c r="D948">
        <v>5.48</v>
      </c>
      <c r="E948">
        <v>0.32</v>
      </c>
      <c r="F948">
        <v>2.61</v>
      </c>
      <c r="G948">
        <v>2.6</v>
      </c>
      <c r="H948">
        <v>0.31</v>
      </c>
      <c r="I948">
        <v>7.85</v>
      </c>
      <c r="J948">
        <v>8.08</v>
      </c>
      <c r="K948">
        <v>0.45</v>
      </c>
      <c r="L948">
        <v>1.86</v>
      </c>
      <c r="M948">
        <v>1.86</v>
      </c>
      <c r="N948">
        <v>0.15</v>
      </c>
    </row>
    <row r="949" spans="1:14" x14ac:dyDescent="0.2">
      <c r="A949">
        <v>2018</v>
      </c>
      <c r="B949">
        <v>12</v>
      </c>
      <c r="C949">
        <v>5.21</v>
      </c>
      <c r="D949">
        <v>5.62</v>
      </c>
      <c r="E949">
        <v>0.33</v>
      </c>
      <c r="F949">
        <v>2.5299999999999998</v>
      </c>
      <c r="G949">
        <v>2.65</v>
      </c>
      <c r="H949">
        <v>0.31</v>
      </c>
      <c r="I949">
        <v>7.74</v>
      </c>
      <c r="J949">
        <v>8.2799999999999994</v>
      </c>
      <c r="K949">
        <v>0.43</v>
      </c>
      <c r="L949">
        <v>1.82</v>
      </c>
      <c r="M949">
        <v>1.9</v>
      </c>
      <c r="N949">
        <v>0.15</v>
      </c>
    </row>
    <row r="950" spans="1:14" x14ac:dyDescent="0.2">
      <c r="A950">
        <v>2019</v>
      </c>
      <c r="B950">
        <v>1</v>
      </c>
      <c r="C950">
        <v>5.41</v>
      </c>
      <c r="D950">
        <v>5.77</v>
      </c>
      <c r="E950">
        <v>0.32</v>
      </c>
      <c r="F950">
        <v>2.75</v>
      </c>
      <c r="G950">
        <v>2.71</v>
      </c>
      <c r="H950">
        <v>0.38</v>
      </c>
      <c r="I950">
        <v>8.16</v>
      </c>
      <c r="J950">
        <v>8.49</v>
      </c>
      <c r="K950">
        <v>0.5</v>
      </c>
      <c r="L950">
        <v>2.04</v>
      </c>
      <c r="M950">
        <v>1.94</v>
      </c>
      <c r="N950">
        <v>0.18</v>
      </c>
    </row>
    <row r="951" spans="1:14" x14ac:dyDescent="0.2">
      <c r="A951">
        <v>2019</v>
      </c>
      <c r="B951">
        <v>2</v>
      </c>
      <c r="C951">
        <v>5.85</v>
      </c>
      <c r="D951">
        <v>5.91</v>
      </c>
      <c r="E951">
        <v>0.31</v>
      </c>
      <c r="F951">
        <v>2.83</v>
      </c>
      <c r="G951">
        <v>2.78</v>
      </c>
      <c r="H951">
        <v>0.38</v>
      </c>
      <c r="I951">
        <v>8.68</v>
      </c>
      <c r="J951">
        <v>8.69</v>
      </c>
      <c r="K951">
        <v>0.51</v>
      </c>
      <c r="L951">
        <v>2.06</v>
      </c>
      <c r="M951">
        <v>1.97</v>
      </c>
      <c r="N951">
        <v>0.17</v>
      </c>
    </row>
    <row r="952" spans="1:14" x14ac:dyDescent="0.2">
      <c r="A952">
        <v>2019</v>
      </c>
      <c r="B952">
        <v>3</v>
      </c>
      <c r="C952">
        <v>6.73</v>
      </c>
      <c r="D952">
        <v>6.03</v>
      </c>
      <c r="E952">
        <v>0.3</v>
      </c>
      <c r="F952">
        <v>3.07</v>
      </c>
      <c r="G952">
        <v>2.85</v>
      </c>
      <c r="H952">
        <v>0.38</v>
      </c>
      <c r="I952">
        <v>9.8000000000000007</v>
      </c>
      <c r="J952">
        <v>8.8800000000000008</v>
      </c>
      <c r="K952">
        <v>0.48</v>
      </c>
      <c r="L952">
        <v>2.0699999999999998</v>
      </c>
      <c r="M952">
        <v>2.0099999999999998</v>
      </c>
      <c r="N952">
        <v>0.17</v>
      </c>
    </row>
    <row r="953" spans="1:14" x14ac:dyDescent="0.2">
      <c r="A953">
        <v>2019</v>
      </c>
      <c r="B953">
        <v>4</v>
      </c>
      <c r="C953">
        <v>7.01</v>
      </c>
      <c r="D953">
        <v>6.13</v>
      </c>
      <c r="E953">
        <v>0.31</v>
      </c>
      <c r="F953">
        <v>3.14</v>
      </c>
      <c r="G953">
        <v>2.9</v>
      </c>
      <c r="H953">
        <v>0.37</v>
      </c>
      <c r="I953">
        <v>10.15</v>
      </c>
      <c r="J953">
        <v>9.0399999999999991</v>
      </c>
      <c r="K953">
        <v>0.49</v>
      </c>
      <c r="L953">
        <v>2.0299999999999998</v>
      </c>
      <c r="M953">
        <v>2.04</v>
      </c>
      <c r="N953">
        <v>0.16</v>
      </c>
    </row>
    <row r="954" spans="1:14" x14ac:dyDescent="0.2">
      <c r="A954">
        <v>2019</v>
      </c>
      <c r="B954">
        <v>5</v>
      </c>
      <c r="C954">
        <v>6.95</v>
      </c>
      <c r="D954">
        <v>6.22</v>
      </c>
      <c r="E954">
        <v>0.33</v>
      </c>
      <c r="F954">
        <v>3.06</v>
      </c>
      <c r="G954">
        <v>2.95</v>
      </c>
      <c r="H954">
        <v>0.36</v>
      </c>
      <c r="I954">
        <v>10.01</v>
      </c>
      <c r="J954">
        <v>9.17</v>
      </c>
      <c r="K954">
        <v>0.48</v>
      </c>
      <c r="L954">
        <v>2.04</v>
      </c>
      <c r="M954">
        <v>2.08</v>
      </c>
      <c r="N954">
        <v>0.16</v>
      </c>
    </row>
    <row r="955" spans="1:14" x14ac:dyDescent="0.2">
      <c r="A955">
        <v>2019</v>
      </c>
      <c r="B955">
        <v>6</v>
      </c>
      <c r="C955">
        <v>6.45</v>
      </c>
      <c r="D955">
        <v>6.33</v>
      </c>
      <c r="E955">
        <v>0.33</v>
      </c>
      <c r="F955">
        <v>2.97</v>
      </c>
      <c r="G955">
        <v>3</v>
      </c>
      <c r="H955">
        <v>0.35</v>
      </c>
      <c r="I955">
        <v>9.42</v>
      </c>
      <c r="J955">
        <v>9.32</v>
      </c>
      <c r="K955">
        <v>0.46</v>
      </c>
      <c r="L955">
        <v>2.09</v>
      </c>
      <c r="M955">
        <v>2.12</v>
      </c>
      <c r="N955">
        <v>0.16</v>
      </c>
    </row>
    <row r="956" spans="1:14" x14ac:dyDescent="0.2">
      <c r="A956">
        <v>2019</v>
      </c>
      <c r="B956">
        <v>7</v>
      </c>
      <c r="C956">
        <v>6.52</v>
      </c>
      <c r="D956">
        <v>6.47</v>
      </c>
      <c r="E956">
        <v>0.32</v>
      </c>
      <c r="F956">
        <v>3.04</v>
      </c>
      <c r="G956">
        <v>3.05</v>
      </c>
      <c r="H956">
        <v>0.35</v>
      </c>
      <c r="I956">
        <v>9.56</v>
      </c>
      <c r="J956">
        <v>9.5299999999999994</v>
      </c>
      <c r="K956">
        <v>0.44</v>
      </c>
      <c r="L956">
        <v>2.09</v>
      </c>
      <c r="M956">
        <v>2.16</v>
      </c>
      <c r="N956">
        <v>0.15</v>
      </c>
    </row>
    <row r="957" spans="1:14" x14ac:dyDescent="0.2">
      <c r="A957">
        <v>2019</v>
      </c>
      <c r="B957">
        <v>8</v>
      </c>
      <c r="C957">
        <v>6.32</v>
      </c>
      <c r="D957">
        <v>6.63</v>
      </c>
      <c r="E957">
        <v>0.32</v>
      </c>
      <c r="F957">
        <v>3.08</v>
      </c>
      <c r="G957">
        <v>3.11</v>
      </c>
      <c r="H957">
        <v>0.35</v>
      </c>
      <c r="I957">
        <v>9.4</v>
      </c>
      <c r="J957">
        <v>9.74</v>
      </c>
      <c r="K957">
        <v>0.43</v>
      </c>
      <c r="L957">
        <v>2.13</v>
      </c>
      <c r="M957">
        <v>2.19</v>
      </c>
      <c r="N957">
        <v>0.15</v>
      </c>
    </row>
    <row r="958" spans="1:14" x14ac:dyDescent="0.2">
      <c r="A958">
        <v>2019</v>
      </c>
      <c r="B958">
        <v>9</v>
      </c>
      <c r="C958">
        <v>6.25</v>
      </c>
      <c r="D958">
        <v>6.76</v>
      </c>
      <c r="E958">
        <v>0.32</v>
      </c>
      <c r="F958">
        <v>3.03</v>
      </c>
      <c r="G958">
        <v>3.15</v>
      </c>
      <c r="H958">
        <v>0.36</v>
      </c>
      <c r="I958">
        <v>9.2899999999999991</v>
      </c>
      <c r="J958">
        <v>9.91</v>
      </c>
      <c r="K958">
        <v>0.43</v>
      </c>
      <c r="L958">
        <v>2.23</v>
      </c>
      <c r="M958">
        <v>2.2200000000000002</v>
      </c>
      <c r="N958">
        <v>0.15</v>
      </c>
    </row>
    <row r="959" spans="1:14" x14ac:dyDescent="0.2">
      <c r="A959">
        <v>2019</v>
      </c>
      <c r="B959">
        <v>10</v>
      </c>
      <c r="C959">
        <v>6.19</v>
      </c>
      <c r="D959">
        <v>6.84</v>
      </c>
      <c r="E959">
        <v>0.32</v>
      </c>
      <c r="F959">
        <v>3.04</v>
      </c>
      <c r="G959">
        <v>3.17</v>
      </c>
      <c r="H959">
        <v>0.35</v>
      </c>
      <c r="I959">
        <v>9.23</v>
      </c>
      <c r="J959">
        <v>10.01</v>
      </c>
      <c r="K959">
        <v>0.44</v>
      </c>
      <c r="L959">
        <v>2.27</v>
      </c>
      <c r="M959">
        <v>2.25</v>
      </c>
      <c r="N959">
        <v>0.15</v>
      </c>
    </row>
    <row r="960" spans="1:14" x14ac:dyDescent="0.2">
      <c r="A960">
        <v>2019</v>
      </c>
      <c r="B960">
        <v>11</v>
      </c>
      <c r="C960">
        <v>6.17</v>
      </c>
      <c r="D960">
        <v>6.9</v>
      </c>
      <c r="E960">
        <v>0.31</v>
      </c>
      <c r="F960">
        <v>3.1</v>
      </c>
      <c r="G960">
        <v>3.2</v>
      </c>
      <c r="H960">
        <v>0.34</v>
      </c>
      <c r="I960">
        <v>9.27</v>
      </c>
      <c r="J960">
        <v>10.1</v>
      </c>
      <c r="K960">
        <v>0.43</v>
      </c>
      <c r="L960">
        <v>2.29</v>
      </c>
      <c r="M960">
        <v>2.29</v>
      </c>
      <c r="N960">
        <v>0.15</v>
      </c>
    </row>
    <row r="961" spans="1:14" x14ac:dyDescent="0.2">
      <c r="A961">
        <v>2019</v>
      </c>
      <c r="B961">
        <v>12</v>
      </c>
      <c r="C961">
        <v>6.86</v>
      </c>
      <c r="D961">
        <v>6.95</v>
      </c>
      <c r="E961">
        <v>0.3</v>
      </c>
      <c r="F961">
        <v>3.16</v>
      </c>
      <c r="G961">
        <v>3.24</v>
      </c>
      <c r="H961">
        <v>0.33</v>
      </c>
      <c r="I961">
        <v>10.02</v>
      </c>
      <c r="J961">
        <v>10.19</v>
      </c>
      <c r="K961">
        <v>0.42</v>
      </c>
      <c r="L961">
        <v>2.31</v>
      </c>
      <c r="M961">
        <v>2.3199999999999998</v>
      </c>
      <c r="N961">
        <v>0.14000000000000001</v>
      </c>
    </row>
    <row r="962" spans="1:14" x14ac:dyDescent="0.2">
      <c r="A962">
        <v>2020</v>
      </c>
      <c r="B962">
        <v>1</v>
      </c>
      <c r="C962">
        <v>7.35</v>
      </c>
      <c r="D962">
        <v>6.96</v>
      </c>
      <c r="E962">
        <v>0.28999999999999998</v>
      </c>
      <c r="F962">
        <v>3.46</v>
      </c>
      <c r="G962">
        <v>3.27</v>
      </c>
      <c r="H962">
        <v>0.33</v>
      </c>
      <c r="I962">
        <v>10.81</v>
      </c>
      <c r="J962">
        <v>10.23</v>
      </c>
      <c r="K962">
        <v>0.41</v>
      </c>
      <c r="L962">
        <v>2.4900000000000002</v>
      </c>
      <c r="M962">
        <v>2.35</v>
      </c>
      <c r="N962">
        <v>0.14000000000000001</v>
      </c>
    </row>
    <row r="963" spans="1:14" x14ac:dyDescent="0.2">
      <c r="A963">
        <v>2020</v>
      </c>
      <c r="B963">
        <v>2</v>
      </c>
      <c r="C963">
        <v>7.73</v>
      </c>
      <c r="D963">
        <v>6.94</v>
      </c>
      <c r="E963">
        <v>0.28999999999999998</v>
      </c>
      <c r="F963">
        <v>3.49</v>
      </c>
      <c r="G963">
        <v>3.29</v>
      </c>
      <c r="H963">
        <v>0.32</v>
      </c>
      <c r="I963">
        <v>11.22</v>
      </c>
      <c r="J963">
        <v>10.23</v>
      </c>
      <c r="K963">
        <v>0.39</v>
      </c>
      <c r="L963">
        <v>2.46</v>
      </c>
      <c r="M963">
        <v>2.38</v>
      </c>
      <c r="N963">
        <v>0.13</v>
      </c>
    </row>
    <row r="964" spans="1:14" x14ac:dyDescent="0.2">
      <c r="A964">
        <v>2020</v>
      </c>
      <c r="B964">
        <v>3</v>
      </c>
      <c r="C964">
        <v>7.83</v>
      </c>
      <c r="D964">
        <v>6.93</v>
      </c>
      <c r="E964">
        <v>0.27</v>
      </c>
      <c r="F964">
        <v>3.4</v>
      </c>
      <c r="G964">
        <v>3.28</v>
      </c>
      <c r="H964">
        <v>0.33</v>
      </c>
      <c r="I964">
        <v>11.23</v>
      </c>
      <c r="J964">
        <v>10.210000000000001</v>
      </c>
      <c r="K964">
        <v>0.36</v>
      </c>
      <c r="L964">
        <v>2.42</v>
      </c>
      <c r="M964">
        <v>2.41</v>
      </c>
      <c r="N964">
        <v>0.13</v>
      </c>
    </row>
    <row r="965" spans="1:14" x14ac:dyDescent="0.2">
      <c r="A965">
        <v>2020</v>
      </c>
      <c r="B965">
        <v>4</v>
      </c>
      <c r="C965">
        <v>7.8</v>
      </c>
      <c r="D965">
        <v>6.93</v>
      </c>
      <c r="E965">
        <v>0.28000000000000003</v>
      </c>
      <c r="F965">
        <v>3.33</v>
      </c>
      <c r="G965">
        <v>3.28</v>
      </c>
      <c r="H965">
        <v>0.35</v>
      </c>
      <c r="I965">
        <v>11.13</v>
      </c>
      <c r="J965">
        <v>10.220000000000001</v>
      </c>
      <c r="K965">
        <v>0.39</v>
      </c>
      <c r="L965">
        <v>2.42</v>
      </c>
      <c r="M965">
        <v>2.44</v>
      </c>
      <c r="N965">
        <v>0.12</v>
      </c>
    </row>
    <row r="966" spans="1:14" x14ac:dyDescent="0.2">
      <c r="A966">
        <v>2020</v>
      </c>
      <c r="B966">
        <v>5</v>
      </c>
      <c r="C966">
        <v>7.69</v>
      </c>
      <c r="D966">
        <v>6.97</v>
      </c>
      <c r="E966">
        <v>0.33</v>
      </c>
      <c r="F966">
        <v>3.45</v>
      </c>
      <c r="G966">
        <v>3.29</v>
      </c>
      <c r="H966">
        <v>0.36</v>
      </c>
      <c r="I966">
        <v>11.14</v>
      </c>
      <c r="J966">
        <v>10.26</v>
      </c>
      <c r="K966">
        <v>0.43</v>
      </c>
      <c r="L966">
        <v>2.4500000000000002</v>
      </c>
      <c r="M966">
        <v>2.46</v>
      </c>
      <c r="N966">
        <v>0.12</v>
      </c>
    </row>
    <row r="967" spans="1:14" x14ac:dyDescent="0.2">
      <c r="A967">
        <v>2020</v>
      </c>
      <c r="B967">
        <v>6</v>
      </c>
      <c r="C967">
        <v>6.92</v>
      </c>
      <c r="D967">
        <v>6.98</v>
      </c>
      <c r="E967">
        <v>0.35</v>
      </c>
      <c r="F967">
        <v>3.55</v>
      </c>
      <c r="G967">
        <v>3.3</v>
      </c>
      <c r="H967">
        <v>0.35</v>
      </c>
      <c r="I967">
        <v>10.47</v>
      </c>
      <c r="J967">
        <v>10.28</v>
      </c>
      <c r="K967">
        <v>0.45</v>
      </c>
      <c r="L967">
        <v>2.4500000000000002</v>
      </c>
      <c r="M967">
        <v>2.48</v>
      </c>
      <c r="N967">
        <v>0.11</v>
      </c>
    </row>
    <row r="968" spans="1:14" x14ac:dyDescent="0.2">
      <c r="A968">
        <v>2020</v>
      </c>
      <c r="B968">
        <v>7</v>
      </c>
      <c r="C968">
        <v>6.29</v>
      </c>
      <c r="D968">
        <v>6.97</v>
      </c>
      <c r="E968">
        <v>0.32</v>
      </c>
      <c r="F968">
        <v>3.35</v>
      </c>
      <c r="G968">
        <v>3.32</v>
      </c>
      <c r="H968">
        <v>0.33</v>
      </c>
      <c r="I968">
        <v>9.64</v>
      </c>
      <c r="J968">
        <v>10.29</v>
      </c>
      <c r="K968">
        <v>0.37</v>
      </c>
      <c r="L968">
        <v>2.4500000000000002</v>
      </c>
      <c r="M968">
        <v>2.5099999999999998</v>
      </c>
      <c r="N968">
        <v>0.11</v>
      </c>
    </row>
    <row r="969" spans="1:14" x14ac:dyDescent="0.2">
      <c r="A969">
        <v>2020</v>
      </c>
      <c r="B969">
        <v>8</v>
      </c>
      <c r="C969">
        <v>6.06</v>
      </c>
      <c r="D969">
        <v>6.98</v>
      </c>
      <c r="E969">
        <v>0.28000000000000003</v>
      </c>
      <c r="F969">
        <v>3.06</v>
      </c>
      <c r="G969">
        <v>3.34</v>
      </c>
      <c r="H969">
        <v>0.31</v>
      </c>
      <c r="I969">
        <v>9.1199999999999992</v>
      </c>
      <c r="J969">
        <v>10.32</v>
      </c>
      <c r="K969">
        <v>0.32</v>
      </c>
      <c r="L969">
        <v>2.5099999999999998</v>
      </c>
      <c r="M969">
        <v>2.5299999999999998</v>
      </c>
      <c r="N969">
        <v>0.11</v>
      </c>
    </row>
    <row r="970" spans="1:14" x14ac:dyDescent="0.2">
      <c r="A970">
        <v>2020</v>
      </c>
      <c r="B970">
        <v>9</v>
      </c>
      <c r="C970">
        <v>6.2</v>
      </c>
      <c r="D970">
        <v>7.01</v>
      </c>
      <c r="E970">
        <v>0.25</v>
      </c>
      <c r="F970">
        <v>2.98</v>
      </c>
      <c r="G970">
        <v>3.37</v>
      </c>
      <c r="H970">
        <v>0.3</v>
      </c>
      <c r="I970">
        <v>9.18</v>
      </c>
      <c r="J970">
        <v>10.38</v>
      </c>
      <c r="K970">
        <v>0.28999999999999998</v>
      </c>
      <c r="L970">
        <v>2.5299999999999998</v>
      </c>
      <c r="M970">
        <v>2.5499999999999998</v>
      </c>
      <c r="N970">
        <v>0.11</v>
      </c>
    </row>
    <row r="971" spans="1:14" x14ac:dyDescent="0.2">
      <c r="A971">
        <v>2020</v>
      </c>
      <c r="B971">
        <v>10</v>
      </c>
      <c r="C971">
        <v>6.43</v>
      </c>
      <c r="D971">
        <v>7.03</v>
      </c>
      <c r="E971">
        <v>0.3</v>
      </c>
      <c r="F971">
        <v>3.12</v>
      </c>
      <c r="G971">
        <v>3.41</v>
      </c>
      <c r="H971">
        <v>0.3</v>
      </c>
      <c r="I971">
        <v>9.5399999999999991</v>
      </c>
      <c r="J971">
        <v>10.44</v>
      </c>
      <c r="K971">
        <v>0.33</v>
      </c>
      <c r="L971">
        <v>2.59</v>
      </c>
      <c r="M971">
        <v>2.57</v>
      </c>
      <c r="N971">
        <v>0.11</v>
      </c>
    </row>
    <row r="972" spans="1:14" x14ac:dyDescent="0.2">
      <c r="A972">
        <v>2020</v>
      </c>
      <c r="B972">
        <v>11</v>
      </c>
      <c r="C972">
        <v>6.74</v>
      </c>
      <c r="D972">
        <v>7.05</v>
      </c>
      <c r="E972">
        <v>0.28000000000000003</v>
      </c>
      <c r="F972">
        <v>3.23</v>
      </c>
      <c r="G972">
        <v>3.46</v>
      </c>
      <c r="H972">
        <v>0.28999999999999998</v>
      </c>
      <c r="I972">
        <v>9.9700000000000006</v>
      </c>
      <c r="J972">
        <v>10.51</v>
      </c>
      <c r="K972">
        <v>0.28000000000000003</v>
      </c>
      <c r="L972">
        <v>2.59</v>
      </c>
      <c r="M972">
        <v>2.59</v>
      </c>
      <c r="N972">
        <v>0.1</v>
      </c>
    </row>
    <row r="973" spans="1:14" x14ac:dyDescent="0.2">
      <c r="A973">
        <v>2020</v>
      </c>
      <c r="B973">
        <v>12</v>
      </c>
      <c r="C973">
        <v>6.53</v>
      </c>
      <c r="D973">
        <v>7.13</v>
      </c>
      <c r="E973">
        <v>0.26</v>
      </c>
      <c r="F973">
        <v>3.33</v>
      </c>
      <c r="G973">
        <v>3.51</v>
      </c>
      <c r="H973">
        <v>0.26</v>
      </c>
      <c r="I973">
        <v>9.85</v>
      </c>
      <c r="J973">
        <v>10.64</v>
      </c>
      <c r="K973">
        <v>0.23</v>
      </c>
      <c r="L973">
        <v>2.58</v>
      </c>
      <c r="M973">
        <v>2.62</v>
      </c>
      <c r="N973">
        <v>0.1</v>
      </c>
    </row>
    <row r="974" spans="1:14" x14ac:dyDescent="0.2">
      <c r="A974">
        <v>2021</v>
      </c>
      <c r="B974">
        <v>1</v>
      </c>
      <c r="C974">
        <v>7.51</v>
      </c>
      <c r="D974">
        <v>7.26</v>
      </c>
      <c r="E974">
        <v>0.28999999999999998</v>
      </c>
      <c r="F974">
        <v>3.65</v>
      </c>
      <c r="G974">
        <v>3.57</v>
      </c>
      <c r="H974">
        <v>0.33</v>
      </c>
      <c r="I974">
        <v>11.16</v>
      </c>
      <c r="J974">
        <v>10.84</v>
      </c>
      <c r="K974">
        <v>0.33</v>
      </c>
      <c r="L974">
        <v>2.77</v>
      </c>
      <c r="M974">
        <v>2.64</v>
      </c>
      <c r="N974">
        <v>0.14000000000000001</v>
      </c>
    </row>
    <row r="975" spans="1:14" x14ac:dyDescent="0.2">
      <c r="A975">
        <v>2021</v>
      </c>
      <c r="B975">
        <v>2</v>
      </c>
      <c r="C975">
        <v>7.9</v>
      </c>
      <c r="D975">
        <v>7.42</v>
      </c>
      <c r="E975">
        <v>0.28000000000000003</v>
      </c>
      <c r="F975">
        <v>3.8</v>
      </c>
      <c r="G975">
        <v>3.65</v>
      </c>
      <c r="H975">
        <v>0.33</v>
      </c>
      <c r="I975">
        <v>11.71</v>
      </c>
      <c r="J975">
        <v>11.07</v>
      </c>
      <c r="K975">
        <v>0.36</v>
      </c>
      <c r="L975">
        <v>2.73</v>
      </c>
      <c r="M975">
        <v>2.66</v>
      </c>
      <c r="N975">
        <v>0.13</v>
      </c>
    </row>
    <row r="976" spans="1:14" x14ac:dyDescent="0.2">
      <c r="A976">
        <v>2021</v>
      </c>
      <c r="B976">
        <v>3</v>
      </c>
      <c r="C976">
        <v>8.18</v>
      </c>
      <c r="D976">
        <v>7.57</v>
      </c>
      <c r="E976">
        <v>0.31</v>
      </c>
      <c r="F976">
        <v>3.77</v>
      </c>
      <c r="G976">
        <v>3.72</v>
      </c>
      <c r="H976">
        <v>0.34</v>
      </c>
      <c r="I976">
        <v>11.96</v>
      </c>
      <c r="J976">
        <v>11.29</v>
      </c>
      <c r="K976">
        <v>0.39</v>
      </c>
      <c r="L976">
        <v>2.71</v>
      </c>
      <c r="M976">
        <v>2.67</v>
      </c>
      <c r="N976">
        <v>0.12</v>
      </c>
    </row>
    <row r="977" spans="1:14" x14ac:dyDescent="0.2">
      <c r="A977">
        <v>2021</v>
      </c>
      <c r="B977">
        <v>4</v>
      </c>
      <c r="C977">
        <v>7.93</v>
      </c>
      <c r="D977">
        <v>7.69</v>
      </c>
      <c r="E977">
        <v>0.28999999999999998</v>
      </c>
      <c r="F977">
        <v>3.94</v>
      </c>
      <c r="G977">
        <v>3.78</v>
      </c>
      <c r="H977">
        <v>0.32</v>
      </c>
      <c r="I977">
        <v>11.87</v>
      </c>
      <c r="J977">
        <v>11.47</v>
      </c>
      <c r="K977">
        <v>0.37</v>
      </c>
      <c r="L977">
        <v>2.66</v>
      </c>
      <c r="M977">
        <v>2.69</v>
      </c>
      <c r="N977">
        <v>0.12</v>
      </c>
    </row>
    <row r="978" spans="1:14" x14ac:dyDescent="0.2">
      <c r="A978">
        <v>2021</v>
      </c>
      <c r="B978">
        <v>5</v>
      </c>
      <c r="C978">
        <v>8.14</v>
      </c>
      <c r="D978">
        <v>7.78</v>
      </c>
      <c r="E978">
        <v>0.28000000000000003</v>
      </c>
      <c r="F978">
        <v>4.04</v>
      </c>
      <c r="G978">
        <v>3.83</v>
      </c>
      <c r="H978">
        <v>0.31</v>
      </c>
      <c r="I978">
        <v>12.18</v>
      </c>
      <c r="J978">
        <v>11.61</v>
      </c>
      <c r="K978">
        <v>0.37</v>
      </c>
      <c r="L978">
        <v>2.69</v>
      </c>
      <c r="M978">
        <v>2.7</v>
      </c>
      <c r="N978">
        <v>0.12</v>
      </c>
    </row>
    <row r="979" spans="1:14" x14ac:dyDescent="0.2">
      <c r="A979">
        <v>2021</v>
      </c>
      <c r="B979">
        <v>6</v>
      </c>
      <c r="C979">
        <v>8.2899999999999991</v>
      </c>
      <c r="D979">
        <v>7.87</v>
      </c>
      <c r="E979">
        <v>0.24</v>
      </c>
      <c r="F979">
        <v>4.2300000000000004</v>
      </c>
      <c r="G979">
        <v>3.87</v>
      </c>
      <c r="H979">
        <v>0.31</v>
      </c>
      <c r="I979">
        <v>12.52</v>
      </c>
      <c r="J979">
        <v>11.73</v>
      </c>
      <c r="K979">
        <v>0.32</v>
      </c>
      <c r="L979">
        <v>2.71</v>
      </c>
      <c r="M979">
        <v>2.71</v>
      </c>
      <c r="N979">
        <v>0.11</v>
      </c>
    </row>
    <row r="980" spans="1:14" x14ac:dyDescent="0.2">
      <c r="A980">
        <v>2021</v>
      </c>
      <c r="B980">
        <v>7</v>
      </c>
      <c r="C980">
        <v>8.16</v>
      </c>
      <c r="D980">
        <v>7.96</v>
      </c>
      <c r="E980">
        <v>0.24</v>
      </c>
      <c r="F980">
        <v>4.1500000000000004</v>
      </c>
      <c r="G980">
        <v>3.9</v>
      </c>
      <c r="H980">
        <v>0.28999999999999998</v>
      </c>
      <c r="I980">
        <v>12.31</v>
      </c>
      <c r="J980">
        <v>11.86</v>
      </c>
      <c r="K980">
        <v>0.32</v>
      </c>
      <c r="L980">
        <v>2.72</v>
      </c>
      <c r="M980">
        <v>2.72</v>
      </c>
      <c r="N980">
        <v>0.11</v>
      </c>
    </row>
    <row r="981" spans="1:14" x14ac:dyDescent="0.2">
      <c r="A981">
        <v>2021</v>
      </c>
      <c r="B981">
        <v>8</v>
      </c>
      <c r="C981">
        <v>8.0299999999999994</v>
      </c>
      <c r="D981">
        <v>8.0500000000000007</v>
      </c>
      <c r="E981">
        <v>0.26</v>
      </c>
      <c r="F981">
        <v>3.99</v>
      </c>
      <c r="G981">
        <v>3.93</v>
      </c>
      <c r="H981">
        <v>0.28000000000000003</v>
      </c>
      <c r="I981">
        <v>12.01</v>
      </c>
      <c r="J981">
        <v>11.98</v>
      </c>
      <c r="K981">
        <v>0.34</v>
      </c>
      <c r="L981">
        <v>2.7</v>
      </c>
      <c r="M981">
        <v>2.73</v>
      </c>
      <c r="N981">
        <v>0.1</v>
      </c>
    </row>
    <row r="982" spans="1:14" x14ac:dyDescent="0.2">
      <c r="A982">
        <v>2021</v>
      </c>
      <c r="B982">
        <v>9</v>
      </c>
      <c r="C982">
        <v>7.83</v>
      </c>
      <c r="D982">
        <v>8.14</v>
      </c>
      <c r="E982">
        <v>0.31</v>
      </c>
      <c r="F982">
        <v>3.8</v>
      </c>
      <c r="G982">
        <v>3.96</v>
      </c>
      <c r="H982">
        <v>0.27</v>
      </c>
      <c r="I982">
        <v>11.63</v>
      </c>
      <c r="J982">
        <v>12.1</v>
      </c>
      <c r="K982">
        <v>0.38</v>
      </c>
      <c r="L982">
        <v>2.73</v>
      </c>
      <c r="M982">
        <v>2.75</v>
      </c>
      <c r="N982">
        <v>0.1</v>
      </c>
    </row>
    <row r="983" spans="1:14" x14ac:dyDescent="0.2">
      <c r="A983">
        <v>2021</v>
      </c>
      <c r="B983">
        <v>10</v>
      </c>
      <c r="C983">
        <v>7.66</v>
      </c>
      <c r="D983">
        <v>8.24</v>
      </c>
      <c r="E983">
        <v>0.31</v>
      </c>
      <c r="F983">
        <v>3.72</v>
      </c>
      <c r="G983">
        <v>3.99</v>
      </c>
      <c r="H983">
        <v>0.26</v>
      </c>
      <c r="I983">
        <v>11.38</v>
      </c>
      <c r="J983">
        <v>12.22</v>
      </c>
      <c r="K983">
        <v>0.38</v>
      </c>
      <c r="L983">
        <v>2.75</v>
      </c>
      <c r="M983">
        <v>2.76</v>
      </c>
      <c r="N983">
        <v>0.1</v>
      </c>
    </row>
    <row r="984" spans="1:14" x14ac:dyDescent="0.2">
      <c r="A984">
        <v>2021</v>
      </c>
      <c r="B984">
        <v>11</v>
      </c>
      <c r="C984">
        <v>7.64</v>
      </c>
      <c r="D984">
        <v>8.35</v>
      </c>
      <c r="E984">
        <v>0.28999999999999998</v>
      </c>
      <c r="F984">
        <v>3.78</v>
      </c>
      <c r="G984">
        <v>4.01</v>
      </c>
      <c r="H984">
        <v>0.26</v>
      </c>
      <c r="I984">
        <v>11.42</v>
      </c>
      <c r="J984">
        <v>12.36</v>
      </c>
      <c r="K984">
        <v>0.37</v>
      </c>
      <c r="L984">
        <v>2.7</v>
      </c>
      <c r="M984">
        <v>2.78</v>
      </c>
      <c r="N984">
        <v>0.09</v>
      </c>
    </row>
    <row r="985" spans="1:14" x14ac:dyDescent="0.2">
      <c r="A985">
        <v>2021</v>
      </c>
      <c r="B985">
        <v>12</v>
      </c>
      <c r="C985">
        <v>7.79</v>
      </c>
      <c r="D985">
        <v>8.4499999999999993</v>
      </c>
      <c r="E985">
        <v>0.25</v>
      </c>
      <c r="F985">
        <v>3.71</v>
      </c>
      <c r="G985">
        <v>4.03</v>
      </c>
      <c r="H985">
        <v>0.27</v>
      </c>
      <c r="I985">
        <v>11.5</v>
      </c>
      <c r="J985">
        <v>12.47</v>
      </c>
      <c r="K985">
        <v>0.33</v>
      </c>
      <c r="L985">
        <v>2.7</v>
      </c>
      <c r="M985">
        <v>2.8</v>
      </c>
      <c r="N985">
        <v>0.09</v>
      </c>
    </row>
    <row r="986" spans="1:14" x14ac:dyDescent="0.2">
      <c r="A986">
        <v>2022</v>
      </c>
      <c r="B986">
        <v>1</v>
      </c>
      <c r="C986">
        <v>8.48</v>
      </c>
      <c r="D986">
        <v>8.56</v>
      </c>
      <c r="E986">
        <v>0.28000000000000003</v>
      </c>
      <c r="F986">
        <v>4.05</v>
      </c>
      <c r="G986">
        <v>4.05</v>
      </c>
      <c r="H986">
        <v>0.34</v>
      </c>
      <c r="I986">
        <v>12.53</v>
      </c>
      <c r="J986">
        <v>12.61</v>
      </c>
      <c r="K986">
        <v>0.43</v>
      </c>
      <c r="L986">
        <v>2.9</v>
      </c>
      <c r="M986">
        <v>2.81</v>
      </c>
      <c r="N986">
        <v>0.12</v>
      </c>
    </row>
    <row r="987" spans="1:14" x14ac:dyDescent="0.2">
      <c r="A987">
        <v>2022</v>
      </c>
      <c r="B987">
        <v>2</v>
      </c>
      <c r="C987">
        <v>9.1199999999999992</v>
      </c>
      <c r="D987">
        <v>8.69</v>
      </c>
      <c r="E987">
        <v>0.26</v>
      </c>
      <c r="F987">
        <v>4.1500000000000004</v>
      </c>
      <c r="G987">
        <v>4.07</v>
      </c>
      <c r="H987">
        <v>0.33</v>
      </c>
      <c r="I987">
        <v>13.27</v>
      </c>
      <c r="J987">
        <v>12.77</v>
      </c>
      <c r="K987">
        <v>0.39</v>
      </c>
      <c r="L987">
        <v>2.89</v>
      </c>
      <c r="M987">
        <v>2.82</v>
      </c>
      <c r="N987">
        <v>0.12</v>
      </c>
    </row>
    <row r="988" spans="1:14" x14ac:dyDescent="0.2">
      <c r="A988">
        <v>2022</v>
      </c>
      <c r="B988">
        <v>3</v>
      </c>
      <c r="C988">
        <v>9.08</v>
      </c>
      <c r="D988">
        <v>8.85</v>
      </c>
      <c r="E988">
        <v>0.28000000000000003</v>
      </c>
      <c r="F988">
        <v>4.18</v>
      </c>
      <c r="G988">
        <v>4.0999999999999996</v>
      </c>
      <c r="H988">
        <v>0.31</v>
      </c>
      <c r="I988">
        <v>13.25</v>
      </c>
      <c r="J988">
        <v>12.95</v>
      </c>
      <c r="K988">
        <v>0.4</v>
      </c>
      <c r="L988">
        <v>2.88</v>
      </c>
      <c r="M988">
        <v>2.83</v>
      </c>
      <c r="N988">
        <v>0.11</v>
      </c>
    </row>
    <row r="989" spans="1:14" x14ac:dyDescent="0.2">
      <c r="A989">
        <v>2022</v>
      </c>
      <c r="B989">
        <v>4</v>
      </c>
      <c r="C989">
        <v>9.34</v>
      </c>
      <c r="D989">
        <v>9.0500000000000007</v>
      </c>
      <c r="E989">
        <v>0.27</v>
      </c>
      <c r="F989">
        <v>4.1900000000000004</v>
      </c>
      <c r="G989">
        <v>4.13</v>
      </c>
      <c r="H989">
        <v>0.32</v>
      </c>
      <c r="I989">
        <v>13.53</v>
      </c>
      <c r="J989">
        <v>13.17</v>
      </c>
      <c r="K989">
        <v>0.39</v>
      </c>
      <c r="L989">
        <v>2.89</v>
      </c>
      <c r="M989">
        <v>2.83</v>
      </c>
      <c r="N989">
        <v>0.11</v>
      </c>
    </row>
    <row r="990" spans="1:14" x14ac:dyDescent="0.2">
      <c r="A990">
        <v>2022</v>
      </c>
      <c r="B990">
        <v>5</v>
      </c>
      <c r="C990">
        <v>9.44</v>
      </c>
      <c r="D990">
        <v>9.26</v>
      </c>
      <c r="E990">
        <v>0.32</v>
      </c>
      <c r="F990">
        <v>4.26</v>
      </c>
      <c r="G990">
        <v>4.1500000000000004</v>
      </c>
      <c r="H990">
        <v>0.31</v>
      </c>
      <c r="I990">
        <v>13.7</v>
      </c>
      <c r="J990">
        <v>13.4</v>
      </c>
      <c r="K990">
        <v>0.42</v>
      </c>
      <c r="L990">
        <v>2.91</v>
      </c>
      <c r="M990">
        <v>2.84</v>
      </c>
      <c r="N990">
        <v>0.1</v>
      </c>
    </row>
    <row r="991" spans="1:14" x14ac:dyDescent="0.2">
      <c r="A991">
        <v>2022</v>
      </c>
      <c r="B991">
        <v>6</v>
      </c>
      <c r="C991">
        <v>9.33</v>
      </c>
      <c r="D991">
        <v>9.4499999999999993</v>
      </c>
      <c r="E991">
        <v>0.33</v>
      </c>
      <c r="F991">
        <v>4.45</v>
      </c>
      <c r="G991">
        <v>4.16</v>
      </c>
      <c r="H991">
        <v>0.3</v>
      </c>
      <c r="I991">
        <v>13.78</v>
      </c>
      <c r="J991">
        <v>13.61</v>
      </c>
      <c r="K991">
        <v>0.41</v>
      </c>
      <c r="L991">
        <v>2.89</v>
      </c>
      <c r="M991">
        <v>2.85</v>
      </c>
      <c r="N991">
        <v>0.1</v>
      </c>
    </row>
    <row r="992" spans="1:14" x14ac:dyDescent="0.2">
      <c r="A992">
        <v>2022</v>
      </c>
      <c r="B992">
        <v>7</v>
      </c>
      <c r="C992">
        <v>9.76</v>
      </c>
      <c r="D992">
        <v>9.61</v>
      </c>
      <c r="E992">
        <v>0.34</v>
      </c>
      <c r="F992">
        <v>4.49</v>
      </c>
      <c r="G992">
        <v>4.17</v>
      </c>
      <c r="H992">
        <v>0.28999999999999998</v>
      </c>
      <c r="I992">
        <v>14.24</v>
      </c>
      <c r="J992">
        <v>13.79</v>
      </c>
      <c r="K992">
        <v>0.4</v>
      </c>
      <c r="L992">
        <v>2.85</v>
      </c>
      <c r="M992">
        <v>2.86</v>
      </c>
      <c r="N992">
        <v>0.1</v>
      </c>
    </row>
    <row r="993" spans="1:14" x14ac:dyDescent="0.2">
      <c r="A993">
        <v>2022</v>
      </c>
      <c r="B993">
        <v>8</v>
      </c>
      <c r="C993">
        <v>9.7100000000000009</v>
      </c>
      <c r="D993">
        <v>9.74</v>
      </c>
      <c r="E993">
        <v>0.38</v>
      </c>
      <c r="F993">
        <v>4.22</v>
      </c>
      <c r="G993">
        <v>4.1900000000000004</v>
      </c>
      <c r="H993">
        <v>0.27</v>
      </c>
      <c r="I993">
        <v>13.93</v>
      </c>
      <c r="J993">
        <v>13.93</v>
      </c>
      <c r="K993">
        <v>0.42</v>
      </c>
      <c r="L993">
        <v>2.79</v>
      </c>
      <c r="M993">
        <v>2.88</v>
      </c>
      <c r="N993">
        <v>0.09</v>
      </c>
    </row>
    <row r="994" spans="1:14" x14ac:dyDescent="0.2">
      <c r="A994">
        <v>2022</v>
      </c>
      <c r="B994">
        <v>9</v>
      </c>
      <c r="C994">
        <v>9.94</v>
      </c>
      <c r="D994">
        <v>9.8699999999999992</v>
      </c>
      <c r="E994">
        <v>0.43</v>
      </c>
      <c r="F994">
        <v>4.16</v>
      </c>
      <c r="G994">
        <v>4.21</v>
      </c>
      <c r="H994">
        <v>0.26</v>
      </c>
      <c r="I994">
        <v>14.1</v>
      </c>
      <c r="J994">
        <v>14.08</v>
      </c>
      <c r="K994">
        <v>0.46</v>
      </c>
      <c r="L994">
        <v>2.81</v>
      </c>
      <c r="M994">
        <v>2.9</v>
      </c>
      <c r="N994">
        <v>0.08</v>
      </c>
    </row>
    <row r="995" spans="1:14" x14ac:dyDescent="0.2">
      <c r="A995">
        <v>2022</v>
      </c>
      <c r="B995">
        <v>10</v>
      </c>
      <c r="C995">
        <v>10.24</v>
      </c>
      <c r="D995">
        <v>10.050000000000001</v>
      </c>
      <c r="E995">
        <v>0.43</v>
      </c>
      <c r="F995">
        <v>4.09</v>
      </c>
      <c r="G995">
        <v>4.22</v>
      </c>
      <c r="H995">
        <v>0.27</v>
      </c>
      <c r="I995">
        <v>14.33</v>
      </c>
      <c r="J995">
        <v>14.26</v>
      </c>
      <c r="K995">
        <v>0.46</v>
      </c>
      <c r="L995">
        <v>2.8</v>
      </c>
      <c r="M995">
        <v>2.91</v>
      </c>
      <c r="N995">
        <v>0.08</v>
      </c>
    </row>
    <row r="996" spans="1:14" x14ac:dyDescent="0.2">
      <c r="A996">
        <v>2022</v>
      </c>
      <c r="B996">
        <v>11</v>
      </c>
      <c r="C996">
        <v>10.029999999999999</v>
      </c>
      <c r="D996">
        <v>10.199999999999999</v>
      </c>
      <c r="E996">
        <v>0.4</v>
      </c>
      <c r="F996">
        <v>3.93</v>
      </c>
      <c r="G996">
        <v>4.22</v>
      </c>
      <c r="H996">
        <v>0.27</v>
      </c>
      <c r="I996">
        <v>13.96</v>
      </c>
      <c r="J996">
        <v>14.42</v>
      </c>
      <c r="K996">
        <v>0.43</v>
      </c>
      <c r="L996">
        <v>2.84</v>
      </c>
      <c r="M996">
        <v>2.93</v>
      </c>
      <c r="N996">
        <v>7.0000000000000007E-2</v>
      </c>
    </row>
    <row r="997" spans="1:14" x14ac:dyDescent="0.2">
      <c r="A997">
        <v>2022</v>
      </c>
      <c r="B997">
        <v>12</v>
      </c>
      <c r="C997">
        <v>9.9700000000000006</v>
      </c>
      <c r="D997">
        <v>10.35</v>
      </c>
      <c r="E997">
        <v>0.35</v>
      </c>
      <c r="F997">
        <v>3.83</v>
      </c>
      <c r="G997">
        <v>4.21</v>
      </c>
      <c r="H997">
        <v>0.27</v>
      </c>
      <c r="I997">
        <v>13.8</v>
      </c>
      <c r="J997">
        <v>14.56</v>
      </c>
      <c r="K997">
        <v>0.42</v>
      </c>
      <c r="L997">
        <v>2.86</v>
      </c>
      <c r="M997">
        <v>2.95</v>
      </c>
      <c r="N997">
        <v>7.0000000000000007E-2</v>
      </c>
    </row>
    <row r="998" spans="1:14" x14ac:dyDescent="0.2">
      <c r="A998">
        <v>2023</v>
      </c>
      <c r="B998">
        <v>1</v>
      </c>
      <c r="C998">
        <v>10.29</v>
      </c>
      <c r="D998">
        <v>10.49</v>
      </c>
      <c r="E998">
        <v>0.42</v>
      </c>
      <c r="F998">
        <v>4.25</v>
      </c>
      <c r="G998">
        <v>4.1900000000000004</v>
      </c>
      <c r="H998">
        <v>0.33</v>
      </c>
      <c r="I998">
        <v>14.54</v>
      </c>
      <c r="J998">
        <v>14.68</v>
      </c>
      <c r="K998">
        <v>0.54</v>
      </c>
      <c r="L998">
        <v>3.04</v>
      </c>
      <c r="M998">
        <v>2.98</v>
      </c>
      <c r="N998">
        <v>0.1</v>
      </c>
    </row>
    <row r="999" spans="1:14" x14ac:dyDescent="0.2">
      <c r="A999">
        <v>2023</v>
      </c>
      <c r="B999">
        <v>2</v>
      </c>
      <c r="C999">
        <v>10.31</v>
      </c>
      <c r="D999">
        <v>10.62</v>
      </c>
      <c r="E999">
        <v>0.43</v>
      </c>
      <c r="F999">
        <v>4.3499999999999996</v>
      </c>
      <c r="G999">
        <v>4.16</v>
      </c>
      <c r="H999">
        <v>0.32</v>
      </c>
      <c r="I999">
        <v>14.66</v>
      </c>
      <c r="J999">
        <v>14.78</v>
      </c>
      <c r="K999">
        <v>0.54</v>
      </c>
      <c r="L999">
        <v>3.07</v>
      </c>
      <c r="M999">
        <v>3.01</v>
      </c>
      <c r="N999">
        <v>0.1</v>
      </c>
    </row>
    <row r="1000" spans="1:14" x14ac:dyDescent="0.2">
      <c r="A1000">
        <v>2023</v>
      </c>
      <c r="B1000">
        <v>3</v>
      </c>
      <c r="C1000">
        <v>11.2</v>
      </c>
      <c r="D1000">
        <v>10.75</v>
      </c>
      <c r="E1000">
        <v>0.43</v>
      </c>
      <c r="F1000">
        <v>4.33</v>
      </c>
      <c r="G1000">
        <v>4.13</v>
      </c>
      <c r="H1000">
        <v>0.32</v>
      </c>
      <c r="I1000">
        <v>15.54</v>
      </c>
      <c r="J1000">
        <v>14.88</v>
      </c>
      <c r="K1000">
        <v>0.56000000000000005</v>
      </c>
      <c r="L1000">
        <v>3.11</v>
      </c>
      <c r="M1000">
        <v>3.04</v>
      </c>
      <c r="N1000">
        <v>0.1</v>
      </c>
    </row>
    <row r="1001" spans="1:14" x14ac:dyDescent="0.2">
      <c r="A1001">
        <v>2023</v>
      </c>
      <c r="B1001">
        <v>4</v>
      </c>
      <c r="C1001">
        <v>11.33</v>
      </c>
      <c r="D1001">
        <v>10.86</v>
      </c>
      <c r="E1001">
        <v>0.41</v>
      </c>
      <c r="F1001">
        <v>4.28</v>
      </c>
      <c r="G1001">
        <v>4.12</v>
      </c>
      <c r="H1001">
        <v>0.32</v>
      </c>
      <c r="I1001">
        <v>15.61</v>
      </c>
      <c r="J1001">
        <v>14.98</v>
      </c>
      <c r="K1001">
        <v>0.55000000000000004</v>
      </c>
      <c r="L1001">
        <v>3.13</v>
      </c>
      <c r="M1001">
        <v>3.06</v>
      </c>
      <c r="N1001">
        <v>0.1</v>
      </c>
    </row>
    <row r="1002" spans="1:14" x14ac:dyDescent="0.2">
      <c r="A1002">
        <v>2023</v>
      </c>
      <c r="B1002">
        <v>5</v>
      </c>
      <c r="C1002">
        <v>11.22</v>
      </c>
      <c r="D1002">
        <v>10.97</v>
      </c>
      <c r="E1002">
        <v>0.42</v>
      </c>
      <c r="F1002">
        <v>4.2300000000000004</v>
      </c>
      <c r="G1002">
        <v>4.1100000000000003</v>
      </c>
      <c r="H1002">
        <v>0.3</v>
      </c>
      <c r="I1002">
        <v>15.45</v>
      </c>
      <c r="J1002">
        <v>15.08</v>
      </c>
      <c r="K1002">
        <v>0.54</v>
      </c>
      <c r="L1002">
        <v>3.13</v>
      </c>
      <c r="M1002">
        <v>3.07</v>
      </c>
      <c r="N1002">
        <v>0.1</v>
      </c>
    </row>
    <row r="1003" spans="1:14" x14ac:dyDescent="0.2">
      <c r="A1003">
        <v>2023</v>
      </c>
      <c r="B1003">
        <v>6</v>
      </c>
      <c r="C1003">
        <v>11.1</v>
      </c>
      <c r="D1003">
        <v>11.07</v>
      </c>
      <c r="E1003">
        <v>0.45</v>
      </c>
      <c r="F1003">
        <v>4.29</v>
      </c>
      <c r="G1003">
        <v>4.1100000000000003</v>
      </c>
      <c r="H1003">
        <v>0.3</v>
      </c>
      <c r="I1003">
        <v>15.39</v>
      </c>
      <c r="J1003">
        <v>15.17</v>
      </c>
      <c r="K1003">
        <v>0.56000000000000005</v>
      </c>
      <c r="L1003">
        <v>3.15</v>
      </c>
      <c r="M1003">
        <v>3.08</v>
      </c>
      <c r="N1003">
        <v>0.1</v>
      </c>
    </row>
    <row r="1004" spans="1:14" x14ac:dyDescent="0.2">
      <c r="A1004">
        <v>2023</v>
      </c>
      <c r="B1004">
        <v>7</v>
      </c>
      <c r="C1004">
        <v>11.3</v>
      </c>
      <c r="D1004">
        <v>11.17</v>
      </c>
      <c r="E1004">
        <v>0.45</v>
      </c>
      <c r="F1004">
        <v>4.07</v>
      </c>
      <c r="G1004">
        <v>4.1100000000000003</v>
      </c>
      <c r="H1004">
        <v>0.28999999999999998</v>
      </c>
      <c r="I1004">
        <v>15.37</v>
      </c>
      <c r="J1004">
        <v>15.29</v>
      </c>
      <c r="K1004">
        <v>0.56000000000000005</v>
      </c>
      <c r="L1004">
        <v>3.21</v>
      </c>
      <c r="M1004">
        <v>3.08</v>
      </c>
      <c r="N1004">
        <v>0.1</v>
      </c>
    </row>
    <row r="1005" spans="1:14" x14ac:dyDescent="0.2">
      <c r="A1005">
        <v>2023</v>
      </c>
      <c r="B1005">
        <v>8</v>
      </c>
      <c r="C1005">
        <v>11.31</v>
      </c>
      <c r="D1005">
        <v>11.33</v>
      </c>
      <c r="E1005">
        <v>0.46</v>
      </c>
      <c r="F1005">
        <v>3.92</v>
      </c>
      <c r="G1005">
        <v>4.1100000000000003</v>
      </c>
      <c r="H1005">
        <v>0.27</v>
      </c>
      <c r="I1005">
        <v>15.23</v>
      </c>
      <c r="J1005">
        <v>15.44</v>
      </c>
      <c r="K1005">
        <v>0.54</v>
      </c>
      <c r="L1005">
        <v>3.17</v>
      </c>
      <c r="M1005">
        <v>3.08</v>
      </c>
      <c r="N1005">
        <v>0.11</v>
      </c>
    </row>
    <row r="1006" spans="1:14" x14ac:dyDescent="0.2">
      <c r="A1006">
        <v>2023</v>
      </c>
      <c r="B1006">
        <v>9</v>
      </c>
      <c r="C1006">
        <v>11.39</v>
      </c>
      <c r="D1006">
        <v>11.47</v>
      </c>
      <c r="E1006">
        <v>0.41</v>
      </c>
      <c r="F1006">
        <v>3.89</v>
      </c>
      <c r="G1006">
        <v>4.0999999999999996</v>
      </c>
      <c r="H1006">
        <v>0.27</v>
      </c>
      <c r="I1006">
        <v>15.28</v>
      </c>
      <c r="J1006">
        <v>15.57</v>
      </c>
      <c r="K1006">
        <v>0.5</v>
      </c>
      <c r="L1006">
        <v>3.12</v>
      </c>
      <c r="M1006">
        <v>3.07</v>
      </c>
      <c r="N1006">
        <v>0.1</v>
      </c>
    </row>
    <row r="1007" spans="1:14" x14ac:dyDescent="0.2">
      <c r="A1007">
        <v>2023</v>
      </c>
      <c r="B1007">
        <v>10</v>
      </c>
      <c r="C1007">
        <v>11.55</v>
      </c>
      <c r="D1007">
        <v>11.58</v>
      </c>
      <c r="E1007">
        <v>0.42</v>
      </c>
      <c r="F1007">
        <v>3.93</v>
      </c>
      <c r="G1007">
        <v>4.0999999999999996</v>
      </c>
      <c r="H1007">
        <v>0.27</v>
      </c>
      <c r="I1007">
        <v>15.48</v>
      </c>
      <c r="J1007">
        <v>15.68</v>
      </c>
      <c r="K1007">
        <v>0.52</v>
      </c>
      <c r="L1007">
        <v>3.01</v>
      </c>
      <c r="M1007">
        <v>3.06</v>
      </c>
      <c r="N1007">
        <v>0.11</v>
      </c>
    </row>
    <row r="1008" spans="1:14" x14ac:dyDescent="0.2">
      <c r="A1008">
        <v>2023</v>
      </c>
      <c r="B1008">
        <v>11</v>
      </c>
      <c r="C1008">
        <v>11.33</v>
      </c>
      <c r="D1008">
        <v>11.7</v>
      </c>
      <c r="E1008">
        <v>0.39</v>
      </c>
      <c r="F1008">
        <v>3.87</v>
      </c>
      <c r="G1008">
        <v>4.0999999999999996</v>
      </c>
      <c r="H1008">
        <v>0.28000000000000003</v>
      </c>
      <c r="I1008">
        <v>15.2</v>
      </c>
      <c r="J1008">
        <v>15.8</v>
      </c>
      <c r="K1008">
        <v>0.48</v>
      </c>
      <c r="L1008">
        <v>2.94</v>
      </c>
      <c r="M1008">
        <v>3.05</v>
      </c>
      <c r="N1008">
        <v>0.11</v>
      </c>
    </row>
    <row r="1009" spans="1:14" x14ac:dyDescent="0.2">
      <c r="A1009">
        <v>2023</v>
      </c>
      <c r="B1009">
        <v>12</v>
      </c>
      <c r="C1009">
        <v>10.97</v>
      </c>
      <c r="D1009">
        <v>11.83</v>
      </c>
      <c r="E1009">
        <v>0.4</v>
      </c>
      <c r="F1009">
        <v>3.9</v>
      </c>
      <c r="G1009">
        <v>4.12</v>
      </c>
      <c r="H1009">
        <v>0.28000000000000003</v>
      </c>
      <c r="I1009">
        <v>14.87</v>
      </c>
      <c r="J1009">
        <v>15.95</v>
      </c>
      <c r="K1009">
        <v>0.51</v>
      </c>
      <c r="L1009">
        <v>2.93</v>
      </c>
      <c r="M1009">
        <v>3.04</v>
      </c>
      <c r="N1009">
        <v>0.11</v>
      </c>
    </row>
    <row r="1010" spans="1:14" x14ac:dyDescent="0.2">
      <c r="A1010">
        <v>2024</v>
      </c>
      <c r="B1010">
        <v>1</v>
      </c>
      <c r="C1010">
        <v>11.88</v>
      </c>
      <c r="D1010">
        <v>11.96</v>
      </c>
      <c r="E1010">
        <v>0.42</v>
      </c>
      <c r="F1010">
        <v>4.29</v>
      </c>
      <c r="G1010">
        <v>4.1500000000000004</v>
      </c>
      <c r="H1010">
        <v>0.35</v>
      </c>
      <c r="I1010">
        <v>16.170000000000002</v>
      </c>
      <c r="J1010">
        <v>16.11</v>
      </c>
      <c r="K1010">
        <v>0.61</v>
      </c>
      <c r="L1010">
        <v>3</v>
      </c>
      <c r="M1010">
        <v>3.03</v>
      </c>
      <c r="N1010">
        <v>0.14000000000000001</v>
      </c>
    </row>
    <row r="1011" spans="1:14" x14ac:dyDescent="0.2">
      <c r="A1011">
        <v>2024</v>
      </c>
      <c r="B1011">
        <v>2</v>
      </c>
      <c r="C1011">
        <v>12.43</v>
      </c>
      <c r="D1011">
        <v>12.07</v>
      </c>
      <c r="E1011">
        <v>0.36</v>
      </c>
      <c r="F1011">
        <v>4.26</v>
      </c>
      <c r="G1011">
        <v>4.18</v>
      </c>
      <c r="H1011">
        <v>0.35</v>
      </c>
      <c r="I1011">
        <v>16.68</v>
      </c>
      <c r="J1011">
        <v>16.25</v>
      </c>
      <c r="K1011">
        <v>0.54</v>
      </c>
      <c r="L1011">
        <v>2.99</v>
      </c>
      <c r="M1011">
        <v>3.02</v>
      </c>
      <c r="N1011">
        <v>0.14000000000000001</v>
      </c>
    </row>
    <row r="1012" spans="1:14" x14ac:dyDescent="0.2">
      <c r="A1012">
        <v>2024</v>
      </c>
      <c r="B1012">
        <v>3</v>
      </c>
      <c r="C1012">
        <v>12.56</v>
      </c>
      <c r="D1012">
        <v>12.16</v>
      </c>
      <c r="E1012">
        <v>0.35</v>
      </c>
      <c r="F1012">
        <v>4.2300000000000004</v>
      </c>
      <c r="G1012">
        <v>4.21</v>
      </c>
      <c r="H1012">
        <v>0.36</v>
      </c>
      <c r="I1012">
        <v>16.79</v>
      </c>
      <c r="J1012">
        <v>16.37</v>
      </c>
      <c r="K1012">
        <v>0.53</v>
      </c>
      <c r="L1012">
        <v>3.02</v>
      </c>
      <c r="M1012">
        <v>3</v>
      </c>
      <c r="N1012">
        <v>0.14000000000000001</v>
      </c>
    </row>
    <row r="1013" spans="1:14" x14ac:dyDescent="0.2">
      <c r="A1013">
        <v>2024</v>
      </c>
      <c r="B1013">
        <v>4</v>
      </c>
      <c r="C1013">
        <v>12.62</v>
      </c>
      <c r="D1013">
        <v>12.21</v>
      </c>
      <c r="E1013">
        <v>0.34</v>
      </c>
      <c r="F1013">
        <v>4.3</v>
      </c>
      <c r="G1013">
        <v>4.2300000000000004</v>
      </c>
      <c r="H1013">
        <v>0.34</v>
      </c>
      <c r="I1013">
        <v>16.920000000000002</v>
      </c>
      <c r="J1013">
        <v>16.440000000000001</v>
      </c>
      <c r="K1013">
        <v>0.5</v>
      </c>
      <c r="L1013">
        <v>3.02</v>
      </c>
      <c r="M1013">
        <v>2.99</v>
      </c>
      <c r="N1013">
        <v>0.14000000000000001</v>
      </c>
    </row>
    <row r="1014" spans="1:14" x14ac:dyDescent="0.2">
      <c r="A1014">
        <v>2024</v>
      </c>
      <c r="B1014">
        <v>5</v>
      </c>
      <c r="C1014">
        <v>12.69</v>
      </c>
      <c r="D1014">
        <v>12.23</v>
      </c>
      <c r="E1014">
        <v>0.35</v>
      </c>
      <c r="F1014">
        <v>4.37</v>
      </c>
      <c r="G1014">
        <v>4.26</v>
      </c>
      <c r="H1014">
        <v>0.34</v>
      </c>
      <c r="I1014">
        <v>17.059999999999999</v>
      </c>
      <c r="J1014">
        <v>16.489999999999998</v>
      </c>
      <c r="K1014">
        <v>0.49</v>
      </c>
      <c r="L1014">
        <v>3.03</v>
      </c>
      <c r="M1014">
        <v>2.98</v>
      </c>
      <c r="N1014">
        <v>0.14000000000000001</v>
      </c>
    </row>
    <row r="1015" spans="1:14" x14ac:dyDescent="0.2">
      <c r="A1015">
        <v>2024</v>
      </c>
      <c r="B1015">
        <v>6</v>
      </c>
      <c r="C1015">
        <v>12.79</v>
      </c>
      <c r="D1015">
        <v>12.26</v>
      </c>
      <c r="E1015">
        <v>0.38</v>
      </c>
      <c r="F1015">
        <v>4.58</v>
      </c>
      <c r="G1015">
        <v>4.3</v>
      </c>
      <c r="H1015">
        <v>0.34</v>
      </c>
      <c r="I1015">
        <v>17.37</v>
      </c>
      <c r="J1015">
        <v>16.559999999999999</v>
      </c>
      <c r="K1015">
        <v>0.5</v>
      </c>
      <c r="L1015">
        <v>3.01</v>
      </c>
      <c r="M1015">
        <v>2.98</v>
      </c>
      <c r="N1015">
        <v>0.14000000000000001</v>
      </c>
    </row>
    <row r="1016" spans="1:14" x14ac:dyDescent="0.2">
      <c r="A1016">
        <v>2024</v>
      </c>
      <c r="B1016">
        <v>7</v>
      </c>
      <c r="C1016">
        <v>12.72</v>
      </c>
      <c r="D1016">
        <v>12.28</v>
      </c>
      <c r="E1016">
        <v>0.38</v>
      </c>
      <c r="F1016">
        <v>4.42</v>
      </c>
      <c r="G1016">
        <v>4.34</v>
      </c>
      <c r="H1016">
        <v>0.33</v>
      </c>
      <c r="I1016">
        <v>17.14</v>
      </c>
      <c r="J1016">
        <v>16.62</v>
      </c>
      <c r="K1016">
        <v>0.49</v>
      </c>
      <c r="L1016">
        <v>3.04</v>
      </c>
      <c r="M1016">
        <v>2.98</v>
      </c>
      <c r="N1016">
        <v>0.14000000000000001</v>
      </c>
    </row>
    <row r="1017" spans="1:14" x14ac:dyDescent="0.2">
      <c r="A1017">
        <v>2024</v>
      </c>
      <c r="B1017">
        <v>8</v>
      </c>
      <c r="C1017">
        <v>12.54</v>
      </c>
      <c r="D1017">
        <v>12.28</v>
      </c>
      <c r="E1017">
        <v>0.37</v>
      </c>
      <c r="F1017">
        <v>4.3099999999999996</v>
      </c>
      <c r="G1017">
        <v>4.37</v>
      </c>
      <c r="H1017">
        <v>0.35</v>
      </c>
      <c r="I1017">
        <v>16.850000000000001</v>
      </c>
      <c r="J1017">
        <v>16.649999999999999</v>
      </c>
      <c r="K1017">
        <v>0.49</v>
      </c>
      <c r="L1017">
        <v>2.99</v>
      </c>
      <c r="M1017">
        <v>2.98</v>
      </c>
      <c r="N1017">
        <v>0.14000000000000001</v>
      </c>
    </row>
    <row r="1018" spans="1:14" x14ac:dyDescent="0.2">
      <c r="A1018">
        <v>2024</v>
      </c>
      <c r="B1018">
        <v>9</v>
      </c>
      <c r="C1018">
        <v>12.38</v>
      </c>
      <c r="D1018">
        <v>12.3</v>
      </c>
      <c r="E1018">
        <v>0.38</v>
      </c>
      <c r="F1018">
        <v>4.21</v>
      </c>
      <c r="G1018">
        <v>4.41</v>
      </c>
      <c r="H1018">
        <v>0.35</v>
      </c>
      <c r="I1018">
        <v>16.59</v>
      </c>
      <c r="J1018">
        <v>16.71</v>
      </c>
      <c r="K1018">
        <v>0.52</v>
      </c>
      <c r="L1018">
        <v>2.93</v>
      </c>
      <c r="M1018">
        <v>2.98</v>
      </c>
      <c r="N1018">
        <v>0.13</v>
      </c>
    </row>
    <row r="1019" spans="1:14" x14ac:dyDescent="0.2">
      <c r="A1019">
        <v>2024</v>
      </c>
      <c r="B1019">
        <v>10</v>
      </c>
      <c r="C1019">
        <v>11.73</v>
      </c>
      <c r="D1019">
        <v>12.37</v>
      </c>
      <c r="E1019">
        <v>0.33</v>
      </c>
      <c r="F1019">
        <v>4.2</v>
      </c>
      <c r="G1019">
        <v>4.46</v>
      </c>
      <c r="H1019">
        <v>0.35</v>
      </c>
      <c r="I1019">
        <v>15.93</v>
      </c>
      <c r="J1019">
        <v>16.829999999999998</v>
      </c>
      <c r="K1019">
        <v>0.5</v>
      </c>
      <c r="L1019">
        <v>2.91</v>
      </c>
      <c r="M1019">
        <v>2.98</v>
      </c>
      <c r="N1019">
        <v>0.13</v>
      </c>
    </row>
    <row r="1020" spans="1:14" x14ac:dyDescent="0.2">
      <c r="A1020">
        <v>2024</v>
      </c>
      <c r="B1020">
        <v>11</v>
      </c>
      <c r="C1020">
        <v>11.59</v>
      </c>
      <c r="D1020">
        <v>12.47</v>
      </c>
      <c r="E1020">
        <v>0.35</v>
      </c>
      <c r="F1020">
        <v>4.33</v>
      </c>
      <c r="G1020">
        <v>4.53</v>
      </c>
      <c r="H1020">
        <v>0.35</v>
      </c>
      <c r="I1020">
        <v>15.92</v>
      </c>
      <c r="J1020">
        <v>17.010000000000002</v>
      </c>
      <c r="K1020">
        <v>0.51</v>
      </c>
      <c r="L1020">
        <v>2.92</v>
      </c>
      <c r="M1020">
        <v>2.97</v>
      </c>
      <c r="N1020">
        <v>0.14000000000000001</v>
      </c>
    </row>
    <row r="1021" spans="1:14" x14ac:dyDescent="0.2">
      <c r="A1021">
        <v>2024</v>
      </c>
      <c r="B1021">
        <v>12</v>
      </c>
      <c r="C1021">
        <v>11.42</v>
      </c>
      <c r="D1021">
        <v>12.59</v>
      </c>
      <c r="E1021">
        <v>0.37</v>
      </c>
      <c r="F1021">
        <v>4.41</v>
      </c>
      <c r="G1021">
        <v>4.5999999999999996</v>
      </c>
      <c r="H1021">
        <v>0.34</v>
      </c>
      <c r="I1021">
        <v>15.83</v>
      </c>
      <c r="J1021">
        <v>17.190000000000001</v>
      </c>
      <c r="K1021">
        <v>0.52</v>
      </c>
      <c r="L1021">
        <v>2.91</v>
      </c>
      <c r="M1021">
        <v>2.97</v>
      </c>
      <c r="N1021">
        <v>0.14000000000000001</v>
      </c>
    </row>
    <row r="1022" spans="1:14" x14ac:dyDescent="0.2">
      <c r="A1022">
        <v>2025</v>
      </c>
      <c r="B1022">
        <v>1</v>
      </c>
      <c r="C1022">
        <v>11.9</v>
      </c>
      <c r="D1022">
        <v>12.73</v>
      </c>
      <c r="E1022">
        <v>0.41</v>
      </c>
      <c r="F1022">
        <v>4.6500000000000004</v>
      </c>
      <c r="G1022">
        <v>4.68</v>
      </c>
      <c r="H1022">
        <v>0.4</v>
      </c>
      <c r="I1022">
        <v>16.55</v>
      </c>
      <c r="J1022">
        <v>17.41</v>
      </c>
      <c r="K1022">
        <v>0.63</v>
      </c>
      <c r="L1022">
        <v>3.03</v>
      </c>
      <c r="M1022">
        <v>2.98</v>
      </c>
      <c r="N1022">
        <v>0.16</v>
      </c>
    </row>
    <row r="1023" spans="1:14" x14ac:dyDescent="0.2">
      <c r="A1023">
        <v>2025</v>
      </c>
      <c r="B1023">
        <v>2</v>
      </c>
      <c r="C1023">
        <v>12.45</v>
      </c>
      <c r="D1023">
        <v>12.89</v>
      </c>
      <c r="E1023">
        <v>0.4</v>
      </c>
      <c r="F1023">
        <v>4.5999999999999996</v>
      </c>
      <c r="G1023">
        <v>4.79</v>
      </c>
      <c r="H1023">
        <v>0.4</v>
      </c>
      <c r="I1023">
        <v>17.05</v>
      </c>
      <c r="J1023">
        <v>17.68</v>
      </c>
      <c r="K1023">
        <v>0.64</v>
      </c>
      <c r="L1023">
        <v>3.02</v>
      </c>
      <c r="M1023">
        <v>2.99</v>
      </c>
      <c r="N1023">
        <v>0.16</v>
      </c>
    </row>
    <row r="1024" spans="1:14" x14ac:dyDescent="0.2">
      <c r="A1024">
        <v>2025</v>
      </c>
      <c r="B1024">
        <v>3</v>
      </c>
      <c r="C1024">
        <v>12.99</v>
      </c>
      <c r="D1024">
        <v>13.07</v>
      </c>
      <c r="E1024">
        <v>0.37</v>
      </c>
      <c r="F1024">
        <v>4.82</v>
      </c>
      <c r="G1024">
        <v>4.9000000000000004</v>
      </c>
      <c r="H1024">
        <v>0.39</v>
      </c>
      <c r="I1024">
        <v>17.809999999999999</v>
      </c>
      <c r="J1024">
        <v>17.98</v>
      </c>
      <c r="K1024">
        <v>0.61</v>
      </c>
      <c r="L1024">
        <v>2.96</v>
      </c>
      <c r="M1024">
        <v>3</v>
      </c>
      <c r="N1024">
        <v>0.16</v>
      </c>
    </row>
    <row r="1025" spans="1:14" x14ac:dyDescent="0.2">
      <c r="A1025">
        <v>2025</v>
      </c>
      <c r="B1025">
        <v>4</v>
      </c>
      <c r="C1025">
        <v>13.82</v>
      </c>
      <c r="D1025">
        <v>13.28</v>
      </c>
      <c r="E1025">
        <v>0.38</v>
      </c>
      <c r="F1025">
        <v>5.03</v>
      </c>
      <c r="G1025">
        <v>5.01</v>
      </c>
      <c r="H1025">
        <v>0.37</v>
      </c>
      <c r="I1025">
        <v>18.850000000000001</v>
      </c>
      <c r="J1025">
        <v>18.29</v>
      </c>
      <c r="K1025">
        <v>0.6</v>
      </c>
      <c r="L1025">
        <v>2.93</v>
      </c>
      <c r="M1025">
        <v>3.02</v>
      </c>
      <c r="N1025">
        <v>0.16</v>
      </c>
    </row>
    <row r="1026" spans="1:14" x14ac:dyDescent="0.2">
      <c r="A1026">
        <v>2025</v>
      </c>
      <c r="B1026">
        <v>5</v>
      </c>
      <c r="C1026">
        <v>14.06</v>
      </c>
      <c r="D1026">
        <v>13.48</v>
      </c>
      <c r="E1026">
        <v>0.4</v>
      </c>
      <c r="F1026">
        <v>5.26</v>
      </c>
      <c r="G1026">
        <v>5.09</v>
      </c>
      <c r="H1026">
        <v>0.37</v>
      </c>
      <c r="I1026">
        <v>19.32</v>
      </c>
      <c r="J1026">
        <v>18.57</v>
      </c>
      <c r="K1026">
        <v>0.6</v>
      </c>
      <c r="L1026">
        <v>2.98</v>
      </c>
      <c r="M1026">
        <v>3.03</v>
      </c>
      <c r="N1026">
        <v>0.15</v>
      </c>
    </row>
    <row r="1027" spans="1:14" x14ac:dyDescent="0.2">
      <c r="A1027">
        <v>2025</v>
      </c>
      <c r="B1027">
        <v>6</v>
      </c>
      <c r="C1027">
        <v>14.25</v>
      </c>
      <c r="D1027">
        <v>13.64</v>
      </c>
      <c r="E1027">
        <v>0.56999999999999995</v>
      </c>
      <c r="F1027">
        <v>5.37</v>
      </c>
      <c r="G1027">
        <v>5.16</v>
      </c>
      <c r="H1027">
        <v>0.47</v>
      </c>
      <c r="I1027">
        <v>19.62</v>
      </c>
      <c r="J1027">
        <v>18.79</v>
      </c>
      <c r="K1027">
        <v>0.83</v>
      </c>
      <c r="L1027">
        <v>3.01</v>
      </c>
      <c r="M1027">
        <v>3.05</v>
      </c>
      <c r="N1027">
        <v>0.15</v>
      </c>
    </row>
    <row r="1028" spans="1:14" x14ac:dyDescent="0.2">
      <c r="A1028">
        <v>2025</v>
      </c>
      <c r="B1028">
        <v>7</v>
      </c>
      <c r="C1028">
        <v>14.5</v>
      </c>
      <c r="D1028" t="s">
        <v>0</v>
      </c>
      <c r="E1028">
        <v>0.46</v>
      </c>
      <c r="F1028">
        <v>5.65</v>
      </c>
      <c r="G1028" t="s">
        <v>0</v>
      </c>
      <c r="H1028">
        <v>0.34</v>
      </c>
      <c r="I1028">
        <v>20.149999999999999</v>
      </c>
      <c r="J1028" t="s">
        <v>0</v>
      </c>
      <c r="K1028">
        <v>0.63</v>
      </c>
      <c r="L1028">
        <v>3.23</v>
      </c>
      <c r="M1028" t="s">
        <v>0</v>
      </c>
      <c r="N1028">
        <v>0.16</v>
      </c>
    </row>
    <row r="1029" spans="1:14" x14ac:dyDescent="0.2">
      <c r="A1029">
        <v>2025</v>
      </c>
      <c r="B1029">
        <v>8</v>
      </c>
      <c r="C1029">
        <v>14.65</v>
      </c>
      <c r="D1029" t="s">
        <v>0</v>
      </c>
      <c r="E1029">
        <v>0.44</v>
      </c>
      <c r="F1029">
        <v>5.63</v>
      </c>
      <c r="G1029" t="s">
        <v>0</v>
      </c>
      <c r="H1029">
        <v>0.31</v>
      </c>
      <c r="I1029">
        <v>20.28</v>
      </c>
      <c r="J1029" t="s">
        <v>0</v>
      </c>
      <c r="K1029">
        <v>0.59</v>
      </c>
      <c r="L1029">
        <v>3.11</v>
      </c>
      <c r="M1029" t="s">
        <v>0</v>
      </c>
      <c r="N1029">
        <v>0.17</v>
      </c>
    </row>
    <row r="1030" spans="1:14" x14ac:dyDescent="0.2">
      <c r="A1030">
        <v>2025</v>
      </c>
      <c r="B1030">
        <v>9</v>
      </c>
      <c r="C1030">
        <v>14.69</v>
      </c>
      <c r="D1030" t="s">
        <v>0</v>
      </c>
      <c r="E1030">
        <v>0.44</v>
      </c>
      <c r="F1030">
        <v>5.55</v>
      </c>
      <c r="G1030" t="s">
        <v>0</v>
      </c>
      <c r="H1030">
        <v>0.31</v>
      </c>
      <c r="I1030">
        <v>20.239999999999998</v>
      </c>
      <c r="J1030" t="s">
        <v>0</v>
      </c>
      <c r="K1030">
        <v>0.56999999999999995</v>
      </c>
      <c r="L1030">
        <v>3.13</v>
      </c>
      <c r="M1030" t="s">
        <v>0</v>
      </c>
      <c r="N1030">
        <v>0.17</v>
      </c>
    </row>
    <row r="1031" spans="1:14" x14ac:dyDescent="0.2">
      <c r="A1031">
        <v>2025</v>
      </c>
      <c r="B1031">
        <v>10</v>
      </c>
      <c r="C1031">
        <v>14.46</v>
      </c>
      <c r="D1031" t="s">
        <v>0</v>
      </c>
      <c r="E1031">
        <v>0.39</v>
      </c>
      <c r="F1031">
        <v>5.33</v>
      </c>
      <c r="G1031" t="s">
        <v>0</v>
      </c>
      <c r="H1031">
        <v>0.3</v>
      </c>
      <c r="I1031">
        <v>19.8</v>
      </c>
      <c r="J1031" t="s">
        <v>0</v>
      </c>
      <c r="K1031">
        <v>0.53</v>
      </c>
      <c r="L1031">
        <v>3.05</v>
      </c>
      <c r="M1031" t="s">
        <v>0</v>
      </c>
      <c r="N1031">
        <v>0.17</v>
      </c>
    </row>
    <row r="1032" spans="1:14" x14ac:dyDescent="0.2">
      <c r="A1032">
        <v>2025</v>
      </c>
      <c r="B1032">
        <v>11</v>
      </c>
      <c r="C1032">
        <v>13.58</v>
      </c>
      <c r="D1032" t="s">
        <v>0</v>
      </c>
      <c r="E1032">
        <v>0.41</v>
      </c>
      <c r="F1032">
        <v>5.22</v>
      </c>
      <c r="G1032" t="s">
        <v>0</v>
      </c>
      <c r="H1032">
        <v>0.3</v>
      </c>
      <c r="I1032">
        <v>18.8</v>
      </c>
      <c r="J1032" t="s">
        <v>0</v>
      </c>
      <c r="K1032">
        <v>0.55000000000000004</v>
      </c>
      <c r="L1032">
        <v>3.11</v>
      </c>
      <c r="M1032" t="s">
        <v>0</v>
      </c>
      <c r="N1032">
        <v>0.18</v>
      </c>
    </row>
    <row r="1033" spans="1:14" x14ac:dyDescent="0.2">
      <c r="A1033">
        <v>2025</v>
      </c>
      <c r="B1033">
        <v>12</v>
      </c>
      <c r="C1033">
        <v>13.14</v>
      </c>
      <c r="D1033" t="s">
        <v>0</v>
      </c>
      <c r="E1033">
        <v>0.48</v>
      </c>
      <c r="F1033">
        <v>5.0999999999999996</v>
      </c>
      <c r="G1033" t="s">
        <v>0</v>
      </c>
      <c r="H1033">
        <v>0.34</v>
      </c>
      <c r="I1033">
        <v>18.239999999999998</v>
      </c>
      <c r="J1033" t="s">
        <v>0</v>
      </c>
      <c r="K1033">
        <v>0.66</v>
      </c>
      <c r="L1033">
        <v>3.13</v>
      </c>
      <c r="M1033" t="s">
        <v>0</v>
      </c>
      <c r="N1033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2025-10-22T22:23:56Z</dcterms:created>
  <dcterms:modified xsi:type="dcterms:W3CDTF">2026-09-13T23:30:23Z</dcterms:modified>
</cp:coreProperties>
</file>