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NCEILevitus/"/>
    </mc:Choice>
  </mc:AlternateContent>
  <xr:revisionPtr revIDLastSave="0" documentId="13_ncr:1_{56CBDC77-5187-D947-9303-5F98ACECB683}" xr6:coauthVersionLast="47" xr6:coauthVersionMax="47" xr10:uidLastSave="{00000000-0000-0000-0000-000000000000}"/>
  <bookViews>
    <workbookView xWindow="9640" yWindow="1480" windowWidth="27640" windowHeight="16940" xr2:uid="{15B93CAD-0033-5041-A59B-8625066734DF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  <c r="K8" i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J8" i="1"/>
  <c r="I3" i="1" a="1"/>
  <c r="I3" i="1" s="1"/>
  <c r="I2" i="1" a="1"/>
  <c r="I2" i="1" s="1"/>
  <c r="I6" i="1" l="1" a="1"/>
  <c r="I6" i="1" s="1"/>
  <c r="D52" i="1" s="1" a="1"/>
  <c r="D52" i="1" s="1"/>
  <c r="A7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B2" i="1" l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<sst xmlns="http://schemas.openxmlformats.org/spreadsheetml/2006/main" count="5" uniqueCount="5">
  <si>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year</t>
  </si>
  <si>
    <t>0-700m_allLat</t>
  </si>
  <si>
    <t>0-2000m_allLat</t>
  </si>
  <si>
    <t>0-700m_allLat_se</t>
  </si>
  <si>
    <t>0-2000m_allLat_se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</si>
</sst>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NCEILevitus/yearl_h22_se_WO.csv" TargetMode="External"/><Relationship Id="rId1" Type="http://schemas.openxmlformats.org/officeDocument/2006/relationships/externalLinkPath" Target="yearl_h22_se_WO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NCEILevitus/yearl_h22_WO.csv" TargetMode="External"/><Relationship Id="rId1" Type="http://schemas.openxmlformats.org/officeDocument/2006/relationships/externalLinkPath" Target="yearl_h22_WO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NCEILevitus/yearl_h22_WO2000.csv" TargetMode="External"/><Relationship Id="rId1" Type="http://schemas.openxmlformats.org/officeDocument/2006/relationships/externalLinkPath" Target="yearl_h22_WO2000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NCEILevitus/yearl_h22_se_WO2000.csv" TargetMode="External"/><Relationship Id="rId1" Type="http://schemas.openxmlformats.org/officeDocument/2006/relationships/externalLinkPath" Target="yearl_h22_se_WO200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l_h22_se_WO"/>
    </sheetNames>
    <sheetDataSet>
      <sheetData sheetId="0">
        <row r="1">
          <cell r="A1">
            <v>1.7</v>
          </cell>
          <cell r="B1">
            <v>0.71899999999999997</v>
          </cell>
          <cell r="C1">
            <v>0.39600000000000002</v>
          </cell>
          <cell r="D1">
            <v>0.68700000000000006</v>
          </cell>
          <cell r="E1">
            <v>0.86299999999999999</v>
          </cell>
          <cell r="F1">
            <v>0.499</v>
          </cell>
          <cell r="G1">
            <v>0.42099999999999999</v>
          </cell>
          <cell r="H1">
            <v>0.94699999999999995</v>
          </cell>
          <cell r="I1">
            <v>0.65</v>
          </cell>
          <cell r="J1">
            <v>0.92200000000000004</v>
          </cell>
          <cell r="K1">
            <v>0.307</v>
          </cell>
          <cell r="L1">
            <v>0.45600000000000002</v>
          </cell>
          <cell r="M1">
            <v>0.372</v>
          </cell>
          <cell r="N1">
            <v>0.85799999999999998</v>
          </cell>
          <cell r="O1">
            <v>0.53300000000000003</v>
          </cell>
          <cell r="P1">
            <v>0.86199999999999999</v>
          </cell>
          <cell r="Q1">
            <v>0.51</v>
          </cell>
          <cell r="R1">
            <v>1.1539999999999999</v>
          </cell>
          <cell r="S1">
            <v>1.256</v>
          </cell>
          <cell r="T1">
            <v>0.72899999999999998</v>
          </cell>
          <cell r="U1">
            <v>0.46700000000000003</v>
          </cell>
          <cell r="V1">
            <v>0.61599999999999999</v>
          </cell>
          <cell r="W1">
            <v>0.71699999999999997</v>
          </cell>
          <cell r="X1">
            <v>0.432</v>
          </cell>
          <cell r="Y1">
            <v>0.5</v>
          </cell>
          <cell r="Z1">
            <v>0.42199999999999999</v>
          </cell>
          <cell r="AA1">
            <v>0.54900000000000004</v>
          </cell>
          <cell r="AB1">
            <v>0.91600000000000004</v>
          </cell>
          <cell r="AC1">
            <v>1.871</v>
          </cell>
          <cell r="AD1">
            <v>1.262</v>
          </cell>
          <cell r="AE1">
            <v>1.2270000000000001</v>
          </cell>
          <cell r="AF1">
            <v>1.109</v>
          </cell>
          <cell r="AG1">
            <v>0.53100000000000003</v>
          </cell>
          <cell r="AH1">
            <v>0.42199999999999999</v>
          </cell>
          <cell r="AI1">
            <v>0.52100000000000002</v>
          </cell>
          <cell r="AJ1">
            <v>0.90600000000000003</v>
          </cell>
          <cell r="AK1">
            <v>0.28100000000000003</v>
          </cell>
          <cell r="AL1">
            <v>0.35799999999999998</v>
          </cell>
          <cell r="AM1">
            <v>0.439</v>
          </cell>
          <cell r="AN1">
            <v>0.746</v>
          </cell>
          <cell r="AO1">
            <v>0.64900000000000002</v>
          </cell>
          <cell r="AP1">
            <v>1.0649999999999999</v>
          </cell>
          <cell r="AQ1">
            <v>0.53900000000000003</v>
          </cell>
          <cell r="AR1">
            <v>0.55700000000000005</v>
          </cell>
          <cell r="AS1">
            <v>0.26900000000000002</v>
          </cell>
          <cell r="AT1">
            <v>0.53200000000000003</v>
          </cell>
          <cell r="AU1">
            <v>1.115</v>
          </cell>
          <cell r="AV1">
            <v>0.52300000000000002</v>
          </cell>
          <cell r="AW1">
            <v>0.622</v>
          </cell>
          <cell r="AX1">
            <v>0.28299999999999997</v>
          </cell>
          <cell r="AY1">
            <v>0.317</v>
          </cell>
          <cell r="AZ1">
            <v>0.19900000000000001</v>
          </cell>
          <cell r="BA1">
            <v>0.23300000000000001</v>
          </cell>
          <cell r="BB1">
            <v>0.46400000000000002</v>
          </cell>
          <cell r="BC1">
            <v>0.35699999999999998</v>
          </cell>
          <cell r="BD1">
            <v>0.36599999999999999</v>
          </cell>
          <cell r="BE1">
            <v>0.44500000000000001</v>
          </cell>
          <cell r="BF1">
            <v>0.36099999999999999</v>
          </cell>
          <cell r="BG1">
            <v>0.60199999999999998</v>
          </cell>
          <cell r="BH1">
            <v>0.47799999999999998</v>
          </cell>
          <cell r="BI1">
            <v>0.26400000000000001</v>
          </cell>
          <cell r="BJ1">
            <v>0.56999999999999995</v>
          </cell>
          <cell r="BK1">
            <v>0.35199999999999998</v>
          </cell>
          <cell r="BL1">
            <v>0.54900000000000004</v>
          </cell>
          <cell r="BM1">
            <v>0.22800000000000001</v>
          </cell>
          <cell r="BN1">
            <v>0.68200000000000005</v>
          </cell>
          <cell r="BO1">
            <v>0.36699999999999999</v>
          </cell>
          <cell r="BP1">
            <v>0.32</v>
          </cell>
          <cell r="BQ1">
            <v>0.41399999999999998</v>
          </cell>
          <cell r="BR1">
            <v>0.19500000000000001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l_h22_WO"/>
    </sheetNames>
    <sheetDataSet>
      <sheetData sheetId="0">
        <row r="1">
          <cell r="A1">
            <v>-3.2010000000000001</v>
          </cell>
          <cell r="B1">
            <v>-2.6080000000000001</v>
          </cell>
          <cell r="C1">
            <v>-4.6130000000000004</v>
          </cell>
          <cell r="D1">
            <v>-1.5329999999999999</v>
          </cell>
          <cell r="E1">
            <v>-2.1890000000000001</v>
          </cell>
          <cell r="F1">
            <v>-1.4419999999999999</v>
          </cell>
          <cell r="G1">
            <v>-2.1150000000000002</v>
          </cell>
          <cell r="H1">
            <v>-1.075</v>
          </cell>
          <cell r="I1">
            <v>-2.2719999999999998</v>
          </cell>
          <cell r="J1">
            <v>-3.121</v>
          </cell>
          <cell r="K1">
            <v>-3.06</v>
          </cell>
          <cell r="L1">
            <v>-3.944</v>
          </cell>
          <cell r="M1">
            <v>-4.3609999999999998</v>
          </cell>
          <cell r="N1">
            <v>-5.7279999999999998</v>
          </cell>
          <cell r="O1">
            <v>-4.4809999999999999</v>
          </cell>
          <cell r="P1">
            <v>-5.298</v>
          </cell>
          <cell r="Q1">
            <v>-3.7669999999999999</v>
          </cell>
          <cell r="R1">
            <v>-5.2389999999999999</v>
          </cell>
          <cell r="S1">
            <v>-3.5190000000000001</v>
          </cell>
          <cell r="T1">
            <v>-2.7749999999999999</v>
          </cell>
          <cell r="U1">
            <v>-1.5509999999999999</v>
          </cell>
          <cell r="V1">
            <v>-2.6030000000000002</v>
          </cell>
          <cell r="W1">
            <v>3.2000000000000001E-2</v>
          </cell>
          <cell r="X1">
            <v>5.1999999999999998E-2</v>
          </cell>
          <cell r="Y1">
            <v>-0.96</v>
          </cell>
          <cell r="Z1">
            <v>1.091</v>
          </cell>
          <cell r="AA1">
            <v>0.122</v>
          </cell>
          <cell r="AB1">
            <v>-2.306</v>
          </cell>
          <cell r="AC1">
            <v>-2.7629999999999999</v>
          </cell>
          <cell r="AD1">
            <v>-0.45900000000000002</v>
          </cell>
          <cell r="AE1">
            <v>0.11</v>
          </cell>
          <cell r="AF1">
            <v>-1.0369999999999999</v>
          </cell>
          <cell r="AG1">
            <v>-0.89300000000000002</v>
          </cell>
          <cell r="AH1">
            <v>1.0880000000000001</v>
          </cell>
          <cell r="AI1">
            <v>0.90300000000000002</v>
          </cell>
          <cell r="AJ1">
            <v>0.17699999999999999</v>
          </cell>
          <cell r="AK1">
            <v>2.6459999999999999</v>
          </cell>
          <cell r="AL1">
            <v>0.57199999999999995</v>
          </cell>
          <cell r="AM1">
            <v>0.68400000000000005</v>
          </cell>
          <cell r="AN1">
            <v>1.51</v>
          </cell>
          <cell r="AO1">
            <v>2.2639999999999998</v>
          </cell>
          <cell r="AP1">
            <v>4.5439999999999996</v>
          </cell>
          <cell r="AQ1">
            <v>3.2450000000000001</v>
          </cell>
          <cell r="AR1">
            <v>4.3040000000000003</v>
          </cell>
          <cell r="AS1">
            <v>5.9429999999999996</v>
          </cell>
          <cell r="AT1">
            <v>5.6719999999999997</v>
          </cell>
          <cell r="AU1">
            <v>4.117</v>
          </cell>
          <cell r="AV1">
            <v>6.7889999999999997</v>
          </cell>
          <cell r="AW1">
            <v>9.952</v>
          </cell>
          <cell r="AX1">
            <v>10.24</v>
          </cell>
          <cell r="AY1">
            <v>8.4120000000000008</v>
          </cell>
          <cell r="AZ1">
            <v>10.43</v>
          </cell>
          <cell r="BA1">
            <v>9.4779999999999998</v>
          </cell>
          <cell r="BB1">
            <v>10.052</v>
          </cell>
          <cell r="BC1">
            <v>10.125999999999999</v>
          </cell>
          <cell r="BD1">
            <v>10.367000000000001</v>
          </cell>
          <cell r="BE1">
            <v>10.869</v>
          </cell>
          <cell r="BF1">
            <v>10.941000000000001</v>
          </cell>
          <cell r="BG1">
            <v>12.601000000000001</v>
          </cell>
          <cell r="BH1">
            <v>13.260999999999999</v>
          </cell>
          <cell r="BI1">
            <v>15.122</v>
          </cell>
          <cell r="BJ1">
            <v>13.972</v>
          </cell>
          <cell r="BK1">
            <v>15.878</v>
          </cell>
          <cell r="BL1">
            <v>16.722000000000001</v>
          </cell>
          <cell r="BM1">
            <v>17.725999999999999</v>
          </cell>
          <cell r="BN1">
            <v>17.524000000000001</v>
          </cell>
          <cell r="BO1">
            <v>18.734999999999999</v>
          </cell>
          <cell r="BP1">
            <v>19.687000000000001</v>
          </cell>
          <cell r="BQ1">
            <v>20.731999999999999</v>
          </cell>
          <cell r="BR1">
            <v>21.469000000000001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l_h22_WO2000"/>
    </sheetNames>
    <sheetDataSet>
      <sheetData sheetId="0">
        <row r="1">
          <cell r="A1">
            <v>10.170999999999999</v>
          </cell>
          <cell r="B1">
            <v>12.638</v>
          </cell>
          <cell r="C1">
            <v>12.394</v>
          </cell>
          <cell r="D1">
            <v>13.257</v>
          </cell>
          <cell r="E1">
            <v>13.430999999999999</v>
          </cell>
          <cell r="F1">
            <v>14.537000000000001</v>
          </cell>
          <cell r="G1">
            <v>15.394</v>
          </cell>
          <cell r="H1">
            <v>16.187000000000001</v>
          </cell>
          <cell r="I1">
            <v>18.649999999999999</v>
          </cell>
          <cell r="J1">
            <v>20.11</v>
          </cell>
          <cell r="K1">
            <v>22.401</v>
          </cell>
          <cell r="L1">
            <v>20.798999999999999</v>
          </cell>
          <cell r="M1">
            <v>23.588999999999999</v>
          </cell>
          <cell r="N1">
            <v>24.059000000000001</v>
          </cell>
          <cell r="O1">
            <v>25.436</v>
          </cell>
          <cell r="P1">
            <v>25.524999999999999</v>
          </cell>
          <cell r="Q1">
            <v>27.28</v>
          </cell>
          <cell r="R1">
            <v>28.192</v>
          </cell>
          <cell r="S1">
            <v>29.22</v>
          </cell>
          <cell r="T1">
            <v>30.315999999999999</v>
          </cell>
          <cell r="U1">
            <v>32.533000000000001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l_h22_se_WO2000"/>
    </sheetNames>
    <sheetDataSet>
      <sheetData sheetId="0">
        <row r="1">
          <cell r="A1">
            <v>0.83499999999999996</v>
          </cell>
          <cell r="B1">
            <v>0.32700000000000001</v>
          </cell>
          <cell r="C1">
            <v>0.434</v>
          </cell>
          <cell r="D1">
            <v>0.51900000000000002</v>
          </cell>
          <cell r="E1">
            <v>0.63600000000000001</v>
          </cell>
          <cell r="F1">
            <v>0.52700000000000002</v>
          </cell>
          <cell r="G1">
            <v>0.50700000000000001</v>
          </cell>
          <cell r="H1">
            <v>0.47299999999999998</v>
          </cell>
          <cell r="I1">
            <v>1.0589999999999999</v>
          </cell>
          <cell r="J1">
            <v>0.58899999999999997</v>
          </cell>
          <cell r="K1">
            <v>0.38500000000000001</v>
          </cell>
          <cell r="L1">
            <v>0.83199999999999996</v>
          </cell>
          <cell r="M1">
            <v>0.56299999999999994</v>
          </cell>
          <cell r="N1">
            <v>0.82799999999999996</v>
          </cell>
          <cell r="O1">
            <v>0.28699999999999998</v>
          </cell>
          <cell r="P1">
            <v>0.92400000000000004</v>
          </cell>
          <cell r="Q1">
            <v>0.36799999999999999</v>
          </cell>
          <cell r="R1">
            <v>0.25</v>
          </cell>
          <cell r="S1">
            <v>0.54600000000000004</v>
          </cell>
          <cell r="T1">
            <v>0.189</v>
          </cell>
          <cell r="U1">
            <v>0.26700000000000002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9149-7520-8540-9CF8-8624DDC29FEB}">
  <dimension ref="A1:DI116"/>
  <sheetViews>
    <sheetView tabSelected="1" topLeftCell="P1" workbookViewId="0">
      <selection activeCell="I7" sqref="I7"/>
    </sheetView>
  </sheetViews>
  <sheetFormatPr baseColWidth="10" defaultRowHeight="16" x14ac:dyDescent="0.2"/>
  <cols>
    <col min="2" max="2" width="14" customWidth="1"/>
    <col min="3" max="3" width="19.83203125" customWidth="1"/>
    <col min="4" max="4" width="15.33203125" customWidth="1"/>
  </cols>
  <sheetData>
    <row r="1" spans="1:113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113" x14ac:dyDescent="0.2">
      <c r="A2">
        <v>1955.5</v>
      </c>
      <c r="B2" cm="1">
        <f t="array" ref="B2:C116">TRANSPOSE(I2:DS3)</f>
        <v>-3.2010000000000001</v>
      </c>
      <c r="C2">
        <v>1.7</v>
      </c>
      <c r="I2" cm="1">
        <f t="array" ref="I2:DI2">[2]yearl_h22_WO!$A$1:$DA$1</f>
        <v>-3.2010000000000001</v>
      </c>
      <c r="J2">
        <v>-2.6080000000000001</v>
      </c>
      <c r="K2">
        <v>-4.6130000000000004</v>
      </c>
      <c r="L2">
        <v>-1.5329999999999999</v>
      </c>
      <c r="M2">
        <v>-2.1890000000000001</v>
      </c>
      <c r="N2">
        <v>-1.4419999999999999</v>
      </c>
      <c r="O2">
        <v>-2.1150000000000002</v>
      </c>
      <c r="P2">
        <v>-1.075</v>
      </c>
      <c r="Q2">
        <v>-2.2719999999999998</v>
      </c>
      <c r="R2">
        <v>-3.121</v>
      </c>
      <c r="S2">
        <v>-3.06</v>
      </c>
      <c r="T2">
        <v>-3.944</v>
      </c>
      <c r="U2">
        <v>-4.3609999999999998</v>
      </c>
      <c r="V2">
        <v>-5.7279999999999998</v>
      </c>
      <c r="W2">
        <v>-4.4809999999999999</v>
      </c>
      <c r="X2">
        <v>-5.298</v>
      </c>
      <c r="Y2">
        <v>-3.7669999999999999</v>
      </c>
      <c r="Z2">
        <v>-5.2389999999999999</v>
      </c>
      <c r="AA2">
        <v>-3.5190000000000001</v>
      </c>
      <c r="AB2">
        <v>-2.7749999999999999</v>
      </c>
      <c r="AC2">
        <v>-1.5509999999999999</v>
      </c>
      <c r="AD2">
        <v>-2.6030000000000002</v>
      </c>
      <c r="AE2">
        <v>3.2000000000000001E-2</v>
      </c>
      <c r="AF2">
        <v>5.1999999999999998E-2</v>
      </c>
      <c r="AG2">
        <v>-0.96</v>
      </c>
      <c r="AH2">
        <v>1.091</v>
      </c>
      <c r="AI2">
        <v>0.122</v>
      </c>
      <c r="AJ2">
        <v>-2.306</v>
      </c>
      <c r="AK2">
        <v>-2.7629999999999999</v>
      </c>
      <c r="AL2">
        <v>-0.45900000000000002</v>
      </c>
      <c r="AM2">
        <v>0.11</v>
      </c>
      <c r="AN2">
        <v>-1.0369999999999999</v>
      </c>
      <c r="AO2">
        <v>-0.89300000000000002</v>
      </c>
      <c r="AP2">
        <v>1.0880000000000001</v>
      </c>
      <c r="AQ2">
        <v>0.90300000000000002</v>
      </c>
      <c r="AR2">
        <v>0.17699999999999999</v>
      </c>
      <c r="AS2">
        <v>2.6459999999999999</v>
      </c>
      <c r="AT2">
        <v>0.57199999999999995</v>
      </c>
      <c r="AU2">
        <v>0.68400000000000005</v>
      </c>
      <c r="AV2">
        <v>1.51</v>
      </c>
      <c r="AW2">
        <v>2.2639999999999998</v>
      </c>
      <c r="AX2">
        <v>4.5439999999999996</v>
      </c>
      <c r="AY2">
        <v>3.2450000000000001</v>
      </c>
      <c r="AZ2">
        <v>4.3040000000000003</v>
      </c>
      <c r="BA2">
        <v>5.9429999999999996</v>
      </c>
      <c r="BB2">
        <v>5.6719999999999997</v>
      </c>
      <c r="BC2">
        <v>4.117</v>
      </c>
      <c r="BD2">
        <v>6.7889999999999997</v>
      </c>
      <c r="BE2">
        <v>9.952</v>
      </c>
      <c r="BF2">
        <v>10.24</v>
      </c>
      <c r="BG2">
        <v>8.4120000000000008</v>
      </c>
      <c r="BH2">
        <v>10.43</v>
      </c>
      <c r="BI2">
        <v>9.4779999999999998</v>
      </c>
      <c r="BJ2">
        <v>10.052</v>
      </c>
      <c r="BK2">
        <v>10.125999999999999</v>
      </c>
      <c r="BL2">
        <v>10.367000000000001</v>
      </c>
      <c r="BM2">
        <v>10.869</v>
      </c>
      <c r="BN2">
        <v>10.941000000000001</v>
      </c>
      <c r="BO2">
        <v>12.601000000000001</v>
      </c>
      <c r="BP2">
        <v>13.260999999999999</v>
      </c>
      <c r="BQ2">
        <v>15.122</v>
      </c>
      <c r="BR2">
        <v>13.972</v>
      </c>
      <c r="BS2">
        <v>15.878</v>
      </c>
      <c r="BT2">
        <v>16.722000000000001</v>
      </c>
      <c r="BU2">
        <v>17.725999999999999</v>
      </c>
      <c r="BV2">
        <v>17.524000000000001</v>
      </c>
      <c r="BW2">
        <v>18.734999999999999</v>
      </c>
      <c r="BX2">
        <v>19.687000000000001</v>
      </c>
      <c r="BY2">
        <v>20.731999999999999</v>
      </c>
      <c r="BZ2">
        <v>21.469000000000001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 x14ac:dyDescent="0.2">
      <c r="A3">
        <f>A2+1</f>
        <v>1956.5</v>
      </c>
      <c r="B3">
        <v>-2.6080000000000001</v>
      </c>
      <c r="C3">
        <v>0.71899999999999997</v>
      </c>
      <c r="I3" cm="1">
        <f t="array" ref="I3:DI3">[1]yearl_h22_se_WO!$A$1:$DA$1</f>
        <v>1.7</v>
      </c>
      <c r="J3">
        <v>0.71899999999999997</v>
      </c>
      <c r="K3">
        <v>0.39600000000000002</v>
      </c>
      <c r="L3">
        <v>0.68700000000000006</v>
      </c>
      <c r="M3">
        <v>0.86299999999999999</v>
      </c>
      <c r="N3">
        <v>0.499</v>
      </c>
      <c r="O3">
        <v>0.42099999999999999</v>
      </c>
      <c r="P3">
        <v>0.94699999999999995</v>
      </c>
      <c r="Q3">
        <v>0.65</v>
      </c>
      <c r="R3">
        <v>0.92200000000000004</v>
      </c>
      <c r="S3">
        <v>0.307</v>
      </c>
      <c r="T3">
        <v>0.45600000000000002</v>
      </c>
      <c r="U3">
        <v>0.372</v>
      </c>
      <c r="V3">
        <v>0.85799999999999998</v>
      </c>
      <c r="W3">
        <v>0.53300000000000003</v>
      </c>
      <c r="X3">
        <v>0.86199999999999999</v>
      </c>
      <c r="Y3">
        <v>0.51</v>
      </c>
      <c r="Z3">
        <v>1.1539999999999999</v>
      </c>
      <c r="AA3">
        <v>1.256</v>
      </c>
      <c r="AB3">
        <v>0.72899999999999998</v>
      </c>
      <c r="AC3">
        <v>0.46700000000000003</v>
      </c>
      <c r="AD3">
        <v>0.61599999999999999</v>
      </c>
      <c r="AE3">
        <v>0.71699999999999997</v>
      </c>
      <c r="AF3">
        <v>0.432</v>
      </c>
      <c r="AG3">
        <v>0.5</v>
      </c>
      <c r="AH3">
        <v>0.42199999999999999</v>
      </c>
      <c r="AI3">
        <v>0.54900000000000004</v>
      </c>
      <c r="AJ3">
        <v>0.91600000000000004</v>
      </c>
      <c r="AK3">
        <v>1.871</v>
      </c>
      <c r="AL3">
        <v>1.262</v>
      </c>
      <c r="AM3">
        <v>1.2270000000000001</v>
      </c>
      <c r="AN3">
        <v>1.109</v>
      </c>
      <c r="AO3">
        <v>0.53100000000000003</v>
      </c>
      <c r="AP3">
        <v>0.42199999999999999</v>
      </c>
      <c r="AQ3">
        <v>0.52100000000000002</v>
      </c>
      <c r="AR3">
        <v>0.90600000000000003</v>
      </c>
      <c r="AS3">
        <v>0.28100000000000003</v>
      </c>
      <c r="AT3">
        <v>0.35799999999999998</v>
      </c>
      <c r="AU3">
        <v>0.439</v>
      </c>
      <c r="AV3">
        <v>0.746</v>
      </c>
      <c r="AW3">
        <v>0.64900000000000002</v>
      </c>
      <c r="AX3">
        <v>1.0649999999999999</v>
      </c>
      <c r="AY3">
        <v>0.53900000000000003</v>
      </c>
      <c r="AZ3">
        <v>0.55700000000000005</v>
      </c>
      <c r="BA3">
        <v>0.26900000000000002</v>
      </c>
      <c r="BB3">
        <v>0.53200000000000003</v>
      </c>
      <c r="BC3">
        <v>1.115</v>
      </c>
      <c r="BD3">
        <v>0.52300000000000002</v>
      </c>
      <c r="BE3">
        <v>0.622</v>
      </c>
      <c r="BF3">
        <v>0.28299999999999997</v>
      </c>
      <c r="BG3">
        <v>0.317</v>
      </c>
      <c r="BH3">
        <v>0.19900000000000001</v>
      </c>
      <c r="BI3">
        <v>0.23300000000000001</v>
      </c>
      <c r="BJ3">
        <v>0.46400000000000002</v>
      </c>
      <c r="BK3">
        <v>0.35699999999999998</v>
      </c>
      <c r="BL3">
        <v>0.36599999999999999</v>
      </c>
      <c r="BM3">
        <v>0.44500000000000001</v>
      </c>
      <c r="BN3">
        <v>0.36099999999999999</v>
      </c>
      <c r="BO3">
        <v>0.60199999999999998</v>
      </c>
      <c r="BP3">
        <v>0.47799999999999998</v>
      </c>
      <c r="BQ3">
        <v>0.26400000000000001</v>
      </c>
      <c r="BR3">
        <v>0.56999999999999995</v>
      </c>
      <c r="BS3">
        <v>0.35199999999999998</v>
      </c>
      <c r="BT3">
        <v>0.54900000000000004</v>
      </c>
      <c r="BU3">
        <v>0.22800000000000001</v>
      </c>
      <c r="BV3">
        <v>0.68200000000000005</v>
      </c>
      <c r="BW3">
        <v>0.36699999999999999</v>
      </c>
      <c r="BX3">
        <v>0.32</v>
      </c>
      <c r="BY3">
        <v>0.41399999999999998</v>
      </c>
      <c r="BZ3">
        <v>0.19500000000000001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 x14ac:dyDescent="0.2">
      <c r="A4">
        <f t="shared" ref="A4:A67" si="0">A3+1</f>
        <v>1957.5</v>
      </c>
      <c r="B4">
        <v>-4.6130000000000004</v>
      </c>
      <c r="C4">
        <v>0.39600000000000002</v>
      </c>
    </row>
    <row r="5" spans="1:113" x14ac:dyDescent="0.2">
      <c r="A5">
        <f t="shared" si="0"/>
        <v>1958.5</v>
      </c>
      <c r="B5">
        <v>-1.5329999999999999</v>
      </c>
      <c r="C5">
        <v>0.68700000000000006</v>
      </c>
    </row>
    <row r="6" spans="1:113" x14ac:dyDescent="0.2">
      <c r="A6">
        <f t="shared" si="0"/>
        <v>1959.5</v>
      </c>
      <c r="B6">
        <v>-2.1890000000000001</v>
      </c>
      <c r="C6">
        <v>0.86299999999999999</v>
      </c>
      <c r="I6" cm="1">
        <f t="array" ref="I6:DI6">[3]yearl_h22_WO2000!$A$1:$DA$1</f>
        <v>10.170999999999999</v>
      </c>
      <c r="J6">
        <v>12.638</v>
      </c>
      <c r="K6">
        <v>12.394</v>
      </c>
      <c r="L6">
        <v>13.257</v>
      </c>
      <c r="M6">
        <v>13.430999999999999</v>
      </c>
      <c r="N6">
        <v>14.537000000000001</v>
      </c>
      <c r="O6">
        <v>15.394</v>
      </c>
      <c r="P6">
        <v>16.187000000000001</v>
      </c>
      <c r="Q6">
        <v>18.649999999999999</v>
      </c>
      <c r="R6">
        <v>20.11</v>
      </c>
      <c r="S6">
        <v>22.401</v>
      </c>
      <c r="T6">
        <v>20.798999999999999</v>
      </c>
      <c r="U6">
        <v>23.588999999999999</v>
      </c>
      <c r="V6">
        <v>24.059000000000001</v>
      </c>
      <c r="W6">
        <v>25.436</v>
      </c>
      <c r="X6">
        <v>25.524999999999999</v>
      </c>
      <c r="Y6">
        <v>27.28</v>
      </c>
      <c r="Z6">
        <v>28.192</v>
      </c>
      <c r="AA6">
        <v>29.22</v>
      </c>
      <c r="AB6">
        <v>30.315999999999999</v>
      </c>
      <c r="AC6">
        <v>32.533000000000001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>
        <f t="shared" si="0"/>
        <v>1960.5</v>
      </c>
      <c r="B7">
        <v>-1.4419999999999999</v>
      </c>
      <c r="C7">
        <v>0.499</v>
      </c>
      <c r="I7" cm="1">
        <f t="array" ref="I7:DI7">[4]yearl_h22_se_WO2000!$A$1:$DA$1</f>
        <v>0.83499999999999996</v>
      </c>
      <c r="J7">
        <v>0.32700000000000001</v>
      </c>
      <c r="K7">
        <v>0.434</v>
      </c>
      <c r="L7">
        <v>0.51900000000000002</v>
      </c>
      <c r="M7">
        <v>0.63600000000000001</v>
      </c>
      <c r="N7">
        <v>0.52700000000000002</v>
      </c>
      <c r="O7">
        <v>0.50700000000000001</v>
      </c>
      <c r="P7">
        <v>0.47299999999999998</v>
      </c>
      <c r="Q7">
        <v>1.0589999999999999</v>
      </c>
      <c r="R7">
        <v>0.58899999999999997</v>
      </c>
      <c r="S7">
        <v>0.38500000000000001</v>
      </c>
      <c r="T7">
        <v>0.83199999999999996</v>
      </c>
      <c r="U7">
        <v>0.56299999999999994</v>
      </c>
      <c r="V7">
        <v>0.82799999999999996</v>
      </c>
      <c r="W7">
        <v>0.28699999999999998</v>
      </c>
      <c r="X7">
        <v>0.92400000000000004</v>
      </c>
      <c r="Y7">
        <v>0.36799999999999999</v>
      </c>
      <c r="Z7">
        <v>0.25</v>
      </c>
      <c r="AA7">
        <v>0.54600000000000004</v>
      </c>
      <c r="AB7">
        <v>0.189</v>
      </c>
      <c r="AC7">
        <v>0.26700000000000002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>
        <f t="shared" si="0"/>
        <v>1961.5</v>
      </c>
      <c r="B8">
        <v>-2.1150000000000002</v>
      </c>
      <c r="C8">
        <v>0.42099999999999999</v>
      </c>
      <c r="I8">
        <v>2005.5</v>
      </c>
      <c r="J8">
        <f>I8+1</f>
        <v>2006.5</v>
      </c>
      <c r="K8">
        <f t="shared" ref="K8:AB8" si="1">J8+1</f>
        <v>2007.5</v>
      </c>
      <c r="L8">
        <f t="shared" si="1"/>
        <v>2008.5</v>
      </c>
      <c r="M8">
        <f t="shared" si="1"/>
        <v>2009.5</v>
      </c>
      <c r="N8">
        <f t="shared" si="1"/>
        <v>2010.5</v>
      </c>
      <c r="O8">
        <f t="shared" si="1"/>
        <v>2011.5</v>
      </c>
      <c r="P8">
        <f t="shared" si="1"/>
        <v>2012.5</v>
      </c>
      <c r="Q8">
        <f t="shared" si="1"/>
        <v>2013.5</v>
      </c>
      <c r="R8">
        <f t="shared" si="1"/>
        <v>2014.5</v>
      </c>
      <c r="S8">
        <f t="shared" si="1"/>
        <v>2015.5</v>
      </c>
      <c r="T8">
        <f t="shared" si="1"/>
        <v>2016.5</v>
      </c>
      <c r="U8">
        <f t="shared" si="1"/>
        <v>2017.5</v>
      </c>
      <c r="V8">
        <f t="shared" si="1"/>
        <v>2018.5</v>
      </c>
      <c r="W8">
        <f t="shared" si="1"/>
        <v>2019.5</v>
      </c>
      <c r="X8">
        <f t="shared" si="1"/>
        <v>2020.5</v>
      </c>
      <c r="Y8">
        <f t="shared" si="1"/>
        <v>2021.5</v>
      </c>
      <c r="Z8">
        <f t="shared" si="1"/>
        <v>2022.5</v>
      </c>
      <c r="AA8">
        <f t="shared" si="1"/>
        <v>2023.5</v>
      </c>
      <c r="AB8">
        <f t="shared" si="1"/>
        <v>2024.5</v>
      </c>
    </row>
    <row r="9" spans="1:113" x14ac:dyDescent="0.2">
      <c r="A9">
        <f t="shared" si="0"/>
        <v>1962.5</v>
      </c>
      <c r="B9">
        <v>-1.075</v>
      </c>
      <c r="C9">
        <v>0.94699999999999995</v>
      </c>
    </row>
    <row r="10" spans="1:113" x14ac:dyDescent="0.2">
      <c r="A10">
        <f t="shared" si="0"/>
        <v>1963.5</v>
      </c>
      <c r="B10">
        <v>-2.2719999999999998</v>
      </c>
      <c r="C10">
        <v>0.65</v>
      </c>
    </row>
    <row r="11" spans="1:113" x14ac:dyDescent="0.2">
      <c r="A11">
        <f t="shared" si="0"/>
        <v>1964.5</v>
      </c>
      <c r="B11">
        <v>-3.121</v>
      </c>
      <c r="C11">
        <v>0.92200000000000004</v>
      </c>
    </row>
    <row r="12" spans="1:113" x14ac:dyDescent="0.2">
      <c r="A12">
        <f t="shared" si="0"/>
        <v>1965.5</v>
      </c>
      <c r="B12">
        <v>-3.06</v>
      </c>
      <c r="C12">
        <v>0.307</v>
      </c>
    </row>
    <row r="13" spans="1:113" x14ac:dyDescent="0.2">
      <c r="A13">
        <f t="shared" si="0"/>
        <v>1966.5</v>
      </c>
      <c r="B13">
        <v>-3.944</v>
      </c>
      <c r="C13">
        <v>0.45600000000000002</v>
      </c>
    </row>
    <row r="14" spans="1:113" x14ac:dyDescent="0.2">
      <c r="A14">
        <f t="shared" si="0"/>
        <v>1967.5</v>
      </c>
      <c r="B14">
        <v>-4.3609999999999998</v>
      </c>
      <c r="C14">
        <v>0.372</v>
      </c>
    </row>
    <row r="15" spans="1:113" x14ac:dyDescent="0.2">
      <c r="A15">
        <f t="shared" si="0"/>
        <v>1968.5</v>
      </c>
      <c r="B15">
        <v>-5.7279999999999998</v>
      </c>
      <c r="C15">
        <v>0.85799999999999998</v>
      </c>
    </row>
    <row r="16" spans="1:113" x14ac:dyDescent="0.2">
      <c r="A16">
        <f t="shared" si="0"/>
        <v>1969.5</v>
      </c>
      <c r="B16">
        <v>-4.4809999999999999</v>
      </c>
      <c r="C16">
        <v>0.53300000000000003</v>
      </c>
    </row>
    <row r="17" spans="1:3" x14ac:dyDescent="0.2">
      <c r="A17">
        <f t="shared" si="0"/>
        <v>1970.5</v>
      </c>
      <c r="B17">
        <v>-5.298</v>
      </c>
      <c r="C17">
        <v>0.86199999999999999</v>
      </c>
    </row>
    <row r="18" spans="1:3" x14ac:dyDescent="0.2">
      <c r="A18">
        <f t="shared" si="0"/>
        <v>1971.5</v>
      </c>
      <c r="B18">
        <v>-3.7669999999999999</v>
      </c>
      <c r="C18">
        <v>0.51</v>
      </c>
    </row>
    <row r="19" spans="1:3" x14ac:dyDescent="0.2">
      <c r="A19">
        <f t="shared" si="0"/>
        <v>1972.5</v>
      </c>
      <c r="B19">
        <v>-5.2389999999999999</v>
      </c>
      <c r="C19">
        <v>1.1539999999999999</v>
      </c>
    </row>
    <row r="20" spans="1:3" x14ac:dyDescent="0.2">
      <c r="A20">
        <f t="shared" si="0"/>
        <v>1973.5</v>
      </c>
      <c r="B20">
        <v>-3.5190000000000001</v>
      </c>
      <c r="C20">
        <v>1.256</v>
      </c>
    </row>
    <row r="21" spans="1:3" x14ac:dyDescent="0.2">
      <c r="A21">
        <f t="shared" si="0"/>
        <v>1974.5</v>
      </c>
      <c r="B21">
        <v>-2.7749999999999999</v>
      </c>
      <c r="C21">
        <v>0.72899999999999998</v>
      </c>
    </row>
    <row r="22" spans="1:3" x14ac:dyDescent="0.2">
      <c r="A22">
        <f t="shared" si="0"/>
        <v>1975.5</v>
      </c>
      <c r="B22">
        <v>-1.5509999999999999</v>
      </c>
      <c r="C22">
        <v>0.46700000000000003</v>
      </c>
    </row>
    <row r="23" spans="1:3" x14ac:dyDescent="0.2">
      <c r="A23">
        <f t="shared" si="0"/>
        <v>1976.5</v>
      </c>
      <c r="B23">
        <v>-2.6030000000000002</v>
      </c>
      <c r="C23">
        <v>0.61599999999999999</v>
      </c>
    </row>
    <row r="24" spans="1:3" x14ac:dyDescent="0.2">
      <c r="A24">
        <f t="shared" si="0"/>
        <v>1977.5</v>
      </c>
      <c r="B24">
        <v>3.2000000000000001E-2</v>
      </c>
      <c r="C24">
        <v>0.71699999999999997</v>
      </c>
    </row>
    <row r="25" spans="1:3" x14ac:dyDescent="0.2">
      <c r="A25">
        <f t="shared" si="0"/>
        <v>1978.5</v>
      </c>
      <c r="B25">
        <v>5.1999999999999998E-2</v>
      </c>
      <c r="C25">
        <v>0.432</v>
      </c>
    </row>
    <row r="26" spans="1:3" x14ac:dyDescent="0.2">
      <c r="A26">
        <f t="shared" si="0"/>
        <v>1979.5</v>
      </c>
      <c r="B26">
        <v>-0.96</v>
      </c>
      <c r="C26">
        <v>0.5</v>
      </c>
    </row>
    <row r="27" spans="1:3" x14ac:dyDescent="0.2">
      <c r="A27">
        <f t="shared" si="0"/>
        <v>1980.5</v>
      </c>
      <c r="B27">
        <v>1.091</v>
      </c>
      <c r="C27">
        <v>0.42199999999999999</v>
      </c>
    </row>
    <row r="28" spans="1:3" x14ac:dyDescent="0.2">
      <c r="A28">
        <f t="shared" si="0"/>
        <v>1981.5</v>
      </c>
      <c r="B28">
        <v>0.122</v>
      </c>
      <c r="C28">
        <v>0.54900000000000004</v>
      </c>
    </row>
    <row r="29" spans="1:3" x14ac:dyDescent="0.2">
      <c r="A29">
        <f t="shared" si="0"/>
        <v>1982.5</v>
      </c>
      <c r="B29">
        <v>-2.306</v>
      </c>
      <c r="C29">
        <v>0.91600000000000004</v>
      </c>
    </row>
    <row r="30" spans="1:3" x14ac:dyDescent="0.2">
      <c r="A30">
        <f t="shared" si="0"/>
        <v>1983.5</v>
      </c>
      <c r="B30">
        <v>-2.7629999999999999</v>
      </c>
      <c r="C30">
        <v>1.871</v>
      </c>
    </row>
    <row r="31" spans="1:3" x14ac:dyDescent="0.2">
      <c r="A31">
        <f t="shared" si="0"/>
        <v>1984.5</v>
      </c>
      <c r="B31">
        <v>-0.45900000000000002</v>
      </c>
      <c r="C31">
        <v>1.262</v>
      </c>
    </row>
    <row r="32" spans="1:3" x14ac:dyDescent="0.2">
      <c r="A32">
        <f t="shared" si="0"/>
        <v>1985.5</v>
      </c>
      <c r="B32">
        <v>0.11</v>
      </c>
      <c r="C32">
        <v>1.2270000000000001</v>
      </c>
    </row>
    <row r="33" spans="1:3" x14ac:dyDescent="0.2">
      <c r="A33">
        <f t="shared" si="0"/>
        <v>1986.5</v>
      </c>
      <c r="B33">
        <v>-1.0369999999999999</v>
      </c>
      <c r="C33">
        <v>1.109</v>
      </c>
    </row>
    <row r="34" spans="1:3" x14ac:dyDescent="0.2">
      <c r="A34">
        <f t="shared" si="0"/>
        <v>1987.5</v>
      </c>
      <c r="B34">
        <v>-0.89300000000000002</v>
      </c>
      <c r="C34">
        <v>0.53100000000000003</v>
      </c>
    </row>
    <row r="35" spans="1:3" x14ac:dyDescent="0.2">
      <c r="A35">
        <f t="shared" si="0"/>
        <v>1988.5</v>
      </c>
      <c r="B35">
        <v>1.0880000000000001</v>
      </c>
      <c r="C35">
        <v>0.42199999999999999</v>
      </c>
    </row>
    <row r="36" spans="1:3" x14ac:dyDescent="0.2">
      <c r="A36">
        <f t="shared" si="0"/>
        <v>1989.5</v>
      </c>
      <c r="B36">
        <v>0.90300000000000002</v>
      </c>
      <c r="C36">
        <v>0.52100000000000002</v>
      </c>
    </row>
    <row r="37" spans="1:3" x14ac:dyDescent="0.2">
      <c r="A37">
        <f t="shared" si="0"/>
        <v>1990.5</v>
      </c>
      <c r="B37">
        <v>0.17699999999999999</v>
      </c>
      <c r="C37">
        <v>0.90600000000000003</v>
      </c>
    </row>
    <row r="38" spans="1:3" x14ac:dyDescent="0.2">
      <c r="A38">
        <f t="shared" si="0"/>
        <v>1991.5</v>
      </c>
      <c r="B38">
        <v>2.6459999999999999</v>
      </c>
      <c r="C38">
        <v>0.28100000000000003</v>
      </c>
    </row>
    <row r="39" spans="1:3" x14ac:dyDescent="0.2">
      <c r="A39">
        <f t="shared" si="0"/>
        <v>1992.5</v>
      </c>
      <c r="B39">
        <v>0.57199999999999995</v>
      </c>
      <c r="C39">
        <v>0.35799999999999998</v>
      </c>
    </row>
    <row r="40" spans="1:3" x14ac:dyDescent="0.2">
      <c r="A40">
        <f t="shared" si="0"/>
        <v>1993.5</v>
      </c>
      <c r="B40">
        <v>0.68400000000000005</v>
      </c>
      <c r="C40">
        <v>0.439</v>
      </c>
    </row>
    <row r="41" spans="1:3" x14ac:dyDescent="0.2">
      <c r="A41">
        <f t="shared" si="0"/>
        <v>1994.5</v>
      </c>
      <c r="B41">
        <v>1.51</v>
      </c>
      <c r="C41">
        <v>0.746</v>
      </c>
    </row>
    <row r="42" spans="1:3" x14ac:dyDescent="0.2">
      <c r="A42">
        <f t="shared" si="0"/>
        <v>1995.5</v>
      </c>
      <c r="B42">
        <v>2.2639999999999998</v>
      </c>
      <c r="C42">
        <v>0.64900000000000002</v>
      </c>
    </row>
    <row r="43" spans="1:3" x14ac:dyDescent="0.2">
      <c r="A43">
        <f t="shared" si="0"/>
        <v>1996.5</v>
      </c>
      <c r="B43">
        <v>4.5439999999999996</v>
      </c>
      <c r="C43">
        <v>1.0649999999999999</v>
      </c>
    </row>
    <row r="44" spans="1:3" x14ac:dyDescent="0.2">
      <c r="A44">
        <f t="shared" si="0"/>
        <v>1997.5</v>
      </c>
      <c r="B44">
        <v>3.2450000000000001</v>
      </c>
      <c r="C44">
        <v>0.53900000000000003</v>
      </c>
    </row>
    <row r="45" spans="1:3" x14ac:dyDescent="0.2">
      <c r="A45">
        <f t="shared" si="0"/>
        <v>1998.5</v>
      </c>
      <c r="B45">
        <v>4.3040000000000003</v>
      </c>
      <c r="C45">
        <v>0.55700000000000005</v>
      </c>
    </row>
    <row r="46" spans="1:3" x14ac:dyDescent="0.2">
      <c r="A46">
        <f t="shared" si="0"/>
        <v>1999.5</v>
      </c>
      <c r="B46">
        <v>5.9429999999999996</v>
      </c>
      <c r="C46">
        <v>0.26900000000000002</v>
      </c>
    </row>
    <row r="47" spans="1:3" x14ac:dyDescent="0.2">
      <c r="A47">
        <f t="shared" si="0"/>
        <v>2000.5</v>
      </c>
      <c r="B47">
        <v>5.6719999999999997</v>
      </c>
      <c r="C47">
        <v>0.53200000000000003</v>
      </c>
    </row>
    <row r="48" spans="1:3" x14ac:dyDescent="0.2">
      <c r="A48">
        <f t="shared" si="0"/>
        <v>2001.5</v>
      </c>
      <c r="B48">
        <v>4.117</v>
      </c>
      <c r="C48">
        <v>1.115</v>
      </c>
    </row>
    <row r="49" spans="1:5" x14ac:dyDescent="0.2">
      <c r="A49">
        <f t="shared" si="0"/>
        <v>2002.5</v>
      </c>
      <c r="B49">
        <v>6.7889999999999997</v>
      </c>
      <c r="C49">
        <v>0.52300000000000002</v>
      </c>
    </row>
    <row r="50" spans="1:5" x14ac:dyDescent="0.2">
      <c r="A50">
        <f t="shared" si="0"/>
        <v>2003.5</v>
      </c>
      <c r="B50">
        <v>9.952</v>
      </c>
      <c r="C50">
        <v>0.622</v>
      </c>
    </row>
    <row r="51" spans="1:5" x14ac:dyDescent="0.2">
      <c r="A51">
        <f t="shared" si="0"/>
        <v>2004.5</v>
      </c>
      <c r="B51">
        <v>10.24</v>
      </c>
      <c r="C51">
        <v>0.28299999999999997</v>
      </c>
    </row>
    <row r="52" spans="1:5" x14ac:dyDescent="0.2">
      <c r="A52">
        <f t="shared" si="0"/>
        <v>2005.5</v>
      </c>
      <c r="B52">
        <v>8.4120000000000008</v>
      </c>
      <c r="C52">
        <v>0.317</v>
      </c>
      <c r="D52" cm="1">
        <f t="array" ref="D52:E116">TRANSPOSE(I6:BU7)</f>
        <v>10.170999999999999</v>
      </c>
      <c r="E52">
        <v>0.83499999999999996</v>
      </c>
    </row>
    <row r="53" spans="1:5" x14ac:dyDescent="0.2">
      <c r="A53">
        <f t="shared" si="0"/>
        <v>2006.5</v>
      </c>
      <c r="B53">
        <v>10.43</v>
      </c>
      <c r="C53">
        <v>0.19900000000000001</v>
      </c>
      <c r="D53">
        <v>12.638</v>
      </c>
      <c r="E53">
        <v>0.32700000000000001</v>
      </c>
    </row>
    <row r="54" spans="1:5" x14ac:dyDescent="0.2">
      <c r="A54">
        <f t="shared" si="0"/>
        <v>2007.5</v>
      </c>
      <c r="B54">
        <v>9.4779999999999998</v>
      </c>
      <c r="C54">
        <v>0.23300000000000001</v>
      </c>
      <c r="D54">
        <v>12.394</v>
      </c>
      <c r="E54">
        <v>0.434</v>
      </c>
    </row>
    <row r="55" spans="1:5" x14ac:dyDescent="0.2">
      <c r="A55">
        <f t="shared" si="0"/>
        <v>2008.5</v>
      </c>
      <c r="B55">
        <v>10.052</v>
      </c>
      <c r="C55">
        <v>0.46400000000000002</v>
      </c>
      <c r="D55">
        <v>13.257</v>
      </c>
      <c r="E55">
        <v>0.51900000000000002</v>
      </c>
    </row>
    <row r="56" spans="1:5" x14ac:dyDescent="0.2">
      <c r="A56">
        <f t="shared" si="0"/>
        <v>2009.5</v>
      </c>
      <c r="B56">
        <v>10.125999999999999</v>
      </c>
      <c r="C56">
        <v>0.35699999999999998</v>
      </c>
      <c r="D56">
        <v>13.430999999999999</v>
      </c>
      <c r="E56">
        <v>0.63600000000000001</v>
      </c>
    </row>
    <row r="57" spans="1:5" x14ac:dyDescent="0.2">
      <c r="A57">
        <f t="shared" si="0"/>
        <v>2010.5</v>
      </c>
      <c r="B57">
        <v>10.367000000000001</v>
      </c>
      <c r="C57">
        <v>0.36599999999999999</v>
      </c>
      <c r="D57">
        <v>14.537000000000001</v>
      </c>
      <c r="E57">
        <v>0.52700000000000002</v>
      </c>
    </row>
    <row r="58" spans="1:5" x14ac:dyDescent="0.2">
      <c r="A58">
        <f t="shared" si="0"/>
        <v>2011.5</v>
      </c>
      <c r="B58">
        <v>10.869</v>
      </c>
      <c r="C58">
        <v>0.44500000000000001</v>
      </c>
      <c r="D58">
        <v>15.394</v>
      </c>
      <c r="E58">
        <v>0.50700000000000001</v>
      </c>
    </row>
    <row r="59" spans="1:5" x14ac:dyDescent="0.2">
      <c r="A59">
        <f t="shared" si="0"/>
        <v>2012.5</v>
      </c>
      <c r="B59">
        <v>10.941000000000001</v>
      </c>
      <c r="C59">
        <v>0.36099999999999999</v>
      </c>
      <c r="D59">
        <v>16.187000000000001</v>
      </c>
      <c r="E59">
        <v>0.47299999999999998</v>
      </c>
    </row>
    <row r="60" spans="1:5" x14ac:dyDescent="0.2">
      <c r="A60">
        <f t="shared" si="0"/>
        <v>2013.5</v>
      </c>
      <c r="B60">
        <v>12.601000000000001</v>
      </c>
      <c r="C60">
        <v>0.60199999999999998</v>
      </c>
      <c r="D60">
        <v>18.649999999999999</v>
      </c>
      <c r="E60">
        <v>1.0589999999999999</v>
      </c>
    </row>
    <row r="61" spans="1:5" x14ac:dyDescent="0.2">
      <c r="A61">
        <f t="shared" si="0"/>
        <v>2014.5</v>
      </c>
      <c r="B61">
        <v>13.260999999999999</v>
      </c>
      <c r="C61">
        <v>0.47799999999999998</v>
      </c>
      <c r="D61">
        <v>20.11</v>
      </c>
      <c r="E61">
        <v>0.58899999999999997</v>
      </c>
    </row>
    <row r="62" spans="1:5" x14ac:dyDescent="0.2">
      <c r="A62">
        <f t="shared" si="0"/>
        <v>2015.5</v>
      </c>
      <c r="B62">
        <v>15.122</v>
      </c>
      <c r="C62">
        <v>0.26400000000000001</v>
      </c>
      <c r="D62">
        <v>22.401</v>
      </c>
      <c r="E62">
        <v>0.38500000000000001</v>
      </c>
    </row>
    <row r="63" spans="1:5" x14ac:dyDescent="0.2">
      <c r="A63">
        <f t="shared" si="0"/>
        <v>2016.5</v>
      </c>
      <c r="B63">
        <v>13.972</v>
      </c>
      <c r="C63">
        <v>0.56999999999999995</v>
      </c>
      <c r="D63">
        <v>20.798999999999999</v>
      </c>
      <c r="E63">
        <v>0.83199999999999996</v>
      </c>
    </row>
    <row r="64" spans="1:5" x14ac:dyDescent="0.2">
      <c r="A64">
        <f t="shared" si="0"/>
        <v>2017.5</v>
      </c>
      <c r="B64">
        <v>15.878</v>
      </c>
      <c r="C64">
        <v>0.35199999999999998</v>
      </c>
      <c r="D64">
        <v>23.588999999999999</v>
      </c>
      <c r="E64">
        <v>0.56299999999999994</v>
      </c>
    </row>
    <row r="65" spans="1:5" x14ac:dyDescent="0.2">
      <c r="A65">
        <f t="shared" si="0"/>
        <v>2018.5</v>
      </c>
      <c r="B65">
        <v>16.722000000000001</v>
      </c>
      <c r="C65">
        <v>0.54900000000000004</v>
      </c>
      <c r="D65">
        <v>24.059000000000001</v>
      </c>
      <c r="E65">
        <v>0.82799999999999996</v>
      </c>
    </row>
    <row r="66" spans="1:5" x14ac:dyDescent="0.2">
      <c r="A66">
        <f t="shared" si="0"/>
        <v>2019.5</v>
      </c>
      <c r="B66">
        <v>17.725999999999999</v>
      </c>
      <c r="C66">
        <v>0.22800000000000001</v>
      </c>
      <c r="D66">
        <v>25.436</v>
      </c>
      <c r="E66">
        <v>0.28699999999999998</v>
      </c>
    </row>
    <row r="67" spans="1:5" x14ac:dyDescent="0.2">
      <c r="A67">
        <f t="shared" si="0"/>
        <v>2020.5</v>
      </c>
      <c r="B67">
        <v>17.524000000000001</v>
      </c>
      <c r="C67">
        <v>0.68200000000000005</v>
      </c>
      <c r="D67">
        <v>25.524999999999999</v>
      </c>
      <c r="E67">
        <v>0.92400000000000004</v>
      </c>
    </row>
    <row r="68" spans="1:5" x14ac:dyDescent="0.2">
      <c r="A68">
        <f t="shared" ref="A68:A72" si="2">A67+1</f>
        <v>2021.5</v>
      </c>
      <c r="B68">
        <v>18.734999999999999</v>
      </c>
      <c r="C68">
        <v>0.36699999999999999</v>
      </c>
      <c r="D68">
        <v>27.28</v>
      </c>
      <c r="E68">
        <v>0.36799999999999999</v>
      </c>
    </row>
    <row r="69" spans="1:5" x14ac:dyDescent="0.2">
      <c r="A69">
        <f t="shared" si="2"/>
        <v>2022.5</v>
      </c>
      <c r="B69">
        <v>19.687000000000001</v>
      </c>
      <c r="C69">
        <v>0.32</v>
      </c>
      <c r="D69">
        <v>28.192</v>
      </c>
      <c r="E69">
        <v>0.25</v>
      </c>
    </row>
    <row r="70" spans="1:5" x14ac:dyDescent="0.2">
      <c r="A70">
        <f t="shared" si="2"/>
        <v>2023.5</v>
      </c>
      <c r="B70">
        <v>20.731999999999999</v>
      </c>
      <c r="C70">
        <v>0.41399999999999998</v>
      </c>
      <c r="D70">
        <v>29.22</v>
      </c>
      <c r="E70">
        <v>0.54600000000000004</v>
      </c>
    </row>
    <row r="71" spans="1:5" x14ac:dyDescent="0.2">
      <c r="A71">
        <f t="shared" si="2"/>
        <v>2024.5</v>
      </c>
      <c r="B71">
        <v>21.469000000000001</v>
      </c>
      <c r="C71">
        <v>0.19500000000000001</v>
      </c>
      <c r="D71">
        <v>30.315999999999999</v>
      </c>
      <c r="E71">
        <v>0.189</v>
      </c>
    </row>
    <row r="72" spans="1:5" x14ac:dyDescent="0.2">
      <c r="A72">
        <f t="shared" si="2"/>
        <v>2025.5</v>
      </c>
      <c r="B72">
        <v>0</v>
      </c>
      <c r="C72">
        <v>0</v>
      </c>
      <c r="D72">
        <v>32.533000000000001</v>
      </c>
      <c r="E72">
        <v>0.26700000000000002</v>
      </c>
    </row>
    <row r="73" spans="1:5" x14ac:dyDescent="0.2">
      <c r="B73">
        <v>0</v>
      </c>
      <c r="C73">
        <v>0</v>
      </c>
      <c r="D73">
        <v>0</v>
      </c>
      <c r="E73">
        <v>0</v>
      </c>
    </row>
    <row r="74" spans="1:5" x14ac:dyDescent="0.2">
      <c r="B74">
        <v>0</v>
      </c>
      <c r="C74">
        <v>0</v>
      </c>
      <c r="D74">
        <v>0</v>
      </c>
      <c r="E74">
        <v>0</v>
      </c>
    </row>
    <row r="75" spans="1:5" x14ac:dyDescent="0.2">
      <c r="B75">
        <v>0</v>
      </c>
      <c r="C75">
        <v>0</v>
      </c>
      <c r="D75">
        <v>0</v>
      </c>
      <c r="E75">
        <v>0</v>
      </c>
    </row>
    <row r="76" spans="1:5" x14ac:dyDescent="0.2">
      <c r="B76">
        <v>0</v>
      </c>
      <c r="C76">
        <v>0</v>
      </c>
      <c r="D76">
        <v>0</v>
      </c>
      <c r="E76">
        <v>0</v>
      </c>
    </row>
    <row r="77" spans="1:5" x14ac:dyDescent="0.2">
      <c r="B77">
        <v>0</v>
      </c>
      <c r="C77">
        <v>0</v>
      </c>
      <c r="D77">
        <v>0</v>
      </c>
      <c r="E77">
        <v>0</v>
      </c>
    </row>
    <row r="78" spans="1:5" x14ac:dyDescent="0.2">
      <c r="B78">
        <v>0</v>
      </c>
      <c r="C78">
        <v>0</v>
      </c>
      <c r="D78">
        <v>0</v>
      </c>
      <c r="E78">
        <v>0</v>
      </c>
    </row>
    <row r="79" spans="1:5" x14ac:dyDescent="0.2">
      <c r="B79">
        <v>0</v>
      </c>
      <c r="C79">
        <v>0</v>
      </c>
      <c r="D79">
        <v>0</v>
      </c>
      <c r="E79">
        <v>0</v>
      </c>
    </row>
    <row r="80" spans="1:5" x14ac:dyDescent="0.2">
      <c r="B80">
        <v>0</v>
      </c>
      <c r="C80">
        <v>0</v>
      </c>
      <c r="D80">
        <v>0</v>
      </c>
      <c r="E80">
        <v>0</v>
      </c>
    </row>
    <row r="81" spans="2:5" x14ac:dyDescent="0.2">
      <c r="B81">
        <v>0</v>
      </c>
      <c r="C81">
        <v>0</v>
      </c>
      <c r="D81">
        <v>0</v>
      </c>
      <c r="E81">
        <v>0</v>
      </c>
    </row>
    <row r="82" spans="2:5" x14ac:dyDescent="0.2">
      <c r="B82">
        <v>0</v>
      </c>
      <c r="C82">
        <v>0</v>
      </c>
      <c r="D82">
        <v>0</v>
      </c>
      <c r="E82">
        <v>0</v>
      </c>
    </row>
    <row r="83" spans="2:5" x14ac:dyDescent="0.2">
      <c r="B83">
        <v>0</v>
      </c>
      <c r="C83">
        <v>0</v>
      </c>
      <c r="D83">
        <v>0</v>
      </c>
      <c r="E83">
        <v>0</v>
      </c>
    </row>
    <row r="84" spans="2:5" x14ac:dyDescent="0.2">
      <c r="B84">
        <v>0</v>
      </c>
      <c r="C84">
        <v>0</v>
      </c>
      <c r="D84">
        <v>0</v>
      </c>
      <c r="E84">
        <v>0</v>
      </c>
    </row>
    <row r="85" spans="2:5" x14ac:dyDescent="0.2">
      <c r="B85">
        <v>0</v>
      </c>
      <c r="C85">
        <v>0</v>
      </c>
      <c r="D85">
        <v>0</v>
      </c>
      <c r="E85">
        <v>0</v>
      </c>
    </row>
    <row r="86" spans="2:5" x14ac:dyDescent="0.2">
      <c r="B86">
        <v>0</v>
      </c>
      <c r="C86">
        <v>0</v>
      </c>
      <c r="D86">
        <v>0</v>
      </c>
      <c r="E86">
        <v>0</v>
      </c>
    </row>
    <row r="87" spans="2:5" x14ac:dyDescent="0.2">
      <c r="B87">
        <v>0</v>
      </c>
      <c r="C87">
        <v>0</v>
      </c>
      <c r="D87">
        <v>0</v>
      </c>
      <c r="E87">
        <v>0</v>
      </c>
    </row>
    <row r="88" spans="2:5" x14ac:dyDescent="0.2">
      <c r="B88">
        <v>0</v>
      </c>
      <c r="C88">
        <v>0</v>
      </c>
      <c r="D88">
        <v>0</v>
      </c>
      <c r="E88">
        <v>0</v>
      </c>
    </row>
    <row r="89" spans="2:5" x14ac:dyDescent="0.2">
      <c r="B89">
        <v>0</v>
      </c>
      <c r="C89">
        <v>0</v>
      </c>
      <c r="D89">
        <v>0</v>
      </c>
      <c r="E89">
        <v>0</v>
      </c>
    </row>
    <row r="90" spans="2:5" x14ac:dyDescent="0.2">
      <c r="B90">
        <v>0</v>
      </c>
      <c r="C90">
        <v>0</v>
      </c>
      <c r="D90">
        <v>0</v>
      </c>
      <c r="E90">
        <v>0</v>
      </c>
    </row>
    <row r="91" spans="2:5" x14ac:dyDescent="0.2">
      <c r="B91">
        <v>0</v>
      </c>
      <c r="C91">
        <v>0</v>
      </c>
      <c r="D91">
        <v>0</v>
      </c>
      <c r="E91">
        <v>0</v>
      </c>
    </row>
    <row r="92" spans="2:5" x14ac:dyDescent="0.2">
      <c r="B92">
        <v>0</v>
      </c>
      <c r="C92">
        <v>0</v>
      </c>
      <c r="D92">
        <v>0</v>
      </c>
      <c r="E92">
        <v>0</v>
      </c>
    </row>
    <row r="93" spans="2:5" x14ac:dyDescent="0.2">
      <c r="B93">
        <v>0</v>
      </c>
      <c r="C93">
        <v>0</v>
      </c>
      <c r="D93">
        <v>0</v>
      </c>
      <c r="E93">
        <v>0</v>
      </c>
    </row>
    <row r="94" spans="2:5" x14ac:dyDescent="0.2">
      <c r="B94">
        <v>0</v>
      </c>
      <c r="C94">
        <v>0</v>
      </c>
      <c r="D94">
        <v>0</v>
      </c>
      <c r="E94">
        <v>0</v>
      </c>
    </row>
    <row r="95" spans="2:5" x14ac:dyDescent="0.2">
      <c r="B95">
        <v>0</v>
      </c>
      <c r="C95">
        <v>0</v>
      </c>
      <c r="D95">
        <v>0</v>
      </c>
      <c r="E95">
        <v>0</v>
      </c>
    </row>
    <row r="96" spans="2:5" x14ac:dyDescent="0.2">
      <c r="B96">
        <v>0</v>
      </c>
      <c r="C96">
        <v>0</v>
      </c>
      <c r="D96">
        <v>0</v>
      </c>
      <c r="E96">
        <v>0</v>
      </c>
    </row>
    <row r="97" spans="2:5" x14ac:dyDescent="0.2">
      <c r="B97">
        <v>0</v>
      </c>
      <c r="C97">
        <v>0</v>
      </c>
      <c r="D97">
        <v>0</v>
      </c>
      <c r="E97">
        <v>0</v>
      </c>
    </row>
    <row r="98" spans="2:5" x14ac:dyDescent="0.2">
      <c r="B98">
        <v>0</v>
      </c>
      <c r="C98">
        <v>0</v>
      </c>
      <c r="D98">
        <v>0</v>
      </c>
      <c r="E98">
        <v>0</v>
      </c>
    </row>
    <row r="99" spans="2:5" x14ac:dyDescent="0.2">
      <c r="B99">
        <v>0</v>
      </c>
      <c r="C99">
        <v>0</v>
      </c>
      <c r="D99">
        <v>0</v>
      </c>
      <c r="E99">
        <v>0</v>
      </c>
    </row>
    <row r="100" spans="2:5" x14ac:dyDescent="0.2">
      <c r="B100">
        <v>0</v>
      </c>
      <c r="C100">
        <v>0</v>
      </c>
      <c r="D100">
        <v>0</v>
      </c>
      <c r="E100">
        <v>0</v>
      </c>
    </row>
    <row r="101" spans="2:5" x14ac:dyDescent="0.2">
      <c r="B101">
        <v>0</v>
      </c>
      <c r="C101">
        <v>0</v>
      </c>
      <c r="D101">
        <v>0</v>
      </c>
      <c r="E101">
        <v>0</v>
      </c>
    </row>
    <row r="102" spans="2:5" x14ac:dyDescent="0.2">
      <c r="B102">
        <v>0</v>
      </c>
      <c r="C102">
        <v>0</v>
      </c>
      <c r="D102">
        <v>0</v>
      </c>
      <c r="E102">
        <v>0</v>
      </c>
    </row>
    <row r="103" spans="2:5" x14ac:dyDescent="0.2">
      <c r="B103">
        <v>0</v>
      </c>
      <c r="C103">
        <v>0</v>
      </c>
      <c r="D103">
        <v>0</v>
      </c>
      <c r="E103">
        <v>0</v>
      </c>
    </row>
    <row r="104" spans="2:5" x14ac:dyDescent="0.2">
      <c r="B104">
        <v>0</v>
      </c>
      <c r="C104">
        <v>0</v>
      </c>
      <c r="D104">
        <v>0</v>
      </c>
      <c r="E104">
        <v>0</v>
      </c>
    </row>
    <row r="105" spans="2:5" x14ac:dyDescent="0.2">
      <c r="B105">
        <v>0</v>
      </c>
      <c r="C105">
        <v>0</v>
      </c>
      <c r="D105">
        <v>0</v>
      </c>
      <c r="E105">
        <v>0</v>
      </c>
    </row>
    <row r="106" spans="2:5" x14ac:dyDescent="0.2">
      <c r="B106">
        <v>0</v>
      </c>
      <c r="C106">
        <v>0</v>
      </c>
      <c r="D106">
        <v>0</v>
      </c>
      <c r="E106">
        <v>0</v>
      </c>
    </row>
    <row r="107" spans="2:5" x14ac:dyDescent="0.2">
      <c r="B107">
        <v>0</v>
      </c>
      <c r="C107">
        <v>0</v>
      </c>
      <c r="D107">
        <v>0</v>
      </c>
      <c r="E107">
        <v>0</v>
      </c>
    </row>
    <row r="108" spans="2:5" x14ac:dyDescent="0.2">
      <c r="B108">
        <v>0</v>
      </c>
      <c r="C108">
        <v>0</v>
      </c>
      <c r="D108">
        <v>0</v>
      </c>
      <c r="E108">
        <v>0</v>
      </c>
    </row>
    <row r="109" spans="2:5" x14ac:dyDescent="0.2">
      <c r="B109">
        <v>0</v>
      </c>
      <c r="C109">
        <v>0</v>
      </c>
      <c r="D109">
        <v>0</v>
      </c>
      <c r="E109">
        <v>0</v>
      </c>
    </row>
    <row r="110" spans="2:5" x14ac:dyDescent="0.2">
      <c r="B110">
        <v>0</v>
      </c>
      <c r="C110">
        <v>0</v>
      </c>
      <c r="D110">
        <v>0</v>
      </c>
      <c r="E110">
        <v>0</v>
      </c>
    </row>
    <row r="111" spans="2:5" x14ac:dyDescent="0.2">
      <c r="B111">
        <v>0</v>
      </c>
      <c r="C111">
        <v>0</v>
      </c>
      <c r="D111">
        <v>0</v>
      </c>
      <c r="E111">
        <v>0</v>
      </c>
    </row>
    <row r="112" spans="2:5" x14ac:dyDescent="0.2">
      <c r="B112">
        <v>0</v>
      </c>
      <c r="C112">
        <v>0</v>
      </c>
      <c r="D112">
        <v>0</v>
      </c>
      <c r="E112">
        <v>0</v>
      </c>
    </row>
    <row r="113" spans="2:5" x14ac:dyDescent="0.2">
      <c r="B113">
        <v>0</v>
      </c>
      <c r="C113">
        <v>0</v>
      </c>
      <c r="D113">
        <v>0</v>
      </c>
      <c r="E113">
        <v>0</v>
      </c>
    </row>
    <row r="114" spans="2:5" x14ac:dyDescent="0.2">
      <c r="B114">
        <v>0</v>
      </c>
      <c r="C114">
        <v>0</v>
      </c>
      <c r="D114">
        <v>0</v>
      </c>
      <c r="E114">
        <v>0</v>
      </c>
    </row>
    <row r="115" spans="2:5" x14ac:dyDescent="0.2">
      <c r="B115">
        <v>0</v>
      </c>
      <c r="C115">
        <v>0</v>
      </c>
      <c r="D115">
        <v>0</v>
      </c>
      <c r="E115">
        <v>0</v>
      </c>
    </row>
    <row r="116" spans="2:5" x14ac:dyDescent="0.2">
      <c r="B116">
        <v>0</v>
      </c>
      <c r="C116">
        <v>0</v>
      </c>
      <c r="D116">
        <v>0</v>
      </c>
      <c r="E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2025-10-22T17:22:47Z</dcterms:created>
  <dcterms:modified xsi:type="dcterms:W3CDTF">2026-09-14T20:12:10Z</dcterms:modified>
</cp:coreProperties>
</file>