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"/>
    </mc:Choice>
  </mc:AlternateContent>
  <xr:revisionPtr revIDLastSave="0" documentId="13_ncr:1_{E30D58BD-EDB6-2644-9477-9112CC3A0134}" xr6:coauthVersionLast="47" xr6:coauthVersionMax="47" xr10:uidLastSave="{00000000-0000-0000-0000-000000000000}"/>
  <bookViews>
    <workbookView xWindow="12140" yWindow="600" windowWidth="26260" windowHeight="20120" activeTab="1" xr2:uid="{00000000-000D-0000-FFFF-FFFF00000000}"/>
  </bookViews>
  <sheets>
    <sheet name="averaged_runs126" sheetId="1" r:id="rId1"/>
    <sheet name="averaged_runs245" sheetId="2" r:id="rId2"/>
    <sheet name="averaged_runs370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2" l="1"/>
  <c r="E61" i="2"/>
  <c r="I61" i="2" s="1"/>
  <c r="C61" i="2"/>
  <c r="F60" i="2"/>
  <c r="E60" i="2"/>
  <c r="I60" i="2" s="1"/>
  <c r="C60" i="2"/>
  <c r="F59" i="2"/>
  <c r="E59" i="2"/>
  <c r="I59" i="2" s="1"/>
  <c r="H58" i="2"/>
  <c r="F58" i="2"/>
  <c r="E58" i="2"/>
  <c r="I58" i="2" s="1"/>
  <c r="C58" i="2"/>
  <c r="H57" i="2"/>
  <c r="G57" i="2"/>
  <c r="F57" i="2"/>
  <c r="E57" i="2"/>
  <c r="I57" i="2" s="1"/>
  <c r="C57" i="2"/>
  <c r="H56" i="2"/>
  <c r="F56" i="2"/>
  <c r="E56" i="2"/>
  <c r="G56" i="2" s="1"/>
  <c r="C56" i="2"/>
  <c r="H55" i="2"/>
  <c r="F55" i="2"/>
  <c r="E55" i="2"/>
  <c r="I55" i="2" s="1"/>
  <c r="C55" i="2"/>
  <c r="I54" i="2"/>
  <c r="H54" i="2"/>
  <c r="F54" i="2"/>
  <c r="E54" i="2"/>
  <c r="G54" i="2" s="1"/>
  <c r="C54" i="2"/>
  <c r="H53" i="2"/>
  <c r="G53" i="2"/>
  <c r="F53" i="2"/>
  <c r="E53" i="2"/>
  <c r="I53" i="2" s="1"/>
  <c r="C53" i="2"/>
  <c r="F52" i="2"/>
  <c r="E52" i="2"/>
  <c r="I52" i="2" s="1"/>
  <c r="C52" i="2"/>
  <c r="H51" i="2"/>
  <c r="G51" i="2"/>
  <c r="F51" i="2"/>
  <c r="E51" i="2"/>
  <c r="I51" i="2" s="1"/>
  <c r="I50" i="2"/>
  <c r="H50" i="2"/>
  <c r="F50" i="2"/>
  <c r="E50" i="2"/>
  <c r="G50" i="2" s="1"/>
  <c r="C50" i="2"/>
  <c r="I49" i="2"/>
  <c r="H49" i="2"/>
  <c r="G49" i="2"/>
  <c r="F49" i="2"/>
  <c r="E49" i="2"/>
  <c r="C49" i="2"/>
  <c r="F48" i="2"/>
  <c r="E48" i="2"/>
  <c r="H48" i="2" s="1"/>
  <c r="H47" i="2"/>
  <c r="F47" i="2"/>
  <c r="E47" i="2"/>
  <c r="I47" i="2" s="1"/>
  <c r="C47" i="2"/>
  <c r="I46" i="2"/>
  <c r="H46" i="2"/>
  <c r="F46" i="2"/>
  <c r="E46" i="2"/>
  <c r="G46" i="2" s="1"/>
  <c r="C46" i="2"/>
  <c r="H45" i="2"/>
  <c r="G45" i="2"/>
  <c r="F45" i="2"/>
  <c r="E45" i="2"/>
  <c r="I45" i="2" s="1"/>
  <c r="C45" i="2"/>
  <c r="F44" i="2"/>
  <c r="E44" i="2"/>
  <c r="I44" i="2" s="1"/>
  <c r="C44" i="2"/>
  <c r="H43" i="2"/>
  <c r="G43" i="2"/>
  <c r="F43" i="2"/>
  <c r="E43" i="2"/>
  <c r="I43" i="2" s="1"/>
  <c r="C43" i="2"/>
  <c r="I42" i="2"/>
  <c r="H42" i="2"/>
  <c r="F42" i="2"/>
  <c r="E42" i="2"/>
  <c r="G42" i="2" s="1"/>
  <c r="C42" i="2"/>
  <c r="I41" i="2"/>
  <c r="H41" i="2"/>
  <c r="G41" i="2"/>
  <c r="F41" i="2"/>
  <c r="E41" i="2"/>
  <c r="F40" i="2"/>
  <c r="E40" i="2"/>
  <c r="H40" i="2" s="1"/>
  <c r="C40" i="2"/>
  <c r="H39" i="2"/>
  <c r="F39" i="2"/>
  <c r="E39" i="2"/>
  <c r="I39" i="2" s="1"/>
  <c r="I38" i="2"/>
  <c r="H38" i="2"/>
  <c r="F38" i="2"/>
  <c r="E38" i="2"/>
  <c r="G38" i="2" s="1"/>
  <c r="G37" i="2"/>
  <c r="F37" i="2"/>
  <c r="E37" i="2"/>
  <c r="I37" i="2" s="1"/>
  <c r="C37" i="2"/>
  <c r="I36" i="2"/>
  <c r="F36" i="2"/>
  <c r="E36" i="2"/>
  <c r="H36" i="2" s="1"/>
  <c r="C36" i="2"/>
  <c r="I35" i="2"/>
  <c r="H35" i="2"/>
  <c r="G35" i="2"/>
  <c r="F35" i="2"/>
  <c r="E35" i="2"/>
  <c r="F34" i="2"/>
  <c r="E34" i="2"/>
  <c r="H34" i="2" s="1"/>
  <c r="C34" i="2"/>
  <c r="F33" i="2"/>
  <c r="E33" i="2"/>
  <c r="I33" i="2" s="1"/>
  <c r="C33" i="2"/>
  <c r="F32" i="2"/>
  <c r="E32" i="2"/>
  <c r="G32" i="2" s="1"/>
  <c r="C32" i="2"/>
  <c r="I31" i="2"/>
  <c r="G31" i="2"/>
  <c r="F31" i="2"/>
  <c r="E31" i="2"/>
  <c r="H31" i="2" s="1"/>
  <c r="G30" i="2"/>
  <c r="F30" i="2"/>
  <c r="E30" i="2"/>
  <c r="I30" i="2" s="1"/>
  <c r="C30" i="2"/>
  <c r="G29" i="2"/>
  <c r="F29" i="2"/>
  <c r="E29" i="2"/>
  <c r="I29" i="2" s="1"/>
  <c r="C29" i="2"/>
  <c r="I28" i="2"/>
  <c r="F28" i="2"/>
  <c r="E28" i="2"/>
  <c r="H28" i="2" s="1"/>
  <c r="I27" i="2"/>
  <c r="H27" i="2"/>
  <c r="G27" i="2"/>
  <c r="F27" i="2"/>
  <c r="E27" i="2"/>
  <c r="C27" i="2"/>
  <c r="F26" i="2"/>
  <c r="E26" i="2"/>
  <c r="I26" i="2" s="1"/>
  <c r="C26" i="2"/>
  <c r="F25" i="2"/>
  <c r="E25" i="2"/>
  <c r="I25" i="2" s="1"/>
  <c r="I24" i="2"/>
  <c r="H24" i="2"/>
  <c r="G24" i="2"/>
  <c r="F24" i="2"/>
  <c r="E24" i="2"/>
  <c r="F23" i="2"/>
  <c r="E23" i="2"/>
  <c r="I23" i="2" s="1"/>
  <c r="F22" i="2"/>
  <c r="E22" i="2"/>
  <c r="I22" i="2" s="1"/>
  <c r="C22" i="2"/>
  <c r="I21" i="2"/>
  <c r="H21" i="2"/>
  <c r="G21" i="2"/>
  <c r="F21" i="2"/>
  <c r="E21" i="2"/>
  <c r="C21" i="2"/>
  <c r="I20" i="2"/>
  <c r="H20" i="2"/>
  <c r="G20" i="2"/>
  <c r="F20" i="2"/>
  <c r="E20" i="2"/>
  <c r="C20" i="2"/>
  <c r="F19" i="2"/>
  <c r="E19" i="2"/>
  <c r="I19" i="2" s="1"/>
  <c r="C19" i="2"/>
  <c r="F18" i="2"/>
  <c r="E18" i="2"/>
  <c r="H18" i="2" s="1"/>
  <c r="C18" i="2"/>
  <c r="I17" i="2"/>
  <c r="H17" i="2"/>
  <c r="F17" i="2"/>
  <c r="E17" i="2"/>
  <c r="G17" i="2" s="1"/>
  <c r="C17" i="2"/>
  <c r="I16" i="2"/>
  <c r="H16" i="2"/>
  <c r="G16" i="2"/>
  <c r="F16" i="2"/>
  <c r="E16" i="2"/>
  <c r="C16" i="2"/>
  <c r="H15" i="2"/>
  <c r="F15" i="2"/>
  <c r="E15" i="2"/>
  <c r="I15" i="2" s="1"/>
  <c r="C15" i="2"/>
  <c r="F14" i="2"/>
  <c r="E14" i="2"/>
  <c r="I14" i="2" s="1"/>
  <c r="C14" i="2"/>
  <c r="I13" i="2"/>
  <c r="H13" i="2"/>
  <c r="G13" i="2"/>
  <c r="F13" i="2"/>
  <c r="E13" i="2"/>
  <c r="I12" i="2"/>
  <c r="H12" i="2"/>
  <c r="G12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I7" i="2"/>
  <c r="H7" i="2"/>
  <c r="G7" i="2"/>
  <c r="F7" i="2"/>
  <c r="E7" i="2"/>
  <c r="C7" i="2"/>
  <c r="F6" i="2"/>
  <c r="E6" i="2"/>
  <c r="F5" i="2"/>
  <c r="E5" i="2"/>
  <c r="C5" i="2"/>
  <c r="F4" i="2"/>
  <c r="E4" i="2"/>
  <c r="I3" i="2"/>
  <c r="H3" i="2"/>
  <c r="G3" i="2"/>
  <c r="F3" i="2"/>
  <c r="E3" i="2"/>
  <c r="C3" i="2"/>
  <c r="F2" i="2"/>
  <c r="E2" i="2"/>
  <c r="E64" i="2" s="1"/>
  <c r="C35" i="2"/>
  <c r="C13" i="2"/>
  <c r="C59" i="2"/>
  <c r="C48" i="2"/>
  <c r="C39" i="2"/>
  <c r="C31" i="2"/>
  <c r="C28" i="2"/>
  <c r="C2" i="2"/>
  <c r="C6" i="2"/>
  <c r="C41" i="2"/>
  <c r="C51" i="2"/>
  <c r="I34" i="2" l="1"/>
  <c r="I18" i="2"/>
  <c r="H32" i="2"/>
  <c r="I40" i="2"/>
  <c r="I48" i="2"/>
  <c r="I56" i="2"/>
  <c r="G59" i="2"/>
  <c r="H59" i="2"/>
  <c r="I32" i="2"/>
  <c r="G19" i="2"/>
  <c r="H30" i="2"/>
  <c r="H33" i="2"/>
  <c r="G44" i="2"/>
  <c r="G52" i="2"/>
  <c r="G60" i="2"/>
  <c r="H19" i="2"/>
  <c r="G25" i="2"/>
  <c r="G33" i="2"/>
  <c r="G14" i="2"/>
  <c r="G22" i="2"/>
  <c r="H25" i="2"/>
  <c r="H14" i="2"/>
  <c r="H22" i="2"/>
  <c r="G28" i="2"/>
  <c r="G36" i="2"/>
  <c r="H44" i="2"/>
  <c r="H52" i="2"/>
  <c r="H60" i="2"/>
  <c r="G39" i="2"/>
  <c r="G47" i="2"/>
  <c r="G55" i="2"/>
  <c r="G58" i="2"/>
  <c r="G23" i="2"/>
  <c r="G26" i="2"/>
  <c r="G34" i="2"/>
  <c r="G15" i="2"/>
  <c r="H23" i="2"/>
  <c r="H26" i="2"/>
  <c r="G61" i="2"/>
  <c r="H61" i="2"/>
  <c r="H37" i="2"/>
  <c r="G40" i="2"/>
  <c r="G48" i="2"/>
  <c r="G18" i="2"/>
  <c r="H29" i="2"/>
</calcChain>
</file>

<file path=xl/sharedStrings.xml><?xml version="1.0" encoding="utf-8"?>
<sst xmlns="http://schemas.openxmlformats.org/spreadsheetml/2006/main" count="675" uniqueCount="117">
  <si>
    <t>method_name</t>
  </si>
  <si>
    <t>method_class</t>
  </si>
  <si>
    <t>c/r</t>
  </si>
  <si>
    <t>#q&lt;0.1</t>
  </si>
  <si>
    <t>#q&lt;0.5</t>
  </si>
  <si>
    <t>100bias</t>
  </si>
  <si>
    <t>100log-l</t>
  </si>
  <si>
    <t>Edyrs15</t>
  </si>
  <si>
    <t>Edyrs20</t>
  </si>
  <si>
    <t>EdyrsA</t>
  </si>
  <si>
    <t>Fdyrs15</t>
  </si>
  <si>
    <t>Fdyrs20</t>
  </si>
  <si>
    <t>Mdyrs15</t>
  </si>
  <si>
    <t>Mdyrs20</t>
  </si>
  <si>
    <t>RMSyrsA</t>
  </si>
  <si>
    <t>avg_unc.(1se)</t>
  </si>
  <si>
    <t>bias</t>
  </si>
  <si>
    <t>bias50</t>
  </si>
  <si>
    <t>e100bias</t>
  </si>
  <si>
    <t>e100log-l</t>
  </si>
  <si>
    <t>eEdyrs15</t>
  </si>
  <si>
    <t>eEdyrs20</t>
  </si>
  <si>
    <t>eEdyrsA</t>
  </si>
  <si>
    <t>eFdyrs15</t>
  </si>
  <si>
    <t>eFdyrs20</t>
  </si>
  <si>
    <t>eMdyrs15</t>
  </si>
  <si>
    <t>eMdyrs20</t>
  </si>
  <si>
    <t>eRMSyrsA</t>
  </si>
  <si>
    <t>ebias50</t>
  </si>
  <si>
    <t>el15</t>
  </si>
  <si>
    <t>el20</t>
  </si>
  <si>
    <t>l15</t>
  </si>
  <si>
    <t>l20</t>
  </si>
  <si>
    <t>log-likeli</t>
  </si>
  <si>
    <t>ncEdyrs</t>
  </si>
  <si>
    <t>nceEdyrs</t>
  </si>
  <si>
    <t>q_min</t>
  </si>
  <si>
    <t>q_small5</t>
  </si>
  <si>
    <t>smooth_r</t>
  </si>
  <si>
    <t>tlog-l</t>
  </si>
  <si>
    <t>RMS</t>
  </si>
  <si>
    <t>100RMS</t>
  </si>
  <si>
    <t>75RMS</t>
  </si>
  <si>
    <t>e100RMS</t>
  </si>
  <si>
    <t>e75RMS</t>
  </si>
  <si>
    <t>lag10y</t>
  </si>
  <si>
    <t>42/1_Run_Means</t>
  </si>
  <si>
    <t>c</t>
  </si>
  <si>
    <t>lag5y</t>
  </si>
  <si>
    <t>offset11y</t>
  </si>
  <si>
    <t>raw1y</t>
  </si>
  <si>
    <t>Bayes_seq_CP</t>
  </si>
  <si>
    <t>42/2_LT_Fits</t>
  </si>
  <si>
    <t>butterworth</t>
  </si>
  <si>
    <t>hinge75meet</t>
  </si>
  <si>
    <t>OLS_hinge75</t>
  </si>
  <si>
    <t>OLS_refit</t>
  </si>
  <si>
    <t>quartic</t>
  </si>
  <si>
    <t>TheilSen_h7075</t>
  </si>
  <si>
    <t>etrend15y</t>
  </si>
  <si>
    <t>42/3_ST_Fits</t>
  </si>
  <si>
    <t>etrend30y</t>
  </si>
  <si>
    <t>etrend30y_3CS</t>
  </si>
  <si>
    <t>lowess1dg20wnc</t>
  </si>
  <si>
    <t>lowess1dt10wnc</t>
  </si>
  <si>
    <t>lowess1dt20wAR</t>
  </si>
  <si>
    <t>lowess1dt20wARMA</t>
  </si>
  <si>
    <t>lowess1dt20wnc</t>
  </si>
  <si>
    <t>lowess1dt26wnc</t>
  </si>
  <si>
    <t>lowess1dt30wnc</t>
  </si>
  <si>
    <t>lowess1dt36wnc</t>
  </si>
  <si>
    <t>lowess2dt20wnc</t>
  </si>
  <si>
    <t>lowess2dt30wnc</t>
  </si>
  <si>
    <t>min_month_proj</t>
  </si>
  <si>
    <t>opt_clim_norm</t>
  </si>
  <si>
    <t>cubic_spline</t>
  </si>
  <si>
    <t>42/4_GAM_AR1</t>
  </si>
  <si>
    <t>GAM_AR0</t>
  </si>
  <si>
    <t>GAM_AR1</t>
  </si>
  <si>
    <t>Kal_flexLin</t>
  </si>
  <si>
    <t>42/5_Kalman</t>
  </si>
  <si>
    <t>Kal_flexLin_ocn</t>
  </si>
  <si>
    <t>Kalman_RW</t>
  </si>
  <si>
    <t>Kalman_RW_ocn</t>
  </si>
  <si>
    <t>removeGreensfx</t>
  </si>
  <si>
    <t>42/6_Remove_IV</t>
  </si>
  <si>
    <t>removeMEI_cons</t>
  </si>
  <si>
    <t>removeMEI_volc_cons</t>
  </si>
  <si>
    <t>removeMEI_volc_refit</t>
  </si>
  <si>
    <t>cons_hArrh_CO2forc</t>
  </si>
  <si>
    <t>43/0_Linear</t>
  </si>
  <si>
    <t>OLS_refit_CO2forc</t>
  </si>
  <si>
    <t>FaIR_all</t>
  </si>
  <si>
    <t>43/1_ERF_FaIR</t>
  </si>
  <si>
    <t>FaIR_all_unB</t>
  </si>
  <si>
    <t>FaIR_anthro</t>
  </si>
  <si>
    <t>FaIR_anthro_unB</t>
  </si>
  <si>
    <t>FaIR_comb_unB</t>
  </si>
  <si>
    <t>FaIR_nonat</t>
  </si>
  <si>
    <t>FaIR_nonat_unB</t>
  </si>
  <si>
    <t>EBMKF_ta</t>
  </si>
  <si>
    <t>43/2_Kalman</t>
  </si>
  <si>
    <t>EBMKF_ta2</t>
  </si>
  <si>
    <t>EBMKF_ta4</t>
  </si>
  <si>
    <t>GWI_anthro</t>
  </si>
  <si>
    <t>43/3_Human_Induced</t>
  </si>
  <si>
    <t>GWI_anthro_AR6</t>
  </si>
  <si>
    <t>GWI_anthro_CGWL</t>
  </si>
  <si>
    <t>GWI_anthro_SR15</t>
  </si>
  <si>
    <t>GWI_tot</t>
  </si>
  <si>
    <t>GWI_tot_AR6</t>
  </si>
  <si>
    <t>GWI_tot_CGWL</t>
  </si>
  <si>
    <t>GWI_tot_SR15</t>
  </si>
  <si>
    <t>CGWL10y_pUKCP</t>
  </si>
  <si>
    <t>44/44_EarthModel_CGWL</t>
  </si>
  <si>
    <t>CGWL10y_sfUKCP</t>
  </si>
  <si>
    <t>CGWL10y_sUKCP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</si>
</sst>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61"/>
  <sheetViews>
    <sheetView topLeftCell="AJ1" workbookViewId="0">
      <pane ySplit="1" topLeftCell="A2" activePane="bottomLeft" state="frozen"/>
      <selection pane="bottomLeft" activeCell="AV25" sqref="AV25"/>
    </sheetView>
  </sheetViews>
  <sheetFormatPr baseColWidth="10" defaultRowHeight="16" x14ac:dyDescent="0.2"/>
  <sheetData>
    <row r="1" spans="1:4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x14ac:dyDescent="0.2">
      <c r="A2" t="s">
        <v>45</v>
      </c>
      <c r="B2" t="s">
        <v>46</v>
      </c>
      <c r="C2" t="s">
        <v>47</v>
      </c>
      <c r="D2">
        <v>25.98</v>
      </c>
      <c r="E2">
        <v>97.58</v>
      </c>
      <c r="F2">
        <v>-3.5121449834697803E-2</v>
      </c>
      <c r="G2">
        <v>69.573509114048505</v>
      </c>
      <c r="H2">
        <v>5.5281944445914926</v>
      </c>
      <c r="I2">
        <v>-1</v>
      </c>
      <c r="J2">
        <v>4.7041402117790758</v>
      </c>
      <c r="K2">
        <v>3.9366666668151722</v>
      </c>
      <c r="L2">
        <v>-1</v>
      </c>
      <c r="M2">
        <v>7.1366666668122436</v>
      </c>
      <c r="N2">
        <v>-1</v>
      </c>
      <c r="O2">
        <v>5.2674046549305071</v>
      </c>
      <c r="P2">
        <v>3.8675017993341901E-2</v>
      </c>
      <c r="Q2">
        <v>-2.9860932869651299E-2</v>
      </c>
      <c r="R2">
        <v>5.6395683288573001E-3</v>
      </c>
      <c r="S2">
        <v>-3.5121449834697803E-2</v>
      </c>
      <c r="T2">
        <v>-30.858020537413051</v>
      </c>
      <c r="U2">
        <v>5.7506944445886141</v>
      </c>
      <c r="V2">
        <v>-1</v>
      </c>
      <c r="W2">
        <v>4.9024305556931917</v>
      </c>
      <c r="X2">
        <v>4.2500000001453602</v>
      </c>
      <c r="Y2">
        <v>-1</v>
      </c>
      <c r="Z2">
        <v>6.5633333334765807</v>
      </c>
      <c r="AA2">
        <v>-1</v>
      </c>
      <c r="AB2">
        <v>4.9544675927187027</v>
      </c>
      <c r="AC2">
        <v>5.6395683288573001E-3</v>
      </c>
      <c r="AD2">
        <v>5.2478782124768806</v>
      </c>
      <c r="AE2">
        <v>0</v>
      </c>
      <c r="AF2">
        <v>4.9003634607740336</v>
      </c>
      <c r="AG2">
        <v>0</v>
      </c>
      <c r="AH2">
        <v>1.031116152779193</v>
      </c>
      <c r="AI2">
        <v>7.5679999999999996</v>
      </c>
      <c r="AJ2">
        <v>7.58</v>
      </c>
      <c r="AK2">
        <v>8.6516301131314005E-3</v>
      </c>
      <c r="AL2">
        <v>1.7768613546381401E-2</v>
      </c>
      <c r="AM2">
        <v>2.8985799999999999</v>
      </c>
      <c r="AN2">
        <v>238.1878312919936</v>
      </c>
      <c r="AO2">
        <v>5.8968735303780502E-2</v>
      </c>
      <c r="AP2">
        <v>6.1551364682012201E-2</v>
      </c>
      <c r="AQ2">
        <v>4.7594498868862203E-2</v>
      </c>
      <c r="AR2">
        <v>7.8256925713879405E-2</v>
      </c>
      <c r="AS2">
        <v>6.7446138110884804E-2</v>
      </c>
    </row>
    <row r="3" spans="1:45" x14ac:dyDescent="0.2">
      <c r="A3" t="s">
        <v>48</v>
      </c>
      <c r="B3" t="s">
        <v>46</v>
      </c>
      <c r="C3" t="s">
        <v>47</v>
      </c>
      <c r="D3">
        <v>24.32</v>
      </c>
      <c r="E3">
        <v>75.239999999999995</v>
      </c>
      <c r="F3">
        <v>-9.8237310792063E-3</v>
      </c>
      <c r="G3">
        <v>63.338479363786071</v>
      </c>
      <c r="H3">
        <v>3.611277777926603</v>
      </c>
      <c r="I3">
        <v>-1</v>
      </c>
      <c r="J3">
        <v>2.5874080689238359</v>
      </c>
      <c r="K3">
        <v>-0.96499999984701401</v>
      </c>
      <c r="L3">
        <v>-1</v>
      </c>
      <c r="M3">
        <v>6.621666666812744</v>
      </c>
      <c r="N3">
        <v>-1</v>
      </c>
      <c r="O3">
        <v>3.8046754124068469</v>
      </c>
      <c r="P3">
        <v>4.7763975834255498E-2</v>
      </c>
      <c r="Q3">
        <v>-1.33273045980223E-2</v>
      </c>
      <c r="R3">
        <v>5.7650712728498999E-3</v>
      </c>
      <c r="S3">
        <v>-9.8237310792063E-3</v>
      </c>
      <c r="T3">
        <v>-31.529109444082241</v>
      </c>
      <c r="U3">
        <v>3.8437777779237141</v>
      </c>
      <c r="V3">
        <v>-1</v>
      </c>
      <c r="W3">
        <v>2.878657407547355</v>
      </c>
      <c r="X3">
        <v>-0.63333333318350471</v>
      </c>
      <c r="Y3">
        <v>-1</v>
      </c>
      <c r="Z3">
        <v>6.1250000001436682</v>
      </c>
      <c r="AA3">
        <v>-1</v>
      </c>
      <c r="AB3">
        <v>3.488657407483676</v>
      </c>
      <c r="AC3">
        <v>5.7650712728499996E-3</v>
      </c>
      <c r="AD3">
        <v>4.9881463935818404</v>
      </c>
      <c r="AE3">
        <v>0</v>
      </c>
      <c r="AF3">
        <v>5.9248679516598539</v>
      </c>
      <c r="AG3">
        <v>0</v>
      </c>
      <c r="AH3">
        <v>0.80247009273895609</v>
      </c>
      <c r="AI3">
        <v>10.561999999999999</v>
      </c>
      <c r="AJ3">
        <v>10.811999999999999</v>
      </c>
      <c r="AK3">
        <v>6.4298410513739996E-4</v>
      </c>
      <c r="AL3">
        <v>5.1331544262625001E-3</v>
      </c>
      <c r="AM3">
        <v>5.6612199999999993</v>
      </c>
      <c r="AN3">
        <v>185.37059142269891</v>
      </c>
      <c r="AO3">
        <v>6.5011771569141993E-2</v>
      </c>
      <c r="AP3">
        <v>5.7838619899282302E-2</v>
      </c>
      <c r="AQ3">
        <v>5.4920578898138603E-2</v>
      </c>
      <c r="AR3">
        <v>7.5251812872381196E-2</v>
      </c>
      <c r="AS3">
        <v>7.2948764287426193E-2</v>
      </c>
    </row>
    <row r="4" spans="1:45" x14ac:dyDescent="0.2">
      <c r="A4" t="s">
        <v>49</v>
      </c>
      <c r="B4" t="s">
        <v>46</v>
      </c>
      <c r="C4" t="s">
        <v>47</v>
      </c>
      <c r="D4">
        <v>127.04</v>
      </c>
      <c r="E4">
        <v>189.14</v>
      </c>
      <c r="F4">
        <v>6.9619452638940496E-2</v>
      </c>
      <c r="G4">
        <v>-140.04659204309161</v>
      </c>
      <c r="H4">
        <v>-4.2383333331774073</v>
      </c>
      <c r="I4">
        <v>-1</v>
      </c>
      <c r="J4">
        <v>-3.1003544972097932</v>
      </c>
      <c r="K4">
        <v>-4.3149999998440034</v>
      </c>
      <c r="L4">
        <v>-1</v>
      </c>
      <c r="M4">
        <v>-4.3149999998440034</v>
      </c>
      <c r="N4">
        <v>-1</v>
      </c>
      <c r="O4">
        <v>5.0475019200153692</v>
      </c>
      <c r="P4">
        <v>3.7443795799279499E-2</v>
      </c>
      <c r="Q4">
        <v>7.6804214926974201E-2</v>
      </c>
      <c r="R4">
        <v>0.115127715587616</v>
      </c>
      <c r="S4">
        <v>6.9619452638940496E-2</v>
      </c>
      <c r="T4">
        <v>-215.8931053711253</v>
      </c>
      <c r="U4">
        <v>-3.7283333331779609</v>
      </c>
      <c r="V4">
        <v>-1</v>
      </c>
      <c r="W4">
        <v>-3.5484259257792208</v>
      </c>
      <c r="X4">
        <v>-3.8049999998445578</v>
      </c>
      <c r="Y4">
        <v>-1</v>
      </c>
      <c r="Z4">
        <v>-3.7349999998446219</v>
      </c>
      <c r="AA4">
        <v>-1</v>
      </c>
      <c r="AB4">
        <v>4.1553703702518048</v>
      </c>
      <c r="AC4">
        <v>0.11512771558761591</v>
      </c>
      <c r="AD4">
        <v>4.2997597974494939</v>
      </c>
      <c r="AE4">
        <v>0</v>
      </c>
      <c r="AF4">
        <v>5.0149558685366564</v>
      </c>
      <c r="AG4">
        <v>0</v>
      </c>
      <c r="AH4">
        <v>-1.450500167124313</v>
      </c>
      <c r="AI4">
        <v>6.5279999999999996</v>
      </c>
      <c r="AJ4">
        <v>6.6679999999999993</v>
      </c>
      <c r="AK4" s="1">
        <v>1.369783066739072E-6</v>
      </c>
      <c r="AL4" s="1">
        <v>5.806587387425649E-6</v>
      </c>
      <c r="AM4">
        <v>2.6265000000000001</v>
      </c>
      <c r="AN4">
        <v>-335.06553860571631</v>
      </c>
      <c r="AO4">
        <v>9.3010315820807807E-2</v>
      </c>
      <c r="AP4">
        <v>8.7836824282845602E-2</v>
      </c>
      <c r="AQ4">
        <v>0.10040615527373679</v>
      </c>
      <c r="AR4">
        <v>9.9748181647089804E-2</v>
      </c>
      <c r="AS4">
        <v>0.1107303143600981</v>
      </c>
    </row>
    <row r="5" spans="1:45" x14ac:dyDescent="0.2">
      <c r="A5" t="s">
        <v>50</v>
      </c>
      <c r="B5" t="s">
        <v>46</v>
      </c>
      <c r="C5" t="s">
        <v>47</v>
      </c>
      <c r="D5">
        <v>0.04</v>
      </c>
      <c r="E5">
        <v>0.68</v>
      </c>
      <c r="F5">
        <v>6.7338295559306004E-3</v>
      </c>
      <c r="G5">
        <v>65.576952130248372</v>
      </c>
      <c r="H5">
        <v>3.3243148149638788</v>
      </c>
      <c r="I5">
        <v>-1</v>
      </c>
      <c r="J5">
        <v>1.0225472475597011</v>
      </c>
      <c r="K5">
        <v>-9.7233333331723752</v>
      </c>
      <c r="L5">
        <v>-1</v>
      </c>
      <c r="M5">
        <v>12.13500000014105</v>
      </c>
      <c r="N5">
        <v>-1</v>
      </c>
      <c r="O5">
        <v>3.36973662357655</v>
      </c>
      <c r="P5">
        <v>0.12803787012685999</v>
      </c>
      <c r="Q5">
        <v>-2.616694032403E-4</v>
      </c>
      <c r="R5">
        <v>2.7164812088012E-3</v>
      </c>
      <c r="S5">
        <v>6.7338295559306004E-3</v>
      </c>
      <c r="T5">
        <v>58.224082162095563</v>
      </c>
      <c r="U5">
        <v>3.779935185333744</v>
      </c>
      <c r="V5">
        <v>-1</v>
      </c>
      <c r="W5">
        <v>1.034086860812728</v>
      </c>
      <c r="X5">
        <v>-9.2133333331729315</v>
      </c>
      <c r="Y5">
        <v>-1</v>
      </c>
      <c r="Z5">
        <v>14.17000000013911</v>
      </c>
      <c r="AA5">
        <v>-1</v>
      </c>
      <c r="AB5">
        <v>2.511024911860201</v>
      </c>
      <c r="AC5">
        <v>2.7164812088012E-3</v>
      </c>
      <c r="AD5">
        <v>2.3580099486360022</v>
      </c>
      <c r="AE5">
        <v>0</v>
      </c>
      <c r="AF5">
        <v>2.2811303145294182</v>
      </c>
      <c r="AG5">
        <v>0</v>
      </c>
      <c r="AH5">
        <v>0.69741762480078573</v>
      </c>
      <c r="AI5">
        <v>28.571999999999999</v>
      </c>
      <c r="AJ5">
        <v>29.608000000000001</v>
      </c>
      <c r="AK5">
        <v>0.64924812224568396</v>
      </c>
      <c r="AL5">
        <v>0.86565752330254631</v>
      </c>
      <c r="AM5">
        <v>28.952680000000001</v>
      </c>
      <c r="AN5">
        <v>161.1034713289815</v>
      </c>
      <c r="AO5">
        <v>0.11944902180379451</v>
      </c>
      <c r="AP5">
        <v>0.1180546166809327</v>
      </c>
      <c r="AQ5">
        <v>0.1166899816671777</v>
      </c>
      <c r="AR5">
        <v>0.12748525041605691</v>
      </c>
      <c r="AS5">
        <v>0.1265105369096387</v>
      </c>
    </row>
    <row r="6" spans="1:45" x14ac:dyDescent="0.2">
      <c r="A6" t="s">
        <v>51</v>
      </c>
      <c r="B6" t="s">
        <v>52</v>
      </c>
      <c r="C6" t="s">
        <v>47</v>
      </c>
      <c r="D6">
        <v>74</v>
      </c>
      <c r="E6">
        <v>122.8</v>
      </c>
      <c r="F6">
        <v>3.5395698831771898E-2</v>
      </c>
      <c r="G6">
        <v>-44.889883418988248</v>
      </c>
      <c r="H6">
        <v>-2.024999999846079</v>
      </c>
      <c r="I6">
        <v>-1</v>
      </c>
      <c r="J6">
        <v>-1.335509259114986</v>
      </c>
      <c r="K6">
        <v>-3.039999999845159</v>
      </c>
      <c r="L6">
        <v>-1</v>
      </c>
      <c r="M6">
        <v>-1.703333333179708</v>
      </c>
      <c r="N6">
        <v>-1</v>
      </c>
      <c r="O6">
        <v>4.0891372002815052</v>
      </c>
      <c r="P6">
        <v>3.3354072673267197E-2</v>
      </c>
      <c r="Q6">
        <v>-3.8869490829291E-3</v>
      </c>
      <c r="R6">
        <v>7.8477585334777694E-2</v>
      </c>
      <c r="S6">
        <v>3.5395698831771898E-2</v>
      </c>
      <c r="T6">
        <v>-149.79257640763589</v>
      </c>
      <c r="U6">
        <v>-1.7674999998464009</v>
      </c>
      <c r="V6">
        <v>-1</v>
      </c>
      <c r="W6">
        <v>-1.2939351850405449</v>
      </c>
      <c r="X6">
        <v>-2.529999999845713</v>
      </c>
      <c r="Y6">
        <v>-1</v>
      </c>
      <c r="Z6">
        <v>-1.2249999998468959</v>
      </c>
      <c r="AA6">
        <v>-1</v>
      </c>
      <c r="AB6">
        <v>3.3082870369823838</v>
      </c>
      <c r="AC6">
        <v>7.8477585334777805E-2</v>
      </c>
      <c r="AD6">
        <v>4.4214040218160831</v>
      </c>
      <c r="AE6">
        <v>0</v>
      </c>
      <c r="AF6">
        <v>5.3629124524261842</v>
      </c>
      <c r="AG6">
        <v>0</v>
      </c>
      <c r="AH6">
        <v>-1.042604834054951</v>
      </c>
      <c r="AI6">
        <v>6.5439999999999996</v>
      </c>
      <c r="AJ6">
        <v>6.76</v>
      </c>
      <c r="AK6" s="1">
        <v>8.6671144070985208E-6</v>
      </c>
      <c r="AL6" s="1">
        <v>1.9159150275955089E-5</v>
      </c>
      <c r="AM6">
        <v>2.5196999999999998</v>
      </c>
      <c r="AN6">
        <v>-200.1801281385506</v>
      </c>
      <c r="AO6">
        <v>7.6146427820352205E-2</v>
      </c>
      <c r="AP6">
        <v>7.5182759353947595E-2</v>
      </c>
      <c r="AQ6">
        <v>8.0409333228794594E-2</v>
      </c>
      <c r="AR6">
        <v>9.0008229051418101E-2</v>
      </c>
      <c r="AS6">
        <v>9.3449131075681799E-2</v>
      </c>
    </row>
    <row r="7" spans="1:45" x14ac:dyDescent="0.2">
      <c r="A7" t="s">
        <v>53</v>
      </c>
      <c r="B7" t="s">
        <v>52</v>
      </c>
      <c r="C7" t="s">
        <v>47</v>
      </c>
      <c r="D7">
        <v>0.88</v>
      </c>
      <c r="E7">
        <v>1.56</v>
      </c>
      <c r="F7">
        <v>-1.17333785960037E-2</v>
      </c>
      <c r="G7">
        <v>94.635819811445742</v>
      </c>
      <c r="H7">
        <v>2.3696111112610532</v>
      </c>
      <c r="I7">
        <v>-1</v>
      </c>
      <c r="J7">
        <v>1.6466349207765549</v>
      </c>
      <c r="K7">
        <v>-2.613333333178852</v>
      </c>
      <c r="L7">
        <v>-1</v>
      </c>
      <c r="M7">
        <v>5.7583333334801958</v>
      </c>
      <c r="N7">
        <v>-1</v>
      </c>
      <c r="O7">
        <v>3.169947337285437</v>
      </c>
      <c r="P7">
        <v>0.13135761726067999</v>
      </c>
      <c r="Q7">
        <v>-1.8319566230965201E-2</v>
      </c>
      <c r="R7">
        <v>-2.7805052205690001E-3</v>
      </c>
      <c r="S7">
        <v>-1.1733378596003799E-2</v>
      </c>
      <c r="T7">
        <v>74.855207859740972</v>
      </c>
      <c r="U7">
        <v>2.274194444594384</v>
      </c>
      <c r="V7">
        <v>-1</v>
      </c>
      <c r="W7">
        <v>1.7139537038451469</v>
      </c>
      <c r="X7">
        <v>-2.1033333331794082</v>
      </c>
      <c r="Y7">
        <v>-1</v>
      </c>
      <c r="Z7">
        <v>4.6066666668144904</v>
      </c>
      <c r="AA7">
        <v>-1</v>
      </c>
      <c r="AB7">
        <v>2.9267314815299899</v>
      </c>
      <c r="AC7">
        <v>-2.7805052205690998E-3</v>
      </c>
      <c r="AD7">
        <v>2.8813949070572038</v>
      </c>
      <c r="AE7">
        <v>0</v>
      </c>
      <c r="AF7">
        <v>3.176884475602781</v>
      </c>
      <c r="AG7">
        <v>0</v>
      </c>
      <c r="AH7">
        <v>0.97177758746042597</v>
      </c>
      <c r="AI7">
        <v>12.746</v>
      </c>
      <c r="AJ7">
        <v>13.076000000000001</v>
      </c>
      <c r="AK7">
        <v>0.37032758981637071</v>
      </c>
      <c r="AL7">
        <v>0.92358471999322</v>
      </c>
      <c r="AM7">
        <v>8.8232400000000002</v>
      </c>
      <c r="AN7">
        <v>137.9924174193805</v>
      </c>
      <c r="AO7">
        <v>6.20608483589037E-2</v>
      </c>
      <c r="AP7">
        <v>5.5378953286356197E-2</v>
      </c>
      <c r="AQ7">
        <v>5.1943547468361703E-2</v>
      </c>
      <c r="AR7">
        <v>7.5122646862994899E-2</v>
      </c>
      <c r="AS7">
        <v>7.3267585739407295E-2</v>
      </c>
    </row>
    <row r="8" spans="1:45" x14ac:dyDescent="0.2">
      <c r="A8" t="s">
        <v>54</v>
      </c>
      <c r="B8" t="s">
        <v>52</v>
      </c>
      <c r="C8" t="s">
        <v>47</v>
      </c>
      <c r="D8">
        <v>50.34</v>
      </c>
      <c r="E8">
        <v>74.959999999999994</v>
      </c>
      <c r="F8">
        <v>0.1526462287346014</v>
      </c>
      <c r="G8">
        <v>-373.7480859058353</v>
      </c>
      <c r="H8">
        <v>-5.3499999998430487</v>
      </c>
      <c r="I8">
        <v>-1</v>
      </c>
      <c r="J8">
        <v>-3.8740634919175641</v>
      </c>
      <c r="K8">
        <v>-5.3499999998430487</v>
      </c>
      <c r="L8">
        <v>-1</v>
      </c>
      <c r="M8">
        <v>-5.3499999998430487</v>
      </c>
      <c r="N8">
        <v>-1</v>
      </c>
      <c r="O8">
        <v>6.2833379662629394</v>
      </c>
      <c r="P8">
        <v>6.6111897216163396E-2</v>
      </c>
      <c r="Q8">
        <v>9.03283948856618E-2</v>
      </c>
      <c r="R8">
        <v>0.30027985682772879</v>
      </c>
      <c r="S8">
        <v>0.1526462287346014</v>
      </c>
      <c r="T8">
        <v>-391.42794657884201</v>
      </c>
      <c r="U8">
        <v>-4.8399999998436032</v>
      </c>
      <c r="V8">
        <v>-1</v>
      </c>
      <c r="W8">
        <v>-4.2680555554082167</v>
      </c>
      <c r="X8">
        <v>-4.8399999998436032</v>
      </c>
      <c r="Y8">
        <v>-1</v>
      </c>
      <c r="Z8">
        <v>-4.8399999998436032</v>
      </c>
      <c r="AA8">
        <v>-1</v>
      </c>
      <c r="AB8">
        <v>4.494166666553542</v>
      </c>
      <c r="AC8">
        <v>0.30027985682772868</v>
      </c>
      <c r="AD8">
        <v>2.985962249478022</v>
      </c>
      <c r="AE8">
        <v>0</v>
      </c>
      <c r="AF8">
        <v>2.9621524243808901</v>
      </c>
      <c r="AG8">
        <v>0</v>
      </c>
      <c r="AH8">
        <v>-1.9111685609246589</v>
      </c>
      <c r="AI8">
        <v>5.88</v>
      </c>
      <c r="AJ8">
        <v>6</v>
      </c>
      <c r="AK8" s="1">
        <v>3.8112199276254553E-8</v>
      </c>
      <c r="AL8" s="1">
        <v>8.9933926497053902E-8</v>
      </c>
      <c r="AM8">
        <v>1.69648</v>
      </c>
      <c r="AN8">
        <v>-298.14229550424682</v>
      </c>
      <c r="AO8">
        <v>0.1703859995295112</v>
      </c>
      <c r="AP8">
        <v>0.21725338624811119</v>
      </c>
      <c r="AQ8">
        <v>0.25372762830489298</v>
      </c>
      <c r="AR8">
        <v>0.2204443766797046</v>
      </c>
      <c r="AS8">
        <v>0.2556347756831136</v>
      </c>
    </row>
    <row r="9" spans="1:45" x14ac:dyDescent="0.2">
      <c r="A9" t="s">
        <v>55</v>
      </c>
      <c r="B9" t="s">
        <v>52</v>
      </c>
      <c r="C9" t="s">
        <v>47</v>
      </c>
      <c r="D9">
        <v>59.94</v>
      </c>
      <c r="E9">
        <v>99.7</v>
      </c>
      <c r="F9">
        <v>0.11105044919699909</v>
      </c>
      <c r="G9">
        <v>-987.96726816326998</v>
      </c>
      <c r="H9">
        <v>-4.013333333177588</v>
      </c>
      <c r="I9">
        <v>-1</v>
      </c>
      <c r="J9">
        <v>-2.7450714284265052</v>
      </c>
      <c r="K9">
        <v>-4.013333333177588</v>
      </c>
      <c r="L9">
        <v>-1</v>
      </c>
      <c r="M9">
        <v>-4.013333333177588</v>
      </c>
      <c r="N9">
        <v>-1</v>
      </c>
      <c r="O9">
        <v>5.269591096291725</v>
      </c>
      <c r="P9">
        <v>3.8055601280091597E-2</v>
      </c>
      <c r="Q9">
        <v>6.0938062368948699E-2</v>
      </c>
      <c r="R9">
        <v>0.2297888194318437</v>
      </c>
      <c r="S9">
        <v>0.11105044919699909</v>
      </c>
      <c r="T9">
        <v>-1053.4342654755289</v>
      </c>
      <c r="U9">
        <v>-3.5033333331781442</v>
      </c>
      <c r="V9">
        <v>-1</v>
      </c>
      <c r="W9">
        <v>-3.117222222075926</v>
      </c>
      <c r="X9">
        <v>-3.5033333331781442</v>
      </c>
      <c r="Y9">
        <v>-1</v>
      </c>
      <c r="Z9">
        <v>-3.5033333331781442</v>
      </c>
      <c r="AA9">
        <v>-1</v>
      </c>
      <c r="AB9">
        <v>3.7199999998990632</v>
      </c>
      <c r="AC9">
        <v>0.2297888194318437</v>
      </c>
      <c r="AD9">
        <v>3.5069912742408849</v>
      </c>
      <c r="AE9">
        <v>0</v>
      </c>
      <c r="AF9">
        <v>3.7276093186845509</v>
      </c>
      <c r="AG9">
        <v>0</v>
      </c>
      <c r="AH9">
        <v>-6.1874545155864151</v>
      </c>
      <c r="AI9">
        <v>5.88</v>
      </c>
      <c r="AJ9">
        <v>6</v>
      </c>
      <c r="AK9" s="1">
        <v>5.6596064512588303E-17</v>
      </c>
      <c r="AL9" s="1">
        <v>8.5939631896869462E-16</v>
      </c>
      <c r="AM9">
        <v>2.0554600000000001</v>
      </c>
      <c r="AN9">
        <v>-965.24290443148084</v>
      </c>
      <c r="AO9">
        <v>0.13428300795234521</v>
      </c>
      <c r="AP9">
        <v>0.16727605380687849</v>
      </c>
      <c r="AQ9">
        <v>0.1944184187661909</v>
      </c>
      <c r="AR9">
        <v>0.17145950711068139</v>
      </c>
      <c r="AS9">
        <v>0.19704624895682279</v>
      </c>
    </row>
    <row r="10" spans="1:45" x14ac:dyDescent="0.2">
      <c r="A10" t="s">
        <v>56</v>
      </c>
      <c r="B10" t="s">
        <v>52</v>
      </c>
      <c r="C10" t="s">
        <v>47</v>
      </c>
      <c r="D10">
        <v>108.74</v>
      </c>
      <c r="E10">
        <v>126.72</v>
      </c>
      <c r="F10">
        <v>-9.2704767663976603E-2</v>
      </c>
      <c r="G10">
        <v>-1638.017652313092</v>
      </c>
      <c r="H10">
        <v>12.74333333347384</v>
      </c>
      <c r="I10">
        <v>-1</v>
      </c>
      <c r="J10">
        <v>12.80077777790922</v>
      </c>
      <c r="K10">
        <v>12.74333333347384</v>
      </c>
      <c r="L10">
        <v>-1</v>
      </c>
      <c r="M10">
        <v>12.74333333347384</v>
      </c>
      <c r="N10">
        <v>-1</v>
      </c>
      <c r="O10">
        <v>13.346531578222031</v>
      </c>
      <c r="P10">
        <v>2.9751833495789502E-2</v>
      </c>
      <c r="Q10">
        <v>-6.8471539939359796E-2</v>
      </c>
      <c r="R10">
        <v>6.8994970746734496E-2</v>
      </c>
      <c r="S10">
        <v>-9.2704767663976603E-2</v>
      </c>
      <c r="T10">
        <v>-1710.239373967592</v>
      </c>
      <c r="U10">
        <v>13.253333333473281</v>
      </c>
      <c r="V10">
        <v>-1</v>
      </c>
      <c r="W10">
        <v>12.671388889020831</v>
      </c>
      <c r="X10">
        <v>13.253333333473281</v>
      </c>
      <c r="Y10">
        <v>-1</v>
      </c>
      <c r="Z10">
        <v>13.253333333473281</v>
      </c>
      <c r="AA10">
        <v>-1</v>
      </c>
      <c r="AB10">
        <v>12.671388889020831</v>
      </c>
      <c r="AC10">
        <v>6.8994970746734399E-2</v>
      </c>
      <c r="AD10">
        <v>1.4743574117837999E-3</v>
      </c>
      <c r="AE10">
        <v>0</v>
      </c>
      <c r="AF10">
        <v>0.1097885302679202</v>
      </c>
      <c r="AG10">
        <v>0</v>
      </c>
      <c r="AH10">
        <v>-12.56382782385502</v>
      </c>
      <c r="AI10">
        <v>5.9</v>
      </c>
      <c r="AJ10">
        <v>6</v>
      </c>
      <c r="AK10" s="1">
        <v>3.3503900312488448E-16</v>
      </c>
      <c r="AL10" s="1">
        <v>1.20292711401912E-14</v>
      </c>
      <c r="AM10">
        <v>0.76103999999999994</v>
      </c>
      <c r="AN10">
        <v>-1771.499723163558</v>
      </c>
      <c r="AO10">
        <v>0.16503284185490719</v>
      </c>
      <c r="AP10">
        <v>0.19372691012144641</v>
      </c>
      <c r="AQ10">
        <v>0.17402959336455809</v>
      </c>
      <c r="AR10">
        <v>0.19518546646225629</v>
      </c>
      <c r="AS10">
        <v>0.17520197943385721</v>
      </c>
    </row>
    <row r="11" spans="1:45" x14ac:dyDescent="0.2">
      <c r="A11" t="s">
        <v>57</v>
      </c>
      <c r="B11" t="s">
        <v>52</v>
      </c>
      <c r="C11" t="s">
        <v>47</v>
      </c>
      <c r="D11">
        <v>33.36</v>
      </c>
      <c r="E11">
        <v>90.02</v>
      </c>
      <c r="F11">
        <v>7.5744050512035394E-2</v>
      </c>
      <c r="G11">
        <v>4.7964934669356776</v>
      </c>
      <c r="H11">
        <v>-9.2291666665061936</v>
      </c>
      <c r="I11">
        <v>-1</v>
      </c>
      <c r="J11">
        <v>-7.1887447088466399</v>
      </c>
      <c r="K11">
        <v>-9.3933333331727127</v>
      </c>
      <c r="L11">
        <v>-1</v>
      </c>
      <c r="M11">
        <v>-9.3933333331727127</v>
      </c>
      <c r="N11">
        <v>-1</v>
      </c>
      <c r="O11">
        <v>8.9793476301338053</v>
      </c>
      <c r="P11">
        <v>5.1222182570427398E-2</v>
      </c>
      <c r="Q11">
        <v>3.3631701675350303E-2</v>
      </c>
      <c r="R11">
        <v>5.6870041126300903E-2</v>
      </c>
      <c r="S11">
        <v>7.5744050512035394E-2</v>
      </c>
      <c r="T11">
        <v>-46.605256462130122</v>
      </c>
      <c r="U11">
        <v>-8.719166666506748</v>
      </c>
      <c r="V11">
        <v>-1</v>
      </c>
      <c r="W11">
        <v>-7.345092592443863</v>
      </c>
      <c r="X11">
        <v>-8.8833333331732689</v>
      </c>
      <c r="Y11">
        <v>-1</v>
      </c>
      <c r="Z11">
        <v>-8.8833333331732689</v>
      </c>
      <c r="AA11">
        <v>-1</v>
      </c>
      <c r="AB11">
        <v>7.6839814813496616</v>
      </c>
      <c r="AC11">
        <v>5.6870041126300903E-2</v>
      </c>
      <c r="AD11">
        <v>1.683945059230826</v>
      </c>
      <c r="AE11">
        <v>0</v>
      </c>
      <c r="AF11">
        <v>1.722822505255249</v>
      </c>
      <c r="AG11">
        <v>0</v>
      </c>
      <c r="AH11">
        <v>0.36834861831590071</v>
      </c>
      <c r="AI11">
        <v>6.3159999999999998</v>
      </c>
      <c r="AJ11">
        <v>6.556</v>
      </c>
      <c r="AK11">
        <v>1.21659602738585E-2</v>
      </c>
      <c r="AL11">
        <v>3.1040828787242399E-2</v>
      </c>
      <c r="AM11">
        <v>3.0356999999999998</v>
      </c>
      <c r="AN11">
        <v>51.937155182542</v>
      </c>
      <c r="AO11">
        <v>9.2381196613550695E-2</v>
      </c>
      <c r="AP11">
        <v>9.8568600449505897E-2</v>
      </c>
      <c r="AQ11">
        <v>0.1037106750096773</v>
      </c>
      <c r="AR11">
        <v>0.11159115508273749</v>
      </c>
      <c r="AS11">
        <v>0.11494478649237259</v>
      </c>
    </row>
    <row r="12" spans="1:45" x14ac:dyDescent="0.2">
      <c r="A12" t="s">
        <v>58</v>
      </c>
      <c r="B12" t="s">
        <v>52</v>
      </c>
      <c r="C12" t="s">
        <v>47</v>
      </c>
      <c r="D12">
        <v>71.62</v>
      </c>
      <c r="E12">
        <v>107.2</v>
      </c>
      <c r="F12">
        <v>0.1430103929389957</v>
      </c>
      <c r="G12">
        <v>-2100.804678068218</v>
      </c>
      <c r="H12">
        <v>-4.6499999998436579</v>
      </c>
      <c r="I12">
        <v>-1</v>
      </c>
      <c r="J12">
        <v>-2.343293650649604</v>
      </c>
      <c r="K12">
        <v>-4.6499999998436579</v>
      </c>
      <c r="L12">
        <v>-1</v>
      </c>
      <c r="M12">
        <v>-4.6499999998436579</v>
      </c>
      <c r="N12">
        <v>-1</v>
      </c>
      <c r="O12">
        <v>6.4475273681607073</v>
      </c>
      <c r="P12">
        <v>3.8914040364157597E-2</v>
      </c>
      <c r="Q12">
        <v>7.7480719803173698E-2</v>
      </c>
      <c r="R12">
        <v>0.31958925311283731</v>
      </c>
      <c r="S12">
        <v>0.1430103929389957</v>
      </c>
      <c r="T12">
        <v>-2168.3163675143801</v>
      </c>
      <c r="U12">
        <v>-4.1399999998442123</v>
      </c>
      <c r="V12">
        <v>-1</v>
      </c>
      <c r="W12">
        <v>-2.903611110964996</v>
      </c>
      <c r="X12">
        <v>-4.1399999998442123</v>
      </c>
      <c r="Y12">
        <v>-1</v>
      </c>
      <c r="Z12">
        <v>-4.1399999998442123</v>
      </c>
      <c r="AA12">
        <v>-1</v>
      </c>
      <c r="AB12">
        <v>3.6747222221500109</v>
      </c>
      <c r="AC12">
        <v>0.31958925311283731</v>
      </c>
      <c r="AD12">
        <v>3.4342557410875512</v>
      </c>
      <c r="AE12">
        <v>0</v>
      </c>
      <c r="AF12">
        <v>2.56387251785431</v>
      </c>
      <c r="AG12">
        <v>0</v>
      </c>
      <c r="AH12">
        <v>-12.91825464636117</v>
      </c>
      <c r="AI12">
        <v>5.86</v>
      </c>
      <c r="AJ12">
        <v>6</v>
      </c>
      <c r="AK12" s="1">
        <v>5.9611312122473533E-33</v>
      </c>
      <c r="AL12" s="1">
        <v>6.4012115537354375E-26</v>
      </c>
      <c r="AM12">
        <v>2.03348</v>
      </c>
      <c r="AN12">
        <v>-2015.2477248323421</v>
      </c>
      <c r="AO12">
        <v>0.1862293778941885</v>
      </c>
      <c r="AP12">
        <v>0.23835768537331931</v>
      </c>
      <c r="AQ12">
        <v>0.27552541840223732</v>
      </c>
      <c r="AR12">
        <v>0.24080703476972251</v>
      </c>
      <c r="AS12">
        <v>0.27693349914409948</v>
      </c>
    </row>
    <row r="13" spans="1:45" x14ac:dyDescent="0.2">
      <c r="A13" t="s">
        <v>59</v>
      </c>
      <c r="B13" t="s">
        <v>60</v>
      </c>
      <c r="C13" t="s">
        <v>47</v>
      </c>
      <c r="D13">
        <v>5.46</v>
      </c>
      <c r="E13">
        <v>31.34</v>
      </c>
      <c r="F13">
        <v>1.1758057754118201E-2</v>
      </c>
      <c r="G13">
        <v>125.00340297273711</v>
      </c>
      <c r="H13">
        <v>1.392083333484156</v>
      </c>
      <c r="I13">
        <v>-1</v>
      </c>
      <c r="J13">
        <v>5.9099867867903499E-2</v>
      </c>
      <c r="K13">
        <v>-3.6566666665112728</v>
      </c>
      <c r="L13">
        <v>-1</v>
      </c>
      <c r="M13">
        <v>3.9166666668151908</v>
      </c>
      <c r="N13">
        <v>-1</v>
      </c>
      <c r="O13">
        <v>3.0987070397277989</v>
      </c>
      <c r="P13">
        <v>5.8801633224649402E-2</v>
      </c>
      <c r="Q13">
        <v>3.182337859265E-4</v>
      </c>
      <c r="R13">
        <v>9.6860303759574006E-3</v>
      </c>
      <c r="S13">
        <v>1.17580577541183E-2</v>
      </c>
      <c r="T13">
        <v>81.508230699165182</v>
      </c>
      <c r="U13">
        <v>1.3323611112618949</v>
      </c>
      <c r="V13">
        <v>-1</v>
      </c>
      <c r="W13">
        <v>0.28420833347654401</v>
      </c>
      <c r="X13">
        <v>-3.1466666665118281</v>
      </c>
      <c r="Y13">
        <v>-1</v>
      </c>
      <c r="Z13">
        <v>2.6750000001495571</v>
      </c>
      <c r="AA13">
        <v>-1</v>
      </c>
      <c r="AB13">
        <v>2.9270231481569611</v>
      </c>
      <c r="AC13">
        <v>9.6860303759574995E-3</v>
      </c>
      <c r="AD13">
        <v>4.2229298632313972</v>
      </c>
      <c r="AE13">
        <v>0</v>
      </c>
      <c r="AF13">
        <v>5.2251694517204612</v>
      </c>
      <c r="AG13">
        <v>0</v>
      </c>
      <c r="AH13">
        <v>1.167116763570559</v>
      </c>
      <c r="AI13">
        <v>10.587999999999999</v>
      </c>
      <c r="AJ13">
        <v>10.858000000000001</v>
      </c>
      <c r="AK13">
        <v>0.13390210588544371</v>
      </c>
      <c r="AL13">
        <v>0.21580287053027081</v>
      </c>
      <c r="AM13">
        <v>5.6942600000000008</v>
      </c>
      <c r="AN13">
        <v>264.93550533051712</v>
      </c>
      <c r="AO13">
        <v>6.7006275715076696E-2</v>
      </c>
      <c r="AP13">
        <v>5.8229286178652397E-2</v>
      </c>
      <c r="AQ13">
        <v>5.4974864609975603E-2</v>
      </c>
      <c r="AR13">
        <v>7.9611691505472995E-2</v>
      </c>
      <c r="AS13">
        <v>7.7418155775828099E-2</v>
      </c>
    </row>
    <row r="14" spans="1:45" x14ac:dyDescent="0.2">
      <c r="A14" t="s">
        <v>61</v>
      </c>
      <c r="B14" t="s">
        <v>60</v>
      </c>
      <c r="C14" t="s">
        <v>47</v>
      </c>
      <c r="D14">
        <v>5.26</v>
      </c>
      <c r="E14">
        <v>37.82</v>
      </c>
      <c r="F14">
        <v>2.11490920946471E-2</v>
      </c>
      <c r="G14">
        <v>141.37147468436069</v>
      </c>
      <c r="H14">
        <v>-1.9202777776239579</v>
      </c>
      <c r="I14">
        <v>-1</v>
      </c>
      <c r="J14">
        <v>-1.427816137421746</v>
      </c>
      <c r="K14">
        <v>-2.6799999998454771</v>
      </c>
      <c r="L14">
        <v>-1</v>
      </c>
      <c r="M14">
        <v>-2.1683333331792798</v>
      </c>
      <c r="N14">
        <v>-1</v>
      </c>
      <c r="O14">
        <v>3.0552171632726601</v>
      </c>
      <c r="P14">
        <v>4.4317707093517497E-2</v>
      </c>
      <c r="Q14">
        <v>1.5644460818685E-3</v>
      </c>
      <c r="R14">
        <v>3.2173752283665397E-2</v>
      </c>
      <c r="S14">
        <v>2.11490920946471E-2</v>
      </c>
      <c r="T14">
        <v>83.827104579523819</v>
      </c>
      <c r="U14">
        <v>-1.656944444290956</v>
      </c>
      <c r="V14">
        <v>-1</v>
      </c>
      <c r="W14">
        <v>-1.3482129628187369</v>
      </c>
      <c r="X14">
        <v>-2.169999999846032</v>
      </c>
      <c r="Y14">
        <v>-1</v>
      </c>
      <c r="Z14">
        <v>-1.3583333331801171</v>
      </c>
      <c r="AA14">
        <v>-1</v>
      </c>
      <c r="AB14">
        <v>3.1204814814379871</v>
      </c>
      <c r="AC14">
        <v>3.2173752283665397E-2</v>
      </c>
      <c r="AD14">
        <v>4.3901275998816196</v>
      </c>
      <c r="AE14">
        <v>0</v>
      </c>
      <c r="AF14">
        <v>6.3123706399288286</v>
      </c>
      <c r="AG14">
        <v>0</v>
      </c>
      <c r="AH14">
        <v>1.395257970717023</v>
      </c>
      <c r="AI14">
        <v>7.4160000000000004</v>
      </c>
      <c r="AJ14">
        <v>7.6120000000000001</v>
      </c>
      <c r="AK14">
        <v>0.13991995515925459</v>
      </c>
      <c r="AL14">
        <v>0.1762708487833731</v>
      </c>
      <c r="AM14">
        <v>2.9706000000000001</v>
      </c>
      <c r="AN14">
        <v>295.79468979200868</v>
      </c>
      <c r="AO14">
        <v>5.5157589900404903E-2</v>
      </c>
      <c r="AP14">
        <v>4.9285168052452803E-2</v>
      </c>
      <c r="AQ14">
        <v>4.94894685634421E-2</v>
      </c>
      <c r="AR14">
        <v>6.9825931891241297E-2</v>
      </c>
      <c r="AS14">
        <v>6.9538544582735895E-2</v>
      </c>
    </row>
    <row r="15" spans="1:45" x14ac:dyDescent="0.2">
      <c r="A15" t="s">
        <v>62</v>
      </c>
      <c r="B15" t="s">
        <v>60</v>
      </c>
      <c r="C15" t="s">
        <v>47</v>
      </c>
      <c r="D15">
        <v>13.64</v>
      </c>
      <c r="E15">
        <v>62.38</v>
      </c>
      <c r="F15">
        <v>-2.1071748047253001E-3</v>
      </c>
      <c r="G15">
        <v>95.618417667591643</v>
      </c>
      <c r="H15">
        <v>-1.9202777776239579</v>
      </c>
      <c r="I15">
        <v>-1</v>
      </c>
      <c r="J15">
        <v>-0.42996164006817161</v>
      </c>
      <c r="K15">
        <v>-2.6799999998454771</v>
      </c>
      <c r="L15">
        <v>-1</v>
      </c>
      <c r="M15">
        <v>-2.1683333331792798</v>
      </c>
      <c r="N15">
        <v>-1</v>
      </c>
      <c r="O15">
        <v>3.0863072541980752</v>
      </c>
      <c r="P15">
        <v>4.4317707093517497E-2</v>
      </c>
      <c r="Q15">
        <v>-8.4181967853148992E-3</v>
      </c>
      <c r="R15">
        <v>3.2173752283665397E-2</v>
      </c>
      <c r="S15">
        <v>-2.1071748047253001E-3</v>
      </c>
      <c r="T15">
        <v>61.217837957741501</v>
      </c>
      <c r="U15">
        <v>-1.656944444290956</v>
      </c>
      <c r="V15">
        <v>-1</v>
      </c>
      <c r="W15">
        <v>-0.35200925911595399</v>
      </c>
      <c r="X15">
        <v>-2.169999999846032</v>
      </c>
      <c r="Y15">
        <v>-1</v>
      </c>
      <c r="Z15">
        <v>-1.3583333331801171</v>
      </c>
      <c r="AA15">
        <v>-1</v>
      </c>
      <c r="AB15">
        <v>2.4432592592336002</v>
      </c>
      <c r="AC15">
        <v>3.2173752283665397E-2</v>
      </c>
      <c r="AD15">
        <v>4.3901275998816196</v>
      </c>
      <c r="AE15">
        <v>0</v>
      </c>
      <c r="AF15">
        <v>6.3123706399288286</v>
      </c>
      <c r="AG15">
        <v>0</v>
      </c>
      <c r="AH15">
        <v>1.1794416640341501</v>
      </c>
      <c r="AI15">
        <v>7.4359999999999999</v>
      </c>
      <c r="AJ15">
        <v>7.6320000000000006</v>
      </c>
      <c r="AK15">
        <v>5.4108477999962698E-2</v>
      </c>
      <c r="AL15">
        <v>7.8540078494472601E-2</v>
      </c>
      <c r="AM15">
        <v>3.1564800000000002</v>
      </c>
      <c r="AN15">
        <v>250.04163277523969</v>
      </c>
      <c r="AO15">
        <v>6.3937745835882506E-2</v>
      </c>
      <c r="AP15">
        <v>6.9750320815693698E-2</v>
      </c>
      <c r="AQ15">
        <v>4.94894685634421E-2</v>
      </c>
      <c r="AR15">
        <v>7.7845210229731898E-2</v>
      </c>
      <c r="AS15">
        <v>6.9538544582735895E-2</v>
      </c>
    </row>
    <row r="16" spans="1:45" x14ac:dyDescent="0.2">
      <c r="A16" t="s">
        <v>63</v>
      </c>
      <c r="B16" t="s">
        <v>60</v>
      </c>
      <c r="C16" t="s">
        <v>47</v>
      </c>
      <c r="D16">
        <v>3.88</v>
      </c>
      <c r="E16">
        <v>35.44</v>
      </c>
      <c r="F16">
        <v>2.8230902139957E-2</v>
      </c>
      <c r="G16">
        <v>105.4863285315258</v>
      </c>
      <c r="H16">
        <v>-2.8441666665119918</v>
      </c>
      <c r="I16">
        <v>-1</v>
      </c>
      <c r="J16">
        <v>-1.72941269826858</v>
      </c>
      <c r="K16">
        <v>-2.9883333331785251</v>
      </c>
      <c r="L16">
        <v>-1</v>
      </c>
      <c r="M16">
        <v>-2.914999999845258</v>
      </c>
      <c r="N16">
        <v>-1</v>
      </c>
      <c r="O16">
        <v>3.7567874742811118</v>
      </c>
      <c r="P16">
        <v>6.0919559110226298E-2</v>
      </c>
      <c r="Q16" s="1">
        <v>9.4877465495191241E-5</v>
      </c>
      <c r="R16">
        <v>5.9978499531745798E-2</v>
      </c>
      <c r="S16">
        <v>2.8230902139957E-2</v>
      </c>
      <c r="T16">
        <v>45.263018162024842</v>
      </c>
      <c r="U16">
        <v>-2.3341666665125471</v>
      </c>
      <c r="V16">
        <v>-1</v>
      </c>
      <c r="W16">
        <v>-1.799388888744258</v>
      </c>
      <c r="X16">
        <v>-2.47833333317908</v>
      </c>
      <c r="Y16">
        <v>-1</v>
      </c>
      <c r="Z16">
        <v>-2.3199999998458858</v>
      </c>
      <c r="AA16">
        <v>-1</v>
      </c>
      <c r="AB16">
        <v>3.206888888810898</v>
      </c>
      <c r="AC16">
        <v>5.9978499531745798E-2</v>
      </c>
      <c r="AD16">
        <v>4.790857140266457</v>
      </c>
      <c r="AE16">
        <v>0</v>
      </c>
      <c r="AF16">
        <v>6.3310690975229837</v>
      </c>
      <c r="AG16">
        <v>0</v>
      </c>
      <c r="AH16">
        <v>1.253529689300064</v>
      </c>
      <c r="AI16">
        <v>6.2360000000000007</v>
      </c>
      <c r="AJ16">
        <v>6.3959999999999999</v>
      </c>
      <c r="AK16">
        <v>0.14600712937301691</v>
      </c>
      <c r="AL16">
        <v>0.19435393077558949</v>
      </c>
      <c r="AM16">
        <v>2.5173399999999999</v>
      </c>
      <c r="AN16">
        <v>289.56535822831489</v>
      </c>
      <c r="AO16">
        <v>5.7657318800768402E-2</v>
      </c>
      <c r="AP16">
        <v>5.8174740817546998E-2</v>
      </c>
      <c r="AQ16">
        <v>6.0840214462116897E-2</v>
      </c>
      <c r="AR16">
        <v>7.4180492517186003E-2</v>
      </c>
      <c r="AS16">
        <v>7.5483230360132395E-2</v>
      </c>
    </row>
    <row r="17" spans="1:45" x14ac:dyDescent="0.2">
      <c r="A17" t="s">
        <v>64</v>
      </c>
      <c r="B17" t="s">
        <v>60</v>
      </c>
      <c r="C17" t="s">
        <v>47</v>
      </c>
      <c r="D17">
        <v>85.76</v>
      </c>
      <c r="E17">
        <v>149.96</v>
      </c>
      <c r="F17">
        <v>8.6466495021357993E-3</v>
      </c>
      <c r="G17">
        <v>-267.81661787304961</v>
      </c>
      <c r="H17">
        <v>2.1125138890390631</v>
      </c>
      <c r="I17">
        <v>-1</v>
      </c>
      <c r="J17">
        <v>0.51868505305265133</v>
      </c>
      <c r="K17">
        <v>-6.3666666665087632</v>
      </c>
      <c r="L17">
        <v>-1</v>
      </c>
      <c r="M17">
        <v>6.2500000001464198</v>
      </c>
      <c r="N17">
        <v>-1</v>
      </c>
      <c r="O17">
        <v>3.553906181141202</v>
      </c>
      <c r="P17">
        <v>4.7316349947434402E-2</v>
      </c>
      <c r="Q17">
        <v>-1.7437832180870001E-4</v>
      </c>
      <c r="R17">
        <v>4.4266293644904002E-3</v>
      </c>
      <c r="S17">
        <v>8.6466495021357993E-3</v>
      </c>
      <c r="T17">
        <v>-421.24776921415469</v>
      </c>
      <c r="U17">
        <v>2.8729166668160562</v>
      </c>
      <c r="V17">
        <v>-1</v>
      </c>
      <c r="W17">
        <v>0.8482863758040794</v>
      </c>
      <c r="X17">
        <v>-5.8566666665093177</v>
      </c>
      <c r="Y17">
        <v>-1</v>
      </c>
      <c r="Z17">
        <v>9.453333333476758</v>
      </c>
      <c r="AA17">
        <v>-1</v>
      </c>
      <c r="AB17">
        <v>2.695826058227297</v>
      </c>
      <c r="AC17">
        <v>4.4266293644904002E-3</v>
      </c>
      <c r="AD17">
        <v>5.1523858195521131</v>
      </c>
      <c r="AE17">
        <v>0</v>
      </c>
      <c r="AF17">
        <v>4.2940178492150531</v>
      </c>
      <c r="AG17">
        <v>0</v>
      </c>
      <c r="AH17">
        <v>-1.601068054582268</v>
      </c>
      <c r="AI17">
        <v>15.496</v>
      </c>
      <c r="AJ17">
        <v>16.175999999999998</v>
      </c>
      <c r="AK17" s="1">
        <v>4.0214616791767367E-11</v>
      </c>
      <c r="AL17" s="1">
        <v>5.6470738096846537E-8</v>
      </c>
      <c r="AM17">
        <v>10.368359999999999</v>
      </c>
      <c r="AN17">
        <v>-369.84672060850392</v>
      </c>
      <c r="AO17">
        <v>9.4254731799589195E-2</v>
      </c>
      <c r="AP17">
        <v>8.7968014220597093E-2</v>
      </c>
      <c r="AQ17">
        <v>8.4773742296624599E-2</v>
      </c>
      <c r="AR17">
        <v>0.1002351620738904</v>
      </c>
      <c r="AS17">
        <v>9.7656047493577994E-2</v>
      </c>
    </row>
    <row r="18" spans="1:45" x14ac:dyDescent="0.2">
      <c r="A18" t="s">
        <v>65</v>
      </c>
      <c r="B18" t="s">
        <v>60</v>
      </c>
      <c r="C18" t="s">
        <v>47</v>
      </c>
      <c r="D18">
        <v>66.2</v>
      </c>
      <c r="E18">
        <v>133.96</v>
      </c>
      <c r="F18">
        <v>1.18281453389387E-2</v>
      </c>
      <c r="G18">
        <v>-36.189520300064537</v>
      </c>
      <c r="H18">
        <v>1.0386111112622669</v>
      </c>
      <c r="I18">
        <v>-1</v>
      </c>
      <c r="J18">
        <v>9.3746031889030301E-2</v>
      </c>
      <c r="K18">
        <v>-3.751666666511146</v>
      </c>
      <c r="L18">
        <v>-1</v>
      </c>
      <c r="M18">
        <v>3.435000000148984</v>
      </c>
      <c r="N18">
        <v>-1</v>
      </c>
      <c r="O18">
        <v>3.0709890275557479</v>
      </c>
      <c r="P18">
        <v>3.9974790831438602E-2</v>
      </c>
      <c r="Q18" s="1">
        <v>7.32509868048584E-5</v>
      </c>
      <c r="R18">
        <v>9.7109801173209005E-3</v>
      </c>
      <c r="S18">
        <v>1.18281453389387E-2</v>
      </c>
      <c r="T18">
        <v>-302.52047710986068</v>
      </c>
      <c r="U18">
        <v>0.98930555570666601</v>
      </c>
      <c r="V18">
        <v>-1</v>
      </c>
      <c r="W18">
        <v>0.32661574088391199</v>
      </c>
      <c r="X18">
        <v>-3.2416666665117009</v>
      </c>
      <c r="Y18">
        <v>-1</v>
      </c>
      <c r="Z18">
        <v>2.5716666668163448</v>
      </c>
      <c r="AA18">
        <v>-1</v>
      </c>
      <c r="AB18">
        <v>2.90592129630513</v>
      </c>
      <c r="AC18">
        <v>9.7109801173209005E-3</v>
      </c>
      <c r="AD18">
        <v>5.2698698147788106</v>
      </c>
      <c r="AE18">
        <v>0</v>
      </c>
      <c r="AF18">
        <v>7.356691496299347</v>
      </c>
      <c r="AG18">
        <v>0</v>
      </c>
      <c r="AH18">
        <v>-3.6407371674271501E-2</v>
      </c>
      <c r="AI18">
        <v>10.522</v>
      </c>
      <c r="AJ18">
        <v>10.891999999999999</v>
      </c>
      <c r="AK18" s="1">
        <v>5.4079513798757563E-6</v>
      </c>
      <c r="AL18" s="1">
        <v>7.2170896213660191E-5</v>
      </c>
      <c r="AM18">
        <v>5.5424199999999999</v>
      </c>
      <c r="AN18">
        <v>-8.4101028567567173</v>
      </c>
      <c r="AO18">
        <v>6.5678611139554394E-2</v>
      </c>
      <c r="AP18">
        <v>5.6796223475886198E-2</v>
      </c>
      <c r="AQ18">
        <v>5.40012572643827E-2</v>
      </c>
      <c r="AR18">
        <v>7.7765425111599298E-2</v>
      </c>
      <c r="AS18">
        <v>7.5919261692971196E-2</v>
      </c>
    </row>
    <row r="19" spans="1:45" x14ac:dyDescent="0.2">
      <c r="A19" t="s">
        <v>66</v>
      </c>
      <c r="B19" t="s">
        <v>60</v>
      </c>
      <c r="C19" t="s">
        <v>47</v>
      </c>
      <c r="D19">
        <v>52.68</v>
      </c>
      <c r="E19">
        <v>118.74</v>
      </c>
      <c r="F19">
        <v>1.18281453389387E-2</v>
      </c>
      <c r="G19">
        <v>16.491595387866809</v>
      </c>
      <c r="H19">
        <v>1.038194444595602</v>
      </c>
      <c r="I19">
        <v>-1</v>
      </c>
      <c r="J19">
        <v>9.3090608608605199E-2</v>
      </c>
      <c r="K19">
        <v>-3.7499999998444848</v>
      </c>
      <c r="L19">
        <v>-1</v>
      </c>
      <c r="M19">
        <v>3.4333333334823242</v>
      </c>
      <c r="N19">
        <v>-1</v>
      </c>
      <c r="O19">
        <v>3.0712990955521731</v>
      </c>
      <c r="P19">
        <v>3.6076092820739203E-2</v>
      </c>
      <c r="Q19">
        <v>9.6132624081600004E-4</v>
      </c>
      <c r="R19">
        <v>9.7109801173209005E-3</v>
      </c>
      <c r="S19">
        <v>1.18281453389387E-2</v>
      </c>
      <c r="T19">
        <v>-190.98018314625719</v>
      </c>
      <c r="U19">
        <v>0.98888888904000083</v>
      </c>
      <c r="V19">
        <v>-1</v>
      </c>
      <c r="W19">
        <v>0.32644444458761351</v>
      </c>
      <c r="X19">
        <v>-3.2399999998450402</v>
      </c>
      <c r="Y19">
        <v>-1</v>
      </c>
      <c r="Z19">
        <v>2.5700000001496761</v>
      </c>
      <c r="AA19">
        <v>-1</v>
      </c>
      <c r="AB19">
        <v>2.9084351851940111</v>
      </c>
      <c r="AC19">
        <v>9.7109801173209005E-3</v>
      </c>
      <c r="AD19">
        <v>5.2406172094266994</v>
      </c>
      <c r="AE19">
        <v>0</v>
      </c>
      <c r="AF19">
        <v>7.0980344971872356</v>
      </c>
      <c r="AG19">
        <v>0</v>
      </c>
      <c r="AH19">
        <v>0.34060889970670383</v>
      </c>
      <c r="AI19">
        <v>10.522</v>
      </c>
      <c r="AJ19">
        <v>10.891999999999999</v>
      </c>
      <c r="AK19" s="1">
        <v>5.5347567308957539E-5</v>
      </c>
      <c r="AL19">
        <v>5.0882561747809998E-4</v>
      </c>
      <c r="AM19">
        <v>5.4875400000000001</v>
      </c>
      <c r="AN19">
        <v>73.533181810410682</v>
      </c>
      <c r="AO19">
        <v>6.6049510653048593E-2</v>
      </c>
      <c r="AP19">
        <v>5.6796223475886198E-2</v>
      </c>
      <c r="AQ19">
        <v>5.40012572643827E-2</v>
      </c>
      <c r="AR19">
        <v>7.7765425111599298E-2</v>
      </c>
      <c r="AS19">
        <v>7.5919261692971196E-2</v>
      </c>
    </row>
    <row r="20" spans="1:45" x14ac:dyDescent="0.2">
      <c r="A20" t="s">
        <v>67</v>
      </c>
      <c r="B20" t="s">
        <v>60</v>
      </c>
      <c r="C20" t="s">
        <v>47</v>
      </c>
      <c r="D20">
        <v>14.66</v>
      </c>
      <c r="E20">
        <v>56.18</v>
      </c>
      <c r="F20">
        <v>1.18281453389387E-2</v>
      </c>
      <c r="G20">
        <v>101.4343583965308</v>
      </c>
      <c r="H20">
        <v>1.0345833334844829</v>
      </c>
      <c r="I20">
        <v>-1</v>
      </c>
      <c r="J20">
        <v>9.2831349349345393E-2</v>
      </c>
      <c r="K20">
        <v>-3.7533333331778249</v>
      </c>
      <c r="L20">
        <v>-1</v>
      </c>
      <c r="M20">
        <v>3.2216666668158269</v>
      </c>
      <c r="N20">
        <v>-1</v>
      </c>
      <c r="O20">
        <v>3.0698740519274552</v>
      </c>
      <c r="P20">
        <v>5.7502055828865001E-2</v>
      </c>
      <c r="Q20" s="1">
        <v>7.32509868048584E-5</v>
      </c>
      <c r="R20">
        <v>9.7109801173209005E-3</v>
      </c>
      <c r="S20">
        <v>1.18281453389387E-2</v>
      </c>
      <c r="T20">
        <v>-0.94252405500576397</v>
      </c>
      <c r="U20">
        <v>0.98472222237332518</v>
      </c>
      <c r="V20">
        <v>-1</v>
      </c>
      <c r="W20">
        <v>0.3263333334765009</v>
      </c>
      <c r="X20">
        <v>-3.2433333331783798</v>
      </c>
      <c r="Y20">
        <v>-1</v>
      </c>
      <c r="Z20">
        <v>2.5633333334830062</v>
      </c>
      <c r="AA20">
        <v>-1</v>
      </c>
      <c r="AB20">
        <v>2.9079629629717991</v>
      </c>
      <c r="AC20">
        <v>9.7109801173209005E-3</v>
      </c>
      <c r="AD20">
        <v>4.9743380297395081</v>
      </c>
      <c r="AE20">
        <v>0</v>
      </c>
      <c r="AF20">
        <v>6.4067665256358914</v>
      </c>
      <c r="AG20">
        <v>0</v>
      </c>
      <c r="AH20">
        <v>1.0795366234264521</v>
      </c>
      <c r="AI20">
        <v>10.522</v>
      </c>
      <c r="AJ20">
        <v>10.891999999999999</v>
      </c>
      <c r="AK20">
        <v>1.9618320281702399E-2</v>
      </c>
      <c r="AL20">
        <v>4.9030002919398297E-2</v>
      </c>
      <c r="AM20">
        <v>5.5424199999999999</v>
      </c>
      <c r="AN20">
        <v>249.37296001151049</v>
      </c>
      <c r="AO20">
        <v>6.5678611139554394E-2</v>
      </c>
      <c r="AP20">
        <v>5.6796223475886198E-2</v>
      </c>
      <c r="AQ20">
        <v>5.40012572643827E-2</v>
      </c>
      <c r="AR20">
        <v>7.7765425111599298E-2</v>
      </c>
      <c r="AS20">
        <v>7.5919261692971196E-2</v>
      </c>
    </row>
    <row r="21" spans="1:45" x14ac:dyDescent="0.2">
      <c r="A21" t="s">
        <v>68</v>
      </c>
      <c r="B21" t="s">
        <v>60</v>
      </c>
      <c r="C21" t="s">
        <v>47</v>
      </c>
      <c r="D21">
        <v>4.54</v>
      </c>
      <c r="E21">
        <v>23.92</v>
      </c>
      <c r="F21">
        <v>1.39375492111666E-2</v>
      </c>
      <c r="G21">
        <v>135.97144371864991</v>
      </c>
      <c r="H21">
        <v>0.24763888904074441</v>
      </c>
      <c r="I21">
        <v>-1</v>
      </c>
      <c r="J21">
        <v>-0.32072883583547318</v>
      </c>
      <c r="K21">
        <v>-3.0416666665118099</v>
      </c>
      <c r="L21">
        <v>-1</v>
      </c>
      <c r="M21">
        <v>1.4416666668174369</v>
      </c>
      <c r="N21">
        <v>-1</v>
      </c>
      <c r="O21">
        <v>3.131618989657361</v>
      </c>
      <c r="P21">
        <v>6.0057442600147802E-2</v>
      </c>
      <c r="Q21">
        <v>1.6449091036130001E-4</v>
      </c>
      <c r="R21">
        <v>1.45846424102782E-2</v>
      </c>
      <c r="S21">
        <v>1.39375492111666E-2</v>
      </c>
      <c r="T21">
        <v>47.221461099791583</v>
      </c>
      <c r="U21">
        <v>0.62819444459586371</v>
      </c>
      <c r="V21">
        <v>-1</v>
      </c>
      <c r="W21">
        <v>-4.0740740597706E-2</v>
      </c>
      <c r="X21">
        <v>-2.5316666665123648</v>
      </c>
      <c r="Y21">
        <v>-1</v>
      </c>
      <c r="Z21">
        <v>2.0616666668167909</v>
      </c>
      <c r="AA21">
        <v>-1</v>
      </c>
      <c r="AB21">
        <v>2.8296018518315922</v>
      </c>
      <c r="AC21">
        <v>1.45846424102782E-2</v>
      </c>
      <c r="AD21">
        <v>5.0735708200608753</v>
      </c>
      <c r="AE21">
        <v>0</v>
      </c>
      <c r="AF21">
        <v>6.8257097342642172</v>
      </c>
      <c r="AG21">
        <v>0</v>
      </c>
      <c r="AH21">
        <v>1.329737402643357</v>
      </c>
      <c r="AI21">
        <v>8.9779999999999998</v>
      </c>
      <c r="AJ21">
        <v>9.3360000000000003</v>
      </c>
      <c r="AK21">
        <v>0.1178161453478121</v>
      </c>
      <c r="AL21">
        <v>0.2628424903959351</v>
      </c>
      <c r="AM21">
        <v>4.4163999999999994</v>
      </c>
      <c r="AN21">
        <v>307.16934001061549</v>
      </c>
      <c r="AO21">
        <v>5.8304528287485897E-2</v>
      </c>
      <c r="AP21">
        <v>4.8676209278811902E-2</v>
      </c>
      <c r="AQ21">
        <v>4.7374891265258103E-2</v>
      </c>
      <c r="AR21">
        <v>7.2060214869467107E-2</v>
      </c>
      <c r="AS21">
        <v>7.1362531744834007E-2</v>
      </c>
    </row>
    <row r="22" spans="1:45" x14ac:dyDescent="0.2">
      <c r="A22" t="s">
        <v>69</v>
      </c>
      <c r="B22" t="s">
        <v>60</v>
      </c>
      <c r="C22" t="s">
        <v>47</v>
      </c>
      <c r="D22">
        <v>2.82</v>
      </c>
      <c r="E22">
        <v>12.9</v>
      </c>
      <c r="F22">
        <v>1.5579215117863201E-2</v>
      </c>
      <c r="G22">
        <v>144.42373580569131</v>
      </c>
      <c r="H22">
        <v>-0.39930555540311469</v>
      </c>
      <c r="I22">
        <v>-1</v>
      </c>
      <c r="J22">
        <v>-0.57204431202571637</v>
      </c>
      <c r="K22">
        <v>-2.7633333331787342</v>
      </c>
      <c r="L22">
        <v>-1</v>
      </c>
      <c r="M22">
        <v>0.55166666681825516</v>
      </c>
      <c r="N22">
        <v>-1</v>
      </c>
      <c r="O22">
        <v>3.027225615537994</v>
      </c>
      <c r="P22">
        <v>6.1299395470188901E-2</v>
      </c>
      <c r="Q22">
        <v>2.4434534173409998E-4</v>
      </c>
      <c r="R22">
        <v>1.8617557525634699E-2</v>
      </c>
      <c r="S22">
        <v>1.5579215117863201E-2</v>
      </c>
      <c r="T22">
        <v>63.521864789875139</v>
      </c>
      <c r="U22">
        <v>-0.16027777762564399</v>
      </c>
      <c r="V22">
        <v>-1</v>
      </c>
      <c r="W22">
        <v>-0.44712499985658932</v>
      </c>
      <c r="X22">
        <v>-2.2533333331792891</v>
      </c>
      <c r="Y22">
        <v>-1</v>
      </c>
      <c r="Z22">
        <v>1.1050000001509941</v>
      </c>
      <c r="AA22">
        <v>-1</v>
      </c>
      <c r="AB22">
        <v>2.9526342592331418</v>
      </c>
      <c r="AC22">
        <v>1.8617557525634699E-2</v>
      </c>
      <c r="AD22">
        <v>4.8747160744700073</v>
      </c>
      <c r="AE22">
        <v>0</v>
      </c>
      <c r="AF22">
        <v>6.8225149123589484</v>
      </c>
      <c r="AG22">
        <v>0</v>
      </c>
      <c r="AH22">
        <v>1.4021391631986899</v>
      </c>
      <c r="AI22">
        <v>8.3239999999999998</v>
      </c>
      <c r="AJ22">
        <v>8.56</v>
      </c>
      <c r="AK22">
        <v>0.23860325645259489</v>
      </c>
      <c r="AL22">
        <v>0.39737811545846108</v>
      </c>
      <c r="AM22">
        <v>3.9070399999999998</v>
      </c>
      <c r="AN22">
        <v>323.89414669889732</v>
      </c>
      <c r="AO22">
        <v>5.5289798937173402E-2</v>
      </c>
      <c r="AP22">
        <v>4.61149191979199E-2</v>
      </c>
      <c r="AQ22">
        <v>4.5626800195880203E-2</v>
      </c>
      <c r="AR22">
        <v>6.9833726320325903E-2</v>
      </c>
      <c r="AS22">
        <v>6.9596407143306394E-2</v>
      </c>
    </row>
    <row r="23" spans="1:45" x14ac:dyDescent="0.2">
      <c r="A23" t="s">
        <v>70</v>
      </c>
      <c r="B23" t="s">
        <v>60</v>
      </c>
      <c r="C23" t="s">
        <v>47</v>
      </c>
      <c r="D23">
        <v>1.56</v>
      </c>
      <c r="E23">
        <v>7.64</v>
      </c>
      <c r="F23">
        <v>1.8426494952086502E-2</v>
      </c>
      <c r="G23">
        <v>147.64164583002389</v>
      </c>
      <c r="H23">
        <v>-1.1701388887357509</v>
      </c>
      <c r="I23">
        <v>-1</v>
      </c>
      <c r="J23">
        <v>-1.013326058057072</v>
      </c>
      <c r="K23">
        <v>-2.5566666665122741</v>
      </c>
      <c r="L23">
        <v>-1</v>
      </c>
      <c r="M23">
        <v>-0.9066666665137656</v>
      </c>
      <c r="N23">
        <v>-1</v>
      </c>
      <c r="O23">
        <v>2.7909696581902739</v>
      </c>
      <c r="P23">
        <v>6.2719312525474399E-2</v>
      </c>
      <c r="Q23">
        <v>3.9967848792289999E-4</v>
      </c>
      <c r="R23">
        <v>2.56172891259192E-2</v>
      </c>
      <c r="S23">
        <v>1.8426494952086502E-2</v>
      </c>
      <c r="T23">
        <v>76.996152296968191</v>
      </c>
      <c r="U23">
        <v>-0.92333333318051103</v>
      </c>
      <c r="V23">
        <v>-1</v>
      </c>
      <c r="W23">
        <v>-0.96633796281909201</v>
      </c>
      <c r="X23">
        <v>-2.046666666512829</v>
      </c>
      <c r="Y23">
        <v>-1</v>
      </c>
      <c r="Z23">
        <v>4.8333333485279503E-2</v>
      </c>
      <c r="AA23">
        <v>-1</v>
      </c>
      <c r="AB23">
        <v>3.0561527777458339</v>
      </c>
      <c r="AC23">
        <v>2.56172891259192E-2</v>
      </c>
      <c r="AD23">
        <v>4.6539591636736359</v>
      </c>
      <c r="AE23">
        <v>0</v>
      </c>
      <c r="AF23">
        <v>6.711589660523412</v>
      </c>
      <c r="AG23">
        <v>0</v>
      </c>
      <c r="AH23">
        <v>1.4457950240002999</v>
      </c>
      <c r="AI23">
        <v>7.8579999999999997</v>
      </c>
      <c r="AJ23">
        <v>8.0739999999999998</v>
      </c>
      <c r="AK23">
        <v>0.3978006729814984</v>
      </c>
      <c r="AL23">
        <v>0.56611841986989497</v>
      </c>
      <c r="AM23">
        <v>3.3547199999999999</v>
      </c>
      <c r="AN23">
        <v>333.97865054406941</v>
      </c>
      <c r="AO23">
        <v>5.2754825926753998E-2</v>
      </c>
      <c r="AP23">
        <v>4.5069608908100099E-2</v>
      </c>
      <c r="AQ23">
        <v>4.5509369827099799E-2</v>
      </c>
      <c r="AR23">
        <v>6.8051653856187597E-2</v>
      </c>
      <c r="AS23">
        <v>6.8169198245243895E-2</v>
      </c>
    </row>
    <row r="24" spans="1:45" x14ac:dyDescent="0.2">
      <c r="A24" t="s">
        <v>71</v>
      </c>
      <c r="B24" t="s">
        <v>60</v>
      </c>
      <c r="C24" t="s">
        <v>47</v>
      </c>
      <c r="D24">
        <v>29.8</v>
      </c>
      <c r="E24">
        <v>87.44</v>
      </c>
      <c r="F24">
        <v>8.3819048483291993E-3</v>
      </c>
      <c r="G24">
        <v>12.948290310291121</v>
      </c>
      <c r="H24">
        <v>2.1472916668168192</v>
      </c>
      <c r="I24">
        <v>-1</v>
      </c>
      <c r="J24">
        <v>0.3847809525237148</v>
      </c>
      <c r="K24">
        <v>-6.2683333331755238</v>
      </c>
      <c r="L24">
        <v>-1</v>
      </c>
      <c r="M24">
        <v>6.6750000001460474</v>
      </c>
      <c r="N24">
        <v>-1</v>
      </c>
      <c r="O24">
        <v>3.706114458225048</v>
      </c>
      <c r="P24">
        <v>7.2070054424481597E-2</v>
      </c>
      <c r="Q24">
        <v>-2.9683924089640002E-4</v>
      </c>
      <c r="R24">
        <v>3.1052193045614999E-3</v>
      </c>
      <c r="S24">
        <v>8.3819048483291993E-3</v>
      </c>
      <c r="T24">
        <v>-40.574484908952762</v>
      </c>
      <c r="U24">
        <v>2.4291666668164762</v>
      </c>
      <c r="V24">
        <v>-1</v>
      </c>
      <c r="W24">
        <v>0.50698082024883218</v>
      </c>
      <c r="X24">
        <v>-5.7583333331760791</v>
      </c>
      <c r="Y24">
        <v>-1</v>
      </c>
      <c r="Z24">
        <v>9.4066666668101515</v>
      </c>
      <c r="AA24">
        <v>-1</v>
      </c>
      <c r="AB24">
        <v>2.579667328057206</v>
      </c>
      <c r="AC24">
        <v>3.1052193045614999E-3</v>
      </c>
      <c r="AD24">
        <v>4.3596705872018573</v>
      </c>
      <c r="AE24">
        <v>0</v>
      </c>
      <c r="AF24">
        <v>3.852070927417055</v>
      </c>
      <c r="AG24">
        <v>0</v>
      </c>
      <c r="AH24">
        <v>0.43534094356825331</v>
      </c>
      <c r="AI24">
        <v>15.651999999999999</v>
      </c>
      <c r="AJ24">
        <v>16.224</v>
      </c>
      <c r="AK24">
        <v>8.4364170176379997E-4</v>
      </c>
      <c r="AL24">
        <v>7.7805219486656004E-3</v>
      </c>
      <c r="AM24">
        <v>10.61598</v>
      </c>
      <c r="AN24">
        <v>100.5637579642665</v>
      </c>
      <c r="AO24">
        <v>9.5919627257655599E-2</v>
      </c>
      <c r="AP24">
        <v>9.0073884435916601E-2</v>
      </c>
      <c r="AQ24">
        <v>8.4516640677999397E-2</v>
      </c>
      <c r="AR24">
        <v>0.1020634029475621</v>
      </c>
      <c r="AS24">
        <v>9.7366488934156101E-2</v>
      </c>
    </row>
    <row r="25" spans="1:45" x14ac:dyDescent="0.2">
      <c r="A25" t="s">
        <v>72</v>
      </c>
      <c r="B25" t="s">
        <v>60</v>
      </c>
      <c r="C25" t="s">
        <v>47</v>
      </c>
      <c r="D25">
        <v>4.9400000000000004</v>
      </c>
      <c r="E25">
        <v>26.6</v>
      </c>
      <c r="F25">
        <v>8.9598740850174996E-3</v>
      </c>
      <c r="G25">
        <v>100.6082321457074</v>
      </c>
      <c r="H25">
        <v>1.490416666817409</v>
      </c>
      <c r="I25">
        <v>-1</v>
      </c>
      <c r="J25">
        <v>0.2996924604603019</v>
      </c>
      <c r="K25">
        <v>-4.9283333331767434</v>
      </c>
      <c r="L25">
        <v>-1</v>
      </c>
      <c r="M25">
        <v>3.5816666668155079</v>
      </c>
      <c r="N25">
        <v>-1</v>
      </c>
      <c r="O25">
        <v>3.4034336131128331</v>
      </c>
      <c r="P25">
        <v>7.9689985322615703E-2</v>
      </c>
      <c r="Q25" s="1">
        <v>-8.3154144915205524E-5</v>
      </c>
      <c r="R25">
        <v>3.1385375857352999E-3</v>
      </c>
      <c r="S25">
        <v>8.9598740850174996E-3</v>
      </c>
      <c r="T25">
        <v>51.472628962298977</v>
      </c>
      <c r="U25">
        <v>1.713361111261555</v>
      </c>
      <c r="V25">
        <v>-1</v>
      </c>
      <c r="W25">
        <v>0.57774867739162106</v>
      </c>
      <c r="X25">
        <v>-4.4183333331772978</v>
      </c>
      <c r="Y25">
        <v>-1</v>
      </c>
      <c r="Z25">
        <v>5.0016666668141347</v>
      </c>
      <c r="AA25">
        <v>-1</v>
      </c>
      <c r="AB25">
        <v>2.429887566152575</v>
      </c>
      <c r="AC25">
        <v>3.1385375857352999E-3</v>
      </c>
      <c r="AD25">
        <v>4.4646746035105442</v>
      </c>
      <c r="AE25">
        <v>0</v>
      </c>
      <c r="AF25">
        <v>4.9533204103714024</v>
      </c>
      <c r="AG25">
        <v>0</v>
      </c>
      <c r="AH25">
        <v>1.0009445125722369</v>
      </c>
      <c r="AI25">
        <v>12.39</v>
      </c>
      <c r="AJ25">
        <v>12.923999999999999</v>
      </c>
      <c r="AK25">
        <v>0.1151596532092234</v>
      </c>
      <c r="AL25">
        <v>0.21954456170616099</v>
      </c>
      <c r="AM25">
        <v>7.6597400000000002</v>
      </c>
      <c r="AN25">
        <v>231.21818240418679</v>
      </c>
      <c r="AO25">
        <v>8.0370582741014496E-2</v>
      </c>
      <c r="AP25">
        <v>7.0129709521780395E-2</v>
      </c>
      <c r="AQ25">
        <v>6.5480883168167497E-2</v>
      </c>
      <c r="AR25">
        <v>8.7897931360848905E-2</v>
      </c>
      <c r="AS25">
        <v>8.4526316459515999E-2</v>
      </c>
    </row>
    <row r="26" spans="1:45" x14ac:dyDescent="0.2">
      <c r="A26" t="s">
        <v>73</v>
      </c>
      <c r="B26" t="s">
        <v>60</v>
      </c>
      <c r="C26" t="s">
        <v>47</v>
      </c>
      <c r="D26">
        <v>0.6</v>
      </c>
      <c r="E26">
        <v>5.98</v>
      </c>
      <c r="F26">
        <v>5.32306196490187E-2</v>
      </c>
      <c r="G26">
        <v>75.508594612921357</v>
      </c>
      <c r="H26">
        <v>-0.61916666651401786</v>
      </c>
      <c r="I26">
        <v>-1</v>
      </c>
      <c r="J26">
        <v>-2.014576058056142</v>
      </c>
      <c r="K26">
        <v>-7.1183333331747694</v>
      </c>
      <c r="L26">
        <v>-1</v>
      </c>
      <c r="M26">
        <v>5.50000001520312E-2</v>
      </c>
      <c r="N26">
        <v>-1</v>
      </c>
      <c r="O26">
        <v>4.6151969680924871</v>
      </c>
      <c r="P26">
        <v>0.1432666514260893</v>
      </c>
      <c r="Q26">
        <v>4.5706521530853701E-2</v>
      </c>
      <c r="R26">
        <v>4.1070175755094501E-2</v>
      </c>
      <c r="S26">
        <v>5.32306196490187E-2</v>
      </c>
      <c r="T26">
        <v>59.990252791657689</v>
      </c>
      <c r="U26">
        <v>-0.77149999984730033</v>
      </c>
      <c r="V26">
        <v>-1</v>
      </c>
      <c r="W26">
        <v>-2.0328101850398612</v>
      </c>
      <c r="X26">
        <v>-6.6083333331753238</v>
      </c>
      <c r="Y26">
        <v>-1</v>
      </c>
      <c r="Z26">
        <v>0.65000000015141268</v>
      </c>
      <c r="AA26">
        <v>-1</v>
      </c>
      <c r="AB26">
        <v>3.3926712962300831</v>
      </c>
      <c r="AC26">
        <v>4.1070175755094501E-2</v>
      </c>
      <c r="AD26">
        <v>2.692503783133132</v>
      </c>
      <c r="AE26">
        <v>0</v>
      </c>
      <c r="AF26">
        <v>3.032381833984886</v>
      </c>
      <c r="AG26">
        <v>0</v>
      </c>
      <c r="AH26">
        <v>0.69326552266236219</v>
      </c>
      <c r="AI26">
        <v>10.958</v>
      </c>
      <c r="AJ26">
        <v>11.286</v>
      </c>
      <c r="AK26">
        <v>0.48830810049354001</v>
      </c>
      <c r="AL26">
        <v>0.59310588911039719</v>
      </c>
      <c r="AM26">
        <v>10.517480000000001</v>
      </c>
      <c r="AN26">
        <v>153.9049460310444</v>
      </c>
      <c r="AO26">
        <v>0.10925550288621121</v>
      </c>
      <c r="AP26">
        <v>0.1088649549069883</v>
      </c>
      <c r="AQ26">
        <v>0.1008153613832712</v>
      </c>
      <c r="AR26">
        <v>0.12229867136745599</v>
      </c>
      <c r="AS26">
        <v>0.11525914099076991</v>
      </c>
    </row>
    <row r="27" spans="1:45" x14ac:dyDescent="0.2">
      <c r="A27" t="s">
        <v>74</v>
      </c>
      <c r="B27" t="s">
        <v>60</v>
      </c>
      <c r="C27" t="s">
        <v>47</v>
      </c>
      <c r="D27">
        <v>40.799999999999997</v>
      </c>
      <c r="E27">
        <v>84.82</v>
      </c>
      <c r="F27">
        <v>-1.18807837467937E-2</v>
      </c>
      <c r="G27">
        <v>-3519.3867656578232</v>
      </c>
      <c r="H27">
        <v>1.5870277779284301</v>
      </c>
      <c r="I27">
        <v>-1</v>
      </c>
      <c r="J27">
        <v>1.420966666806621</v>
      </c>
      <c r="K27">
        <v>-2.8183333331786709</v>
      </c>
      <c r="L27">
        <v>-1</v>
      </c>
      <c r="M27">
        <v>2.6000000001497479</v>
      </c>
      <c r="N27">
        <v>-1</v>
      </c>
      <c r="O27">
        <v>4.7399007592444438</v>
      </c>
      <c r="P27">
        <v>4.9600979203145198E-2</v>
      </c>
      <c r="Q27">
        <v>-1.46717059649616E-2</v>
      </c>
      <c r="R27">
        <v>4.2679974436758998E-3</v>
      </c>
      <c r="S27">
        <v>-1.20410745157039E-2</v>
      </c>
      <c r="T27">
        <v>-2369.1271497694579</v>
      </c>
      <c r="U27">
        <v>2.261888889038834</v>
      </c>
      <c r="V27">
        <v>-1</v>
      </c>
      <c r="W27">
        <v>1.244680886384298</v>
      </c>
      <c r="X27">
        <v>-2.3083333331792262</v>
      </c>
      <c r="Y27">
        <v>-1</v>
      </c>
      <c r="Z27">
        <v>3.1133333334825242</v>
      </c>
      <c r="AA27">
        <v>-1</v>
      </c>
      <c r="AB27">
        <v>3.420555224897623</v>
      </c>
      <c r="AC27">
        <v>3.6091170283158E-3</v>
      </c>
      <c r="AD27">
        <v>4.3693179009167959</v>
      </c>
      <c r="AE27">
        <v>0</v>
      </c>
      <c r="AF27">
        <v>4.6784264456935887</v>
      </c>
      <c r="AG27">
        <v>0</v>
      </c>
      <c r="AH27">
        <v>-1513.43733928606</v>
      </c>
      <c r="AI27">
        <v>14.516</v>
      </c>
      <c r="AJ27">
        <v>14.874000000000001</v>
      </c>
      <c r="AK27" s="1">
        <v>1.7911023796502239E-10</v>
      </c>
      <c r="AL27">
        <v>2.1871467918449999E-4</v>
      </c>
      <c r="AM27">
        <v>12.0504</v>
      </c>
      <c r="AN27">
        <v>-349575.68125111453</v>
      </c>
      <c r="AO27">
        <v>8.3838363574684993E-2</v>
      </c>
      <c r="AP27">
        <v>8.9029583308134694E-2</v>
      </c>
      <c r="AQ27">
        <v>7.4833337712874398E-2</v>
      </c>
      <c r="AR27">
        <v>0.1007880610100894</v>
      </c>
      <c r="AS27">
        <v>8.7343935637993197E-2</v>
      </c>
    </row>
    <row r="28" spans="1:45" x14ac:dyDescent="0.2">
      <c r="A28" t="s">
        <v>75</v>
      </c>
      <c r="B28" t="s">
        <v>76</v>
      </c>
      <c r="C28" t="s">
        <v>47</v>
      </c>
      <c r="D28">
        <v>1.8</v>
      </c>
      <c r="E28">
        <v>8.36</v>
      </c>
      <c r="F28">
        <v>3.7157195054555001E-3</v>
      </c>
      <c r="G28">
        <v>118.5334342718443</v>
      </c>
      <c r="H28">
        <v>1.740916666817159</v>
      </c>
      <c r="I28">
        <v>-1</v>
      </c>
      <c r="J28">
        <v>1.311973677390486</v>
      </c>
      <c r="K28">
        <v>-1.2649999998467769</v>
      </c>
      <c r="L28">
        <v>-1</v>
      </c>
      <c r="M28">
        <v>3.336666666815709</v>
      </c>
      <c r="N28">
        <v>-1</v>
      </c>
      <c r="O28">
        <v>3.8253818332148</v>
      </c>
      <c r="P28">
        <v>8.6375263950416503E-2</v>
      </c>
      <c r="Q28">
        <v>-1.7334109151284E-3</v>
      </c>
      <c r="R28">
        <v>1.9393336169160499E-2</v>
      </c>
      <c r="S28">
        <v>3.7157195054555001E-3</v>
      </c>
      <c r="T28">
        <v>96.045022984219884</v>
      </c>
      <c r="U28">
        <v>2.0901388890389718</v>
      </c>
      <c r="V28">
        <v>-1</v>
      </c>
      <c r="W28">
        <v>1.495305555697189</v>
      </c>
      <c r="X28">
        <v>-0.75499999984733224</v>
      </c>
      <c r="Y28">
        <v>-1</v>
      </c>
      <c r="Z28">
        <v>3.4250000001488661</v>
      </c>
      <c r="AA28">
        <v>-1</v>
      </c>
      <c r="AB28">
        <v>3.1311851852048291</v>
      </c>
      <c r="AC28">
        <v>1.9393336169160499E-2</v>
      </c>
      <c r="AD28">
        <v>3.7137288741980679</v>
      </c>
      <c r="AE28">
        <v>0</v>
      </c>
      <c r="AF28">
        <v>4.1634638995342934</v>
      </c>
      <c r="AG28">
        <v>0</v>
      </c>
      <c r="AH28">
        <v>0.99345215719959679</v>
      </c>
      <c r="AI28">
        <v>9.86</v>
      </c>
      <c r="AJ28">
        <v>10.236000000000001</v>
      </c>
      <c r="AK28">
        <v>0.19099543116839901</v>
      </c>
      <c r="AL28">
        <v>0.48878708311951469</v>
      </c>
      <c r="AM28">
        <v>8.4968199999999996</v>
      </c>
      <c r="AN28">
        <v>209.61840516911491</v>
      </c>
      <c r="AO28">
        <v>9.1650707701382894E-2</v>
      </c>
      <c r="AP28">
        <v>6.2861916704272894E-2</v>
      </c>
      <c r="AQ28">
        <v>5.8405385319698397E-2</v>
      </c>
      <c r="AR28">
        <v>8.3589954922406104E-2</v>
      </c>
      <c r="AS28">
        <v>8.1370530483536402E-2</v>
      </c>
    </row>
    <row r="29" spans="1:45" x14ac:dyDescent="0.2">
      <c r="A29" t="s">
        <v>77</v>
      </c>
      <c r="B29" t="s">
        <v>76</v>
      </c>
      <c r="C29" t="s">
        <v>47</v>
      </c>
      <c r="D29">
        <v>8.94</v>
      </c>
      <c r="E29">
        <v>44.82</v>
      </c>
      <c r="F29">
        <v>2.08328173186479E-2</v>
      </c>
      <c r="G29">
        <v>144.31007340636231</v>
      </c>
      <c r="H29">
        <v>-1.472777777624358</v>
      </c>
      <c r="I29">
        <v>-1</v>
      </c>
      <c r="J29">
        <v>-1.2349629628188259</v>
      </c>
      <c r="K29">
        <v>-2.6116666665122099</v>
      </c>
      <c r="L29">
        <v>-1</v>
      </c>
      <c r="M29">
        <v>-0.87833333318045337</v>
      </c>
      <c r="N29">
        <v>-1</v>
      </c>
      <c r="O29">
        <v>3.207812563562491</v>
      </c>
      <c r="P29">
        <v>5.0085617837695502E-2</v>
      </c>
      <c r="Q29">
        <v>2.2126717243941998E-3</v>
      </c>
      <c r="R29">
        <v>3.0530893438032499E-2</v>
      </c>
      <c r="S29">
        <v>2.08328173186479E-2</v>
      </c>
      <c r="T29">
        <v>89.103919792436315</v>
      </c>
      <c r="U29">
        <v>-1.0811111109581379</v>
      </c>
      <c r="V29">
        <v>-1</v>
      </c>
      <c r="W29">
        <v>-1.1145277776337601</v>
      </c>
      <c r="X29">
        <v>-2.1016666665127648</v>
      </c>
      <c r="Y29">
        <v>-1</v>
      </c>
      <c r="Z29">
        <v>-0.4899999998475596</v>
      </c>
      <c r="AA29">
        <v>-1</v>
      </c>
      <c r="AB29">
        <v>3.0355648147828811</v>
      </c>
      <c r="AC29">
        <v>3.0530893438032499E-2</v>
      </c>
      <c r="AD29">
        <v>4.5839929910755304</v>
      </c>
      <c r="AE29">
        <v>0</v>
      </c>
      <c r="AF29">
        <v>6.0239405836553814</v>
      </c>
      <c r="AG29">
        <v>0</v>
      </c>
      <c r="AH29">
        <v>1.162803542504026</v>
      </c>
      <c r="AI29">
        <v>7.7720000000000002</v>
      </c>
      <c r="AJ29">
        <v>7.99</v>
      </c>
      <c r="AK29">
        <v>3.9308961959099602E-2</v>
      </c>
      <c r="AL29">
        <v>0.1085143929126163</v>
      </c>
      <c r="AM29">
        <v>5.39452</v>
      </c>
      <c r="AN29">
        <v>246.5143510108534</v>
      </c>
      <c r="AO29">
        <v>6.8973480983603896E-2</v>
      </c>
      <c r="AP29">
        <v>4.8771326429472801E-2</v>
      </c>
      <c r="AQ29">
        <v>4.9512157556286997E-2</v>
      </c>
      <c r="AR29">
        <v>7.0533295689058001E-2</v>
      </c>
      <c r="AS29">
        <v>7.0739457293320804E-2</v>
      </c>
    </row>
    <row r="30" spans="1:45" x14ac:dyDescent="0.2">
      <c r="A30" t="s">
        <v>78</v>
      </c>
      <c r="B30" t="s">
        <v>76</v>
      </c>
      <c r="C30" t="s">
        <v>47</v>
      </c>
      <c r="D30">
        <v>11.16</v>
      </c>
      <c r="E30">
        <v>39.28</v>
      </c>
      <c r="F30">
        <v>2.1847962868200899E-2</v>
      </c>
      <c r="G30">
        <v>126.5791286240276</v>
      </c>
      <c r="H30">
        <v>-2.2716666665124952</v>
      </c>
      <c r="I30">
        <v>-1</v>
      </c>
      <c r="J30">
        <v>-1.1681600527658429</v>
      </c>
      <c r="K30">
        <v>-3.4666666665114012</v>
      </c>
      <c r="L30">
        <v>-1</v>
      </c>
      <c r="M30">
        <v>-2.0949999998459772</v>
      </c>
      <c r="N30">
        <v>-1</v>
      </c>
      <c r="O30">
        <v>2.7824820991474661</v>
      </c>
      <c r="P30">
        <v>5.3571451716742803E-2</v>
      </c>
      <c r="Q30">
        <v>-6.1290237888544999E-3</v>
      </c>
      <c r="R30">
        <v>4.6461406988488801E-2</v>
      </c>
      <c r="S30">
        <v>2.1847962868200899E-2</v>
      </c>
      <c r="T30">
        <v>95.502251378323393</v>
      </c>
      <c r="U30">
        <v>-2.1183333331793919</v>
      </c>
      <c r="V30">
        <v>-1</v>
      </c>
      <c r="W30">
        <v>-1.1064652776332931</v>
      </c>
      <c r="X30">
        <v>-2.9566666665119561</v>
      </c>
      <c r="Y30">
        <v>-1</v>
      </c>
      <c r="Z30">
        <v>-2.0349999998461321</v>
      </c>
      <c r="AA30">
        <v>-1</v>
      </c>
      <c r="AB30">
        <v>2.865854166635375</v>
      </c>
      <c r="AC30">
        <v>4.6461406988488801E-2</v>
      </c>
      <c r="AD30">
        <v>4.3532322163310626</v>
      </c>
      <c r="AE30">
        <v>0</v>
      </c>
      <c r="AF30">
        <v>5.1174363364793347</v>
      </c>
      <c r="AG30">
        <v>0</v>
      </c>
      <c r="AH30">
        <v>1.0856081212833131</v>
      </c>
      <c r="AI30">
        <v>8.9720000000000013</v>
      </c>
      <c r="AJ30">
        <v>9.2880000000000003</v>
      </c>
      <c r="AK30">
        <v>5.8123027707289603E-2</v>
      </c>
      <c r="AL30">
        <v>0.1042552401166604</v>
      </c>
      <c r="AM30">
        <v>6.1826599999999994</v>
      </c>
      <c r="AN30">
        <v>230.14892171206239</v>
      </c>
      <c r="AO30">
        <v>6.5993620919160695E-2</v>
      </c>
      <c r="AP30">
        <v>5.8719099132771603E-2</v>
      </c>
      <c r="AQ30">
        <v>5.7475802831718298E-2</v>
      </c>
      <c r="AR30">
        <v>7.6623886300181798E-2</v>
      </c>
      <c r="AS30">
        <v>7.3648362844712406E-2</v>
      </c>
    </row>
    <row r="31" spans="1:45" x14ac:dyDescent="0.2">
      <c r="A31" t="s">
        <v>79</v>
      </c>
      <c r="B31" t="s">
        <v>80</v>
      </c>
      <c r="C31" t="s">
        <v>47</v>
      </c>
      <c r="D31">
        <v>0.8</v>
      </c>
      <c r="E31">
        <v>9.5399999999999991</v>
      </c>
      <c r="F31">
        <v>1.6750827203509101E-2</v>
      </c>
      <c r="G31">
        <v>150.67300073024111</v>
      </c>
      <c r="H31">
        <v>-0.87980555540268779</v>
      </c>
      <c r="I31">
        <v>-1</v>
      </c>
      <c r="J31">
        <v>-0.52051468239609455</v>
      </c>
      <c r="K31">
        <v>-3.2133333331783431</v>
      </c>
      <c r="L31">
        <v>-1</v>
      </c>
      <c r="M31">
        <v>-0.38333333318090801</v>
      </c>
      <c r="N31">
        <v>-1</v>
      </c>
      <c r="O31">
        <v>2.5684524912765232</v>
      </c>
      <c r="P31">
        <v>5.1980415626393897E-2</v>
      </c>
      <c r="Q31">
        <v>8.8163370738610005E-4</v>
      </c>
      <c r="R31">
        <v>2.1634626118429201E-2</v>
      </c>
      <c r="S31">
        <v>1.6750827203509101E-2</v>
      </c>
      <c r="T31">
        <v>101.8627352024124</v>
      </c>
      <c r="U31">
        <v>-0.58819444429193257</v>
      </c>
      <c r="V31">
        <v>-1</v>
      </c>
      <c r="W31">
        <v>-0.36821759244926489</v>
      </c>
      <c r="X31">
        <v>-2.703333333178898</v>
      </c>
      <c r="Y31">
        <v>-1</v>
      </c>
      <c r="Z31">
        <v>9.6666666818546201E-2</v>
      </c>
      <c r="AA31">
        <v>-1</v>
      </c>
      <c r="AB31">
        <v>2.9088472222076218</v>
      </c>
      <c r="AC31">
        <v>2.1634626118429201E-2</v>
      </c>
      <c r="AD31">
        <v>4.8280472882254566</v>
      </c>
      <c r="AE31">
        <v>0</v>
      </c>
      <c r="AF31">
        <v>6.0209556912154314</v>
      </c>
      <c r="AG31">
        <v>0</v>
      </c>
      <c r="AH31">
        <v>1.521176474478896</v>
      </c>
      <c r="AI31">
        <v>9.1240000000000006</v>
      </c>
      <c r="AJ31">
        <v>9.34</v>
      </c>
      <c r="AK31">
        <v>0.36464631152568988</v>
      </c>
      <c r="AL31">
        <v>0.54292456733238059</v>
      </c>
      <c r="AM31">
        <v>4.6379400000000004</v>
      </c>
      <c r="AN31">
        <v>351.39176560462511</v>
      </c>
      <c r="AO31">
        <v>5.2565188683506903E-2</v>
      </c>
      <c r="AP31">
        <v>4.6018494121736198E-2</v>
      </c>
      <c r="AQ31">
        <v>4.6562177041001601E-2</v>
      </c>
      <c r="AR31">
        <v>6.8585288202675301E-2</v>
      </c>
      <c r="AS31">
        <v>6.8833749922657297E-2</v>
      </c>
    </row>
    <row r="32" spans="1:45" x14ac:dyDescent="0.2">
      <c r="A32" t="s">
        <v>81</v>
      </c>
      <c r="B32" t="s">
        <v>80</v>
      </c>
      <c r="C32" t="s">
        <v>47</v>
      </c>
      <c r="D32">
        <v>7</v>
      </c>
      <c r="E32">
        <v>70.52</v>
      </c>
      <c r="F32">
        <v>4.9150883492826598E-2</v>
      </c>
      <c r="G32">
        <v>95.696792447326402</v>
      </c>
      <c r="H32">
        <v>-3.908055555399883</v>
      </c>
      <c r="I32">
        <v>-1</v>
      </c>
      <c r="J32">
        <v>-3.1293492062033001</v>
      </c>
      <c r="K32">
        <v>-5.1083333331765699</v>
      </c>
      <c r="L32">
        <v>-1</v>
      </c>
      <c r="M32">
        <v>-4.0549999998441946</v>
      </c>
      <c r="N32">
        <v>-1</v>
      </c>
      <c r="O32">
        <v>4.4567316036960776</v>
      </c>
      <c r="P32">
        <v>4.7881903430233103E-2</v>
      </c>
      <c r="Q32">
        <v>1.44164295788861E-2</v>
      </c>
      <c r="R32">
        <v>6.2160000884592503E-2</v>
      </c>
      <c r="S32">
        <v>4.9150883492826598E-2</v>
      </c>
      <c r="T32">
        <v>42.134558067235567</v>
      </c>
      <c r="U32">
        <v>-3.5844444442891579</v>
      </c>
      <c r="V32">
        <v>-1</v>
      </c>
      <c r="W32">
        <v>-2.925092592446457</v>
      </c>
      <c r="X32">
        <v>-4.5983333331771243</v>
      </c>
      <c r="Y32">
        <v>-1</v>
      </c>
      <c r="Z32">
        <v>-3.794999999844531</v>
      </c>
      <c r="AA32">
        <v>-1</v>
      </c>
      <c r="AB32">
        <v>3.8271759258420972</v>
      </c>
      <c r="AC32">
        <v>6.2160000884592503E-2</v>
      </c>
      <c r="AD32">
        <v>3.5453692391957312</v>
      </c>
      <c r="AE32">
        <v>0</v>
      </c>
      <c r="AF32">
        <v>4.4811323701489219</v>
      </c>
      <c r="AG32">
        <v>0</v>
      </c>
      <c r="AH32">
        <v>1.2482241876263001</v>
      </c>
      <c r="AI32">
        <v>8.2899999999999991</v>
      </c>
      <c r="AJ32">
        <v>8.6679999999999993</v>
      </c>
      <c r="AK32">
        <v>6.0683228583734899E-2</v>
      </c>
      <c r="AL32">
        <v>0.1224108198494242</v>
      </c>
      <c r="AM32">
        <v>4.8764799999999999</v>
      </c>
      <c r="AN32">
        <v>288.33978734167528</v>
      </c>
      <c r="AO32">
        <v>6.1445981212470697E-2</v>
      </c>
      <c r="AP32">
        <v>6.7571907946868404E-2</v>
      </c>
      <c r="AQ32">
        <v>7.2357809109035401E-2</v>
      </c>
      <c r="AR32">
        <v>8.3294163885019395E-2</v>
      </c>
      <c r="AS32">
        <v>8.7122069297677407E-2</v>
      </c>
    </row>
    <row r="33" spans="1:45" x14ac:dyDescent="0.2">
      <c r="A33" t="s">
        <v>82</v>
      </c>
      <c r="B33" t="s">
        <v>80</v>
      </c>
      <c r="C33" t="s">
        <v>47</v>
      </c>
      <c r="D33">
        <v>1.2</v>
      </c>
      <c r="E33">
        <v>10.3</v>
      </c>
      <c r="F33">
        <v>-1.4515755791223E-2</v>
      </c>
      <c r="G33">
        <v>137.2552839787181</v>
      </c>
      <c r="H33">
        <v>2.7800000001495619</v>
      </c>
      <c r="I33">
        <v>-1</v>
      </c>
      <c r="J33">
        <v>2.6526593916750918</v>
      </c>
      <c r="K33">
        <v>-0.70333333318058977</v>
      </c>
      <c r="L33">
        <v>-1</v>
      </c>
      <c r="M33">
        <v>5.4916666668137619</v>
      </c>
      <c r="N33">
        <v>-1</v>
      </c>
      <c r="O33">
        <v>3.4722253089420079</v>
      </c>
      <c r="P33">
        <v>5.3934803694378697E-2</v>
      </c>
      <c r="Q33">
        <v>-1.7270523969387101E-2</v>
      </c>
      <c r="R33">
        <v>9.2789088175321E-3</v>
      </c>
      <c r="S33">
        <v>-1.4515755791223099E-2</v>
      </c>
      <c r="T33">
        <v>100.72744593678129</v>
      </c>
      <c r="U33">
        <v>3.0002777779270491</v>
      </c>
      <c r="V33">
        <v>-1</v>
      </c>
      <c r="W33">
        <v>2.8342824075482982</v>
      </c>
      <c r="X33">
        <v>-0.19333333318114451</v>
      </c>
      <c r="Y33">
        <v>-1</v>
      </c>
      <c r="Z33">
        <v>4.6150000001477931</v>
      </c>
      <c r="AA33">
        <v>-1</v>
      </c>
      <c r="AB33">
        <v>3.3212731482197282</v>
      </c>
      <c r="AC33">
        <v>9.2789088175321E-3</v>
      </c>
      <c r="AD33">
        <v>5.0304666798092432</v>
      </c>
      <c r="AE33">
        <v>0</v>
      </c>
      <c r="AF33">
        <v>5.4498367985534761</v>
      </c>
      <c r="AG33">
        <v>0</v>
      </c>
      <c r="AH33">
        <v>1.4271979901886209</v>
      </c>
      <c r="AI33">
        <v>10.795999999999999</v>
      </c>
      <c r="AJ33">
        <v>11.05</v>
      </c>
      <c r="AK33">
        <v>0.28622234829903609</v>
      </c>
      <c r="AL33">
        <v>0.48250613644899831</v>
      </c>
      <c r="AM33">
        <v>6.1009599999999997</v>
      </c>
      <c r="AN33">
        <v>329.68273573357152</v>
      </c>
      <c r="AO33">
        <v>5.7629344328457802E-2</v>
      </c>
      <c r="AP33">
        <v>5.3538241731704302E-2</v>
      </c>
      <c r="AQ33">
        <v>4.90457831554581E-2</v>
      </c>
      <c r="AR33">
        <v>7.1537656261642504E-2</v>
      </c>
      <c r="AS33">
        <v>6.8150148843822395E-2</v>
      </c>
    </row>
    <row r="34" spans="1:45" x14ac:dyDescent="0.2">
      <c r="A34" t="s">
        <v>83</v>
      </c>
      <c r="B34" t="s">
        <v>80</v>
      </c>
      <c r="C34" t="s">
        <v>47</v>
      </c>
      <c r="D34">
        <v>21.6</v>
      </c>
      <c r="E34">
        <v>89.96</v>
      </c>
      <c r="F34">
        <v>6.1754405877582602E-2</v>
      </c>
      <c r="G34">
        <v>39.262605530569623</v>
      </c>
      <c r="H34">
        <v>-4.2704166665107097</v>
      </c>
      <c r="I34">
        <v>-1</v>
      </c>
      <c r="J34">
        <v>-2.729761904616296</v>
      </c>
      <c r="K34">
        <v>-5.8533333331759332</v>
      </c>
      <c r="L34">
        <v>-1</v>
      </c>
      <c r="M34">
        <v>-5.2499999998431486</v>
      </c>
      <c r="N34">
        <v>-1</v>
      </c>
      <c r="O34">
        <v>4.5757008185410504</v>
      </c>
      <c r="P34">
        <v>5.1085138775808198E-2</v>
      </c>
      <c r="Q34">
        <v>9.4887056725936995E-3</v>
      </c>
      <c r="R34">
        <v>0.1053267043721732</v>
      </c>
      <c r="S34">
        <v>6.1754405877582602E-2</v>
      </c>
      <c r="T34">
        <v>-0.74399445609993475</v>
      </c>
      <c r="U34">
        <v>-3.7604166665112642</v>
      </c>
      <c r="V34">
        <v>-1</v>
      </c>
      <c r="W34">
        <v>-2.868138888742819</v>
      </c>
      <c r="X34">
        <v>-5.3433333331764876</v>
      </c>
      <c r="Y34">
        <v>-1</v>
      </c>
      <c r="Z34">
        <v>-4.1883333331775336</v>
      </c>
      <c r="AA34">
        <v>-1</v>
      </c>
      <c r="AB34">
        <v>3.6719259258307719</v>
      </c>
      <c r="AC34">
        <v>0.1053267043721732</v>
      </c>
      <c r="AD34">
        <v>3.4741402806002402</v>
      </c>
      <c r="AE34">
        <v>0</v>
      </c>
      <c r="AF34">
        <v>3.9253147321636019</v>
      </c>
      <c r="AG34">
        <v>0</v>
      </c>
      <c r="AH34">
        <v>0.92188790919729857</v>
      </c>
      <c r="AI34">
        <v>9.3360000000000003</v>
      </c>
      <c r="AJ34">
        <v>9.6760000000000002</v>
      </c>
      <c r="AK34">
        <v>1.3228791660791E-2</v>
      </c>
      <c r="AL34">
        <v>2.90008677413475E-2</v>
      </c>
      <c r="AM34">
        <v>6.8063800000000008</v>
      </c>
      <c r="AN34">
        <v>212.956107024576</v>
      </c>
      <c r="AO34">
        <v>7.6049022853783496E-2</v>
      </c>
      <c r="AP34">
        <v>9.0787321402381604E-2</v>
      </c>
      <c r="AQ34">
        <v>0.1017095325081487</v>
      </c>
      <c r="AR34">
        <v>0.10220819573843019</v>
      </c>
      <c r="AS34">
        <v>0.1119944704083988</v>
      </c>
    </row>
    <row r="35" spans="1:45" x14ac:dyDescent="0.2">
      <c r="A35" t="s">
        <v>84</v>
      </c>
      <c r="B35" t="s">
        <v>85</v>
      </c>
      <c r="C35" t="s">
        <v>47</v>
      </c>
      <c r="D35">
        <v>2.82</v>
      </c>
      <c r="E35">
        <v>30.48</v>
      </c>
      <c r="F35">
        <v>-9.9188295039500992E-3</v>
      </c>
      <c r="G35">
        <v>116.3401538417864</v>
      </c>
      <c r="H35">
        <v>3.7637777779264501</v>
      </c>
      <c r="I35">
        <v>-1</v>
      </c>
      <c r="J35">
        <v>2.622814087442324</v>
      </c>
      <c r="K35">
        <v>-2.348333333179117</v>
      </c>
      <c r="L35">
        <v>-1</v>
      </c>
      <c r="M35">
        <v>8.8133333334774218</v>
      </c>
      <c r="N35">
        <v>-1</v>
      </c>
      <c r="O35">
        <v>3.7881592866484919</v>
      </c>
      <c r="P35">
        <v>0.06</v>
      </c>
      <c r="Q35">
        <v>-1.33026450580363E-2</v>
      </c>
      <c r="R35">
        <v>5.5163892507551996E-3</v>
      </c>
      <c r="S35">
        <v>-9.9188295039500992E-3</v>
      </c>
      <c r="T35">
        <v>87.244163095144216</v>
      </c>
      <c r="U35">
        <v>4.1107222223704909</v>
      </c>
      <c r="V35">
        <v>-1</v>
      </c>
      <c r="W35">
        <v>2.7444024472309292</v>
      </c>
      <c r="X35">
        <v>-1.838333333179671</v>
      </c>
      <c r="Y35">
        <v>-1</v>
      </c>
      <c r="Z35">
        <v>9.2300000001436207</v>
      </c>
      <c r="AA35">
        <v>-1</v>
      </c>
      <c r="AB35">
        <v>3.4404778439983041</v>
      </c>
      <c r="AC35">
        <v>5.5163892507551996E-3</v>
      </c>
      <c r="AD35">
        <v>4.3463533988564986</v>
      </c>
      <c r="AE35">
        <v>0</v>
      </c>
      <c r="AF35">
        <v>4.216232660033608</v>
      </c>
      <c r="AG35">
        <v>0</v>
      </c>
      <c r="AH35">
        <v>1.1536662258598509</v>
      </c>
      <c r="AI35">
        <v>15.736000000000001</v>
      </c>
      <c r="AJ35">
        <v>16.21</v>
      </c>
      <c r="AK35">
        <v>9.6928736579310407E-2</v>
      </c>
      <c r="AL35">
        <v>0.222662655564278</v>
      </c>
      <c r="AM35">
        <v>14.268319999999999</v>
      </c>
      <c r="AN35">
        <v>266.49689817362571</v>
      </c>
      <c r="AO35">
        <v>7.3032889135016904E-2</v>
      </c>
      <c r="AP35">
        <v>6.6597781288704694E-2</v>
      </c>
      <c r="AQ35">
        <v>6.4842693218633105E-2</v>
      </c>
      <c r="AR35">
        <v>8.2081452468541496E-2</v>
      </c>
      <c r="AS35">
        <v>8.0606969323987698E-2</v>
      </c>
    </row>
    <row r="36" spans="1:45" x14ac:dyDescent="0.2">
      <c r="A36" t="s">
        <v>86</v>
      </c>
      <c r="B36" t="s">
        <v>85</v>
      </c>
      <c r="C36" t="s">
        <v>47</v>
      </c>
      <c r="D36">
        <v>28.28</v>
      </c>
      <c r="E36">
        <v>59.88</v>
      </c>
      <c r="F36">
        <v>-5.4984813450376001E-2</v>
      </c>
      <c r="G36">
        <v>-79.356369336700851</v>
      </c>
      <c r="H36">
        <v>8.5376785715729095</v>
      </c>
      <c r="I36">
        <v>-1</v>
      </c>
      <c r="J36">
        <v>5.1375726002896176</v>
      </c>
      <c r="K36">
        <v>-0.63833333318064422</v>
      </c>
      <c r="L36">
        <v>-1</v>
      </c>
      <c r="M36">
        <v>16.95500000013671</v>
      </c>
      <c r="N36">
        <v>-1</v>
      </c>
      <c r="O36">
        <v>6.3919773733175438</v>
      </c>
      <c r="P36">
        <v>9.2819873096744401E-2</v>
      </c>
      <c r="Q36">
        <v>8.7613334708579996E-4</v>
      </c>
      <c r="R36">
        <v>-8.0197161952360096E-2</v>
      </c>
      <c r="S36">
        <v>-5.4984813450376001E-2</v>
      </c>
      <c r="T36">
        <v>-137.43534826276689</v>
      </c>
      <c r="U36">
        <v>9.1451779101965993</v>
      </c>
      <c r="V36">
        <v>-1</v>
      </c>
      <c r="W36">
        <v>5.3666549824990657</v>
      </c>
      <c r="X36">
        <v>-0.12833333318119899</v>
      </c>
      <c r="Y36">
        <v>-1</v>
      </c>
      <c r="Z36">
        <v>18.30666666680202</v>
      </c>
      <c r="AA36">
        <v>-1</v>
      </c>
      <c r="AB36">
        <v>5.5447594798304438</v>
      </c>
      <c r="AC36">
        <v>-8.0197161952360096E-2</v>
      </c>
      <c r="AD36">
        <v>2.2865078899985538</v>
      </c>
      <c r="AE36">
        <v>0</v>
      </c>
      <c r="AF36">
        <v>2.6694414406718181</v>
      </c>
      <c r="AG36">
        <v>0</v>
      </c>
      <c r="AH36">
        <v>-0.15461622825980839</v>
      </c>
      <c r="AI36">
        <v>20.234000000000002</v>
      </c>
      <c r="AJ36">
        <v>20.148</v>
      </c>
      <c r="AK36" s="1">
        <v>5.3295821481218905E-10</v>
      </c>
      <c r="AL36" s="1">
        <v>7.6159292394150735E-5</v>
      </c>
      <c r="AM36">
        <v>21.276420000000002</v>
      </c>
      <c r="AN36">
        <v>-35.71634872801576</v>
      </c>
      <c r="AO36">
        <v>9.3695022488218205E-2</v>
      </c>
      <c r="AP36">
        <v>9.3122676264836196E-2</v>
      </c>
      <c r="AQ36">
        <v>9.8432480571199896E-2</v>
      </c>
      <c r="AR36">
        <v>0.1044889905585429</v>
      </c>
      <c r="AS36">
        <v>0.10936235070509689</v>
      </c>
    </row>
    <row r="37" spans="1:45" x14ac:dyDescent="0.2">
      <c r="A37" t="s">
        <v>87</v>
      </c>
      <c r="B37" t="s">
        <v>85</v>
      </c>
      <c r="C37" t="s">
        <v>47</v>
      </c>
      <c r="D37">
        <v>6.18</v>
      </c>
      <c r="E37">
        <v>30.94</v>
      </c>
      <c r="F37">
        <v>-3.0334671778895001E-2</v>
      </c>
      <c r="G37">
        <v>90.7486877597524</v>
      </c>
      <c r="H37">
        <v>7.9798869049067376</v>
      </c>
      <c r="I37">
        <v>-1</v>
      </c>
      <c r="J37">
        <v>2.8086374654970769</v>
      </c>
      <c r="K37">
        <v>-2.429999999845704</v>
      </c>
      <c r="L37">
        <v>-1</v>
      </c>
      <c r="M37">
        <v>18.518333333468561</v>
      </c>
      <c r="N37">
        <v>-1</v>
      </c>
      <c r="O37">
        <v>5.7093987997498212</v>
      </c>
      <c r="P37">
        <v>7.9767013327143907E-2</v>
      </c>
      <c r="Q37">
        <v>7.9816254894992007E-3</v>
      </c>
      <c r="R37">
        <v>-6.8861566608385993E-2</v>
      </c>
      <c r="S37">
        <v>-3.0334671778895001E-2</v>
      </c>
      <c r="T37">
        <v>74.394348207042299</v>
      </c>
      <c r="U37">
        <v>8.3435211641655762</v>
      </c>
      <c r="V37">
        <v>-1</v>
      </c>
      <c r="W37">
        <v>3.0977151476455642</v>
      </c>
      <c r="X37">
        <v>-1.9199999998462589</v>
      </c>
      <c r="Y37">
        <v>-1</v>
      </c>
      <c r="Z37">
        <v>18.686666666801671</v>
      </c>
      <c r="AA37">
        <v>-1</v>
      </c>
      <c r="AB37">
        <v>3.709958092908157</v>
      </c>
      <c r="AC37">
        <v>-6.8861566608385993E-2</v>
      </c>
      <c r="AD37">
        <v>3.205128896012754</v>
      </c>
      <c r="AE37">
        <v>0</v>
      </c>
      <c r="AF37">
        <v>3.3181143650793619</v>
      </c>
      <c r="AG37">
        <v>0</v>
      </c>
      <c r="AH37">
        <v>0.69446889093274933</v>
      </c>
      <c r="AI37">
        <v>23.638000000000002</v>
      </c>
      <c r="AJ37">
        <v>23.905999999999999</v>
      </c>
      <c r="AK37">
        <v>3.1967921637749599E-2</v>
      </c>
      <c r="AL37">
        <v>0.1248147643806629</v>
      </c>
      <c r="AM37">
        <v>25.1905</v>
      </c>
      <c r="AN37">
        <v>83.336266911929926</v>
      </c>
      <c r="AO37">
        <v>0.11338476552873</v>
      </c>
      <c r="AP37">
        <v>8.8942333212817901E-2</v>
      </c>
      <c r="AQ37">
        <v>9.0936022997431296E-2</v>
      </c>
      <c r="AR37">
        <v>0.10062385929508449</v>
      </c>
      <c r="AS37">
        <v>0.1022918167378559</v>
      </c>
    </row>
    <row r="38" spans="1:45" x14ac:dyDescent="0.2">
      <c r="A38" t="s">
        <v>88</v>
      </c>
      <c r="B38" t="s">
        <v>85</v>
      </c>
      <c r="C38" t="s">
        <v>47</v>
      </c>
      <c r="D38">
        <v>0</v>
      </c>
      <c r="E38">
        <v>1.9</v>
      </c>
      <c r="F38">
        <v>-8.3547973032255696E-2</v>
      </c>
      <c r="G38">
        <v>65.982028985447471</v>
      </c>
      <c r="H38">
        <v>12.10509126998236</v>
      </c>
      <c r="I38">
        <v>-1</v>
      </c>
      <c r="J38">
        <v>7.4352941800290626</v>
      </c>
      <c r="K38">
        <v>4.163333333481642</v>
      </c>
      <c r="L38">
        <v>-1</v>
      </c>
      <c r="M38">
        <v>19.12333333346804</v>
      </c>
      <c r="N38">
        <v>-1</v>
      </c>
      <c r="O38">
        <v>8.7628522961206237</v>
      </c>
      <c r="P38">
        <v>0.1303484154381814</v>
      </c>
      <c r="Q38">
        <v>-7.8482963190103894E-2</v>
      </c>
      <c r="R38">
        <v>-0.1067760746318786</v>
      </c>
      <c r="S38">
        <v>-8.3547973032255807E-2</v>
      </c>
      <c r="T38">
        <v>60.652260175892422</v>
      </c>
      <c r="U38">
        <v>12.76127380966421</v>
      </c>
      <c r="V38">
        <v>-1</v>
      </c>
      <c r="W38">
        <v>7.7780546738534566</v>
      </c>
      <c r="X38">
        <v>4.6733333334810867</v>
      </c>
      <c r="Y38">
        <v>-1</v>
      </c>
      <c r="Z38">
        <v>20.105000000133721</v>
      </c>
      <c r="AA38">
        <v>-1</v>
      </c>
      <c r="AB38">
        <v>7.7870824516254888</v>
      </c>
      <c r="AC38">
        <v>-0.1067760746318786</v>
      </c>
      <c r="AD38">
        <v>2.389098273456034</v>
      </c>
      <c r="AE38">
        <v>0</v>
      </c>
      <c r="AF38">
        <v>2.0636217992489758</v>
      </c>
      <c r="AG38">
        <v>0</v>
      </c>
      <c r="AH38">
        <v>0.71198224738773563</v>
      </c>
      <c r="AI38">
        <v>19.224</v>
      </c>
      <c r="AJ38">
        <v>19.55</v>
      </c>
      <c r="AK38">
        <v>0.80187939161030064</v>
      </c>
      <c r="AL38">
        <v>0.83812598281401496</v>
      </c>
      <c r="AM38">
        <v>23.215879999999999</v>
      </c>
      <c r="AN38">
        <v>73.33417148093676</v>
      </c>
      <c r="AO38">
        <v>0.1174377915224703</v>
      </c>
      <c r="AP38">
        <v>0.1139418980313744</v>
      </c>
      <c r="AQ38">
        <v>0.1224365161576374</v>
      </c>
      <c r="AR38">
        <v>0.1227201595917103</v>
      </c>
      <c r="AS38">
        <v>0.13058678884793201</v>
      </c>
    </row>
    <row r="39" spans="1:45" x14ac:dyDescent="0.2">
      <c r="A39" t="s">
        <v>89</v>
      </c>
      <c r="B39" t="s">
        <v>90</v>
      </c>
      <c r="C39" t="s">
        <v>47</v>
      </c>
      <c r="D39">
        <v>39.92</v>
      </c>
      <c r="E39">
        <v>49.8</v>
      </c>
      <c r="F39">
        <v>0.1631352085909733</v>
      </c>
      <c r="G39">
        <v>-10.30500516790957</v>
      </c>
      <c r="H39">
        <v>-12.019999999839881</v>
      </c>
      <c r="I39">
        <v>-1</v>
      </c>
      <c r="J39">
        <v>-6.4815238093820913</v>
      </c>
      <c r="K39">
        <v>-12.21999999983988</v>
      </c>
      <c r="L39">
        <v>-1</v>
      </c>
      <c r="M39">
        <v>-12.21999999983988</v>
      </c>
      <c r="N39">
        <v>-1</v>
      </c>
      <c r="O39">
        <v>10.99218501322729</v>
      </c>
      <c r="P39">
        <v>0.20958072871962621</v>
      </c>
      <c r="Q39">
        <v>9.6973424310871206E-2</v>
      </c>
      <c r="R39">
        <v>0.2133879619839649</v>
      </c>
      <c r="S39">
        <v>0.1631352085909733</v>
      </c>
      <c r="T39">
        <v>-9.6622102631657647</v>
      </c>
      <c r="U39">
        <v>-12.593333333169911</v>
      </c>
      <c r="V39">
        <v>-1</v>
      </c>
      <c r="W39">
        <v>-9.2880555554041155</v>
      </c>
      <c r="X39">
        <v>-12.593333333169911</v>
      </c>
      <c r="Y39">
        <v>-1</v>
      </c>
      <c r="Z39">
        <v>-12.593333333169911</v>
      </c>
      <c r="AA39">
        <v>-1</v>
      </c>
      <c r="AB39">
        <v>9.2880555554041155</v>
      </c>
      <c r="AC39">
        <v>0.2133879619839649</v>
      </c>
      <c r="AD39">
        <v>0.76525250847391613</v>
      </c>
      <c r="AE39">
        <v>0</v>
      </c>
      <c r="AF39">
        <v>0.76657987289038576</v>
      </c>
      <c r="AG39">
        <v>0</v>
      </c>
      <c r="AH39">
        <v>-2.1746322016986079</v>
      </c>
      <c r="AI39">
        <v>5.62</v>
      </c>
      <c r="AJ39">
        <v>5.98</v>
      </c>
      <c r="AK39" s="1">
        <v>7.0205684173477732E-7</v>
      </c>
      <c r="AL39">
        <v>1.938032335072E-4</v>
      </c>
      <c r="AM39">
        <v>0.2233399999999999</v>
      </c>
      <c r="AN39">
        <v>-502.34003859237851</v>
      </c>
      <c r="AO39">
        <v>0.1346973001730081</v>
      </c>
      <c r="AP39">
        <v>0.18890854965638379</v>
      </c>
      <c r="AQ39">
        <v>0.21662730006877229</v>
      </c>
      <c r="AR39">
        <v>0.18344201093250681</v>
      </c>
      <c r="AS39">
        <v>0.2119295054679059</v>
      </c>
    </row>
    <row r="40" spans="1:45" x14ac:dyDescent="0.2">
      <c r="A40" t="s">
        <v>91</v>
      </c>
      <c r="B40" t="s">
        <v>90</v>
      </c>
      <c r="C40" t="s">
        <v>47</v>
      </c>
      <c r="D40">
        <v>114.46</v>
      </c>
      <c r="E40">
        <v>174.1</v>
      </c>
      <c r="F40">
        <v>3.6806414054960997E-2</v>
      </c>
      <c r="G40">
        <v>-80.910343477489846</v>
      </c>
      <c r="H40">
        <v>-7.5516666665077263</v>
      </c>
      <c r="I40">
        <v>-1</v>
      </c>
      <c r="J40">
        <v>-4.7452883596431654</v>
      </c>
      <c r="K40">
        <v>-7.5516666665077263</v>
      </c>
      <c r="L40">
        <v>-1</v>
      </c>
      <c r="M40">
        <v>-7.5516666665077263</v>
      </c>
      <c r="N40">
        <v>-1</v>
      </c>
      <c r="O40">
        <v>7.2447105944175432</v>
      </c>
      <c r="P40">
        <v>2.4150595475887202E-2</v>
      </c>
      <c r="Q40">
        <v>1.8340029582759699E-2</v>
      </c>
      <c r="R40">
        <v>2.9565180704547101E-2</v>
      </c>
      <c r="S40">
        <v>3.6806414054960997E-2</v>
      </c>
      <c r="T40">
        <v>-183.18662465920599</v>
      </c>
      <c r="U40">
        <v>-7.0416666665082808</v>
      </c>
      <c r="V40">
        <v>-1</v>
      </c>
      <c r="W40">
        <v>-4.9860185183728989</v>
      </c>
      <c r="X40">
        <v>-7.0416666665082808</v>
      </c>
      <c r="Y40">
        <v>-1</v>
      </c>
      <c r="Z40">
        <v>-7.0416666665082808</v>
      </c>
      <c r="AA40">
        <v>-1</v>
      </c>
      <c r="AB40">
        <v>6.0943518517291571</v>
      </c>
      <c r="AC40">
        <v>2.9565180704547001E-2</v>
      </c>
      <c r="AD40">
        <v>1.988564648478558</v>
      </c>
      <c r="AE40">
        <v>0</v>
      </c>
      <c r="AF40">
        <v>1.7799987357981539</v>
      </c>
      <c r="AG40">
        <v>0</v>
      </c>
      <c r="AH40">
        <v>-2.4786315110417552</v>
      </c>
      <c r="AI40">
        <v>5.86</v>
      </c>
      <c r="AJ40">
        <v>5.94</v>
      </c>
      <c r="AK40" s="1">
        <v>4.7590072221875382E-7</v>
      </c>
      <c r="AL40" s="1">
        <v>4.6231898840701591E-6</v>
      </c>
      <c r="AM40">
        <v>0.99412</v>
      </c>
      <c r="AN40">
        <v>-572.56387905064537</v>
      </c>
      <c r="AO40">
        <v>6.8487009794177905E-2</v>
      </c>
      <c r="AP40">
        <v>6.8413360920327002E-2</v>
      </c>
      <c r="AQ40">
        <v>7.3001405947689793E-2</v>
      </c>
      <c r="AR40">
        <v>7.8535242770743696E-2</v>
      </c>
      <c r="AS40">
        <v>8.0243458578739602E-2</v>
      </c>
    </row>
    <row r="41" spans="1:45" x14ac:dyDescent="0.2">
      <c r="A41" t="s">
        <v>92</v>
      </c>
      <c r="B41" t="s">
        <v>93</v>
      </c>
      <c r="C41" t="s">
        <v>47</v>
      </c>
      <c r="D41">
        <v>139.1</v>
      </c>
      <c r="E41">
        <v>151.6</v>
      </c>
      <c r="F41">
        <v>6.0594982377430301E-2</v>
      </c>
      <c r="G41">
        <v>-284579.13461440452</v>
      </c>
      <c r="H41">
        <v>-9.0466666665063755</v>
      </c>
      <c r="I41">
        <v>-1</v>
      </c>
      <c r="J41">
        <v>-6.7582744707512452</v>
      </c>
      <c r="K41">
        <v>-9.8066666665056808</v>
      </c>
      <c r="L41">
        <v>-1</v>
      </c>
      <c r="M41">
        <v>-9.0316666665063892</v>
      </c>
      <c r="N41">
        <v>-1</v>
      </c>
      <c r="O41">
        <v>8.5611659880598339</v>
      </c>
      <c r="P41">
        <v>5.5611563244261997E-3</v>
      </c>
      <c r="Q41">
        <v>3.3445234022618203E-2</v>
      </c>
      <c r="R41">
        <v>6.3833065745419002E-3</v>
      </c>
      <c r="S41">
        <v>6.0594982377430301E-2</v>
      </c>
      <c r="T41">
        <v>-337552.74083894538</v>
      </c>
      <c r="U41">
        <v>-8.7024999998401142</v>
      </c>
      <c r="V41">
        <v>-1</v>
      </c>
      <c r="W41">
        <v>-6.3904166665197568</v>
      </c>
      <c r="X41">
        <v>-9.2966666665062352</v>
      </c>
      <c r="Y41">
        <v>-1</v>
      </c>
      <c r="Z41">
        <v>-8.5516666665069074</v>
      </c>
      <c r="AA41">
        <v>-1</v>
      </c>
      <c r="AB41">
        <v>6.7737499998833766</v>
      </c>
      <c r="AC41">
        <v>6.3833065745419002E-3</v>
      </c>
      <c r="AD41">
        <v>5.0888784566162597</v>
      </c>
      <c r="AE41">
        <v>0</v>
      </c>
      <c r="AF41">
        <v>3.174684076157833</v>
      </c>
      <c r="AG41">
        <v>0</v>
      </c>
      <c r="AH41">
        <v>-2293.872584671431</v>
      </c>
      <c r="AI41">
        <v>7</v>
      </c>
      <c r="AJ41">
        <v>7.0979999999999999</v>
      </c>
      <c r="AK41" s="1">
        <v>2.6989258813225608E-36</v>
      </c>
      <c r="AL41" s="1">
        <v>2.5538451631410318E-32</v>
      </c>
      <c r="AM41">
        <v>2.94964</v>
      </c>
      <c r="AN41">
        <v>-369313.48613210028</v>
      </c>
      <c r="AO41">
        <v>8.0494674524260804E-2</v>
      </c>
      <c r="AP41">
        <v>8.7931092754177306E-2</v>
      </c>
      <c r="AQ41">
        <v>7.5685550587292705E-2</v>
      </c>
      <c r="AR41">
        <v>9.4778495722581693E-2</v>
      </c>
      <c r="AS41">
        <v>8.2553573184004303E-2</v>
      </c>
    </row>
    <row r="42" spans="1:45" x14ac:dyDescent="0.2">
      <c r="A42" t="s">
        <v>94</v>
      </c>
      <c r="B42" t="s">
        <v>93</v>
      </c>
      <c r="C42" t="s">
        <v>47</v>
      </c>
      <c r="D42">
        <v>0</v>
      </c>
      <c r="E42">
        <v>0.02</v>
      </c>
      <c r="F42">
        <v>2.71064823774303E-2</v>
      </c>
      <c r="G42">
        <v>112.1906224591381</v>
      </c>
      <c r="H42">
        <v>-3.797499999844451</v>
      </c>
      <c r="I42">
        <v>-1</v>
      </c>
      <c r="J42">
        <v>-2.7652910051533119</v>
      </c>
      <c r="K42">
        <v>-5.3399999998430578</v>
      </c>
      <c r="L42">
        <v>-1</v>
      </c>
      <c r="M42">
        <v>-4.276666666510673</v>
      </c>
      <c r="N42">
        <v>-1</v>
      </c>
      <c r="O42">
        <v>8.3978728004822116</v>
      </c>
      <c r="P42">
        <v>8.3793630207840905E-2</v>
      </c>
      <c r="Q42">
        <v>1.3597527906672E-3</v>
      </c>
      <c r="R42">
        <v>-2.7105193425457998E-2</v>
      </c>
      <c r="S42">
        <v>2.71064823774303E-2</v>
      </c>
      <c r="T42">
        <v>104.4071779108811</v>
      </c>
      <c r="U42">
        <v>-3.6012499998447232</v>
      </c>
      <c r="V42">
        <v>-1</v>
      </c>
      <c r="W42">
        <v>-2.625097222085869</v>
      </c>
      <c r="X42">
        <v>-4.8299999998436123</v>
      </c>
      <c r="Y42">
        <v>-1</v>
      </c>
      <c r="Z42">
        <v>-3.9649999998443861</v>
      </c>
      <c r="AA42">
        <v>-1</v>
      </c>
      <c r="AB42">
        <v>4.3767638888227536</v>
      </c>
      <c r="AC42">
        <v>-2.7105193425457998E-2</v>
      </c>
      <c r="AD42">
        <v>3.9308098745419038</v>
      </c>
      <c r="AE42">
        <v>0</v>
      </c>
      <c r="AF42">
        <v>4.0756132333188368</v>
      </c>
      <c r="AG42">
        <v>0</v>
      </c>
      <c r="AH42">
        <v>1.186519154672623</v>
      </c>
      <c r="AI42">
        <v>6.6239999999999997</v>
      </c>
      <c r="AJ42">
        <v>6.6340000000000003</v>
      </c>
      <c r="AK42">
        <v>0.92904043190307617</v>
      </c>
      <c r="AL42">
        <v>0.97059554101243217</v>
      </c>
      <c r="AM42">
        <v>3.2153999999999998</v>
      </c>
      <c r="AN42">
        <v>191.02958390229239</v>
      </c>
      <c r="AO42">
        <v>7.1832698862517599E-2</v>
      </c>
      <c r="AP42">
        <v>6.9245119470621105E-2</v>
      </c>
      <c r="AQ42">
        <v>6.29679195541646E-2</v>
      </c>
      <c r="AR42">
        <v>7.7755853470927103E-2</v>
      </c>
      <c r="AS42">
        <v>7.1075655260608495E-2</v>
      </c>
    </row>
    <row r="43" spans="1:45" x14ac:dyDescent="0.2">
      <c r="A43" t="s">
        <v>95</v>
      </c>
      <c r="B43" t="s">
        <v>93</v>
      </c>
      <c r="C43" t="s">
        <v>47</v>
      </c>
      <c r="D43">
        <v>0</v>
      </c>
      <c r="E43">
        <v>5.84</v>
      </c>
      <c r="F43">
        <v>2.6749688113494399E-2</v>
      </c>
      <c r="G43">
        <v>119.12289904563239</v>
      </c>
      <c r="H43">
        <v>-4.7177777776214151</v>
      </c>
      <c r="I43">
        <v>-1</v>
      </c>
      <c r="J43">
        <v>-2.439027777639946</v>
      </c>
      <c r="K43">
        <v>-5.6166666665094906</v>
      </c>
      <c r="L43">
        <v>-1</v>
      </c>
      <c r="M43">
        <v>-4.6816666665103277</v>
      </c>
      <c r="N43">
        <v>-1</v>
      </c>
      <c r="O43">
        <v>7.7047967196342366</v>
      </c>
      <c r="P43">
        <v>8.2432520868839898E-2</v>
      </c>
      <c r="Q43">
        <v>-1.2376938451368299E-2</v>
      </c>
      <c r="R43">
        <v>-1.1779667195431999E-2</v>
      </c>
      <c r="S43">
        <v>2.6749688113494499E-2</v>
      </c>
      <c r="T43">
        <v>114.38186092974721</v>
      </c>
      <c r="U43">
        <v>-4.431944444288435</v>
      </c>
      <c r="V43">
        <v>-1</v>
      </c>
      <c r="W43">
        <v>-2.3087499998634629</v>
      </c>
      <c r="X43">
        <v>-5.106666666510046</v>
      </c>
      <c r="Y43">
        <v>-1</v>
      </c>
      <c r="Z43">
        <v>-4.5183333331772424</v>
      </c>
      <c r="AA43">
        <v>-1</v>
      </c>
      <c r="AB43">
        <v>3.9859722221607701</v>
      </c>
      <c r="AC43">
        <v>-1.17796671954321E-2</v>
      </c>
      <c r="AD43">
        <v>3.7173804792546772</v>
      </c>
      <c r="AE43">
        <v>0</v>
      </c>
      <c r="AF43">
        <v>3.9850715394803462</v>
      </c>
      <c r="AG43">
        <v>0</v>
      </c>
      <c r="AH43">
        <v>1.115816076999365</v>
      </c>
      <c r="AI43">
        <v>6.41</v>
      </c>
      <c r="AJ43">
        <v>6.4660000000000002</v>
      </c>
      <c r="AK43">
        <v>0.73469508122249072</v>
      </c>
      <c r="AL43">
        <v>0.73469508122249072</v>
      </c>
      <c r="AM43">
        <v>1.5832599999999999</v>
      </c>
      <c r="AN43">
        <v>179.64638839689769</v>
      </c>
      <c r="AO43">
        <v>7.3392659289429701E-2</v>
      </c>
      <c r="AP43">
        <v>6.0986399106566301E-2</v>
      </c>
      <c r="AQ43">
        <v>6.1297941392588602E-2</v>
      </c>
      <c r="AR43">
        <v>6.6620159883708494E-2</v>
      </c>
      <c r="AS43">
        <v>6.6279752694526406E-2</v>
      </c>
    </row>
    <row r="44" spans="1:45" x14ac:dyDescent="0.2">
      <c r="A44" t="s">
        <v>96</v>
      </c>
      <c r="B44" t="s">
        <v>93</v>
      </c>
      <c r="C44" t="s">
        <v>47</v>
      </c>
      <c r="D44">
        <v>0</v>
      </c>
      <c r="E44">
        <v>8.36</v>
      </c>
      <c r="F44">
        <v>1.9299688113494501E-2</v>
      </c>
      <c r="G44">
        <v>120.1192213225046</v>
      </c>
      <c r="H44">
        <v>-3.7440277776222528</v>
      </c>
      <c r="I44">
        <v>-1</v>
      </c>
      <c r="J44">
        <v>-1.7183009257901301</v>
      </c>
      <c r="K44">
        <v>-4.8133333331768249</v>
      </c>
      <c r="L44">
        <v>-1</v>
      </c>
      <c r="M44">
        <v>-4.1349999998441129</v>
      </c>
      <c r="N44">
        <v>-1</v>
      </c>
      <c r="O44">
        <v>7.8952940639379134</v>
      </c>
      <c r="P44">
        <v>8.2432520868839898E-2</v>
      </c>
      <c r="Q44">
        <v>-1.9826938451368199E-2</v>
      </c>
      <c r="R44">
        <v>-1.9229667195431999E-2</v>
      </c>
      <c r="S44">
        <v>1.9299688113494501E-2</v>
      </c>
      <c r="T44">
        <v>115.5940455852994</v>
      </c>
      <c r="U44">
        <v>-3.3301388887338321</v>
      </c>
      <c r="V44">
        <v>-1</v>
      </c>
      <c r="W44">
        <v>-1.5282407406063301</v>
      </c>
      <c r="X44">
        <v>-4.3033333331773793</v>
      </c>
      <c r="Y44">
        <v>-1</v>
      </c>
      <c r="Z44">
        <v>-3.5466666665114102</v>
      </c>
      <c r="AA44">
        <v>-1</v>
      </c>
      <c r="AB44">
        <v>3.6113888888492909</v>
      </c>
      <c r="AC44">
        <v>-1.9229667195431999E-2</v>
      </c>
      <c r="AD44">
        <v>3.7731494711401261</v>
      </c>
      <c r="AE44">
        <v>0</v>
      </c>
      <c r="AF44">
        <v>4.0008096147994561</v>
      </c>
      <c r="AG44">
        <v>0</v>
      </c>
      <c r="AH44">
        <v>1.08297271575492</v>
      </c>
      <c r="AI44">
        <v>6.39</v>
      </c>
      <c r="AJ44">
        <v>6.4480000000000004</v>
      </c>
      <c r="AK44">
        <v>0.68218506542113355</v>
      </c>
      <c r="AL44">
        <v>0.68677959574218006</v>
      </c>
      <c r="AM44">
        <v>1.5832599999999999</v>
      </c>
      <c r="AN44">
        <v>174.3586072365421</v>
      </c>
      <c r="AO44">
        <v>7.50093415549003E-2</v>
      </c>
      <c r="AP44">
        <v>5.8105705598455001E-2</v>
      </c>
      <c r="AQ44">
        <v>5.9151021781088498E-2</v>
      </c>
      <c r="AR44">
        <v>6.3993576631094895E-2</v>
      </c>
      <c r="AS44">
        <v>6.4299388613152098E-2</v>
      </c>
    </row>
    <row r="45" spans="1:45" x14ac:dyDescent="0.2">
      <c r="A45" t="s">
        <v>97</v>
      </c>
      <c r="B45" t="s">
        <v>93</v>
      </c>
      <c r="C45" t="s">
        <v>47</v>
      </c>
      <c r="D45">
        <v>0</v>
      </c>
      <c r="E45">
        <v>0.06</v>
      </c>
      <c r="F45">
        <v>2.1807336093041401E-2</v>
      </c>
      <c r="G45">
        <v>127.819372343137</v>
      </c>
      <c r="H45">
        <v>-4.2388888887329177</v>
      </c>
      <c r="I45">
        <v>-1</v>
      </c>
      <c r="J45">
        <v>-2.2543313490686381</v>
      </c>
      <c r="K45">
        <v>-5.0983333331765879</v>
      </c>
      <c r="L45">
        <v>-1</v>
      </c>
      <c r="M45">
        <v>-4.4366666665105194</v>
      </c>
      <c r="N45">
        <v>-1</v>
      </c>
      <c r="O45">
        <v>7.5798874557906846</v>
      </c>
      <c r="P45">
        <v>7.1457481980134005E-2</v>
      </c>
      <c r="Q45">
        <v>-1.5842268151573999E-3</v>
      </c>
      <c r="R45">
        <v>-1.7565796570787801E-2</v>
      </c>
      <c r="S45">
        <v>2.1807336093041502E-2</v>
      </c>
      <c r="T45">
        <v>118.2209197956515</v>
      </c>
      <c r="U45">
        <v>-4.008888888733221</v>
      </c>
      <c r="V45">
        <v>-1</v>
      </c>
      <c r="W45">
        <v>-2.0812493384880049</v>
      </c>
      <c r="X45">
        <v>-4.5883333331771432</v>
      </c>
      <c r="Y45">
        <v>-1</v>
      </c>
      <c r="Z45">
        <v>-4.2399999998441311</v>
      </c>
      <c r="AA45">
        <v>-1</v>
      </c>
      <c r="AB45">
        <v>4.1715271163557937</v>
      </c>
      <c r="AC45">
        <v>-1.7565796570787901E-2</v>
      </c>
      <c r="AD45">
        <v>4.3959982613013313</v>
      </c>
      <c r="AE45">
        <v>0</v>
      </c>
      <c r="AF45">
        <v>4.6618844639131858</v>
      </c>
      <c r="AG45">
        <v>0</v>
      </c>
      <c r="AH45">
        <v>1.4051914512129049</v>
      </c>
      <c r="AI45">
        <v>6.4520000000000008</v>
      </c>
      <c r="AJ45">
        <v>6.5060000000000002</v>
      </c>
      <c r="AK45">
        <v>0.95421842163095683</v>
      </c>
      <c r="AL45">
        <v>0.96026337944761497</v>
      </c>
      <c r="AM45">
        <v>2.0021800000000001</v>
      </c>
      <c r="AN45">
        <v>220.61505784042609</v>
      </c>
      <c r="AO45">
        <v>5.5894377450358398E-2</v>
      </c>
      <c r="AP45">
        <v>5.7466087248582397E-2</v>
      </c>
      <c r="AQ45">
        <v>5.7246554833985802E-2</v>
      </c>
      <c r="AR45">
        <v>6.6507689831950198E-2</v>
      </c>
      <c r="AS45">
        <v>6.5149963370434494E-2</v>
      </c>
    </row>
    <row r="46" spans="1:45" x14ac:dyDescent="0.2">
      <c r="A46" t="s">
        <v>98</v>
      </c>
      <c r="B46" t="s">
        <v>93</v>
      </c>
      <c r="C46" t="s">
        <v>47</v>
      </c>
      <c r="D46">
        <v>0</v>
      </c>
      <c r="E46">
        <v>0</v>
      </c>
      <c r="F46">
        <v>2.4510498854068401E-2</v>
      </c>
      <c r="G46">
        <v>108.4082172377727</v>
      </c>
      <c r="H46">
        <v>-4.5229166665104641</v>
      </c>
      <c r="I46">
        <v>-1</v>
      </c>
      <c r="J46">
        <v>-2.7689642855737371</v>
      </c>
      <c r="K46">
        <v>-5.6766666665094094</v>
      </c>
      <c r="L46">
        <v>-1</v>
      </c>
      <c r="M46">
        <v>-4.6466666665103453</v>
      </c>
      <c r="N46">
        <v>-1</v>
      </c>
      <c r="O46">
        <v>7.2060038243553537</v>
      </c>
      <c r="P46">
        <v>0.10123352621995441</v>
      </c>
      <c r="Q46">
        <v>-6.2150193983439997E-4</v>
      </c>
      <c r="R46">
        <v>-1.4012992486712301E-2</v>
      </c>
      <c r="S46">
        <v>2.4510498854068499E-2</v>
      </c>
      <c r="T46">
        <v>103.51605662928129</v>
      </c>
      <c r="U46">
        <v>-4.1883333331775248</v>
      </c>
      <c r="V46">
        <v>-1</v>
      </c>
      <c r="W46">
        <v>-2.5720343913952481</v>
      </c>
      <c r="X46">
        <v>-5.1666666665099639</v>
      </c>
      <c r="Y46">
        <v>-1</v>
      </c>
      <c r="Z46">
        <v>-4.2849999998441044</v>
      </c>
      <c r="AA46">
        <v>-1</v>
      </c>
      <c r="AB46">
        <v>4.3187010581235139</v>
      </c>
      <c r="AC46">
        <v>-1.4012992486712301E-2</v>
      </c>
      <c r="AD46">
        <v>3.340468416468203</v>
      </c>
      <c r="AE46">
        <v>0</v>
      </c>
      <c r="AF46">
        <v>3.4615447535429351</v>
      </c>
      <c r="AG46">
        <v>0</v>
      </c>
      <c r="AH46">
        <v>1.1733918427299559</v>
      </c>
      <c r="AI46">
        <v>6.8739999999999997</v>
      </c>
      <c r="AJ46">
        <v>6.95</v>
      </c>
      <c r="AK46">
        <v>0.99034568039956805</v>
      </c>
      <c r="AL46">
        <v>0.99034568039956805</v>
      </c>
      <c r="AM46">
        <v>1.9985200000000001</v>
      </c>
      <c r="AN46">
        <v>188.91608667952289</v>
      </c>
      <c r="AO46">
        <v>5.9054743753259802E-2</v>
      </c>
      <c r="AP46">
        <v>5.8964834985313998E-2</v>
      </c>
      <c r="AQ46">
        <v>5.8514582132816503E-2</v>
      </c>
      <c r="AR46">
        <v>6.78022648148464E-2</v>
      </c>
      <c r="AS46">
        <v>6.6361213929703206E-2</v>
      </c>
    </row>
    <row r="47" spans="1:45" x14ac:dyDescent="0.2">
      <c r="A47" t="s">
        <v>99</v>
      </c>
      <c r="B47" t="s">
        <v>93</v>
      </c>
      <c r="C47" t="s">
        <v>47</v>
      </c>
      <c r="D47">
        <v>0</v>
      </c>
      <c r="E47">
        <v>0</v>
      </c>
      <c r="F47">
        <v>1.92437899951809E-2</v>
      </c>
      <c r="G47">
        <v>122.1868584748355</v>
      </c>
      <c r="H47">
        <v>-3.9308333331776919</v>
      </c>
      <c r="I47">
        <v>-1</v>
      </c>
      <c r="J47">
        <v>-2.1018637564757241</v>
      </c>
      <c r="K47">
        <v>-5.1999999998432118</v>
      </c>
      <c r="L47">
        <v>-1</v>
      </c>
      <c r="M47">
        <v>-4.1849999998441314</v>
      </c>
      <c r="N47">
        <v>-1</v>
      </c>
      <c r="O47">
        <v>7.6126160742165112</v>
      </c>
      <c r="P47">
        <v>8.1101030921612305E-2</v>
      </c>
      <c r="Q47">
        <v>-3.0053045110590999E-3</v>
      </c>
      <c r="R47">
        <v>-1.9293102766183599E-2</v>
      </c>
      <c r="S47">
        <v>1.9243789995181001E-2</v>
      </c>
      <c r="T47">
        <v>114.59870553491029</v>
      </c>
      <c r="U47">
        <v>-3.7008333331779948</v>
      </c>
      <c r="V47">
        <v>-1</v>
      </c>
      <c r="W47">
        <v>-1.925810185048529</v>
      </c>
      <c r="X47">
        <v>-4.6899999998437671</v>
      </c>
      <c r="Y47">
        <v>-1</v>
      </c>
      <c r="Z47">
        <v>-3.9716666665110818</v>
      </c>
      <c r="AA47">
        <v>-1</v>
      </c>
      <c r="AB47">
        <v>3.9827546295839582</v>
      </c>
      <c r="AC47">
        <v>-1.9293102766183699E-2</v>
      </c>
      <c r="AD47">
        <v>4.0196943767666244</v>
      </c>
      <c r="AE47">
        <v>0</v>
      </c>
      <c r="AF47">
        <v>4.2260765108271103</v>
      </c>
      <c r="AG47">
        <v>0</v>
      </c>
      <c r="AH47">
        <v>1.3255680430527681</v>
      </c>
      <c r="AI47">
        <v>6.5920000000000014</v>
      </c>
      <c r="AJ47">
        <v>6.6459999999999999</v>
      </c>
      <c r="AK47">
        <v>0.98230409957123521</v>
      </c>
      <c r="AL47">
        <v>0.98230409957123521</v>
      </c>
      <c r="AM47">
        <v>1.9488000000000001</v>
      </c>
      <c r="AN47">
        <v>213.41645493149559</v>
      </c>
      <c r="AO47">
        <v>5.7023606645897798E-2</v>
      </c>
      <c r="AP47">
        <v>5.6992210951399398E-2</v>
      </c>
      <c r="AQ47">
        <v>5.7179370250623099E-2</v>
      </c>
      <c r="AR47">
        <v>6.60937794781708E-2</v>
      </c>
      <c r="AS47">
        <v>6.5186395881696502E-2</v>
      </c>
    </row>
    <row r="48" spans="1:45" x14ac:dyDescent="0.2">
      <c r="A48" t="s">
        <v>100</v>
      </c>
      <c r="B48" t="s">
        <v>101</v>
      </c>
      <c r="C48" t="s">
        <v>47</v>
      </c>
      <c r="D48">
        <v>196.74</v>
      </c>
      <c r="E48">
        <v>216</v>
      </c>
      <c r="F48">
        <v>0.18613354571426169</v>
      </c>
      <c r="G48">
        <v>-2886.648303599984</v>
      </c>
      <c r="H48">
        <v>-12.43833333317572</v>
      </c>
      <c r="I48">
        <v>-1</v>
      </c>
      <c r="J48">
        <v>-5.7215634919248384</v>
      </c>
      <c r="K48">
        <v>-12.83833333317572</v>
      </c>
      <c r="L48">
        <v>-1</v>
      </c>
      <c r="M48">
        <v>-12.83833333317572</v>
      </c>
      <c r="N48">
        <v>-1</v>
      </c>
      <c r="O48">
        <v>11.60004300425293</v>
      </c>
      <c r="P48">
        <v>3.53614530592401E-2</v>
      </c>
      <c r="Q48">
        <v>1.0828341608651001E-3</v>
      </c>
      <c r="R48">
        <v>0.29874067470937771</v>
      </c>
      <c r="S48">
        <v>0.18613354571426169</v>
      </c>
      <c r="T48">
        <v>-2774.8502906217082</v>
      </c>
      <c r="U48">
        <v>-14.08166666650197</v>
      </c>
      <c r="V48">
        <v>-1</v>
      </c>
      <c r="W48">
        <v>-9.6524999998477856</v>
      </c>
      <c r="X48">
        <v>-14.08166666650197</v>
      </c>
      <c r="Y48">
        <v>-1</v>
      </c>
      <c r="Z48">
        <v>-14.08166666650197</v>
      </c>
      <c r="AA48">
        <v>-1</v>
      </c>
      <c r="AB48">
        <v>9.6524999998477856</v>
      </c>
      <c r="AC48">
        <v>0.29874067470937771</v>
      </c>
      <c r="AD48" s="1">
        <v>3.2116221631821282E-16</v>
      </c>
      <c r="AE48">
        <v>0</v>
      </c>
      <c r="AF48">
        <v>7.0079322871960002E-4</v>
      </c>
      <c r="AG48">
        <v>0</v>
      </c>
      <c r="AH48">
        <v>-18.766620036794901</v>
      </c>
      <c r="AI48">
        <v>5.52</v>
      </c>
      <c r="AJ48">
        <v>6</v>
      </c>
      <c r="AK48" s="1">
        <v>3.2125280484969351E-21</v>
      </c>
      <c r="AL48" s="1">
        <v>9.0677756060489871E-21</v>
      </c>
      <c r="AM48">
        <v>0.53273999999999999</v>
      </c>
      <c r="AN48">
        <v>-4335.0892284996216</v>
      </c>
      <c r="AO48">
        <v>0.19797147065671991</v>
      </c>
      <c r="AP48">
        <v>0.2502316725460067</v>
      </c>
      <c r="AQ48">
        <v>0.28295735354706048</v>
      </c>
      <c r="AR48">
        <v>0.24570803754200471</v>
      </c>
      <c r="AS48">
        <v>0.27904373255259279</v>
      </c>
    </row>
    <row r="49" spans="1:45" x14ac:dyDescent="0.2">
      <c r="A49" t="s">
        <v>102</v>
      </c>
      <c r="B49" t="s">
        <v>101</v>
      </c>
      <c r="C49" t="s">
        <v>47</v>
      </c>
      <c r="D49">
        <v>86.34</v>
      </c>
      <c r="E49">
        <v>160.36000000000001</v>
      </c>
      <c r="F49">
        <v>6.13859697863543E-2</v>
      </c>
      <c r="G49">
        <v>-242.13432803359331</v>
      </c>
      <c r="H49">
        <v>-10.44666666650512</v>
      </c>
      <c r="I49">
        <v>-1</v>
      </c>
      <c r="J49">
        <v>-7.1987619046130327</v>
      </c>
      <c r="K49">
        <v>-10.514999999838389</v>
      </c>
      <c r="L49">
        <v>-1</v>
      </c>
      <c r="M49">
        <v>-10.514999999838389</v>
      </c>
      <c r="N49">
        <v>-1</v>
      </c>
      <c r="O49">
        <v>8.7389739720437198</v>
      </c>
      <c r="P49">
        <v>3.1115775293909801E-2</v>
      </c>
      <c r="Q49">
        <v>2.2455260318158001E-2</v>
      </c>
      <c r="R49">
        <v>2.68939947536131E-2</v>
      </c>
      <c r="S49">
        <v>6.13859697863543E-2</v>
      </c>
      <c r="T49">
        <v>-153.86933007248081</v>
      </c>
      <c r="U49">
        <v>-9.9366666665056762</v>
      </c>
      <c r="V49">
        <v>-1</v>
      </c>
      <c r="W49">
        <v>-7.2649537035536351</v>
      </c>
      <c r="X49">
        <v>-10.004999999838949</v>
      </c>
      <c r="Y49">
        <v>-1</v>
      </c>
      <c r="Z49">
        <v>-10.004999999838949</v>
      </c>
      <c r="AA49">
        <v>-1</v>
      </c>
      <c r="AB49">
        <v>7.2649537035536351</v>
      </c>
      <c r="AC49">
        <v>2.68939947536131E-2</v>
      </c>
      <c r="AD49">
        <v>0.15595256046243819</v>
      </c>
      <c r="AE49">
        <v>0</v>
      </c>
      <c r="AF49">
        <v>0.53125625213208805</v>
      </c>
      <c r="AG49">
        <v>0</v>
      </c>
      <c r="AH49">
        <v>-0.54670326056583396</v>
      </c>
      <c r="AI49">
        <v>6.1679999999999993</v>
      </c>
      <c r="AJ49">
        <v>6.5479999999999992</v>
      </c>
      <c r="AK49">
        <v>4.1072341357439998E-4</v>
      </c>
      <c r="AL49">
        <v>5.3918216280589998E-4</v>
      </c>
      <c r="AM49">
        <v>1.5378000000000001</v>
      </c>
      <c r="AN49">
        <v>-126.2884531907076</v>
      </c>
      <c r="AO49">
        <v>6.7174166110389802E-2</v>
      </c>
      <c r="AP49">
        <v>8.6028789131763206E-2</v>
      </c>
      <c r="AQ49">
        <v>8.5943455953498601E-2</v>
      </c>
      <c r="AR49">
        <v>7.7893898596469405E-2</v>
      </c>
      <c r="AS49">
        <v>7.8043685792320794E-2</v>
      </c>
    </row>
    <row r="50" spans="1:45" x14ac:dyDescent="0.2">
      <c r="A50" t="s">
        <v>103</v>
      </c>
      <c r="B50" t="s">
        <v>101</v>
      </c>
      <c r="C50" t="s">
        <v>47</v>
      </c>
      <c r="D50">
        <v>0.98</v>
      </c>
      <c r="E50">
        <v>9.1</v>
      </c>
      <c r="F50">
        <v>7.3618306021697999E-3</v>
      </c>
      <c r="G50">
        <v>165.82893025163401</v>
      </c>
      <c r="H50">
        <v>1.174305555706556</v>
      </c>
      <c r="I50">
        <v>-1</v>
      </c>
      <c r="J50">
        <v>-3.94490739309264E-2</v>
      </c>
      <c r="K50">
        <v>-1.368333333180026</v>
      </c>
      <c r="L50">
        <v>-1</v>
      </c>
      <c r="M50">
        <v>2.4650000001498209</v>
      </c>
      <c r="N50">
        <v>-1</v>
      </c>
      <c r="O50">
        <v>2.8087723144636598</v>
      </c>
      <c r="P50">
        <v>4.8905779894958999E-2</v>
      </c>
      <c r="Q50">
        <v>3.9673402124048998E-3</v>
      </c>
      <c r="R50">
        <v>4.3853933060688001E-3</v>
      </c>
      <c r="S50">
        <v>7.3618306021697999E-3</v>
      </c>
      <c r="T50">
        <v>89.85480022934648</v>
      </c>
      <c r="U50">
        <v>1.4344444445951181</v>
      </c>
      <c r="V50">
        <v>-1</v>
      </c>
      <c r="W50">
        <v>0.35831944458663773</v>
      </c>
      <c r="X50">
        <v>-0.85833333318058069</v>
      </c>
      <c r="Y50">
        <v>-1</v>
      </c>
      <c r="Z50">
        <v>1.891666666816928</v>
      </c>
      <c r="AA50">
        <v>-1</v>
      </c>
      <c r="AB50">
        <v>2.5695138888970832</v>
      </c>
      <c r="AC50">
        <v>4.3853933060688001E-3</v>
      </c>
      <c r="AD50">
        <v>7.2103599395969251</v>
      </c>
      <c r="AE50">
        <v>0</v>
      </c>
      <c r="AF50">
        <v>8.3024754170703421</v>
      </c>
      <c r="AG50">
        <v>0</v>
      </c>
      <c r="AH50">
        <v>1.78340782264648</v>
      </c>
      <c r="AI50">
        <v>9.5</v>
      </c>
      <c r="AJ50">
        <v>9.734</v>
      </c>
      <c r="AK50">
        <v>0.28937461656894381</v>
      </c>
      <c r="AL50">
        <v>0.49289485790824472</v>
      </c>
      <c r="AM50">
        <v>3.5542199999999999</v>
      </c>
      <c r="AN50">
        <v>411.96720703133701</v>
      </c>
      <c r="AO50">
        <v>3.8632450173232698E-2</v>
      </c>
      <c r="AP50">
        <v>3.8229529039654701E-2</v>
      </c>
      <c r="AQ50">
        <v>3.7023785897865098E-2</v>
      </c>
      <c r="AR50">
        <v>5.7388768682094402E-2</v>
      </c>
      <c r="AS50">
        <v>5.6779395957633198E-2</v>
      </c>
    </row>
    <row r="51" spans="1:45" x14ac:dyDescent="0.2">
      <c r="A51" t="s">
        <v>104</v>
      </c>
      <c r="B51" t="s">
        <v>105</v>
      </c>
      <c r="C51" t="s">
        <v>47</v>
      </c>
      <c r="D51">
        <v>1.96</v>
      </c>
      <c r="E51">
        <v>17.2</v>
      </c>
      <c r="F51">
        <v>6.6837680960692997E-3</v>
      </c>
      <c r="G51">
        <v>147.09060332629409</v>
      </c>
      <c r="H51">
        <v>1.6341666668172641</v>
      </c>
      <c r="I51">
        <v>-1</v>
      </c>
      <c r="J51">
        <v>1.157399471032684</v>
      </c>
      <c r="K51">
        <v>1.623333333483943</v>
      </c>
      <c r="L51">
        <v>-1</v>
      </c>
      <c r="M51">
        <v>1.6450000001505849</v>
      </c>
      <c r="N51">
        <v>-1</v>
      </c>
      <c r="O51">
        <v>6.6907119273635658</v>
      </c>
      <c r="P51">
        <v>5.5211843554084997E-2</v>
      </c>
      <c r="Q51">
        <v>1.29151053680294E-2</v>
      </c>
      <c r="R51">
        <v>-6.1226793417061996E-3</v>
      </c>
      <c r="S51">
        <v>6.6837680960692997E-3</v>
      </c>
      <c r="T51">
        <v>141.98150306567811</v>
      </c>
      <c r="U51">
        <v>2.1441666668167092</v>
      </c>
      <c r="V51">
        <v>-1</v>
      </c>
      <c r="W51">
        <v>1.162129629762531</v>
      </c>
      <c r="X51">
        <v>2.1333333334833879</v>
      </c>
      <c r="Y51">
        <v>-1</v>
      </c>
      <c r="Z51">
        <v>2.1333333334833879</v>
      </c>
      <c r="AA51">
        <v>-1</v>
      </c>
      <c r="AB51">
        <v>4.1207407407513941</v>
      </c>
      <c r="AC51">
        <v>-6.1226793417061996E-3</v>
      </c>
      <c r="AD51">
        <v>6.5041288951705463</v>
      </c>
      <c r="AE51">
        <v>0</v>
      </c>
      <c r="AF51">
        <v>6.6615405424870504</v>
      </c>
      <c r="AG51">
        <v>0</v>
      </c>
      <c r="AH51">
        <v>1.461021365299255</v>
      </c>
      <c r="AI51">
        <v>5.7639999999999993</v>
      </c>
      <c r="AJ51">
        <v>5.8239999999999998</v>
      </c>
      <c r="AK51">
        <v>0.45394515146084441</v>
      </c>
      <c r="AL51">
        <v>0.56248485852215147</v>
      </c>
      <c r="AM51">
        <v>1.5384599999999999</v>
      </c>
      <c r="AN51">
        <v>206.00401250719489</v>
      </c>
      <c r="AO51">
        <v>5.5685140848139698E-2</v>
      </c>
      <c r="AP51">
        <v>4.7694012139476098E-2</v>
      </c>
      <c r="AQ51">
        <v>4.21465572063753E-2</v>
      </c>
      <c r="AR51">
        <v>5.1347413468163197E-2</v>
      </c>
      <c r="AS51">
        <v>4.1203341342571698E-2</v>
      </c>
    </row>
    <row r="52" spans="1:45" x14ac:dyDescent="0.2">
      <c r="A52" t="s">
        <v>106</v>
      </c>
      <c r="B52" t="s">
        <v>105</v>
      </c>
      <c r="C52" t="s">
        <v>47</v>
      </c>
      <c r="D52">
        <v>0.4</v>
      </c>
      <c r="E52">
        <v>8.92</v>
      </c>
      <c r="F52">
        <v>-1.14230371467043E-2</v>
      </c>
      <c r="G52">
        <v>142.12455476427249</v>
      </c>
      <c r="H52">
        <v>3.2800000001490748</v>
      </c>
      <c r="I52">
        <v>-1</v>
      </c>
      <c r="J52">
        <v>3.2139880953742459</v>
      </c>
      <c r="K52">
        <v>3.2800000001490748</v>
      </c>
      <c r="L52">
        <v>-1</v>
      </c>
      <c r="M52">
        <v>3.2800000001490748</v>
      </c>
      <c r="N52">
        <v>-1</v>
      </c>
      <c r="O52">
        <v>5.3223851568370186</v>
      </c>
      <c r="P52">
        <v>4.7729645021716199E-2</v>
      </c>
      <c r="Q52">
        <v>-8.4944781062414997E-3</v>
      </c>
      <c r="R52">
        <v>1.15163939117986E-2</v>
      </c>
      <c r="S52">
        <v>-1.14230371467043E-2</v>
      </c>
      <c r="T52">
        <v>136.7373910211204</v>
      </c>
      <c r="U52">
        <v>3.7900000001485199</v>
      </c>
      <c r="V52">
        <v>-1</v>
      </c>
      <c r="W52">
        <v>3.135138889025221</v>
      </c>
      <c r="X52">
        <v>3.7900000001485199</v>
      </c>
      <c r="Y52">
        <v>-1</v>
      </c>
      <c r="Z52">
        <v>3.7900000001485199</v>
      </c>
      <c r="AA52">
        <v>-1</v>
      </c>
      <c r="AB52">
        <v>3.9790277778215271</v>
      </c>
      <c r="AC52">
        <v>1.15163939117986E-2</v>
      </c>
      <c r="AD52">
        <v>5.8866486259110742</v>
      </c>
      <c r="AE52">
        <v>0</v>
      </c>
      <c r="AF52">
        <v>5.5778329636832664</v>
      </c>
      <c r="AG52">
        <v>0</v>
      </c>
      <c r="AH52">
        <v>1.589387841151805</v>
      </c>
      <c r="AI52">
        <v>5.8</v>
      </c>
      <c r="AJ52">
        <v>5.88</v>
      </c>
      <c r="AK52">
        <v>0.59408991411882661</v>
      </c>
      <c r="AL52">
        <v>0.62437938363590695</v>
      </c>
      <c r="AM52">
        <v>1.1518999999999999</v>
      </c>
      <c r="AN52">
        <v>224.10368560240451</v>
      </c>
      <c r="AO52">
        <v>4.8076839103850799E-2</v>
      </c>
      <c r="AP52">
        <v>4.9234100781828903E-2</v>
      </c>
      <c r="AQ52">
        <v>4.7182451029621701E-2</v>
      </c>
      <c r="AR52">
        <v>5.1807221497131399E-2</v>
      </c>
      <c r="AS52">
        <v>4.5926642206276298E-2</v>
      </c>
    </row>
    <row r="53" spans="1:45" x14ac:dyDescent="0.2">
      <c r="A53" t="s">
        <v>107</v>
      </c>
      <c r="B53" t="s">
        <v>105</v>
      </c>
      <c r="C53" t="s">
        <v>47</v>
      </c>
      <c r="D53">
        <v>2.14</v>
      </c>
      <c r="E53">
        <v>20.66</v>
      </c>
      <c r="F53">
        <v>8.3340434120675998E-3</v>
      </c>
      <c r="G53">
        <v>145.00588940774441</v>
      </c>
      <c r="H53">
        <v>1.801666666817145</v>
      </c>
      <c r="I53">
        <v>-1</v>
      </c>
      <c r="J53">
        <v>1.1998214287055931</v>
      </c>
      <c r="K53">
        <v>1.801666666817145</v>
      </c>
      <c r="L53">
        <v>-1</v>
      </c>
      <c r="M53">
        <v>1.801666666817145</v>
      </c>
      <c r="N53">
        <v>-1</v>
      </c>
      <c r="O53">
        <v>6.7608394820747826</v>
      </c>
      <c r="P53">
        <v>5.6685811854952597E-2</v>
      </c>
      <c r="Q53">
        <v>1.73651716146839E-2</v>
      </c>
      <c r="R53">
        <v>-7.6915678045513004E-3</v>
      </c>
      <c r="S53">
        <v>8.3340434120675998E-3</v>
      </c>
      <c r="T53">
        <v>140.11761195842959</v>
      </c>
      <c r="U53">
        <v>2.3116666668165911</v>
      </c>
      <c r="V53">
        <v>-1</v>
      </c>
      <c r="W53">
        <v>1.2116203705022801</v>
      </c>
      <c r="X53">
        <v>2.3116666668165911</v>
      </c>
      <c r="Y53">
        <v>-1</v>
      </c>
      <c r="Z53">
        <v>2.3116666668165911</v>
      </c>
      <c r="AA53">
        <v>-1</v>
      </c>
      <c r="AB53">
        <v>4.2871759259354727</v>
      </c>
      <c r="AC53">
        <v>-7.6915678045513004E-3</v>
      </c>
      <c r="AD53">
        <v>6.4207566951662907</v>
      </c>
      <c r="AE53">
        <v>0</v>
      </c>
      <c r="AF53">
        <v>6.6082217616427492</v>
      </c>
      <c r="AG53">
        <v>0</v>
      </c>
      <c r="AH53">
        <v>1.3974755240143739</v>
      </c>
      <c r="AI53">
        <v>5.78</v>
      </c>
      <c r="AJ53">
        <v>5.74</v>
      </c>
      <c r="AK53">
        <v>0.44890464919256129</v>
      </c>
      <c r="AL53">
        <v>0.55424837980407649</v>
      </c>
      <c r="AM53">
        <v>1.6811</v>
      </c>
      <c r="AN53">
        <v>197.04404888602679</v>
      </c>
      <c r="AO53">
        <v>6.03766230039883E-2</v>
      </c>
      <c r="AP53">
        <v>4.95980612438656E-2</v>
      </c>
      <c r="AQ53">
        <v>4.2235630068686303E-2</v>
      </c>
      <c r="AR53">
        <v>5.3122471623331301E-2</v>
      </c>
      <c r="AS53">
        <v>4.1233347149512801E-2</v>
      </c>
    </row>
    <row r="54" spans="1:45" x14ac:dyDescent="0.2">
      <c r="A54" t="s">
        <v>108</v>
      </c>
      <c r="B54" t="s">
        <v>105</v>
      </c>
      <c r="C54" t="s">
        <v>47</v>
      </c>
      <c r="D54">
        <v>1.74</v>
      </c>
      <c r="E54">
        <v>15.4</v>
      </c>
      <c r="F54">
        <v>6.6653289582894997E-3</v>
      </c>
      <c r="G54">
        <v>147.5305498832173</v>
      </c>
      <c r="H54">
        <v>1.2950000001508759</v>
      </c>
      <c r="I54">
        <v>-1</v>
      </c>
      <c r="J54">
        <v>1.107070105952916</v>
      </c>
      <c r="K54">
        <v>1.2950000001508759</v>
      </c>
      <c r="L54">
        <v>-1</v>
      </c>
      <c r="M54">
        <v>1.2950000001508759</v>
      </c>
      <c r="N54">
        <v>-1</v>
      </c>
      <c r="O54">
        <v>6.7078571613641236</v>
      </c>
      <c r="P54">
        <v>5.4436844224938503E-2</v>
      </c>
      <c r="Q54">
        <v>1.0395477725236101E-2</v>
      </c>
      <c r="R54">
        <v>-6.1205995122915E-3</v>
      </c>
      <c r="S54">
        <v>6.6653289582894E-3</v>
      </c>
      <c r="T54">
        <v>141.592656772038</v>
      </c>
      <c r="U54">
        <v>1.805000000150321</v>
      </c>
      <c r="V54">
        <v>-1</v>
      </c>
      <c r="W54">
        <v>1.138842592725041</v>
      </c>
      <c r="X54">
        <v>1.805000000150321</v>
      </c>
      <c r="Y54">
        <v>-1</v>
      </c>
      <c r="Z54">
        <v>1.805000000150321</v>
      </c>
      <c r="AA54">
        <v>-1</v>
      </c>
      <c r="AB54">
        <v>4.1426388888990324</v>
      </c>
      <c r="AC54">
        <v>-6.1205995122915E-3</v>
      </c>
      <c r="AD54">
        <v>6.5319207570291384</v>
      </c>
      <c r="AE54">
        <v>0</v>
      </c>
      <c r="AF54">
        <v>6.7595949083286859</v>
      </c>
      <c r="AG54">
        <v>0</v>
      </c>
      <c r="AH54">
        <v>1.4989056655033171</v>
      </c>
      <c r="AI54">
        <v>5.72</v>
      </c>
      <c r="AJ54">
        <v>5.78</v>
      </c>
      <c r="AK54">
        <v>0.4851934482501421</v>
      </c>
      <c r="AL54">
        <v>0.57039547071461949</v>
      </c>
      <c r="AM54">
        <v>1.4594</v>
      </c>
      <c r="AN54">
        <v>211.34569883596771</v>
      </c>
      <c r="AO54">
        <v>5.3395525961838997E-2</v>
      </c>
      <c r="AP54">
        <v>4.7040189601888799E-2</v>
      </c>
      <c r="AQ54">
        <v>4.2665330341377899E-2</v>
      </c>
      <c r="AR54">
        <v>5.0832898676566603E-2</v>
      </c>
      <c r="AS54">
        <v>4.1841023854018597E-2</v>
      </c>
    </row>
    <row r="55" spans="1:45" x14ac:dyDescent="0.2">
      <c r="A55" t="s">
        <v>109</v>
      </c>
      <c r="B55" t="s">
        <v>105</v>
      </c>
      <c r="C55" t="s">
        <v>47</v>
      </c>
      <c r="D55">
        <v>3.16</v>
      </c>
      <c r="E55">
        <v>15.08</v>
      </c>
      <c r="F55">
        <v>9.3843291270276005E-3</v>
      </c>
      <c r="G55">
        <v>146.82829884120619</v>
      </c>
      <c r="H55">
        <v>2.0233333334836021</v>
      </c>
      <c r="I55">
        <v>-1</v>
      </c>
      <c r="J55">
        <v>0.73035317473816885</v>
      </c>
      <c r="K55">
        <v>1.84000000015043</v>
      </c>
      <c r="L55">
        <v>-1</v>
      </c>
      <c r="M55">
        <v>2.0966666668168732</v>
      </c>
      <c r="N55">
        <v>-1</v>
      </c>
      <c r="O55">
        <v>6.6317966582401242</v>
      </c>
      <c r="P55">
        <v>5.44799993625356E-2</v>
      </c>
      <c r="Q55">
        <v>9.1272458946282994E-3</v>
      </c>
      <c r="R55">
        <v>-8.7900008408142993E-3</v>
      </c>
      <c r="S55">
        <v>9.3843291270276005E-3</v>
      </c>
      <c r="T55">
        <v>127.13083345625679</v>
      </c>
      <c r="U55">
        <v>2.5333333334830468</v>
      </c>
      <c r="V55">
        <v>-1</v>
      </c>
      <c r="W55">
        <v>0.84250000013366944</v>
      </c>
      <c r="X55">
        <v>2.3500000001498762</v>
      </c>
      <c r="Y55">
        <v>-1</v>
      </c>
      <c r="Z55">
        <v>2.5866666668163272</v>
      </c>
      <c r="AA55">
        <v>-1</v>
      </c>
      <c r="AB55">
        <v>4.2452777777897408</v>
      </c>
      <c r="AC55">
        <v>-8.7900008408142993E-3</v>
      </c>
      <c r="AD55">
        <v>6.1578582429943722</v>
      </c>
      <c r="AE55">
        <v>0</v>
      </c>
      <c r="AF55">
        <v>6.699549438511899</v>
      </c>
      <c r="AG55">
        <v>0</v>
      </c>
      <c r="AH55">
        <v>1.3668990950977029</v>
      </c>
      <c r="AI55">
        <v>5.98</v>
      </c>
      <c r="AJ55">
        <v>6.02</v>
      </c>
      <c r="AK55">
        <v>7.48623529216947E-2</v>
      </c>
      <c r="AL55">
        <v>0.38468883535963522</v>
      </c>
      <c r="AM55">
        <v>2.5628600000000001</v>
      </c>
      <c r="AN55">
        <v>192.73277240877621</v>
      </c>
      <c r="AO55">
        <v>6.1153479298058401E-2</v>
      </c>
      <c r="AP55">
        <v>4.9304533619273803E-2</v>
      </c>
      <c r="AQ55">
        <v>4.0139026945393397E-2</v>
      </c>
      <c r="AR55">
        <v>5.9020537332978303E-2</v>
      </c>
      <c r="AS55">
        <v>4.7349894274357603E-2</v>
      </c>
    </row>
    <row r="56" spans="1:45" x14ac:dyDescent="0.2">
      <c r="A56" t="s">
        <v>110</v>
      </c>
      <c r="B56" t="s">
        <v>105</v>
      </c>
      <c r="C56" t="s">
        <v>47</v>
      </c>
      <c r="D56">
        <v>3.34</v>
      </c>
      <c r="E56">
        <v>18.98</v>
      </c>
      <c r="F56">
        <v>-1.16761342248456E-2</v>
      </c>
      <c r="G56">
        <v>147.9671341844309</v>
      </c>
      <c r="H56">
        <v>3.1116666668159452</v>
      </c>
      <c r="I56">
        <v>-1</v>
      </c>
      <c r="J56">
        <v>2.5648134922006678</v>
      </c>
      <c r="K56">
        <v>3.1116666668159452</v>
      </c>
      <c r="L56">
        <v>-1</v>
      </c>
      <c r="M56">
        <v>3.1116666668159452</v>
      </c>
      <c r="N56">
        <v>-1</v>
      </c>
      <c r="O56">
        <v>4.8022518290725769</v>
      </c>
      <c r="P56">
        <v>4.6045086191215598E-2</v>
      </c>
      <c r="Q56">
        <v>-9.0917982130293996E-3</v>
      </c>
      <c r="R56">
        <v>1.07418366328623E-2</v>
      </c>
      <c r="S56">
        <v>-1.1676134224845701E-2</v>
      </c>
      <c r="T56">
        <v>127.9214844128945</v>
      </c>
      <c r="U56">
        <v>3.6216666668153898</v>
      </c>
      <c r="V56">
        <v>-1</v>
      </c>
      <c r="W56">
        <v>2.583935185322038</v>
      </c>
      <c r="X56">
        <v>3.6216666668153898</v>
      </c>
      <c r="Y56">
        <v>-1</v>
      </c>
      <c r="Z56">
        <v>3.6216666668153898</v>
      </c>
      <c r="AA56">
        <v>-1</v>
      </c>
      <c r="AB56">
        <v>4.1672685185678366</v>
      </c>
      <c r="AC56">
        <v>1.07418366328623E-2</v>
      </c>
      <c r="AD56">
        <v>5.9365099960723704</v>
      </c>
      <c r="AE56">
        <v>0</v>
      </c>
      <c r="AF56">
        <v>6.2706097197443196</v>
      </c>
      <c r="AG56">
        <v>0</v>
      </c>
      <c r="AH56">
        <v>1.4381660327190551</v>
      </c>
      <c r="AI56">
        <v>5.94</v>
      </c>
      <c r="AJ56">
        <v>6.08</v>
      </c>
      <c r="AK56">
        <v>0.19300664517206159</v>
      </c>
      <c r="AL56">
        <v>0.33007641953487921</v>
      </c>
      <c r="AM56">
        <v>1.2498</v>
      </c>
      <c r="AN56">
        <v>202.78141061338681</v>
      </c>
      <c r="AO56">
        <v>5.1367334541543103E-2</v>
      </c>
      <c r="AP56">
        <v>4.6434517278413599E-2</v>
      </c>
      <c r="AQ56">
        <v>4.37164991583135E-2</v>
      </c>
      <c r="AR56">
        <v>5.5753883119839497E-2</v>
      </c>
      <c r="AS56">
        <v>5.0039037715203502E-2</v>
      </c>
    </row>
    <row r="57" spans="1:45" x14ac:dyDescent="0.2">
      <c r="A57" t="s">
        <v>111</v>
      </c>
      <c r="B57" t="s">
        <v>105</v>
      </c>
      <c r="C57" t="s">
        <v>47</v>
      </c>
      <c r="D57">
        <v>0.7</v>
      </c>
      <c r="E57">
        <v>9.1</v>
      </c>
      <c r="F57">
        <v>9.1599873935601997E-3</v>
      </c>
      <c r="G57">
        <v>148.75734123607211</v>
      </c>
      <c r="H57">
        <v>1.808333333483779</v>
      </c>
      <c r="I57">
        <v>-1</v>
      </c>
      <c r="J57">
        <v>0.63391269854832977</v>
      </c>
      <c r="K57">
        <v>1.808333333483779</v>
      </c>
      <c r="L57">
        <v>-1</v>
      </c>
      <c r="M57">
        <v>1.808333333483779</v>
      </c>
      <c r="N57">
        <v>-1</v>
      </c>
      <c r="O57">
        <v>6.6717949553724392</v>
      </c>
      <c r="P57">
        <v>5.5331652015993299E-2</v>
      </c>
      <c r="Q57">
        <v>1.39551786545879E-2</v>
      </c>
      <c r="R57">
        <v>-8.9292481044671006E-3</v>
      </c>
      <c r="S57">
        <v>9.1599873935601997E-3</v>
      </c>
      <c r="T57">
        <v>129.94761837600939</v>
      </c>
      <c r="U57">
        <v>2.3183333334832241</v>
      </c>
      <c r="V57">
        <v>-1</v>
      </c>
      <c r="W57">
        <v>0.73791666679854417</v>
      </c>
      <c r="X57">
        <v>2.3183333334832241</v>
      </c>
      <c r="Y57">
        <v>-1</v>
      </c>
      <c r="Z57">
        <v>2.3183333334832241</v>
      </c>
      <c r="AA57">
        <v>-1</v>
      </c>
      <c r="AB57">
        <v>4.3659722222273833</v>
      </c>
      <c r="AC57">
        <v>-8.9292481044671006E-3</v>
      </c>
      <c r="AD57">
        <v>6.2569012611130406</v>
      </c>
      <c r="AE57">
        <v>0</v>
      </c>
      <c r="AF57">
        <v>6.7957355808447124</v>
      </c>
      <c r="AG57">
        <v>0</v>
      </c>
      <c r="AH57">
        <v>1.525418692265547</v>
      </c>
      <c r="AI57">
        <v>5.76</v>
      </c>
      <c r="AJ57">
        <v>5.68</v>
      </c>
      <c r="AK57">
        <v>0.67446508604295563</v>
      </c>
      <c r="AL57">
        <v>0.71027503292447902</v>
      </c>
      <c r="AM57">
        <v>1.7247399999999999</v>
      </c>
      <c r="AN57">
        <v>215.08403560944231</v>
      </c>
      <c r="AO57">
        <v>5.2945273584918601E-2</v>
      </c>
      <c r="AP57">
        <v>4.7924826086222699E-2</v>
      </c>
      <c r="AQ57">
        <v>3.9585073275730402E-2</v>
      </c>
      <c r="AR57">
        <v>5.7875181795081103E-2</v>
      </c>
      <c r="AS57">
        <v>4.68173424930316E-2</v>
      </c>
    </row>
    <row r="58" spans="1:45" x14ac:dyDescent="0.2">
      <c r="A58" t="s">
        <v>112</v>
      </c>
      <c r="B58" t="s">
        <v>105</v>
      </c>
      <c r="C58" t="s">
        <v>47</v>
      </c>
      <c r="D58">
        <v>2.48</v>
      </c>
      <c r="E58">
        <v>11.04</v>
      </c>
      <c r="F58">
        <v>8.8243630088353005E-3</v>
      </c>
      <c r="G58">
        <v>148.6191530475709</v>
      </c>
      <c r="H58">
        <v>1.7000000001505491</v>
      </c>
      <c r="I58">
        <v>-1</v>
      </c>
      <c r="J58">
        <v>0.66384920648238077</v>
      </c>
      <c r="K58">
        <v>1.7000000001505491</v>
      </c>
      <c r="L58">
        <v>-1</v>
      </c>
      <c r="M58">
        <v>1.7000000001505491</v>
      </c>
      <c r="N58">
        <v>-1</v>
      </c>
      <c r="O58">
        <v>7.1425011835887586</v>
      </c>
      <c r="P58">
        <v>5.3153613061435699E-2</v>
      </c>
      <c r="Q58">
        <v>6.1190930238678998E-3</v>
      </c>
      <c r="R58">
        <v>-9.1567525474796994E-3</v>
      </c>
      <c r="S58">
        <v>8.8243630088353005E-3</v>
      </c>
      <c r="T58">
        <v>128.39747537086819</v>
      </c>
      <c r="U58">
        <v>2.2100000001499942</v>
      </c>
      <c r="V58">
        <v>-1</v>
      </c>
      <c r="W58">
        <v>0.75569444457630497</v>
      </c>
      <c r="X58">
        <v>2.2100000001499942</v>
      </c>
      <c r="Y58">
        <v>-1</v>
      </c>
      <c r="Z58">
        <v>2.2100000001499942</v>
      </c>
      <c r="AA58">
        <v>-1</v>
      </c>
      <c r="AB58">
        <v>4.4587500000050824</v>
      </c>
      <c r="AC58">
        <v>-9.1567525474796994E-3</v>
      </c>
      <c r="AD58">
        <v>6.237582318595007</v>
      </c>
      <c r="AE58">
        <v>0</v>
      </c>
      <c r="AF58">
        <v>6.8273524027361097</v>
      </c>
      <c r="AG58">
        <v>0</v>
      </c>
      <c r="AH58">
        <v>1.4530395393362161</v>
      </c>
      <c r="AI58">
        <v>5.78</v>
      </c>
      <c r="AJ58">
        <v>5.8</v>
      </c>
      <c r="AK58">
        <v>0.3495175715632573</v>
      </c>
      <c r="AL58">
        <v>0.4865164258728884</v>
      </c>
      <c r="AM58">
        <v>1.6581999999999999</v>
      </c>
      <c r="AN58">
        <v>204.8785750464065</v>
      </c>
      <c r="AO58">
        <v>5.3958887596352201E-2</v>
      </c>
      <c r="AP58">
        <v>4.8083148029293199E-2</v>
      </c>
      <c r="AQ58">
        <v>4.0070094459644302E-2</v>
      </c>
      <c r="AR58">
        <v>5.8122649092694198E-2</v>
      </c>
      <c r="AS58">
        <v>4.7374621110763397E-2</v>
      </c>
    </row>
    <row r="59" spans="1:45" x14ac:dyDescent="0.2">
      <c r="A59" t="s">
        <v>113</v>
      </c>
      <c r="B59" t="s">
        <v>114</v>
      </c>
      <c r="C59" t="s">
        <v>47</v>
      </c>
      <c r="D59">
        <v>0</v>
      </c>
      <c r="E59">
        <v>1.68</v>
      </c>
      <c r="F59">
        <v>5.4982959936173997E-2</v>
      </c>
      <c r="G59">
        <v>54.627176931099562</v>
      </c>
      <c r="H59">
        <v>-3.6008333331779432</v>
      </c>
      <c r="I59">
        <v>-1</v>
      </c>
      <c r="J59">
        <v>-2.4027341268390159</v>
      </c>
      <c r="K59">
        <v>-3.634999999844577</v>
      </c>
      <c r="L59">
        <v>-1</v>
      </c>
      <c r="M59">
        <v>-3.634999999844577</v>
      </c>
      <c r="N59">
        <v>-1</v>
      </c>
      <c r="O59">
        <v>4.077312860367492</v>
      </c>
      <c r="P59">
        <v>0.1282112407457569</v>
      </c>
      <c r="Q59">
        <v>1.1669053836534399E-2</v>
      </c>
      <c r="R59">
        <v>0.1087587923125216</v>
      </c>
      <c r="S59">
        <v>5.4982959936173997E-2</v>
      </c>
      <c r="T59">
        <v>54.541355038730082</v>
      </c>
      <c r="U59">
        <v>-3.0908333331784981</v>
      </c>
      <c r="V59">
        <v>-1</v>
      </c>
      <c r="W59">
        <v>-2.514861110965358</v>
      </c>
      <c r="X59">
        <v>-3.124999999845131</v>
      </c>
      <c r="Y59">
        <v>-1</v>
      </c>
      <c r="Z59">
        <v>-3.124999999845131</v>
      </c>
      <c r="AA59">
        <v>-1</v>
      </c>
      <c r="AB59">
        <v>2.676527777660576</v>
      </c>
      <c r="AC59">
        <v>0.1087587923125216</v>
      </c>
      <c r="AD59">
        <v>1.7563441315422861</v>
      </c>
      <c r="AE59">
        <v>0</v>
      </c>
      <c r="AF59">
        <v>1.7739886012849819</v>
      </c>
      <c r="AG59">
        <v>0</v>
      </c>
      <c r="AH59">
        <v>1.0471070871613961</v>
      </c>
      <c r="AI59">
        <v>6.0039999999999996</v>
      </c>
      <c r="AJ59">
        <v>6.1440000000000001</v>
      </c>
      <c r="AK59">
        <v>0.85804837403615575</v>
      </c>
      <c r="AL59">
        <v>0.86799715181393355</v>
      </c>
      <c r="AM59">
        <v>1.4762</v>
      </c>
      <c r="AN59">
        <v>239.7875229599596</v>
      </c>
      <c r="AO59">
        <v>6.4920275331166802E-2</v>
      </c>
      <c r="AP59">
        <v>8.5019440132260093E-2</v>
      </c>
      <c r="AQ59">
        <v>9.8031506159631798E-2</v>
      </c>
      <c r="AR59">
        <v>8.5277021244494697E-2</v>
      </c>
      <c r="AS59">
        <v>9.8229931996359404E-2</v>
      </c>
    </row>
    <row r="60" spans="1:45" x14ac:dyDescent="0.2">
      <c r="A60" t="s">
        <v>115</v>
      </c>
      <c r="B60" t="s">
        <v>114</v>
      </c>
      <c r="C60" t="s">
        <v>47</v>
      </c>
      <c r="D60">
        <v>0</v>
      </c>
      <c r="E60">
        <v>0.02</v>
      </c>
      <c r="F60">
        <v>2.58882551246814E-2</v>
      </c>
      <c r="G60">
        <v>142.37017456805319</v>
      </c>
      <c r="H60">
        <v>-0.66208333318063961</v>
      </c>
      <c r="I60">
        <v>-1</v>
      </c>
      <c r="J60">
        <v>-0.9911712961522684</v>
      </c>
      <c r="K60">
        <v>-3.4349999998447678</v>
      </c>
      <c r="L60">
        <v>-1</v>
      </c>
      <c r="M60">
        <v>-0.7666666665138655</v>
      </c>
      <c r="N60">
        <v>-1</v>
      </c>
      <c r="O60">
        <v>2.9788862044792528</v>
      </c>
      <c r="P60">
        <v>5.2446139031005097E-2</v>
      </c>
      <c r="Q60">
        <v>8.7232082435304004E-3</v>
      </c>
      <c r="R60">
        <v>2.9452222271969301E-2</v>
      </c>
      <c r="S60">
        <v>2.58882551246814E-2</v>
      </c>
      <c r="T60">
        <v>112.6266223196336</v>
      </c>
      <c r="U60">
        <v>-0.40736111095874022</v>
      </c>
      <c r="V60">
        <v>-1</v>
      </c>
      <c r="W60">
        <v>-0.8533148146710442</v>
      </c>
      <c r="X60">
        <v>-2.9249999998453222</v>
      </c>
      <c r="Y60">
        <v>-1</v>
      </c>
      <c r="Z60">
        <v>-5.1666666514611201E-2</v>
      </c>
      <c r="AA60">
        <v>-1</v>
      </c>
      <c r="AB60">
        <v>3.1292870370050241</v>
      </c>
      <c r="AC60">
        <v>2.9452222271969399E-2</v>
      </c>
      <c r="AD60">
        <v>4.2484282507739302</v>
      </c>
      <c r="AE60">
        <v>0</v>
      </c>
      <c r="AF60">
        <v>5.3960283415321024</v>
      </c>
      <c r="AG60">
        <v>0</v>
      </c>
      <c r="AH60">
        <v>1.63326130478974</v>
      </c>
      <c r="AI60">
        <v>10.244</v>
      </c>
      <c r="AJ60">
        <v>10.358000000000001</v>
      </c>
      <c r="AK60">
        <v>0.96116282704762002</v>
      </c>
      <c r="AL60">
        <v>0.9724147847327006</v>
      </c>
      <c r="AM60">
        <v>5.8141600000000002</v>
      </c>
      <c r="AN60">
        <v>359.31748705374281</v>
      </c>
      <c r="AO60">
        <v>4.3800537680326997E-2</v>
      </c>
      <c r="AP60">
        <v>4.5200201607580898E-2</v>
      </c>
      <c r="AQ60">
        <v>4.4329383165177497E-2</v>
      </c>
      <c r="AR60">
        <v>6.6343447340138501E-2</v>
      </c>
      <c r="AS60">
        <v>6.5815623349615701E-2</v>
      </c>
    </row>
    <row r="61" spans="1:45" x14ac:dyDescent="0.2">
      <c r="A61" t="s">
        <v>116</v>
      </c>
      <c r="B61" t="s">
        <v>114</v>
      </c>
      <c r="C61" t="s">
        <v>47</v>
      </c>
      <c r="D61">
        <v>0</v>
      </c>
      <c r="E61">
        <v>0</v>
      </c>
      <c r="F61">
        <v>2.8280968632590799E-2</v>
      </c>
      <c r="G61">
        <v>142.67106185702201</v>
      </c>
      <c r="H61">
        <v>-0.48124999984750888</v>
      </c>
      <c r="I61">
        <v>-1</v>
      </c>
      <c r="J61">
        <v>-1.0860906083215409</v>
      </c>
      <c r="K61">
        <v>-1.896666666512874</v>
      </c>
      <c r="L61">
        <v>-1</v>
      </c>
      <c r="M61">
        <v>-0.58666666651407473</v>
      </c>
      <c r="N61">
        <v>-1</v>
      </c>
      <c r="O61">
        <v>3.166347767892193</v>
      </c>
      <c r="P61">
        <v>5.3819276781075301E-2</v>
      </c>
      <c r="Q61">
        <v>9.2253876705220995E-3</v>
      </c>
      <c r="R61">
        <v>3.2671993719904001E-2</v>
      </c>
      <c r="S61">
        <v>2.8280968632590799E-2</v>
      </c>
      <c r="T61">
        <v>113.4986058797021</v>
      </c>
      <c r="U61">
        <v>-9.87499998479483E-2</v>
      </c>
      <c r="V61">
        <v>-1</v>
      </c>
      <c r="W61">
        <v>-1.1022222220782369</v>
      </c>
      <c r="X61">
        <v>-1.3866666665134291</v>
      </c>
      <c r="Y61">
        <v>-1</v>
      </c>
      <c r="Z61">
        <v>0.5333333334848066</v>
      </c>
      <c r="AA61">
        <v>-1</v>
      </c>
      <c r="AB61">
        <v>3.370231481449252</v>
      </c>
      <c r="AC61">
        <v>3.2671993719903897E-2</v>
      </c>
      <c r="AD61">
        <v>3.994073331843834</v>
      </c>
      <c r="AE61">
        <v>0</v>
      </c>
      <c r="AF61">
        <v>5.2838371399634392</v>
      </c>
      <c r="AG61">
        <v>0</v>
      </c>
      <c r="AH61">
        <v>1.6122586139450199</v>
      </c>
      <c r="AI61">
        <v>8.1620000000000008</v>
      </c>
      <c r="AJ61">
        <v>8.2200000000000006</v>
      </c>
      <c r="AK61">
        <v>0.96644384147047457</v>
      </c>
      <c r="AL61">
        <v>0.96700373327254285</v>
      </c>
      <c r="AM61">
        <v>3.1871200000000002</v>
      </c>
      <c r="AN61">
        <v>354.69689506790439</v>
      </c>
      <c r="AO61">
        <v>4.4294174371782097E-2</v>
      </c>
      <c r="AP61">
        <v>4.4035778362687801E-2</v>
      </c>
      <c r="AQ61">
        <v>4.34031990513562E-2</v>
      </c>
      <c r="AR61">
        <v>6.6036852746389194E-2</v>
      </c>
      <c r="AS61">
        <v>6.5338257031294394E-2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64"/>
  <sheetViews>
    <sheetView tabSelected="1" workbookViewId="0">
      <pane ySplit="1" topLeftCell="A2" activePane="bottomLeft" state="frozen"/>
      <selection pane="bottomLeft" activeCell="I17" sqref="I17"/>
    </sheetView>
  </sheetViews>
  <sheetFormatPr baseColWidth="10" defaultRowHeight="16" x14ac:dyDescent="0.2"/>
  <cols>
    <col min="1" max="1" width="21.33203125" customWidth="1"/>
    <col min="2" max="2" width="19.33203125" customWidth="1"/>
    <col min="3" max="3" width="5.83203125" customWidth="1"/>
    <col min="4" max="4" width="6.83203125" customWidth="1"/>
    <col min="5" max="5" width="6.33203125" customWidth="1"/>
    <col min="6" max="9" width="7.1640625" customWidth="1"/>
    <col min="10" max="10" width="7.5" customWidth="1"/>
  </cols>
  <sheetData>
    <row r="1" spans="1:52" x14ac:dyDescent="0.2">
      <c r="A1" t="s">
        <v>0</v>
      </c>
      <c r="B1" t="s">
        <v>1</v>
      </c>
      <c r="C1">
        <v>0.06</v>
      </c>
      <c r="J1" t="s">
        <v>2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39</v>
      </c>
      <c r="AV1" t="s">
        <v>40</v>
      </c>
      <c r="AW1" t="s">
        <v>41</v>
      </c>
      <c r="AX1" t="s">
        <v>42</v>
      </c>
      <c r="AY1" t="s">
        <v>43</v>
      </c>
      <c r="AZ1" t="s">
        <v>44</v>
      </c>
    </row>
    <row r="2" spans="1:52" x14ac:dyDescent="0.2">
      <c r="A2" t="s">
        <v>45</v>
      </c>
      <c r="B2" t="s">
        <v>46</v>
      </c>
      <c r="C2">
        <f ca="1">IF(ISNUMBER(D2),SUM(INDIRECT(_xlfn.CONCAT("e",ROW(),":e",ROW()+D2-1))),"")</f>
        <v>0</v>
      </c>
      <c r="D2">
        <v>4</v>
      </c>
      <c r="E2">
        <f>AND(AX2&lt;$C$1,averaged_runs370!AQ2&lt;$C$1,averaged_runs126!AQ2&lt;$C$1)*1</f>
        <v>0</v>
      </c>
      <c r="F2" s="2">
        <f>IF(TRUE,SQRT(averaged_runs126!AQ2^2/2+averaged_runs370!AQ2^2/2+AX2^2*0),"")</f>
        <v>0.11094764776804515</v>
      </c>
      <c r="G2" s="2"/>
      <c r="H2" s="2"/>
      <c r="I2" s="2"/>
      <c r="J2" t="s">
        <v>47</v>
      </c>
      <c r="K2">
        <v>56.36</v>
      </c>
      <c r="L2">
        <v>146.24</v>
      </c>
      <c r="M2">
        <v>-7.9159696429640297E-2</v>
      </c>
      <c r="N2">
        <v>-73.534193761701403</v>
      </c>
      <c r="O2">
        <v>4.7475000001412493</v>
      </c>
      <c r="P2">
        <v>4.0108333334971116</v>
      </c>
      <c r="Q2">
        <v>4.403514957429155</v>
      </c>
      <c r="R2">
        <v>4.7216666668079412</v>
      </c>
      <c r="S2">
        <v>3.9050000001638732</v>
      </c>
      <c r="T2">
        <v>4.7733333334745556</v>
      </c>
      <c r="U2">
        <v>4.1166666668303513</v>
      </c>
      <c r="V2">
        <v>4.6448561980571794</v>
      </c>
      <c r="W2">
        <v>3.9112734144371199E-2</v>
      </c>
      <c r="X2">
        <v>-4.7209333043416499E-2</v>
      </c>
      <c r="Y2">
        <v>-6.5017191529273904E-2</v>
      </c>
      <c r="Z2">
        <v>-7.9159696429640297E-2</v>
      </c>
      <c r="AA2">
        <v>-147.0843136053679</v>
      </c>
      <c r="AB2">
        <v>4.7775000001412948</v>
      </c>
      <c r="AC2">
        <v>4.0475000001635726</v>
      </c>
      <c r="AD2">
        <v>4.4530555557192644</v>
      </c>
      <c r="AE2">
        <v>4.7516666668079868</v>
      </c>
      <c r="AF2">
        <v>3.9416666668303328</v>
      </c>
      <c r="AG2">
        <v>4.803333333474602</v>
      </c>
      <c r="AH2">
        <v>4.1533333334968123</v>
      </c>
      <c r="AI2">
        <v>4.4530555557192644</v>
      </c>
      <c r="AJ2">
        <v>-6.5017191529273904E-2</v>
      </c>
      <c r="AK2">
        <v>2.113203770667607</v>
      </c>
      <c r="AL2">
        <v>3.0439623254170241</v>
      </c>
      <c r="AM2">
        <v>0.9352962910278606</v>
      </c>
      <c r="AN2">
        <v>1.872075156487111</v>
      </c>
      <c r="AO2">
        <v>0.41160228751620642</v>
      </c>
      <c r="AP2">
        <v>14.603999999999999</v>
      </c>
      <c r="AQ2">
        <v>14.964</v>
      </c>
      <c r="AR2">
        <v>3.1624852034400002E-4</v>
      </c>
      <c r="AS2">
        <v>1.7976895297002E-3</v>
      </c>
      <c r="AT2">
        <v>2.9049800000000001</v>
      </c>
      <c r="AU2">
        <v>95.080128416243681</v>
      </c>
      <c r="AV2">
        <v>7.0229371366615806E-2</v>
      </c>
      <c r="AW2">
        <v>8.6496580981422003E-2</v>
      </c>
      <c r="AX2">
        <v>8.4744435225951001E-2</v>
      </c>
      <c r="AY2">
        <v>9.6463926433327199E-2</v>
      </c>
      <c r="AZ2">
        <v>9.4112938093159904E-2</v>
      </c>
    </row>
    <row r="3" spans="1:52" x14ac:dyDescent="0.2">
      <c r="A3" t="s">
        <v>48</v>
      </c>
      <c r="B3" t="s">
        <v>46</v>
      </c>
      <c r="C3" t="str">
        <f ca="1">IF(ISNUMBER(D3),SUM(INDIRECT(_xlfn.CONCAT("e",ROW(),":e",ROW()+D3-1))),"")</f>
        <v/>
      </c>
      <c r="E3">
        <f>AND(AX3&lt;$C$1,averaged_runs370!AQ3&lt;$C$1,averaged_runs126!AQ3&lt;$C$1)*1</f>
        <v>0</v>
      </c>
      <c r="F3" s="2">
        <f>IF(TRUE,SQRT(averaged_runs126!AQ3^2/2+averaged_runs370!AQ3^2/2+AX3^2*0),"")</f>
        <v>7.0692940060552337E-2</v>
      </c>
      <c r="G3" s="2">
        <f>IF(TRUE,averaged_runs126!AQ3,"")</f>
        <v>5.4920578898138603E-2</v>
      </c>
      <c r="H3" s="2">
        <f>IF(TRUE,AX3,"")</f>
        <v>6.1261305289732802E-2</v>
      </c>
      <c r="I3" s="2">
        <f>IF(TRUE,averaged_runs370!AQ3,"")</f>
        <v>8.3538694999999996E-2</v>
      </c>
      <c r="J3" t="s">
        <v>47</v>
      </c>
      <c r="K3">
        <v>26.36</v>
      </c>
      <c r="L3">
        <v>80.12</v>
      </c>
      <c r="M3">
        <v>-3.1352728592170399E-2</v>
      </c>
      <c r="N3">
        <v>47.236081890164712</v>
      </c>
      <c r="O3">
        <v>2.3441666668101289</v>
      </c>
      <c r="P3">
        <v>1.880000000165686</v>
      </c>
      <c r="Q3">
        <v>2.0394627596282251</v>
      </c>
      <c r="R3">
        <v>1.8800000001438819</v>
      </c>
      <c r="S3">
        <v>0.79833333350000435</v>
      </c>
      <c r="T3">
        <v>2.7250000001431181</v>
      </c>
      <c r="U3">
        <v>3.0033333334979941</v>
      </c>
      <c r="V3">
        <v>2.7023587450774098</v>
      </c>
      <c r="W3">
        <v>4.7655881966426901E-2</v>
      </c>
      <c r="X3">
        <v>-2.1808424830402101E-2</v>
      </c>
      <c r="Y3">
        <v>-2.5380273222923199E-2</v>
      </c>
      <c r="Z3">
        <v>-3.1352728592170399E-2</v>
      </c>
      <c r="AA3">
        <v>-22.569823241786072</v>
      </c>
      <c r="AB3">
        <v>2.374166666810174</v>
      </c>
      <c r="AC3">
        <v>1.9166666668321459</v>
      </c>
      <c r="AD3">
        <v>2.028244047784836</v>
      </c>
      <c r="AE3">
        <v>1.9100000001439279</v>
      </c>
      <c r="AF3">
        <v>0.83500000016646481</v>
      </c>
      <c r="AG3">
        <v>2.8383333334764211</v>
      </c>
      <c r="AH3">
        <v>2.7550000001647188</v>
      </c>
      <c r="AI3">
        <v>2.188720238220808</v>
      </c>
      <c r="AJ3">
        <v>-2.5380273222923199E-2</v>
      </c>
      <c r="AK3">
        <v>4.3375364842245201</v>
      </c>
      <c r="AL3">
        <v>4.1206300754432013</v>
      </c>
      <c r="AM3">
        <v>4.1252921406757794</v>
      </c>
      <c r="AN3">
        <v>5.7312458290541004</v>
      </c>
      <c r="AO3">
        <v>0.73276274436830091</v>
      </c>
      <c r="AP3">
        <v>18.268000000000001</v>
      </c>
      <c r="AQ3">
        <v>18.867999999999999</v>
      </c>
      <c r="AR3" s="1">
        <v>1.8491580398214799E-5</v>
      </c>
      <c r="AS3">
        <v>2.6641221362925E-3</v>
      </c>
      <c r="AT3">
        <v>5.6479999999999997</v>
      </c>
      <c r="AU3">
        <v>169.2681939490775</v>
      </c>
      <c r="AV3">
        <v>6.6737622434884999E-2</v>
      </c>
      <c r="AW3">
        <v>6.2629871812526494E-2</v>
      </c>
      <c r="AX3">
        <v>6.1261305289732802E-2</v>
      </c>
      <c r="AY3">
        <v>7.5129675857467507E-2</v>
      </c>
      <c r="AZ3">
        <v>7.3537171903035797E-2</v>
      </c>
    </row>
    <row r="4" spans="1:52" x14ac:dyDescent="0.2">
      <c r="A4" t="s">
        <v>49</v>
      </c>
      <c r="B4" t="s">
        <v>46</v>
      </c>
      <c r="E4">
        <f>AND(AX4&lt;$C$1,averaged_runs370!AQ4&lt;$C$1,averaged_runs126!AQ4&lt;$C$1)*1</f>
        <v>0</v>
      </c>
      <c r="F4" s="2">
        <f>IF(TRUE,SQRT(averaged_runs126!AQ4^2/2+averaged_runs370!AQ4^2/2+AX4^2*0),"")</f>
        <v>8.3322990709007699E-2</v>
      </c>
      <c r="G4" s="2"/>
      <c r="H4" s="2"/>
      <c r="I4" s="2"/>
      <c r="J4" t="s">
        <v>47</v>
      </c>
      <c r="K4">
        <v>81.96</v>
      </c>
      <c r="L4">
        <v>150.28</v>
      </c>
      <c r="M4">
        <v>2.12315085170032E-2</v>
      </c>
      <c r="N4">
        <v>150.98406876503449</v>
      </c>
      <c r="O4">
        <v>-0.2041666665209049</v>
      </c>
      <c r="P4">
        <v>-0.85916666649846773</v>
      </c>
      <c r="Q4">
        <v>-1.192481684815573</v>
      </c>
      <c r="R4">
        <v>-0.26999999985418061</v>
      </c>
      <c r="S4">
        <v>-0.94166666649839503</v>
      </c>
      <c r="T4">
        <v>-0.2066666665209049</v>
      </c>
      <c r="U4">
        <v>-0.94166666649839503</v>
      </c>
      <c r="V4">
        <v>2.4059104539931999</v>
      </c>
      <c r="W4">
        <v>3.8004065406521799E-2</v>
      </c>
      <c r="X4">
        <v>5.7742297545604997E-2</v>
      </c>
      <c r="Y4">
        <v>3.6629054546356003E-2</v>
      </c>
      <c r="Z4">
        <v>2.1231508517003301E-2</v>
      </c>
      <c r="AA4">
        <v>87.652686439775394</v>
      </c>
      <c r="AB4">
        <v>-0.17416666652085949</v>
      </c>
      <c r="AC4">
        <v>-0.82249999983200728</v>
      </c>
      <c r="AD4">
        <v>-1.3705952379279851</v>
      </c>
      <c r="AE4">
        <v>-0.2399999998541352</v>
      </c>
      <c r="AF4">
        <v>-0.90499999983193435</v>
      </c>
      <c r="AG4">
        <v>-0.17666666652085949</v>
      </c>
      <c r="AH4">
        <v>-0.90499999983193435</v>
      </c>
      <c r="AI4">
        <v>1.774642857015345</v>
      </c>
      <c r="AJ4">
        <v>3.6629054546356003E-2</v>
      </c>
      <c r="AK4">
        <v>6.8400183641618924</v>
      </c>
      <c r="AL4">
        <v>5.8816367443336244</v>
      </c>
      <c r="AM4">
        <v>8.6823255826366399</v>
      </c>
      <c r="AN4">
        <v>8.0488864438472714</v>
      </c>
      <c r="AO4">
        <v>-0.19062717661294429</v>
      </c>
      <c r="AP4">
        <v>14.228</v>
      </c>
      <c r="AQ4">
        <v>14.788</v>
      </c>
      <c r="AR4" s="1">
        <v>1.2653180425706729E-5</v>
      </c>
      <c r="AS4" s="1">
        <v>6.1371312037674622E-5</v>
      </c>
      <c r="AT4">
        <v>2.6505200000000002</v>
      </c>
      <c r="AU4">
        <v>-44.034877797590127</v>
      </c>
      <c r="AV4">
        <v>7.9072113491891804E-2</v>
      </c>
      <c r="AW4">
        <v>4.0333083804978603E-2</v>
      </c>
      <c r="AX4">
        <v>4.1896100877439599E-2</v>
      </c>
      <c r="AY4">
        <v>5.8084818530410497E-2</v>
      </c>
      <c r="AZ4">
        <v>5.7866719214549403E-2</v>
      </c>
    </row>
    <row r="5" spans="1:52" x14ac:dyDescent="0.2">
      <c r="A5" t="s">
        <v>50</v>
      </c>
      <c r="B5" t="s">
        <v>46</v>
      </c>
      <c r="C5" t="str">
        <f t="shared" ref="C5:C22" ca="1" si="0">IF(ISNUMBER(D5),SUM(INDIRECT(_xlfn.CONCAT("e",ROW(),":e",ROW()+D5-1))),"")</f>
        <v/>
      </c>
      <c r="E5">
        <f>AND(AX5&lt;$C$1,averaged_runs370!AQ5&lt;$C$1,averaged_runs126!AQ5&lt;$C$1)*1</f>
        <v>0</v>
      </c>
      <c r="F5" s="2">
        <f>IF(TRUE,SQRT(averaged_runs126!AQ5^2/2+averaged_runs370!AQ5^2/2+AX5^2*0),"")</f>
        <v>0.11467031610633915</v>
      </c>
      <c r="G5" s="2"/>
      <c r="H5" s="2"/>
      <c r="I5" s="2"/>
      <c r="J5" t="s">
        <v>47</v>
      </c>
      <c r="K5">
        <v>0.04</v>
      </c>
      <c r="L5">
        <v>0.9</v>
      </c>
      <c r="M5">
        <v>4.4324491574212997E-3</v>
      </c>
      <c r="N5">
        <v>67.196781074611764</v>
      </c>
      <c r="O5">
        <v>-0.23044444429868469</v>
      </c>
      <c r="P5">
        <v>1.2215000001662919</v>
      </c>
      <c r="Q5">
        <v>-0.14221879889151359</v>
      </c>
      <c r="R5">
        <v>-5.1183333331831182</v>
      </c>
      <c r="S5">
        <v>-5.2933333331611268</v>
      </c>
      <c r="T5">
        <v>-1.423333333186483</v>
      </c>
      <c r="U5">
        <v>5.0100000001628446</v>
      </c>
      <c r="V5">
        <v>2.5098658435838348</v>
      </c>
      <c r="W5">
        <v>0.12719177060648151</v>
      </c>
      <c r="X5">
        <v>-1.1682738026529999E-3</v>
      </c>
      <c r="Y5">
        <v>4.6354122161863997E-3</v>
      </c>
      <c r="Z5">
        <v>4.4324491574214003E-3</v>
      </c>
      <c r="AA5">
        <v>61.748864421194483</v>
      </c>
      <c r="AB5">
        <v>-0.20044444429863931</v>
      </c>
      <c r="AC5">
        <v>1.258166666832752</v>
      </c>
      <c r="AD5">
        <v>-0.29429124132905682</v>
      </c>
      <c r="AE5">
        <v>-5.0883333331830727</v>
      </c>
      <c r="AF5">
        <v>-5.2566666664946657</v>
      </c>
      <c r="AG5">
        <v>-0.85499999985360775</v>
      </c>
      <c r="AH5">
        <v>5.5066666668288784</v>
      </c>
      <c r="AI5">
        <v>1.3885551303447761</v>
      </c>
      <c r="AJ5">
        <v>4.6354122161865003E-3</v>
      </c>
      <c r="AK5">
        <v>2.2944888965107171</v>
      </c>
      <c r="AL5">
        <v>2.3055705651433258</v>
      </c>
      <c r="AM5">
        <v>2.5264418924857361</v>
      </c>
      <c r="AN5">
        <v>2.2546285429988022</v>
      </c>
      <c r="AO5">
        <v>0.70481869654038176</v>
      </c>
      <c r="AP5">
        <v>47.667999999999999</v>
      </c>
      <c r="AQ5">
        <v>49.628</v>
      </c>
      <c r="AR5">
        <v>0.62227739680427796</v>
      </c>
      <c r="AS5">
        <v>0.87930207837990138</v>
      </c>
      <c r="AT5">
        <v>29.131920000000001</v>
      </c>
      <c r="AU5">
        <v>162.81311890082819</v>
      </c>
      <c r="AV5">
        <v>0.1185336511966347</v>
      </c>
      <c r="AW5">
        <v>0.1156888417622873</v>
      </c>
      <c r="AX5">
        <v>0.113604910564311</v>
      </c>
      <c r="AY5">
        <v>0.1228336507190582</v>
      </c>
      <c r="AZ5">
        <v>0.12081437394846931</v>
      </c>
    </row>
    <row r="6" spans="1:52" x14ac:dyDescent="0.2">
      <c r="A6" t="s">
        <v>51</v>
      </c>
      <c r="B6" t="s">
        <v>52</v>
      </c>
      <c r="C6">
        <f t="shared" ca="1" si="0"/>
        <v>0</v>
      </c>
      <c r="D6">
        <v>7</v>
      </c>
      <c r="E6">
        <f>AND(AX6&lt;$C$1,averaged_runs370!AQ6&lt;$C$1,averaged_runs126!AQ6&lt;$C$1)*1</f>
        <v>0</v>
      </c>
      <c r="F6" s="2">
        <f>IF(TRUE,SQRT(averaged_runs126!AQ6^2/2+averaged_runs370!AQ6^2/2+AX6^2*0),"")</f>
        <v>8.9831562438349263E-2</v>
      </c>
      <c r="G6" s="2"/>
      <c r="H6" s="2"/>
      <c r="I6" s="2"/>
      <c r="J6" t="s">
        <v>47</v>
      </c>
      <c r="K6">
        <v>65.3</v>
      </c>
      <c r="L6">
        <v>119.4</v>
      </c>
      <c r="M6">
        <v>-4.7566755528292001E-3</v>
      </c>
      <c r="N6">
        <v>40.984536156696429</v>
      </c>
      <c r="O6">
        <v>1.376666666810979</v>
      </c>
      <c r="P6">
        <v>0.68000000016677409</v>
      </c>
      <c r="Q6">
        <v>0.21592338233799879</v>
      </c>
      <c r="R6">
        <v>1.376666666810979</v>
      </c>
      <c r="S6">
        <v>0.68000000016677409</v>
      </c>
      <c r="T6">
        <v>1.376666666810979</v>
      </c>
      <c r="U6">
        <v>0.68000000016677409</v>
      </c>
      <c r="V6">
        <v>2.573303317476765</v>
      </c>
      <c r="W6">
        <v>3.0850559306930599E-2</v>
      </c>
      <c r="X6">
        <v>-2.2917501525630799E-2</v>
      </c>
      <c r="Y6">
        <v>2.77680602630614E-2</v>
      </c>
      <c r="Z6">
        <v>-4.7566755528292001E-3</v>
      </c>
      <c r="AA6">
        <v>-23.364566423423671</v>
      </c>
      <c r="AB6">
        <v>1.406666666811025</v>
      </c>
      <c r="AC6">
        <v>0.71666666683323454</v>
      </c>
      <c r="AD6">
        <v>-7.0158729993073599E-2</v>
      </c>
      <c r="AE6">
        <v>1.406666666811025</v>
      </c>
      <c r="AF6">
        <v>0.71666666683323454</v>
      </c>
      <c r="AG6">
        <v>1.406666666811025</v>
      </c>
      <c r="AH6">
        <v>0.71666666683323454</v>
      </c>
      <c r="AI6">
        <v>1.3548015872745029</v>
      </c>
      <c r="AJ6">
        <v>2.77680602630615E-2</v>
      </c>
      <c r="AK6">
        <v>6.8996275297944614</v>
      </c>
      <c r="AL6">
        <v>8.4338494109825373</v>
      </c>
      <c r="AM6">
        <v>6.8206613289762847</v>
      </c>
      <c r="AN6">
        <v>9.2740340688078078</v>
      </c>
      <c r="AO6">
        <v>-0.5953422320982602</v>
      </c>
      <c r="AP6">
        <v>13.72</v>
      </c>
      <c r="AQ6">
        <v>14.18</v>
      </c>
      <c r="AR6" s="1">
        <v>4.2852407441877842E-7</v>
      </c>
      <c r="AS6" s="1">
        <v>5.4452897255206272E-6</v>
      </c>
      <c r="AT6">
        <v>2.1726399999999999</v>
      </c>
      <c r="AU6">
        <v>-114.305708562866</v>
      </c>
      <c r="AV6">
        <v>6.8089157262028202E-2</v>
      </c>
      <c r="AW6">
        <v>5.6572509060408803E-2</v>
      </c>
      <c r="AX6">
        <v>5.5469976670726902E-2</v>
      </c>
      <c r="AY6">
        <v>6.7274870688425206E-2</v>
      </c>
      <c r="AZ6">
        <v>6.2539266779648606E-2</v>
      </c>
    </row>
    <row r="7" spans="1:52" x14ac:dyDescent="0.2">
      <c r="A7" t="s">
        <v>53</v>
      </c>
      <c r="B7" t="s">
        <v>52</v>
      </c>
      <c r="C7" t="str">
        <f t="shared" ca="1" si="0"/>
        <v/>
      </c>
      <c r="E7">
        <f>AND(AX7&lt;$C$1,averaged_runs370!AQ7&lt;$C$1,averaged_runs126!AQ7&lt;$C$1)*1</f>
        <v>0</v>
      </c>
      <c r="F7" s="2">
        <f>IF(TRUE,SQRT(averaged_runs126!AQ7^2/2+averaged_runs370!AQ7^2/2+AX7^2*0),"")</f>
        <v>6.7739669635516336E-2</v>
      </c>
      <c r="G7" s="2">
        <f>IF(TRUE,averaged_runs126!AQ7,"")</f>
        <v>5.1943547468361703E-2</v>
      </c>
      <c r="H7" s="2">
        <f>IF(TRUE,AX7,"")</f>
        <v>5.96506270650905E-2</v>
      </c>
      <c r="I7" s="2">
        <f>IF(TRUE,averaged_runs370!AQ7,"")</f>
        <v>8.0493438E-2</v>
      </c>
      <c r="J7" t="s">
        <v>47</v>
      </c>
      <c r="K7">
        <v>0.72</v>
      </c>
      <c r="L7">
        <v>1.38</v>
      </c>
      <c r="M7">
        <v>-2.6180824631985702E-2</v>
      </c>
      <c r="N7">
        <v>74.84051882543146</v>
      </c>
      <c r="O7">
        <v>1.9308333334771399</v>
      </c>
      <c r="P7">
        <v>0.7041666668334392</v>
      </c>
      <c r="Q7">
        <v>1.3603395911304139</v>
      </c>
      <c r="R7">
        <v>0.81666666681147948</v>
      </c>
      <c r="S7">
        <v>-0.55166666649874063</v>
      </c>
      <c r="T7">
        <v>2.7133333334764398</v>
      </c>
      <c r="U7">
        <v>0.83000000016664677</v>
      </c>
      <c r="V7">
        <v>2.1761724257404351</v>
      </c>
      <c r="W7">
        <v>0.1463647758039629</v>
      </c>
      <c r="X7">
        <v>-2.7578140803319801E-2</v>
      </c>
      <c r="Y7">
        <v>-2.0863499437785898E-2</v>
      </c>
      <c r="Z7">
        <v>-2.6180824631985702E-2</v>
      </c>
      <c r="AA7">
        <v>67.736382117811274</v>
      </c>
      <c r="AB7">
        <v>1.960833333477185</v>
      </c>
      <c r="AC7">
        <v>0.74083333349989966</v>
      </c>
      <c r="AD7">
        <v>1.327410714452699</v>
      </c>
      <c r="AE7">
        <v>0.84666666681152492</v>
      </c>
      <c r="AF7">
        <v>-0.51499999983228006</v>
      </c>
      <c r="AG7">
        <v>2.5100000001433642</v>
      </c>
      <c r="AH7">
        <v>0.75000000016654667</v>
      </c>
      <c r="AI7">
        <v>1.7707638889752311</v>
      </c>
      <c r="AJ7">
        <v>-2.0863499437785898E-2</v>
      </c>
      <c r="AK7">
        <v>2.1827705490698861</v>
      </c>
      <c r="AL7">
        <v>2.0966663076018479</v>
      </c>
      <c r="AM7">
        <v>2.2786430508953281</v>
      </c>
      <c r="AN7">
        <v>2.103382405649473</v>
      </c>
      <c r="AO7">
        <v>0.83237405938990305</v>
      </c>
      <c r="AP7">
        <v>23.57</v>
      </c>
      <c r="AQ7">
        <v>24.41</v>
      </c>
      <c r="AR7">
        <v>0.4118502225678406</v>
      </c>
      <c r="AS7">
        <v>0.91143554199809462</v>
      </c>
      <c r="AT7">
        <v>10.132099999999999</v>
      </c>
      <c r="AU7">
        <v>118.1971164333662</v>
      </c>
      <c r="AV7">
        <v>6.5223975328643796E-2</v>
      </c>
      <c r="AW7">
        <v>6.07872487743027E-2</v>
      </c>
      <c r="AX7">
        <v>5.96506270650905E-2</v>
      </c>
      <c r="AY7">
        <v>7.4541291415409702E-2</v>
      </c>
      <c r="AZ7">
        <v>7.3424923271338399E-2</v>
      </c>
    </row>
    <row r="8" spans="1:52" x14ac:dyDescent="0.2">
      <c r="A8" t="s">
        <v>54</v>
      </c>
      <c r="B8" t="s">
        <v>52</v>
      </c>
      <c r="C8" t="str">
        <f t="shared" ca="1" si="0"/>
        <v/>
      </c>
      <c r="E8">
        <f>AND(AX8&lt;$C$1,averaged_runs370!AQ8&lt;$C$1,averaged_runs126!AQ8&lt;$C$1)*1</f>
        <v>0</v>
      </c>
      <c r="F8" s="2">
        <f>IF(TRUE,SQRT(averaged_runs126!AQ8^2/2+averaged_runs370!AQ8^2/2+AX8^2*0),"")</f>
        <v>0.23061438015868868</v>
      </c>
      <c r="G8" s="2"/>
      <c r="H8" s="2"/>
      <c r="I8" s="2"/>
      <c r="J8" t="s">
        <v>47</v>
      </c>
      <c r="K8">
        <v>9.32</v>
      </c>
      <c r="L8">
        <v>24.46</v>
      </c>
      <c r="M8">
        <v>1.5763385047118599E-2</v>
      </c>
      <c r="N8">
        <v>112.11335710109439</v>
      </c>
      <c r="O8">
        <v>0.31500000014528268</v>
      </c>
      <c r="P8">
        <v>0.43000000016701051</v>
      </c>
      <c r="Q8">
        <v>-0.6452289375638659</v>
      </c>
      <c r="R8">
        <v>0.31500000014528268</v>
      </c>
      <c r="S8">
        <v>0.43000000016701051</v>
      </c>
      <c r="T8">
        <v>0.31500000014528268</v>
      </c>
      <c r="U8">
        <v>0.43000000016701051</v>
      </c>
      <c r="V8">
        <v>2.7317445323190208</v>
      </c>
      <c r="W8">
        <v>6.0235763329411801E-2</v>
      </c>
      <c r="X8">
        <v>1.0480069401296799E-2</v>
      </c>
      <c r="Y8">
        <v>4.0835027596657802E-2</v>
      </c>
      <c r="Z8">
        <v>1.5763385047118599E-2</v>
      </c>
      <c r="AA8">
        <v>98.225899439317942</v>
      </c>
      <c r="AB8">
        <v>0.34500000014532811</v>
      </c>
      <c r="AC8">
        <v>0.46666666683347102</v>
      </c>
      <c r="AD8">
        <v>-0.96833333316730519</v>
      </c>
      <c r="AE8">
        <v>0.34500000014532811</v>
      </c>
      <c r="AF8">
        <v>0.46666666683347102</v>
      </c>
      <c r="AG8">
        <v>0.34500000014532811</v>
      </c>
      <c r="AH8">
        <v>0.46666666683347102</v>
      </c>
      <c r="AI8">
        <v>1.9340476189935361</v>
      </c>
      <c r="AJ8">
        <v>4.0835027596657802E-2</v>
      </c>
      <c r="AK8">
        <v>5.3977786651777278</v>
      </c>
      <c r="AL8">
        <v>6.2053783755490288</v>
      </c>
      <c r="AM8">
        <v>6.1416524690731169</v>
      </c>
      <c r="AN8">
        <v>6.5542457338229614</v>
      </c>
      <c r="AO8">
        <v>1.203327868606942</v>
      </c>
      <c r="AP8">
        <v>13.56</v>
      </c>
      <c r="AQ8">
        <v>14</v>
      </c>
      <c r="AR8">
        <v>5.9934122038971402E-2</v>
      </c>
      <c r="AS8">
        <v>0.1460611633062765</v>
      </c>
      <c r="AT8">
        <v>1.70804</v>
      </c>
      <c r="AU8">
        <v>187.71914750268289</v>
      </c>
      <c r="AV8">
        <v>5.8141163438072699E-2</v>
      </c>
      <c r="AW8">
        <v>5.6797018856679302E-2</v>
      </c>
      <c r="AX8">
        <v>6.18245219263392E-2</v>
      </c>
      <c r="AY8">
        <v>6.6056330882797706E-2</v>
      </c>
      <c r="AZ8">
        <v>6.6831760251953906E-2</v>
      </c>
    </row>
    <row r="9" spans="1:52" x14ac:dyDescent="0.2">
      <c r="A9" t="s">
        <v>55</v>
      </c>
      <c r="B9" t="s">
        <v>52</v>
      </c>
      <c r="C9" t="str">
        <f t="shared" ca="1" si="0"/>
        <v/>
      </c>
      <c r="E9">
        <f>AND(AX9&lt;$C$1,averaged_runs370!AQ9&lt;$C$1,averaged_runs126!AQ9&lt;$C$1)*1</f>
        <v>0</v>
      </c>
      <c r="F9" s="2">
        <f>IF(TRUE,SQRT(averaged_runs126!AQ9^2/2+averaged_runs370!AQ9^2/2+AX9^2*0),"")</f>
        <v>0.18079242454221855</v>
      </c>
      <c r="G9" s="2"/>
      <c r="H9" s="2"/>
      <c r="I9" s="2"/>
      <c r="J9" t="s">
        <v>47</v>
      </c>
      <c r="K9">
        <v>24.86</v>
      </c>
      <c r="L9">
        <v>65.599999999999994</v>
      </c>
      <c r="M9">
        <v>4.8653681866726002E-3</v>
      </c>
      <c r="N9">
        <v>57.838239081945453</v>
      </c>
      <c r="O9">
        <v>0.94666666681134304</v>
      </c>
      <c r="P9">
        <v>0.60166666683355285</v>
      </c>
      <c r="Q9">
        <v>-0.18165750899271771</v>
      </c>
      <c r="R9">
        <v>0.94666666681134304</v>
      </c>
      <c r="S9">
        <v>0.60166666683355285</v>
      </c>
      <c r="T9">
        <v>0.94666666681134304</v>
      </c>
      <c r="U9">
        <v>0.60166666683355285</v>
      </c>
      <c r="V9">
        <v>2.6074644984032478</v>
      </c>
      <c r="W9">
        <v>3.5928333352695803E-2</v>
      </c>
      <c r="X9">
        <v>-1.0032348870751E-3</v>
      </c>
      <c r="Y9">
        <v>3.4039933833463702E-2</v>
      </c>
      <c r="Z9">
        <v>4.8653681866726002E-3</v>
      </c>
      <c r="AA9">
        <v>19.114791614808119</v>
      </c>
      <c r="AB9">
        <v>0.97666666681138836</v>
      </c>
      <c r="AC9">
        <v>0.63833333350001342</v>
      </c>
      <c r="AD9">
        <v>-0.49833333316755207</v>
      </c>
      <c r="AE9">
        <v>0.97666666681138836</v>
      </c>
      <c r="AF9">
        <v>0.63833333350001342</v>
      </c>
      <c r="AG9">
        <v>0.97666666681138836</v>
      </c>
      <c r="AH9">
        <v>0.63833333350001342</v>
      </c>
      <c r="AI9">
        <v>1.4514285713814099</v>
      </c>
      <c r="AJ9">
        <v>3.4039933833463702E-2</v>
      </c>
      <c r="AK9">
        <v>7.6051472053299554</v>
      </c>
      <c r="AL9">
        <v>8.7446504495097432</v>
      </c>
      <c r="AM9">
        <v>8.1604185078644953</v>
      </c>
      <c r="AN9">
        <v>9.6588589956106201</v>
      </c>
      <c r="AO9">
        <v>0.51642694111368304</v>
      </c>
      <c r="AP9">
        <v>13.56</v>
      </c>
      <c r="AQ9">
        <v>14</v>
      </c>
      <c r="AR9">
        <v>2.6220633914890001E-4</v>
      </c>
      <c r="AS9">
        <v>5.5938012631238003E-3</v>
      </c>
      <c r="AT9">
        <v>2.07002</v>
      </c>
      <c r="AU9">
        <v>80.562602813734557</v>
      </c>
      <c r="AV9">
        <v>5.83326574910943E-2</v>
      </c>
      <c r="AW9">
        <v>5.3875809179652803E-2</v>
      </c>
      <c r="AX9">
        <v>5.6864151734293898E-2</v>
      </c>
      <c r="AY9">
        <v>6.2753007218237802E-2</v>
      </c>
      <c r="AZ9">
        <v>6.1647790144507802E-2</v>
      </c>
    </row>
    <row r="10" spans="1:52" x14ac:dyDescent="0.2">
      <c r="A10" t="s">
        <v>56</v>
      </c>
      <c r="B10" t="s">
        <v>52</v>
      </c>
      <c r="C10" t="str">
        <f t="shared" ca="1" si="0"/>
        <v/>
      </c>
      <c r="E10">
        <f>AND(AX10&lt;$C$1,averaged_runs370!AQ10&lt;$C$1,averaged_runs126!AQ10&lt;$C$1)*1</f>
        <v>0</v>
      </c>
      <c r="F10" s="2">
        <f>IF(TRUE,SQRT(averaged_runs126!AQ10^2/2+averaged_runs370!AQ10^2/2+AX10^2*0),"")</f>
        <v>0.38688191441695857</v>
      </c>
      <c r="G10" s="2"/>
      <c r="H10" s="2"/>
      <c r="I10" s="2"/>
      <c r="J10" t="s">
        <v>47</v>
      </c>
      <c r="K10">
        <v>119.68</v>
      </c>
      <c r="L10">
        <v>131.52000000000001</v>
      </c>
      <c r="M10">
        <v>-0.26133151845938579</v>
      </c>
      <c r="N10">
        <v>-2762.1689262715122</v>
      </c>
      <c r="O10">
        <v>14.77333333346545</v>
      </c>
      <c r="P10">
        <v>15.791666666819721</v>
      </c>
      <c r="Q10">
        <v>14.567060439717951</v>
      </c>
      <c r="R10">
        <v>14.77333333346545</v>
      </c>
      <c r="S10">
        <v>15.791666666819721</v>
      </c>
      <c r="T10">
        <v>14.77333333346545</v>
      </c>
      <c r="U10">
        <v>15.791666666819721</v>
      </c>
      <c r="V10">
        <v>14.67758530145306</v>
      </c>
      <c r="W10">
        <v>3.17808560134537E-2</v>
      </c>
      <c r="X10">
        <v>-0.1773015705945529</v>
      </c>
      <c r="Y10">
        <v>-0.25446109365053282</v>
      </c>
      <c r="Z10">
        <v>-0.26133151845938579</v>
      </c>
      <c r="AA10">
        <v>-2812.808183307603</v>
      </c>
      <c r="AB10">
        <v>14.803333333465501</v>
      </c>
      <c r="AC10">
        <v>15.82833333348618</v>
      </c>
      <c r="AD10">
        <v>14.554404762058221</v>
      </c>
      <c r="AE10">
        <v>14.803333333465501</v>
      </c>
      <c r="AF10">
        <v>15.82833333348618</v>
      </c>
      <c r="AG10">
        <v>14.803333333465501</v>
      </c>
      <c r="AH10">
        <v>15.82833333348618</v>
      </c>
      <c r="AI10">
        <v>14.554404762058221</v>
      </c>
      <c r="AJ10">
        <v>-0.25446109365053282</v>
      </c>
      <c r="AK10" s="1">
        <v>9.7039439588969392E-7</v>
      </c>
      <c r="AL10" s="1">
        <v>6.8004588520990542E-11</v>
      </c>
      <c r="AM10" s="1">
        <v>1.2754534003403131E-12</v>
      </c>
      <c r="AN10" s="1">
        <v>4.0067898939066864E-12</v>
      </c>
      <c r="AO10">
        <v>-20.53653189448212</v>
      </c>
      <c r="AP10">
        <v>13.54</v>
      </c>
      <c r="AQ10">
        <v>13.74</v>
      </c>
      <c r="AR10" s="1">
        <v>1.071092663589323E-16</v>
      </c>
      <c r="AS10" s="1">
        <v>1.080210856927838E-16</v>
      </c>
      <c r="AT10">
        <v>0.76528000000000007</v>
      </c>
      <c r="AU10">
        <v>-2895.6509971219789</v>
      </c>
      <c r="AV10">
        <v>0.221574509963023</v>
      </c>
      <c r="AW10">
        <v>0.26720818311395822</v>
      </c>
      <c r="AX10">
        <v>0.27638972637450682</v>
      </c>
      <c r="AY10">
        <v>0.26839381892725461</v>
      </c>
      <c r="AZ10">
        <v>0.27713201871599502</v>
      </c>
    </row>
    <row r="11" spans="1:52" x14ac:dyDescent="0.2">
      <c r="A11" t="s">
        <v>57</v>
      </c>
      <c r="B11" t="s">
        <v>52</v>
      </c>
      <c r="C11" t="str">
        <f t="shared" ca="1" si="0"/>
        <v/>
      </c>
      <c r="E11">
        <f>AND(AX11&lt;$C$1,averaged_runs370!AQ11&lt;$C$1,averaged_runs126!AQ11&lt;$C$1)*1</f>
        <v>0</v>
      </c>
      <c r="F11" s="2">
        <f>IF(TRUE,SQRT(averaged_runs126!AQ11^2/2+averaged_runs370!AQ11^2/2+AX11^2*0),"")</f>
        <v>8.6769308382550217E-2</v>
      </c>
      <c r="G11" s="2"/>
      <c r="H11" s="2"/>
      <c r="I11" s="2"/>
      <c r="J11" t="s">
        <v>47</v>
      </c>
      <c r="K11">
        <v>23.8</v>
      </c>
      <c r="L11">
        <v>91.32</v>
      </c>
      <c r="M11">
        <v>7.2308042606346906E-2</v>
      </c>
      <c r="N11">
        <v>35.061108721902919</v>
      </c>
      <c r="O11">
        <v>-4.3916666665170716</v>
      </c>
      <c r="P11">
        <v>-3.9824999998289652</v>
      </c>
      <c r="Q11">
        <v>-4.4832600730917944</v>
      </c>
      <c r="R11">
        <v>-4.4766666665169943</v>
      </c>
      <c r="S11">
        <v>-4.0349999998289148</v>
      </c>
      <c r="T11">
        <v>-4.4766666665169943</v>
      </c>
      <c r="U11">
        <v>-4.0349999998289148</v>
      </c>
      <c r="V11">
        <v>5.160814097059216</v>
      </c>
      <c r="W11">
        <v>5.0127230900367997E-2</v>
      </c>
      <c r="X11">
        <v>3.1414136289409499E-2</v>
      </c>
      <c r="Y11">
        <v>7.3613094955370301E-2</v>
      </c>
      <c r="Z11">
        <v>7.2308042606347003E-2</v>
      </c>
      <c r="AA11">
        <v>-8.7166270508289312</v>
      </c>
      <c r="AB11">
        <v>-4.3616666665170261</v>
      </c>
      <c r="AC11">
        <v>-3.9458333331625051</v>
      </c>
      <c r="AD11">
        <v>-4.5186904760212148</v>
      </c>
      <c r="AE11">
        <v>-4.4466666665169488</v>
      </c>
      <c r="AF11">
        <v>-3.9983333331624551</v>
      </c>
      <c r="AG11">
        <v>-4.4233333331836366</v>
      </c>
      <c r="AH11">
        <v>-3.893333333162555</v>
      </c>
      <c r="AI11">
        <v>4.5841666665100487</v>
      </c>
      <c r="AJ11">
        <v>7.3613094955370301E-2</v>
      </c>
      <c r="AK11">
        <v>2.5516916521893021</v>
      </c>
      <c r="AL11">
        <v>3.0833669101785421</v>
      </c>
      <c r="AM11">
        <v>2.7022597026344868</v>
      </c>
      <c r="AN11">
        <v>2.375261626912716</v>
      </c>
      <c r="AO11">
        <v>0.58245117916059796</v>
      </c>
      <c r="AP11">
        <v>14.112</v>
      </c>
      <c r="AQ11">
        <v>14.632</v>
      </c>
      <c r="AR11">
        <v>3.4689385955941503E-2</v>
      </c>
      <c r="AS11">
        <v>7.0498763137486098E-2</v>
      </c>
      <c r="AT11">
        <v>3.0484599999999999</v>
      </c>
      <c r="AU11">
        <v>82.125616261644325</v>
      </c>
      <c r="AV11">
        <v>8.3762639676407499E-2</v>
      </c>
      <c r="AW11">
        <v>8.5811067533146296E-2</v>
      </c>
      <c r="AX11">
        <v>8.7840559282344396E-2</v>
      </c>
      <c r="AY11">
        <v>9.68711686891785E-2</v>
      </c>
      <c r="AZ11">
        <v>9.7034364167692899E-2</v>
      </c>
    </row>
    <row r="12" spans="1:52" x14ac:dyDescent="0.2">
      <c r="A12" t="s">
        <v>58</v>
      </c>
      <c r="B12" t="s">
        <v>52</v>
      </c>
      <c r="C12" t="str">
        <f t="shared" ca="1" si="0"/>
        <v/>
      </c>
      <c r="E12">
        <f>AND(AX12&lt;$C$1,averaged_runs370!AQ12&lt;$C$1,averaged_runs126!AQ12&lt;$C$1)*1</f>
        <v>0</v>
      </c>
      <c r="F12" s="2">
        <f>IF(TRUE,SQRT(averaged_runs126!AQ12^2/2+averaged_runs370!AQ12^2/2+AX12^2*0),"")</f>
        <v>0.27033028395552555</v>
      </c>
      <c r="G12" s="2" t="str">
        <f>IF(E12,averaged_runs126!AP11,"")</f>
        <v/>
      </c>
      <c r="H12" s="2" t="str">
        <f>IF(E12,AW12,"")</f>
        <v/>
      </c>
      <c r="I12" s="2" t="str">
        <f>IF(E12,averaged_runs370!AP11,"")</f>
        <v/>
      </c>
      <c r="J12" t="s">
        <v>47</v>
      </c>
      <c r="K12">
        <v>33.020000000000003</v>
      </c>
      <c r="L12">
        <v>81.180000000000007</v>
      </c>
      <c r="M12">
        <v>-1.7170924957490601E-2</v>
      </c>
      <c r="N12">
        <v>-10.38401081802378</v>
      </c>
      <c r="O12">
        <v>1.1316666668111881</v>
      </c>
      <c r="P12">
        <v>1.9083333334990129</v>
      </c>
      <c r="Q12">
        <v>0.79717032983490344</v>
      </c>
      <c r="R12">
        <v>1.1316666668111881</v>
      </c>
      <c r="S12">
        <v>1.9083333334990129</v>
      </c>
      <c r="T12">
        <v>1.1316666668111881</v>
      </c>
      <c r="U12">
        <v>1.9083333334990129</v>
      </c>
      <c r="V12">
        <v>3.1506196786115832</v>
      </c>
      <c r="W12">
        <v>3.6615848958831701E-2</v>
      </c>
      <c r="X12">
        <v>-1.5958382303109999E-2</v>
      </c>
      <c r="Y12">
        <v>1.03482774731391E-2</v>
      </c>
      <c r="Z12">
        <v>-1.7170924957490601E-2</v>
      </c>
      <c r="AA12">
        <v>-37.409047002083817</v>
      </c>
      <c r="AB12">
        <v>1.1616666668112341</v>
      </c>
      <c r="AC12">
        <v>1.945000000165473</v>
      </c>
      <c r="AD12">
        <v>0.486785714451202</v>
      </c>
      <c r="AE12">
        <v>1.1616666668112341</v>
      </c>
      <c r="AF12">
        <v>1.945000000165473</v>
      </c>
      <c r="AG12">
        <v>1.1616666668112341</v>
      </c>
      <c r="AH12">
        <v>1.945000000165473</v>
      </c>
      <c r="AI12">
        <v>1.8220238095755961</v>
      </c>
      <c r="AJ12">
        <v>1.03482774731391E-2</v>
      </c>
      <c r="AK12">
        <v>5.422934253602941</v>
      </c>
      <c r="AL12">
        <v>5.6121797337399668</v>
      </c>
      <c r="AM12">
        <v>5.7011622862071247</v>
      </c>
      <c r="AN12">
        <v>5.4487195589150419</v>
      </c>
      <c r="AO12">
        <v>0.48187783601187539</v>
      </c>
      <c r="AP12">
        <v>13.56</v>
      </c>
      <c r="AQ12">
        <v>14</v>
      </c>
      <c r="AR12">
        <v>4.3433348262067002E-3</v>
      </c>
      <c r="AS12">
        <v>2.7364613804174698E-2</v>
      </c>
      <c r="AT12">
        <v>2.1061999999999999</v>
      </c>
      <c r="AU12">
        <v>75.172942417852568</v>
      </c>
      <c r="AV12">
        <v>6.7066301508137E-2</v>
      </c>
      <c r="AW12">
        <v>7.1212754195910499E-2</v>
      </c>
      <c r="AX12">
        <v>6.7585355647627604E-2</v>
      </c>
      <c r="AY12">
        <v>7.6679243871692504E-2</v>
      </c>
      <c r="AZ12">
        <v>6.9316195429191693E-2</v>
      </c>
    </row>
    <row r="13" spans="1:52" x14ac:dyDescent="0.2">
      <c r="A13" t="s">
        <v>59</v>
      </c>
      <c r="B13" t="s">
        <v>60</v>
      </c>
      <c r="C13">
        <f t="shared" ca="1" si="0"/>
        <v>9</v>
      </c>
      <c r="D13">
        <v>15</v>
      </c>
      <c r="E13">
        <f>AND(AX13&lt;$C$1,averaged_runs370!AQ13&lt;$C$1,averaged_runs126!AQ13&lt;$C$1)*1</f>
        <v>1</v>
      </c>
      <c r="F13" s="2">
        <f>IF(TRUE,SQRT(averaged_runs126!AQ13^2/2+averaged_runs370!AQ13^2/2+AX13^2*0),"")</f>
        <v>5.3572969358517214E-2</v>
      </c>
      <c r="G13" s="2">
        <f>IF(E13,averaged_runs126!AQ13,"")</f>
        <v>5.4974864609975603E-2</v>
      </c>
      <c r="H13" s="2">
        <f t="shared" ref="H13:H34" si="1">IF(E13,AX13,"")</f>
        <v>5.3863839374024197E-2</v>
      </c>
      <c r="I13" s="2">
        <f>IF(E13,averaged_runs370!AQ13,"")</f>
        <v>5.2133390000000002E-2</v>
      </c>
      <c r="J13" t="s">
        <v>47</v>
      </c>
      <c r="K13">
        <v>5.74</v>
      </c>
      <c r="L13">
        <v>31.54</v>
      </c>
      <c r="M13">
        <v>6.4456428878907996E-3</v>
      </c>
      <c r="N13">
        <v>126.5532776778383</v>
      </c>
      <c r="O13">
        <v>0.1908333334786918</v>
      </c>
      <c r="P13">
        <v>-0.6694444442764218</v>
      </c>
      <c r="Q13">
        <v>-0.22955967626827081</v>
      </c>
      <c r="R13">
        <v>-0.54666666652064122</v>
      </c>
      <c r="S13">
        <v>-1.454999999831261</v>
      </c>
      <c r="T13">
        <v>0.22166666681199779</v>
      </c>
      <c r="U13">
        <v>-0.86999999983178899</v>
      </c>
      <c r="V13">
        <v>2.0126308330945291</v>
      </c>
      <c r="W13">
        <v>5.8315207148338703E-2</v>
      </c>
      <c r="X13">
        <v>-1.8114127022966001E-3</v>
      </c>
      <c r="Y13">
        <v>8.8992033243177997E-3</v>
      </c>
      <c r="Z13">
        <v>6.4456428878909003E-3</v>
      </c>
      <c r="AA13">
        <v>92.9899575365381</v>
      </c>
      <c r="AB13">
        <v>0.22083333347873729</v>
      </c>
      <c r="AC13">
        <v>-0.63277777760996134</v>
      </c>
      <c r="AD13">
        <v>-0.31903769824517841</v>
      </c>
      <c r="AE13">
        <v>-0.51666666652059579</v>
      </c>
      <c r="AF13">
        <v>-1.4183333331648009</v>
      </c>
      <c r="AG13">
        <v>0.37000000014527368</v>
      </c>
      <c r="AH13">
        <v>-1.1549999998317071</v>
      </c>
      <c r="AI13">
        <v>1.3472519840996571</v>
      </c>
      <c r="AJ13">
        <v>8.8992033243177997E-3</v>
      </c>
      <c r="AK13">
        <v>4.4774012637422276</v>
      </c>
      <c r="AL13">
        <v>3.9537691989014232</v>
      </c>
      <c r="AM13">
        <v>5.0718088657729163</v>
      </c>
      <c r="AN13">
        <v>5.1720804376383596</v>
      </c>
      <c r="AO13">
        <v>1.173944405443252</v>
      </c>
      <c r="AP13">
        <v>18.37</v>
      </c>
      <c r="AQ13">
        <v>19.11</v>
      </c>
      <c r="AR13">
        <v>0.12771396914616021</v>
      </c>
      <c r="AS13">
        <v>0.22792735074810119</v>
      </c>
      <c r="AT13">
        <v>5.7125599999999999</v>
      </c>
      <c r="AU13">
        <v>266.48538003561828</v>
      </c>
      <c r="AV13">
        <v>6.6750262658773707E-2</v>
      </c>
      <c r="AW13">
        <v>5.7491124263331E-2</v>
      </c>
      <c r="AX13">
        <v>5.3863839374024197E-2</v>
      </c>
      <c r="AY13">
        <v>7.4454188461713297E-2</v>
      </c>
      <c r="AZ13">
        <v>7.1320253557555099E-2</v>
      </c>
    </row>
    <row r="14" spans="1:52" x14ac:dyDescent="0.2">
      <c r="A14" t="s">
        <v>61</v>
      </c>
      <c r="B14" t="s">
        <v>60</v>
      </c>
      <c r="C14" t="str">
        <f t="shared" ca="1" si="0"/>
        <v/>
      </c>
      <c r="E14">
        <f>AND(AX14&lt;$C$1,averaged_runs370!AQ14&lt;$C$1,averaged_runs126!AQ14&lt;$C$1)*1</f>
        <v>1</v>
      </c>
      <c r="F14" s="2">
        <f>IF(TRUE,SQRT(averaged_runs126!AQ14^2/2+averaged_runs370!AQ14^2/2+AX14^2*0),"")</f>
        <v>4.7945421298039914E-2</v>
      </c>
      <c r="G14" s="2">
        <f>IF(E14,averaged_runs126!AQ14,"")</f>
        <v>4.94894685634421E-2</v>
      </c>
      <c r="H14" s="2">
        <f t="shared" si="1"/>
        <v>4.1947523767869803E-2</v>
      </c>
      <c r="I14" s="2">
        <f>IF(E14,averaged_runs370!AQ14,"")</f>
        <v>4.6349965999999999E-2</v>
      </c>
      <c r="J14" t="s">
        <v>47</v>
      </c>
      <c r="K14">
        <v>4.3600000000000003</v>
      </c>
      <c r="L14">
        <v>30.12</v>
      </c>
      <c r="M14">
        <v>6.1584544321272999E-3</v>
      </c>
      <c r="N14">
        <v>155.58585440688341</v>
      </c>
      <c r="O14">
        <v>0.80916666681146576</v>
      </c>
      <c r="P14">
        <v>-0.82749999983183442</v>
      </c>
      <c r="Q14">
        <v>-0.54364926723287887</v>
      </c>
      <c r="R14">
        <v>0.71000000014489162</v>
      </c>
      <c r="S14">
        <v>-0.8683333331651284</v>
      </c>
      <c r="T14">
        <v>0.90833333347804002</v>
      </c>
      <c r="U14">
        <v>-0.78666666649854056</v>
      </c>
      <c r="V14">
        <v>2.3076840153060449</v>
      </c>
      <c r="W14">
        <v>4.4016722793026701E-2</v>
      </c>
      <c r="X14">
        <v>-4.8702144242130001E-3</v>
      </c>
      <c r="Y14">
        <v>2.0527255219797699E-2</v>
      </c>
      <c r="Z14">
        <v>6.1584544321272999E-3</v>
      </c>
      <c r="AA14">
        <v>109.54081854130951</v>
      </c>
      <c r="AB14">
        <v>0.83916666681151131</v>
      </c>
      <c r="AC14">
        <v>-0.79083333316537396</v>
      </c>
      <c r="AD14">
        <v>-0.6090476188799866</v>
      </c>
      <c r="AE14">
        <v>0.74000000014493705</v>
      </c>
      <c r="AF14">
        <v>-0.83166666649866783</v>
      </c>
      <c r="AG14">
        <v>0.85333333347816731</v>
      </c>
      <c r="AH14">
        <v>-0.74999999983207999</v>
      </c>
      <c r="AI14">
        <v>1.410317460270214</v>
      </c>
      <c r="AJ14">
        <v>2.0527255219797799E-2</v>
      </c>
      <c r="AK14">
        <v>5.605067644361263</v>
      </c>
      <c r="AL14">
        <v>4.7312608437837156</v>
      </c>
      <c r="AM14">
        <v>6.321368479446078</v>
      </c>
      <c r="AN14">
        <v>6.588799334626378</v>
      </c>
      <c r="AO14">
        <v>1.4623069316723181</v>
      </c>
      <c r="AP14">
        <v>14.632</v>
      </c>
      <c r="AQ14">
        <v>15.252000000000001</v>
      </c>
      <c r="AR14">
        <v>0.1599245813423161</v>
      </c>
      <c r="AS14">
        <v>0.20983237224646109</v>
      </c>
      <c r="AT14">
        <v>2.97912</v>
      </c>
      <c r="AU14">
        <v>310.00906951453152</v>
      </c>
      <c r="AV14">
        <v>5.29254635473086E-2</v>
      </c>
      <c r="AW14">
        <v>4.3208599840796502E-2</v>
      </c>
      <c r="AX14">
        <v>4.1947523767869803E-2</v>
      </c>
      <c r="AY14">
        <v>6.0780724480303E-2</v>
      </c>
      <c r="AZ14">
        <v>5.8603537004123803E-2</v>
      </c>
    </row>
    <row r="15" spans="1:52" x14ac:dyDescent="0.2">
      <c r="A15" t="s">
        <v>62</v>
      </c>
      <c r="B15" t="s">
        <v>60</v>
      </c>
      <c r="C15" t="str">
        <f t="shared" ca="1" si="0"/>
        <v/>
      </c>
      <c r="E15">
        <f>AND(AX15&lt;$C$1,averaged_runs370!AQ15&lt;$C$1,averaged_runs126!AQ15&lt;$C$1)*1</f>
        <v>1</v>
      </c>
      <c r="F15" s="2">
        <f>IF(TRUE,SQRT(averaged_runs126!AQ15^2/2+averaged_runs370!AQ15^2/2+AX15^2*0),"")</f>
        <v>4.7945421298039914E-2</v>
      </c>
      <c r="G15" s="2">
        <f>IF(E15,averaged_runs126!AQ15,"")</f>
        <v>4.94894685634421E-2</v>
      </c>
      <c r="H15" s="2">
        <f t="shared" si="1"/>
        <v>4.1947523767869803E-2</v>
      </c>
      <c r="I15" s="2">
        <f>IF(E15,averaged_runs370!AQ15,"")</f>
        <v>4.6349965999999999E-2</v>
      </c>
      <c r="J15" t="s">
        <v>47</v>
      </c>
      <c r="K15">
        <v>12.24</v>
      </c>
      <c r="L15">
        <v>55.8</v>
      </c>
      <c r="M15">
        <v>-1.7191754809933599E-2</v>
      </c>
      <c r="N15">
        <v>109.5899038760805</v>
      </c>
      <c r="O15">
        <v>0.80916666681146576</v>
      </c>
      <c r="P15">
        <v>-0.82749999983183442</v>
      </c>
      <c r="Q15">
        <v>-9.0062576146606704E-2</v>
      </c>
      <c r="R15">
        <v>0.71000000014489162</v>
      </c>
      <c r="S15">
        <v>-0.8683333331651284</v>
      </c>
      <c r="T15">
        <v>0.90833333347804002</v>
      </c>
      <c r="U15">
        <v>-0.78666666649854056</v>
      </c>
      <c r="V15">
        <v>2.3562480206311252</v>
      </c>
      <c r="W15">
        <v>4.4016722793026701E-2</v>
      </c>
      <c r="X15">
        <v>-1.48931815988713E-2</v>
      </c>
      <c r="Y15">
        <v>2.0527255219797699E-2</v>
      </c>
      <c r="Z15">
        <v>-1.71917548099337E-2</v>
      </c>
      <c r="AA15">
        <v>83.785580978282226</v>
      </c>
      <c r="AB15">
        <v>0.83916666681151131</v>
      </c>
      <c r="AC15">
        <v>-0.79083333316537396</v>
      </c>
      <c r="AD15">
        <v>-0.16460317443595249</v>
      </c>
      <c r="AE15">
        <v>0.74000000014493705</v>
      </c>
      <c r="AF15">
        <v>-0.83166666649866783</v>
      </c>
      <c r="AG15">
        <v>0.85333333347816731</v>
      </c>
      <c r="AH15">
        <v>-0.74999999983207999</v>
      </c>
      <c r="AI15">
        <v>1.1763492063289649</v>
      </c>
      <c r="AJ15">
        <v>2.0527255219797799E-2</v>
      </c>
      <c r="AK15">
        <v>5.605067644361263</v>
      </c>
      <c r="AL15">
        <v>4.7312608437837156</v>
      </c>
      <c r="AM15">
        <v>6.321368479446078</v>
      </c>
      <c r="AN15">
        <v>6.588799334626378</v>
      </c>
      <c r="AO15">
        <v>1.245344900866644</v>
      </c>
      <c r="AP15">
        <v>14.632</v>
      </c>
      <c r="AQ15">
        <v>15.252000000000001</v>
      </c>
      <c r="AR15">
        <v>6.4912604946277097E-2</v>
      </c>
      <c r="AS15">
        <v>9.5806568074965695E-2</v>
      </c>
      <c r="AT15">
        <v>3.1491199999999999</v>
      </c>
      <c r="AU15">
        <v>264.01311898372859</v>
      </c>
      <c r="AV15">
        <v>6.1937156396525098E-2</v>
      </c>
      <c r="AW15">
        <v>6.5409787895942803E-2</v>
      </c>
      <c r="AX15">
        <v>4.1947523767869803E-2</v>
      </c>
      <c r="AY15">
        <v>7.1030569423789894E-2</v>
      </c>
      <c r="AZ15">
        <v>5.8603537004123803E-2</v>
      </c>
    </row>
    <row r="16" spans="1:52" x14ac:dyDescent="0.2">
      <c r="A16" t="s">
        <v>63</v>
      </c>
      <c r="B16" t="s">
        <v>60</v>
      </c>
      <c r="C16" t="str">
        <f t="shared" ca="1" si="0"/>
        <v/>
      </c>
      <c r="E16">
        <f>AND(AX16&lt;$C$1,averaged_runs370!AQ16&lt;$C$1,averaged_runs126!AQ16&lt;$C$1)*1</f>
        <v>0</v>
      </c>
      <c r="F16" s="2">
        <f>IF(TRUE,SQRT(averaged_runs126!AQ16^2/2+averaged_runs370!AQ16^2/2+AX16^2*0),"")</f>
        <v>5.620985933156579E-2</v>
      </c>
      <c r="G16" s="2" t="str">
        <f>IF(E16,averaged_runs126!AQ16,"")</f>
        <v/>
      </c>
      <c r="H16" s="2" t="str">
        <f t="shared" si="1"/>
        <v/>
      </c>
      <c r="I16" s="2" t="str">
        <f>IF(E16,averaged_runs370!AQ16,"")</f>
        <v/>
      </c>
      <c r="J16" t="s">
        <v>47</v>
      </c>
      <c r="K16">
        <v>0.96</v>
      </c>
      <c r="L16">
        <v>8.16</v>
      </c>
      <c r="M16">
        <v>9.315145801711E-4</v>
      </c>
      <c r="N16">
        <v>155.67603531254699</v>
      </c>
      <c r="O16">
        <v>0.73833333347821284</v>
      </c>
      <c r="P16">
        <v>-0.59166666649871635</v>
      </c>
      <c r="Q16">
        <v>-0.45954517687951918</v>
      </c>
      <c r="R16">
        <v>0.73833333347821284</v>
      </c>
      <c r="S16">
        <v>-0.66333333316531939</v>
      </c>
      <c r="T16">
        <v>0.73833333347821284</v>
      </c>
      <c r="U16">
        <v>-0.66333333316531939</v>
      </c>
      <c r="V16">
        <v>2.1947180163763642</v>
      </c>
      <c r="W16">
        <v>6.0448441961629899E-2</v>
      </c>
      <c r="X16">
        <v>-1.0659426724723401E-2</v>
      </c>
      <c r="Y16">
        <v>2.7772774040698899E-2</v>
      </c>
      <c r="Z16">
        <v>9.3151458017119997E-4</v>
      </c>
      <c r="AA16">
        <v>108.838613462973</v>
      </c>
      <c r="AB16">
        <v>0.76833333347825827</v>
      </c>
      <c r="AC16">
        <v>-0.5549999998322559</v>
      </c>
      <c r="AD16">
        <v>-0.61521825380136941</v>
      </c>
      <c r="AE16">
        <v>0.76833333347825827</v>
      </c>
      <c r="AF16">
        <v>-0.62666666649885883</v>
      </c>
      <c r="AG16">
        <v>0.76833333347825827</v>
      </c>
      <c r="AH16">
        <v>-0.62666666649885883</v>
      </c>
      <c r="AI16">
        <v>1.364623015832553</v>
      </c>
      <c r="AJ16">
        <v>2.7772774040698899E-2</v>
      </c>
      <c r="AK16">
        <v>6.6665503908078119</v>
      </c>
      <c r="AL16">
        <v>6.1292383932171504</v>
      </c>
      <c r="AM16">
        <v>7.5931657957189342</v>
      </c>
      <c r="AN16">
        <v>8.5830942417197917</v>
      </c>
      <c r="AO16">
        <v>1.4708011472265641</v>
      </c>
      <c r="AP16">
        <v>13.86</v>
      </c>
      <c r="AQ16">
        <v>14.42</v>
      </c>
      <c r="AR16">
        <v>0.3990413334555864</v>
      </c>
      <c r="AS16">
        <v>0.50120509056737417</v>
      </c>
      <c r="AT16">
        <v>2.5260799999999999</v>
      </c>
      <c r="AU16">
        <v>339.75506500933619</v>
      </c>
      <c r="AV16">
        <v>5.2121950811603701E-2</v>
      </c>
      <c r="AW16">
        <v>4.2915695970489498E-2</v>
      </c>
      <c r="AX16">
        <v>3.9870843780581297E-2</v>
      </c>
      <c r="AY16">
        <v>5.8395826166338503E-2</v>
      </c>
      <c r="AZ16">
        <v>5.4174909847938699E-2</v>
      </c>
    </row>
    <row r="17" spans="1:52" x14ac:dyDescent="0.2">
      <c r="A17" t="s">
        <v>64</v>
      </c>
      <c r="B17" t="s">
        <v>60</v>
      </c>
      <c r="C17" t="str">
        <f t="shared" ca="1" si="0"/>
        <v/>
      </c>
      <c r="E17">
        <f>AND(AX17&lt;$C$1,averaged_runs370!AQ17&lt;$C$1,averaged_runs126!AQ17&lt;$C$1)*1</f>
        <v>0</v>
      </c>
      <c r="F17" s="2">
        <f>IF(TRUE,SQRT(averaged_runs126!AQ17^2/2+averaged_runs370!AQ17^2/2+AX17^2*0),"")</f>
        <v>8.1845093792020041E-2</v>
      </c>
      <c r="G17" s="2" t="str">
        <f>IF(E17,averaged_runs126!AQ17,"")</f>
        <v/>
      </c>
      <c r="H17" s="2" t="str">
        <f t="shared" si="1"/>
        <v/>
      </c>
      <c r="I17" s="2" t="str">
        <f>IF(E17,averaged_runs370!AQ17,"")</f>
        <v/>
      </c>
      <c r="J17" t="s">
        <v>47</v>
      </c>
      <c r="K17">
        <v>84.36</v>
      </c>
      <c r="L17">
        <v>149.36000000000001</v>
      </c>
      <c r="M17">
        <v>5.5550459715034998E-3</v>
      </c>
      <c r="N17">
        <v>-223.65601475219481</v>
      </c>
      <c r="O17">
        <v>0.10166666681213581</v>
      </c>
      <c r="P17">
        <v>-0.36861111094335841</v>
      </c>
      <c r="Q17">
        <v>-0.13341254562103591</v>
      </c>
      <c r="R17">
        <v>-1.766666666519513</v>
      </c>
      <c r="S17">
        <v>-2.9383333331632371</v>
      </c>
      <c r="T17">
        <v>-0.35499999985411701</v>
      </c>
      <c r="U17">
        <v>-0.43666666649884972</v>
      </c>
      <c r="V17">
        <v>2.1521846645094351</v>
      </c>
      <c r="W17">
        <v>4.7098951436158498E-2</v>
      </c>
      <c r="X17">
        <v>-1.3922827429668E-3</v>
      </c>
      <c r="Y17">
        <v>5.0643845200538003E-3</v>
      </c>
      <c r="Z17">
        <v>5.5550459715036004E-3</v>
      </c>
      <c r="AA17">
        <v>-337.43907692470577</v>
      </c>
      <c r="AB17">
        <v>0.1316666668121812</v>
      </c>
      <c r="AC17">
        <v>-0.3319444442768979</v>
      </c>
      <c r="AD17">
        <v>-0.28455357126106812</v>
      </c>
      <c r="AE17">
        <v>-1.7366666665194681</v>
      </c>
      <c r="AF17">
        <v>-2.9016666664967761</v>
      </c>
      <c r="AG17">
        <v>-0.20166666652085949</v>
      </c>
      <c r="AH17">
        <v>-0.65666666649883165</v>
      </c>
      <c r="AI17">
        <v>1.3956249999593571</v>
      </c>
      <c r="AJ17">
        <v>5.0643845200538003E-3</v>
      </c>
      <c r="AK17">
        <v>4.2250093221778524</v>
      </c>
      <c r="AL17">
        <v>2.8820733594413421</v>
      </c>
      <c r="AM17">
        <v>5.3028597399675608</v>
      </c>
      <c r="AN17">
        <v>3.7540734627793189</v>
      </c>
      <c r="AO17">
        <v>-1.409896612500646</v>
      </c>
      <c r="AP17">
        <v>25.79</v>
      </c>
      <c r="AQ17">
        <v>26.83</v>
      </c>
      <c r="AR17" s="1">
        <v>5.0615656754361672E-10</v>
      </c>
      <c r="AS17" s="1">
        <v>6.1989858837785478E-7</v>
      </c>
      <c r="AT17">
        <v>10.37252</v>
      </c>
      <c r="AU17">
        <v>-325.68611748764908</v>
      </c>
      <c r="AV17">
        <v>9.31592459680472E-2</v>
      </c>
      <c r="AW17">
        <v>8.4954114785455406E-2</v>
      </c>
      <c r="AX17">
        <v>8.0979798546311196E-2</v>
      </c>
      <c r="AY17">
        <v>9.4284202460599306E-2</v>
      </c>
      <c r="AZ17">
        <v>9.0706026255386304E-2</v>
      </c>
    </row>
    <row r="18" spans="1:52" x14ac:dyDescent="0.2">
      <c r="A18" t="s">
        <v>65</v>
      </c>
      <c r="B18" t="s">
        <v>60</v>
      </c>
      <c r="C18" t="str">
        <f t="shared" ca="1" si="0"/>
        <v/>
      </c>
      <c r="E18">
        <f>AND(AX18&lt;$C$1,averaged_runs370!AQ18&lt;$C$1,averaged_runs126!AQ18&lt;$C$1)*1</f>
        <v>1</v>
      </c>
      <c r="F18" s="2">
        <f>IF(TRUE,SQRT(averaged_runs126!AQ18^2/2+averaged_runs370!AQ18^2/2+AX18^2*0),"")</f>
        <v>5.2501912121330811E-2</v>
      </c>
      <c r="G18" s="2">
        <f>IF(E18,averaged_runs126!AQ18,"")</f>
        <v>5.40012572643827E-2</v>
      </c>
      <c r="H18" s="2">
        <f t="shared" si="1"/>
        <v>5.2735460139031999E-2</v>
      </c>
      <c r="I18" s="2">
        <f>IF(E18,averaged_runs370!AQ18,"")</f>
        <v>5.0958470999999998E-2</v>
      </c>
      <c r="J18" t="s">
        <v>47</v>
      </c>
      <c r="K18">
        <v>64.72</v>
      </c>
      <c r="L18">
        <v>133.44</v>
      </c>
      <c r="M18">
        <v>6.5469650121834002E-3</v>
      </c>
      <c r="N18">
        <v>-32.270382898411242</v>
      </c>
      <c r="O18">
        <v>0.37666666681189631</v>
      </c>
      <c r="P18">
        <v>-0.82249999983186628</v>
      </c>
      <c r="Q18">
        <v>-0.2124595541681229</v>
      </c>
      <c r="R18">
        <v>-0.13499999985430799</v>
      </c>
      <c r="S18">
        <v>-1.593333333164501</v>
      </c>
      <c r="T18">
        <v>0.53833333347841295</v>
      </c>
      <c r="U18">
        <v>-1.3433333331647279</v>
      </c>
      <c r="V18">
        <v>1.9283384595574811</v>
      </c>
      <c r="W18">
        <v>3.9862296257015602E-2</v>
      </c>
      <c r="X18">
        <v>-2.0072139904017002E-3</v>
      </c>
      <c r="Y18">
        <v>8.9164271354674005E-3</v>
      </c>
      <c r="Z18">
        <v>6.5469650121834999E-3</v>
      </c>
      <c r="AA18">
        <v>-242.06018081711991</v>
      </c>
      <c r="AB18">
        <v>0.40666666681194169</v>
      </c>
      <c r="AC18">
        <v>-0.78583333316540571</v>
      </c>
      <c r="AD18">
        <v>-0.28519841253081968</v>
      </c>
      <c r="AE18">
        <v>-0.1049999998542626</v>
      </c>
      <c r="AF18">
        <v>-1.55666666649804</v>
      </c>
      <c r="AG18">
        <v>0.52333333347850386</v>
      </c>
      <c r="AH18">
        <v>-1.306666666498268</v>
      </c>
      <c r="AI18">
        <v>1.378432539655303</v>
      </c>
      <c r="AJ18">
        <v>8.9164271354674994E-3</v>
      </c>
      <c r="AK18">
        <v>5.6137635208399441</v>
      </c>
      <c r="AL18">
        <v>4.3234988900975084</v>
      </c>
      <c r="AM18">
        <v>7.5396354065744102</v>
      </c>
      <c r="AN18">
        <v>6.1181489250227044</v>
      </c>
      <c r="AO18">
        <v>-1.9441408896551601E-2</v>
      </c>
      <c r="AP18">
        <v>18.378</v>
      </c>
      <c r="AQ18">
        <v>19.058</v>
      </c>
      <c r="AR18" s="1">
        <v>2.06214612451338E-5</v>
      </c>
      <c r="AS18">
        <v>4.871966121452E-4</v>
      </c>
      <c r="AT18">
        <v>5.5590799999999998</v>
      </c>
      <c r="AU18">
        <v>-4.4909654551034262</v>
      </c>
      <c r="AV18">
        <v>6.5329564551310296E-2</v>
      </c>
      <c r="AW18">
        <v>5.5764974147423201E-2</v>
      </c>
      <c r="AX18">
        <v>5.2735460139031999E-2</v>
      </c>
      <c r="AY18">
        <v>7.2394362663987105E-2</v>
      </c>
      <c r="AZ18">
        <v>6.9758676782031306E-2</v>
      </c>
    </row>
    <row r="19" spans="1:52" x14ac:dyDescent="0.2">
      <c r="A19" t="s">
        <v>66</v>
      </c>
      <c r="B19" t="s">
        <v>60</v>
      </c>
      <c r="C19" t="str">
        <f t="shared" ca="1" si="0"/>
        <v/>
      </c>
      <c r="E19">
        <f>AND(AX19&lt;$C$1,averaged_runs370!AQ19&lt;$C$1,averaged_runs126!AQ19&lt;$C$1)*1</f>
        <v>1</v>
      </c>
      <c r="F19" s="2">
        <f>IF(TRUE,SQRT(averaged_runs126!AQ19^2/2+averaged_runs370!AQ19^2/2+AX19^2*0),"")</f>
        <v>5.2501912121330811E-2</v>
      </c>
      <c r="G19" s="2">
        <f>IF(E19,averaged_runs126!AQ19,"")</f>
        <v>5.40012572643827E-2</v>
      </c>
      <c r="H19" s="2">
        <f t="shared" si="1"/>
        <v>5.2735460139031999E-2</v>
      </c>
      <c r="I19" s="2">
        <f>IF(E19,averaged_runs370!AQ19,"")</f>
        <v>5.0958470999999998E-2</v>
      </c>
      <c r="J19" t="s">
        <v>47</v>
      </c>
      <c r="K19">
        <v>51.54</v>
      </c>
      <c r="L19">
        <v>117.04</v>
      </c>
      <c r="M19">
        <v>6.5469650121834002E-3</v>
      </c>
      <c r="N19">
        <v>20.821307684266252</v>
      </c>
      <c r="O19">
        <v>0.37333333347855691</v>
      </c>
      <c r="P19">
        <v>-0.8180555553874137</v>
      </c>
      <c r="Q19">
        <v>-0.21216193512049911</v>
      </c>
      <c r="R19">
        <v>-0.1383333331876474</v>
      </c>
      <c r="S19">
        <v>-1.588333333164492</v>
      </c>
      <c r="T19">
        <v>0.53500000014507354</v>
      </c>
      <c r="U19">
        <v>-1.339999999831389</v>
      </c>
      <c r="V19">
        <v>1.924478827651908</v>
      </c>
      <c r="W19">
        <v>3.5920498927309301E-2</v>
      </c>
      <c r="X19">
        <v>-1.2636154709186E-3</v>
      </c>
      <c r="Y19">
        <v>8.9164271354674005E-3</v>
      </c>
      <c r="Z19">
        <v>6.5469650121834999E-3</v>
      </c>
      <c r="AA19">
        <v>-140.4273400134831</v>
      </c>
      <c r="AB19">
        <v>0.40333333347860229</v>
      </c>
      <c r="AC19">
        <v>-0.78138888872095325</v>
      </c>
      <c r="AD19">
        <v>-0.28489087284827369</v>
      </c>
      <c r="AE19">
        <v>-0.10833333318760199</v>
      </c>
      <c r="AF19">
        <v>-1.551666666498031</v>
      </c>
      <c r="AG19">
        <v>0.52000000014516445</v>
      </c>
      <c r="AH19">
        <v>-1.3033333331649279</v>
      </c>
      <c r="AI19">
        <v>1.3777083333060951</v>
      </c>
      <c r="AJ19">
        <v>8.9164271354674994E-3</v>
      </c>
      <c r="AK19">
        <v>5.4824965123402274</v>
      </c>
      <c r="AL19">
        <v>4.2683038803789</v>
      </c>
      <c r="AM19">
        <v>7.2535450657345519</v>
      </c>
      <c r="AN19">
        <v>6.1131559584298421</v>
      </c>
      <c r="AO19">
        <v>0.36072253548966421</v>
      </c>
      <c r="AP19">
        <v>18.378</v>
      </c>
      <c r="AQ19">
        <v>19.058</v>
      </c>
      <c r="AR19">
        <v>2.152649314853E-4</v>
      </c>
      <c r="AS19">
        <v>1.9562038161837002E-3</v>
      </c>
      <c r="AT19">
        <v>5.5027200000000001</v>
      </c>
      <c r="AU19">
        <v>77.862894106810117</v>
      </c>
      <c r="AV19">
        <v>6.5678263894515601E-2</v>
      </c>
      <c r="AW19">
        <v>5.5764974147423201E-2</v>
      </c>
      <c r="AX19">
        <v>5.2735460139031999E-2</v>
      </c>
      <c r="AY19">
        <v>7.2394362663987105E-2</v>
      </c>
      <c r="AZ19">
        <v>6.9758676782031306E-2</v>
      </c>
    </row>
    <row r="20" spans="1:52" x14ac:dyDescent="0.2">
      <c r="A20" t="s">
        <v>67</v>
      </c>
      <c r="B20" t="s">
        <v>60</v>
      </c>
      <c r="C20" t="str">
        <f t="shared" ca="1" si="0"/>
        <v/>
      </c>
      <c r="E20">
        <f>AND(AX20&lt;$C$1,averaged_runs370!AQ20&lt;$C$1,averaged_runs126!AQ20&lt;$C$1)*1</f>
        <v>1</v>
      </c>
      <c r="F20" s="2">
        <f>IF(TRUE,SQRT(averaged_runs126!AQ20^2/2+averaged_runs370!AQ20^2/2+AX20^2*0),"")</f>
        <v>5.2501912121330811E-2</v>
      </c>
      <c r="G20" s="2">
        <f>IF(E20,averaged_runs126!AQ20,"")</f>
        <v>5.40012572643827E-2</v>
      </c>
      <c r="H20" s="2">
        <f t="shared" si="1"/>
        <v>5.2735460139031999E-2</v>
      </c>
      <c r="I20" s="2">
        <f>IF(E20,averaged_runs370!AQ20,"")</f>
        <v>5.0958470999999998E-2</v>
      </c>
      <c r="J20" t="s">
        <v>47</v>
      </c>
      <c r="K20">
        <v>14.06</v>
      </c>
      <c r="L20">
        <v>54.98</v>
      </c>
      <c r="M20">
        <v>6.5469650121834002E-3</v>
      </c>
      <c r="N20">
        <v>104.25212363096399</v>
      </c>
      <c r="O20">
        <v>0.37472222236743619</v>
      </c>
      <c r="P20">
        <v>-0.81611111094293387</v>
      </c>
      <c r="Q20">
        <v>-0.20960851631707059</v>
      </c>
      <c r="R20">
        <v>-0.1349999998543262</v>
      </c>
      <c r="S20">
        <v>-1.5849999998311251</v>
      </c>
      <c r="T20">
        <v>0.53500000014507354</v>
      </c>
      <c r="U20">
        <v>-1.336666666498022</v>
      </c>
      <c r="V20">
        <v>1.921977841228224</v>
      </c>
      <c r="W20">
        <v>5.7217489413751703E-2</v>
      </c>
      <c r="X20">
        <v>-2.0072139904017002E-3</v>
      </c>
      <c r="Y20">
        <v>8.9164271354674005E-3</v>
      </c>
      <c r="Z20">
        <v>6.5469650121834999E-3</v>
      </c>
      <c r="AA20">
        <v>23.588228400721061</v>
      </c>
      <c r="AB20">
        <v>0.40472222236748168</v>
      </c>
      <c r="AC20">
        <v>-0.77944444427647341</v>
      </c>
      <c r="AD20">
        <v>-0.28227182522922001</v>
      </c>
      <c r="AE20">
        <v>-0.1049999998542807</v>
      </c>
      <c r="AF20">
        <v>-1.548333333164664</v>
      </c>
      <c r="AG20">
        <v>0.52166666681181595</v>
      </c>
      <c r="AH20">
        <v>-1.2999999998315619</v>
      </c>
      <c r="AI20">
        <v>1.375565476163237</v>
      </c>
      <c r="AJ20">
        <v>8.9164271354674994E-3</v>
      </c>
      <c r="AK20">
        <v>5.1607736660541637</v>
      </c>
      <c r="AL20">
        <v>4.1210987771598928</v>
      </c>
      <c r="AM20">
        <v>6.4102102809740913</v>
      </c>
      <c r="AN20">
        <v>5.8547237324827632</v>
      </c>
      <c r="AO20">
        <v>1.091734741324432</v>
      </c>
      <c r="AP20">
        <v>18.378</v>
      </c>
      <c r="AQ20">
        <v>19.058</v>
      </c>
      <c r="AR20">
        <v>2.8463693195396499E-2</v>
      </c>
      <c r="AS20">
        <v>6.6573807728445997E-2</v>
      </c>
      <c r="AT20">
        <v>5.5590799999999998</v>
      </c>
      <c r="AU20">
        <v>252.1907252459437</v>
      </c>
      <c r="AV20">
        <v>6.5329564551310296E-2</v>
      </c>
      <c r="AW20">
        <v>5.5764974147423201E-2</v>
      </c>
      <c r="AX20">
        <v>5.2735460139031999E-2</v>
      </c>
      <c r="AY20">
        <v>7.2394362663987105E-2</v>
      </c>
      <c r="AZ20">
        <v>6.9758676782031306E-2</v>
      </c>
    </row>
    <row r="21" spans="1:52" x14ac:dyDescent="0.2">
      <c r="A21" t="s">
        <v>68</v>
      </c>
      <c r="B21" t="s">
        <v>60</v>
      </c>
      <c r="C21" t="str">
        <f t="shared" ca="1" si="0"/>
        <v/>
      </c>
      <c r="E21">
        <f>AND(AX21&lt;$C$1,averaged_runs370!AQ21&lt;$C$1,averaged_runs126!AQ21&lt;$C$1)*1</f>
        <v>1</v>
      </c>
      <c r="F21" s="2">
        <f>IF(TRUE,SQRT(averaged_runs126!AQ21^2/2+averaged_runs370!AQ21^2/2+AX21^2*0),"")</f>
        <v>4.5974831884179876E-2</v>
      </c>
      <c r="G21" s="2">
        <f>IF(E21,averaged_runs126!AQ21,"")</f>
        <v>4.7374891265258103E-2</v>
      </c>
      <c r="H21" s="2">
        <f t="shared" si="1"/>
        <v>4.4683593001709897E-2</v>
      </c>
      <c r="I21" s="2">
        <f>IF(E21,averaged_runs370!AQ21,"")</f>
        <v>4.4530776000000001E-2</v>
      </c>
      <c r="J21" t="s">
        <v>47</v>
      </c>
      <c r="K21">
        <v>4.0599999999999996</v>
      </c>
      <c r="L21">
        <v>21.7</v>
      </c>
      <c r="M21">
        <v>6.4372504543471001E-3</v>
      </c>
      <c r="N21">
        <v>141.15802137373129</v>
      </c>
      <c r="O21">
        <v>0.49916666681179322</v>
      </c>
      <c r="P21">
        <v>-0.92249999983177522</v>
      </c>
      <c r="Q21">
        <v>-0.27775717321573579</v>
      </c>
      <c r="R21">
        <v>0.31500000014529178</v>
      </c>
      <c r="S21">
        <v>-1.373333333164692</v>
      </c>
      <c r="T21">
        <v>0.51333333347844923</v>
      </c>
      <c r="U21">
        <v>-1.373333333164692</v>
      </c>
      <c r="V21">
        <v>1.9498622105478529</v>
      </c>
      <c r="W21">
        <v>5.9796062506464798E-2</v>
      </c>
      <c r="X21">
        <v>-2.7901722362645002E-3</v>
      </c>
      <c r="Y21">
        <v>1.16396174430846E-2</v>
      </c>
      <c r="Z21">
        <v>6.4372504543471999E-3</v>
      </c>
      <c r="AA21">
        <v>70.179375084923365</v>
      </c>
      <c r="AB21">
        <v>0.52916666681183866</v>
      </c>
      <c r="AC21">
        <v>-0.88583333316531476</v>
      </c>
      <c r="AD21">
        <v>-0.32449404745143817</v>
      </c>
      <c r="AE21">
        <v>0.34500000014533722</v>
      </c>
      <c r="AF21">
        <v>-1.336666666498231</v>
      </c>
      <c r="AG21">
        <v>0.64000000014507352</v>
      </c>
      <c r="AH21">
        <v>-1.336666666498231</v>
      </c>
      <c r="AI21">
        <v>1.4332440476186461</v>
      </c>
      <c r="AJ21">
        <v>1.1639617443084701E-2</v>
      </c>
      <c r="AK21">
        <v>5.4326009799663746</v>
      </c>
      <c r="AL21">
        <v>4.485324922569573</v>
      </c>
      <c r="AM21">
        <v>6.917923821889981</v>
      </c>
      <c r="AN21">
        <v>6.6767363148026098</v>
      </c>
      <c r="AO21">
        <v>1.352190119764922</v>
      </c>
      <c r="AP21">
        <v>16.876000000000001</v>
      </c>
      <c r="AQ21">
        <v>17.536000000000001</v>
      </c>
      <c r="AR21">
        <v>0.18590155606965941</v>
      </c>
      <c r="AS21">
        <v>0.29528435738143261</v>
      </c>
      <c r="AT21">
        <v>4.4302200000000003</v>
      </c>
      <c r="AU21">
        <v>312.35591766569689</v>
      </c>
      <c r="AV21">
        <v>5.7659536507562198E-2</v>
      </c>
      <c r="AW21">
        <v>4.6685189452126803E-2</v>
      </c>
      <c r="AX21">
        <v>4.4683593001709897E-2</v>
      </c>
      <c r="AY21">
        <v>6.5821492553729599E-2</v>
      </c>
      <c r="AZ21">
        <v>6.3962468951994297E-2</v>
      </c>
    </row>
    <row r="22" spans="1:52" x14ac:dyDescent="0.2">
      <c r="A22" t="s">
        <v>69</v>
      </c>
      <c r="B22" t="s">
        <v>60</v>
      </c>
      <c r="C22" t="str">
        <f t="shared" ca="1" si="0"/>
        <v/>
      </c>
      <c r="E22">
        <f>AND(AX22&lt;$C$1,averaged_runs370!AQ22&lt;$C$1,averaged_runs126!AQ22&lt;$C$1)*1</f>
        <v>1</v>
      </c>
      <c r="F22" s="2">
        <f>IF(TRUE,SQRT(averaged_runs126!AQ22^2/2+averaged_runs370!AQ22^2/2+AX22^2*0),"")</f>
        <v>4.4193661746149013E-2</v>
      </c>
      <c r="G22" s="2">
        <f>IF(E22,averaged_runs126!AQ22,"")</f>
        <v>4.5626800195880203E-2</v>
      </c>
      <c r="H22" s="2">
        <f t="shared" si="1"/>
        <v>4.17949759321187E-2</v>
      </c>
      <c r="I22" s="2">
        <f>IF(E22,averaged_runs370!AQ22,"")</f>
        <v>4.2712463999999999E-2</v>
      </c>
      <c r="J22" t="s">
        <v>47</v>
      </c>
      <c r="K22">
        <v>2.4</v>
      </c>
      <c r="L22">
        <v>12</v>
      </c>
      <c r="M22">
        <v>6.3655982829710998E-3</v>
      </c>
      <c r="N22">
        <v>151.82624161618079</v>
      </c>
      <c r="O22">
        <v>0.4741666668117886</v>
      </c>
      <c r="P22">
        <v>-0.93916666649840719</v>
      </c>
      <c r="Q22">
        <v>-0.36976190459547481</v>
      </c>
      <c r="R22">
        <v>0.3666666668118887</v>
      </c>
      <c r="S22">
        <v>-1.2199999998314801</v>
      </c>
      <c r="T22">
        <v>0.45500000014513708</v>
      </c>
      <c r="U22">
        <v>-1.2199999998314801</v>
      </c>
      <c r="V22">
        <v>2.0479889691164259</v>
      </c>
      <c r="W22">
        <v>6.1047595498347297E-2</v>
      </c>
      <c r="X22">
        <v>-3.3852612901929002E-3</v>
      </c>
      <c r="Y22">
        <v>1.37807468175887E-2</v>
      </c>
      <c r="Z22">
        <v>6.3655982829712004E-3</v>
      </c>
      <c r="AA22">
        <v>87.226829226697319</v>
      </c>
      <c r="AB22">
        <v>0.5041666668118342</v>
      </c>
      <c r="AC22">
        <v>-0.9024999998319464</v>
      </c>
      <c r="AD22">
        <v>-0.41376984110220261</v>
      </c>
      <c r="AE22">
        <v>0.39666666681193419</v>
      </c>
      <c r="AF22">
        <v>-1.1833333331650191</v>
      </c>
      <c r="AG22">
        <v>0.56000000014510987</v>
      </c>
      <c r="AH22">
        <v>-1.1833333331650191</v>
      </c>
      <c r="AI22">
        <v>1.4290079365008259</v>
      </c>
      <c r="AJ22">
        <v>1.37807468175887E-2</v>
      </c>
      <c r="AK22">
        <v>5.5654409290627296</v>
      </c>
      <c r="AL22">
        <v>4.9087007498520316</v>
      </c>
      <c r="AM22">
        <v>7.0258734496908257</v>
      </c>
      <c r="AN22">
        <v>7.045155819606709</v>
      </c>
      <c r="AO22">
        <v>1.434184642897778</v>
      </c>
      <c r="AP22">
        <v>15.752000000000001</v>
      </c>
      <c r="AQ22">
        <v>16.332000000000001</v>
      </c>
      <c r="AR22">
        <v>0.31751811665885488</v>
      </c>
      <c r="AS22">
        <v>0.44886307048016311</v>
      </c>
      <c r="AT22">
        <v>3.9188800000000001</v>
      </c>
      <c r="AU22">
        <v>331.29665250938677</v>
      </c>
      <c r="AV22">
        <v>5.4370313301857202E-2</v>
      </c>
      <c r="AW22">
        <v>4.3250785151750702E-2</v>
      </c>
      <c r="AX22">
        <v>4.17949759321187E-2</v>
      </c>
      <c r="AY22">
        <v>6.2928104972178003E-2</v>
      </c>
      <c r="AZ22">
        <v>6.1318663828814499E-2</v>
      </c>
    </row>
    <row r="23" spans="1:52" x14ac:dyDescent="0.2">
      <c r="A23" t="s">
        <v>70</v>
      </c>
      <c r="B23" t="s">
        <v>60</v>
      </c>
      <c r="E23">
        <f>AND(AX23&lt;$C$1,averaged_runs370!AQ23&lt;$C$1,averaged_runs126!AQ23&lt;$C$1)*1</f>
        <v>1</v>
      </c>
      <c r="F23" s="2">
        <f>IF(TRUE,SQRT(averaged_runs126!AQ23^2/2+averaged_runs370!AQ23^2/2+AX23^2*0),"")</f>
        <v>4.3979776972665689E-2</v>
      </c>
      <c r="G23" s="2">
        <f>IF(E23,averaged_runs126!AQ23,"")</f>
        <v>4.5509369827099799E-2</v>
      </c>
      <c r="H23" s="2">
        <f t="shared" si="1"/>
        <v>3.9691137628162398E-2</v>
      </c>
      <c r="I23" s="2">
        <f>IF(E23,averaged_runs370!AQ23,"")</f>
        <v>4.2395032999999999E-2</v>
      </c>
      <c r="J23" t="s">
        <v>47</v>
      </c>
      <c r="K23">
        <v>0.96</v>
      </c>
      <c r="L23">
        <v>4.8</v>
      </c>
      <c r="M23">
        <v>6.2466097533047001E-3</v>
      </c>
      <c r="N23">
        <v>159.5095307520404</v>
      </c>
      <c r="O23">
        <v>0.60333333347834017</v>
      </c>
      <c r="P23">
        <v>-0.76749999983189354</v>
      </c>
      <c r="Q23">
        <v>-0.44983516466874551</v>
      </c>
      <c r="R23">
        <v>0.57000000014503716</v>
      </c>
      <c r="S23">
        <v>-0.77999999983187995</v>
      </c>
      <c r="T23">
        <v>0.63666666681164319</v>
      </c>
      <c r="U23">
        <v>-0.75499999983190724</v>
      </c>
      <c r="V23">
        <v>2.1219788420770032</v>
      </c>
      <c r="W23">
        <v>6.2465716000766398E-2</v>
      </c>
      <c r="X23">
        <v>-4.3984581055364997E-3</v>
      </c>
      <c r="Y23">
        <v>1.72741682529448E-2</v>
      </c>
      <c r="Z23">
        <v>6.2466097533047001E-3</v>
      </c>
      <c r="AA23">
        <v>103.57529235921621</v>
      </c>
      <c r="AB23">
        <v>0.63333333347838561</v>
      </c>
      <c r="AC23">
        <v>-0.73083333316543309</v>
      </c>
      <c r="AD23">
        <v>-0.49738095221328898</v>
      </c>
      <c r="AE23">
        <v>0.60000000014508259</v>
      </c>
      <c r="AF23">
        <v>-0.74333333316541939</v>
      </c>
      <c r="AG23">
        <v>0.66666666681168862</v>
      </c>
      <c r="AH23">
        <v>-0.71833333316544667</v>
      </c>
      <c r="AI23">
        <v>1.4193253967981869</v>
      </c>
      <c r="AJ23">
        <v>1.7274168252944901E-2</v>
      </c>
      <c r="AK23">
        <v>5.7785926721931613</v>
      </c>
      <c r="AL23">
        <v>5.0552500427076676</v>
      </c>
      <c r="AM23">
        <v>7.0716205824595866</v>
      </c>
      <c r="AN23">
        <v>7.139662297200335</v>
      </c>
      <c r="AO23">
        <v>1.4971711492038351</v>
      </c>
      <c r="AP23">
        <v>14.843999999999999</v>
      </c>
      <c r="AQ23">
        <v>15.444000000000001</v>
      </c>
      <c r="AR23">
        <v>0.4816484327815882</v>
      </c>
      <c r="AS23">
        <v>0.64204593431790169</v>
      </c>
      <c r="AT23">
        <v>3.3650600000000002</v>
      </c>
      <c r="AU23">
        <v>345.84653546608592</v>
      </c>
      <c r="AV23">
        <v>5.1270553392314198E-2</v>
      </c>
      <c r="AW23">
        <v>4.0488591907251098E-2</v>
      </c>
      <c r="AX23">
        <v>3.9691137628162398E-2</v>
      </c>
      <c r="AY23">
        <v>5.9998297278425199E-2</v>
      </c>
      <c r="AZ23">
        <v>5.8485511637849603E-2</v>
      </c>
    </row>
    <row r="24" spans="1:52" x14ac:dyDescent="0.2">
      <c r="A24" t="s">
        <v>71</v>
      </c>
      <c r="B24" t="s">
        <v>60</v>
      </c>
      <c r="E24">
        <f>AND(AX24&lt;$C$1,averaged_runs370!AQ24&lt;$C$1,averaged_runs126!AQ24&lt;$C$1)*1</f>
        <v>0</v>
      </c>
      <c r="F24" s="2">
        <f>IF(TRUE,SQRT(averaged_runs126!AQ24^2/2+averaged_runs370!AQ24^2/2+AX24^2*0),"")</f>
        <v>8.1858592347689538E-2</v>
      </c>
      <c r="G24" s="2" t="str">
        <f>IF(E24,averaged_runs126!AQ24,"")</f>
        <v/>
      </c>
      <c r="H24" s="2" t="str">
        <f t="shared" si="1"/>
        <v/>
      </c>
      <c r="I24" s="2" t="str">
        <f>IF(E24,averaged_runs370!AQ24,"")</f>
        <v/>
      </c>
      <c r="J24" t="s">
        <v>47</v>
      </c>
      <c r="K24">
        <v>28.46</v>
      </c>
      <c r="L24">
        <v>83.86</v>
      </c>
      <c r="M24">
        <v>6.1081607918161999E-3</v>
      </c>
      <c r="N24">
        <v>24.299721274205289</v>
      </c>
      <c r="O24">
        <v>-6.1111109655590003E-3</v>
      </c>
      <c r="P24">
        <v>-0.13749999983245739</v>
      </c>
      <c r="Q24">
        <v>-0.210070054778462</v>
      </c>
      <c r="R24">
        <v>-1.6199999998529799</v>
      </c>
      <c r="S24">
        <v>-2.5816666664969028</v>
      </c>
      <c r="T24">
        <v>-0.58833333318726544</v>
      </c>
      <c r="U24">
        <v>0.44500000016701963</v>
      </c>
      <c r="V24">
        <v>2.247895502642244</v>
      </c>
      <c r="W24">
        <v>7.1717520263272203E-2</v>
      </c>
      <c r="X24">
        <v>-1.1925565964924E-3</v>
      </c>
      <c r="Y24">
        <v>4.6826441884040004E-3</v>
      </c>
      <c r="Z24">
        <v>6.1081607918161999E-3</v>
      </c>
      <c r="AA24">
        <v>-16.773516920546019</v>
      </c>
      <c r="AB24">
        <v>2.3888889034486299E-2</v>
      </c>
      <c r="AC24">
        <v>-0.10083333316599689</v>
      </c>
      <c r="AD24">
        <v>-0.34430952364184719</v>
      </c>
      <c r="AE24">
        <v>-1.5899999998529351</v>
      </c>
      <c r="AF24">
        <v>-2.5449999998304431</v>
      </c>
      <c r="AG24">
        <v>-0.29333333318744731</v>
      </c>
      <c r="AH24">
        <v>-0.43666666649902258</v>
      </c>
      <c r="AI24">
        <v>1.3874206348665361</v>
      </c>
      <c r="AJ24">
        <v>4.6826441884040004E-3</v>
      </c>
      <c r="AK24">
        <v>3.9105824362111261</v>
      </c>
      <c r="AL24">
        <v>2.9430776371120602</v>
      </c>
      <c r="AM24">
        <v>4.4340286731581324</v>
      </c>
      <c r="AN24">
        <v>3.5506071271315811</v>
      </c>
      <c r="AO24">
        <v>0.48448133735143151</v>
      </c>
      <c r="AP24">
        <v>25.658000000000001</v>
      </c>
      <c r="AQ24">
        <v>26.738</v>
      </c>
      <c r="AR24">
        <v>2.8841847121209001E-3</v>
      </c>
      <c r="AS24">
        <v>9.4426700832318002E-3</v>
      </c>
      <c r="AT24">
        <v>10.64588</v>
      </c>
      <c r="AU24">
        <v>111.9151889281807</v>
      </c>
      <c r="AV24">
        <v>9.5109778935690406E-2</v>
      </c>
      <c r="AW24">
        <v>8.7866901396008903E-2</v>
      </c>
      <c r="AX24">
        <v>8.20455764716507E-2</v>
      </c>
      <c r="AY24">
        <v>9.6781928456067007E-2</v>
      </c>
      <c r="AZ24">
        <v>9.1503291923862806E-2</v>
      </c>
    </row>
    <row r="25" spans="1:52" x14ac:dyDescent="0.2">
      <c r="A25" t="s">
        <v>72</v>
      </c>
      <c r="B25" t="s">
        <v>60</v>
      </c>
      <c r="E25">
        <f>AND(AX25&lt;$C$1,averaged_runs370!AQ25&lt;$C$1,averaged_runs126!AQ25&lt;$C$1)*1</f>
        <v>0</v>
      </c>
      <c r="F25" s="2">
        <f>IF(TRUE,SQRT(averaged_runs126!AQ25^2/2+averaged_runs370!AQ25^2/2+AX25^2*0),"")</f>
        <v>6.3813772122422674E-2</v>
      </c>
      <c r="G25" s="2" t="str">
        <f>IF(E25,averaged_runs126!AQ25,"")</f>
        <v/>
      </c>
      <c r="H25" s="2" t="str">
        <f t="shared" si="1"/>
        <v/>
      </c>
      <c r="I25" s="2" t="str">
        <f>IF(E25,averaged_runs370!AQ25,"")</f>
        <v/>
      </c>
      <c r="J25" t="s">
        <v>47</v>
      </c>
      <c r="K25">
        <v>5.16</v>
      </c>
      <c r="L25">
        <v>25.34</v>
      </c>
      <c r="M25">
        <v>6.4682824533063002E-3</v>
      </c>
      <c r="N25">
        <v>102.8405961794178</v>
      </c>
      <c r="O25">
        <v>0.30388888903415889</v>
      </c>
      <c r="P25">
        <v>-0.78499999983187541</v>
      </c>
      <c r="Q25">
        <v>-0.17929181912523001</v>
      </c>
      <c r="R25">
        <v>-0.90666666652030481</v>
      </c>
      <c r="S25">
        <v>-2.32499999983047</v>
      </c>
      <c r="T25">
        <v>0.45000000014512809</v>
      </c>
      <c r="U25">
        <v>-1.074999999831616</v>
      </c>
      <c r="V25">
        <v>2.0704901581538251</v>
      </c>
      <c r="W25">
        <v>7.9367100891296602E-2</v>
      </c>
      <c r="X25">
        <v>-1.0646902422559001E-3</v>
      </c>
      <c r="Y25">
        <v>5.2596199512481004E-3</v>
      </c>
      <c r="Z25">
        <v>6.4682824533063999E-3</v>
      </c>
      <c r="AA25">
        <v>64.626716518930394</v>
      </c>
      <c r="AB25">
        <v>0.33388888903420438</v>
      </c>
      <c r="AC25">
        <v>-0.74833333316541484</v>
      </c>
      <c r="AD25">
        <v>-0.27508928554660989</v>
      </c>
      <c r="AE25">
        <v>-0.87666666652025926</v>
      </c>
      <c r="AF25">
        <v>-2.2883333331640099</v>
      </c>
      <c r="AG25">
        <v>0.47333333347851292</v>
      </c>
      <c r="AH25">
        <v>-1.129999999831734</v>
      </c>
      <c r="AI25">
        <v>1.4450496031407141</v>
      </c>
      <c r="AJ25">
        <v>5.2596199512481004E-3</v>
      </c>
      <c r="AK25">
        <v>4.3915606702464931</v>
      </c>
      <c r="AL25">
        <v>3.5398737950147598</v>
      </c>
      <c r="AM25">
        <v>4.9860640520412502</v>
      </c>
      <c r="AN25">
        <v>4.6043615118867152</v>
      </c>
      <c r="AO25">
        <v>1.010608426138083</v>
      </c>
      <c r="AP25">
        <v>21.052</v>
      </c>
      <c r="AQ25">
        <v>21.812000000000001</v>
      </c>
      <c r="AR25">
        <v>0.1181889150607851</v>
      </c>
      <c r="AS25">
        <v>0.2445793529718735</v>
      </c>
      <c r="AT25">
        <v>7.6825800000000006</v>
      </c>
      <c r="AU25">
        <v>233.4505464378972</v>
      </c>
      <c r="AV25">
        <v>8.0047592457713895E-2</v>
      </c>
      <c r="AW25">
        <v>6.9185616645335402E-2</v>
      </c>
      <c r="AX25">
        <v>6.4336622555742698E-2</v>
      </c>
      <c r="AY25">
        <v>8.3089944126322896E-2</v>
      </c>
      <c r="AZ25">
        <v>7.9023632631707794E-2</v>
      </c>
    </row>
    <row r="26" spans="1:52" x14ac:dyDescent="0.2">
      <c r="A26" t="s">
        <v>73</v>
      </c>
      <c r="B26" t="s">
        <v>60</v>
      </c>
      <c r="C26" t="str">
        <f t="shared" ref="C26:C37" ca="1" si="2">IF(ISNUMBER(D26),SUM(INDIRECT(_xlfn.CONCAT("e",ROW(),":e",ROW()+D26-1))),"")</f>
        <v/>
      </c>
      <c r="E26">
        <f>AND(AX26&lt;$C$1,averaged_runs370!AQ26&lt;$C$1,averaged_runs126!AQ26&lt;$C$1)*1</f>
        <v>0</v>
      </c>
      <c r="F26" s="2">
        <f>IF(TRUE,SQRT(averaged_runs126!AQ26^2/2+averaged_runs370!AQ26^2/2+AX26^2*0),"")</f>
        <v>9.8301661728823903E-2</v>
      </c>
      <c r="G26" s="2" t="str">
        <f>IF(E26,averaged_runs126!AQ26,"")</f>
        <v/>
      </c>
      <c r="H26" s="2" t="str">
        <f t="shared" si="1"/>
        <v/>
      </c>
      <c r="I26" s="2" t="str">
        <f>IF(E26,averaged_runs370!AQ26,"")</f>
        <v/>
      </c>
      <c r="J26" t="s">
        <v>47</v>
      </c>
      <c r="K26">
        <v>0.48</v>
      </c>
      <c r="L26">
        <v>2.84</v>
      </c>
      <c r="M26">
        <v>3.6512960463234302E-2</v>
      </c>
      <c r="N26">
        <v>76.229902550696465</v>
      </c>
      <c r="O26">
        <v>-0.60861111096502407</v>
      </c>
      <c r="P26">
        <v>2.6666666834040901E-2</v>
      </c>
      <c r="Q26">
        <v>-0.97382936491194383</v>
      </c>
      <c r="R26">
        <v>-1.85499999985278</v>
      </c>
      <c r="S26">
        <v>-2.3699999998304428</v>
      </c>
      <c r="T26">
        <v>-1.441666666519823</v>
      </c>
      <c r="U26">
        <v>0.80666666683332555</v>
      </c>
      <c r="V26">
        <v>3.4821864201342199</v>
      </c>
      <c r="W26">
        <v>0.15075795723943169</v>
      </c>
      <c r="X26">
        <v>3.8853787360104197E-2</v>
      </c>
      <c r="Y26">
        <v>1.8511318004865801E-2</v>
      </c>
      <c r="Z26">
        <v>3.6512960463234302E-2</v>
      </c>
      <c r="AA26">
        <v>68.485885657121912</v>
      </c>
      <c r="AB26">
        <v>-0.57861111096497853</v>
      </c>
      <c r="AC26">
        <v>6.3333333500501507E-2</v>
      </c>
      <c r="AD26">
        <v>-1.0003075395154339</v>
      </c>
      <c r="AE26">
        <v>-1.824999999852734</v>
      </c>
      <c r="AF26">
        <v>-2.3333333331639818</v>
      </c>
      <c r="AG26">
        <v>-1.431666666519759</v>
      </c>
      <c r="AH26">
        <v>0.96833333349966777</v>
      </c>
      <c r="AI26">
        <v>1.838085317391654</v>
      </c>
      <c r="AJ26">
        <v>1.8511318004865801E-2</v>
      </c>
      <c r="AK26">
        <v>2.6802179787768221</v>
      </c>
      <c r="AL26">
        <v>2.3312373342512842</v>
      </c>
      <c r="AM26">
        <v>2.901442777721285</v>
      </c>
      <c r="AN26">
        <v>2.4440401808442851</v>
      </c>
      <c r="AO26">
        <v>0.69651465751720498</v>
      </c>
      <c r="AP26">
        <v>19.556000000000001</v>
      </c>
      <c r="AQ26">
        <v>20.155999999999999</v>
      </c>
      <c r="AR26">
        <v>0.65055734972253121</v>
      </c>
      <c r="AS26">
        <v>0.767602059013613</v>
      </c>
      <c r="AT26">
        <v>10.688560000000001</v>
      </c>
      <c r="AU26">
        <v>154.6262539688195</v>
      </c>
      <c r="AV26">
        <v>0.1080682396791498</v>
      </c>
      <c r="AW26">
        <v>0.10593451676668041</v>
      </c>
      <c r="AX26">
        <v>9.6091716564771903E-2</v>
      </c>
      <c r="AY26">
        <v>0.1151971992257068</v>
      </c>
      <c r="AZ26">
        <v>0.10595540325537429</v>
      </c>
    </row>
    <row r="27" spans="1:52" x14ac:dyDescent="0.2">
      <c r="A27" t="s">
        <v>74</v>
      </c>
      <c r="B27" t="s">
        <v>60</v>
      </c>
      <c r="C27" t="str">
        <f t="shared" ca="1" si="2"/>
        <v/>
      </c>
      <c r="E27">
        <f>AND(AX27&lt;$C$1,averaged_runs370!AQ27&lt;$C$1,averaged_runs126!AQ27&lt;$C$1)*1</f>
        <v>0</v>
      </c>
      <c r="F27" s="2">
        <f>IF(TRUE,SQRT(averaged_runs126!AQ27^2/2+averaged_runs370!AQ27^2/2+AX27^2*0),"")</f>
        <v>9.6372672325581568E-2</v>
      </c>
      <c r="G27" s="2" t="str">
        <f>IF(E27,averaged_runs126!AQ27,"")</f>
        <v/>
      </c>
      <c r="H27" s="2" t="str">
        <f t="shared" si="1"/>
        <v/>
      </c>
      <c r="I27" s="2" t="str">
        <f>IF(E27,averaged_runs370!AQ27,"")</f>
        <v/>
      </c>
      <c r="J27" t="s">
        <v>47</v>
      </c>
      <c r="K27">
        <v>40.380000000000003</v>
      </c>
      <c r="L27">
        <v>87.66</v>
      </c>
      <c r="M27">
        <v>-1.78337692166422E-2</v>
      </c>
      <c r="N27">
        <v>-151740.43839075149</v>
      </c>
      <c r="O27">
        <v>0.34541666681190791</v>
      </c>
      <c r="P27">
        <v>0.80150000016668832</v>
      </c>
      <c r="Q27">
        <v>0.53421999842197276</v>
      </c>
      <c r="R27">
        <v>-2.8816666665184951</v>
      </c>
      <c r="S27">
        <v>-2.0583333331640281</v>
      </c>
      <c r="T27">
        <v>8.3333334788767005E-3</v>
      </c>
      <c r="U27">
        <v>2.0750000001655282</v>
      </c>
      <c r="V27">
        <v>3.003869572577297</v>
      </c>
      <c r="W27">
        <v>5.3792617656376301E-2</v>
      </c>
      <c r="X27">
        <v>-1.7364034804056599E-2</v>
      </c>
      <c r="Y27">
        <v>-1.36596634984016E-2</v>
      </c>
      <c r="Z27">
        <v>-1.78337692166422E-2</v>
      </c>
      <c r="AA27">
        <v>-223916.77930838111</v>
      </c>
      <c r="AB27">
        <v>0.3754166668119534</v>
      </c>
      <c r="AC27">
        <v>0.83816666683314878</v>
      </c>
      <c r="AD27">
        <v>0.39072335617630821</v>
      </c>
      <c r="AE27">
        <v>-2.8516666665184491</v>
      </c>
      <c r="AF27">
        <v>-2.021666666497568</v>
      </c>
      <c r="AG27">
        <v>0.4266666668118978</v>
      </c>
      <c r="AH27">
        <v>1.1250000001662279</v>
      </c>
      <c r="AI27">
        <v>1.450263038568127</v>
      </c>
      <c r="AJ27">
        <v>-1.36596634984016E-2</v>
      </c>
      <c r="AK27">
        <v>3.9689618265768458</v>
      </c>
      <c r="AL27">
        <v>3.6275091808739419</v>
      </c>
      <c r="AM27">
        <v>3.057946928927211</v>
      </c>
      <c r="AN27">
        <v>3.2187789315297688</v>
      </c>
      <c r="AO27">
        <v>-2154.9752238444462</v>
      </c>
      <c r="AP27">
        <v>30.974</v>
      </c>
      <c r="AQ27">
        <v>31.834</v>
      </c>
      <c r="AR27" s="1">
        <v>3.0262920259595279E-12</v>
      </c>
      <c r="AS27">
        <v>7.6472896459680001E-4</v>
      </c>
      <c r="AT27">
        <v>14.8872</v>
      </c>
      <c r="AU27">
        <v>-497799.27670806722</v>
      </c>
      <c r="AV27">
        <v>8.8321011686302298E-2</v>
      </c>
      <c r="AW27">
        <v>9.8170979048558996E-2</v>
      </c>
      <c r="AX27">
        <v>9.0188983171201206E-2</v>
      </c>
      <c r="AY27">
        <v>0.1065060517807557</v>
      </c>
      <c r="AZ27">
        <v>9.8633109372012404E-2</v>
      </c>
    </row>
    <row r="28" spans="1:52" x14ac:dyDescent="0.2">
      <c r="A28" t="s">
        <v>75</v>
      </c>
      <c r="B28" t="s">
        <v>76</v>
      </c>
      <c r="C28">
        <f t="shared" ca="1" si="2"/>
        <v>2</v>
      </c>
      <c r="D28">
        <v>3</v>
      </c>
      <c r="E28">
        <f>AND(AX28&lt;$C$1,averaged_runs370!AQ28&lt;$C$1,averaged_runs126!AQ28&lt;$C$1)*1</f>
        <v>0</v>
      </c>
      <c r="F28" s="2">
        <f>IF(TRUE,SQRT(averaged_runs126!AQ28^2/2+averaged_runs370!AQ28^2/2+AX28^2*0),"")</f>
        <v>6.0878742214240451E-2</v>
      </c>
      <c r="G28" s="2" t="str">
        <f>IF(E28,averaged_runs126!AQ28,"")</f>
        <v/>
      </c>
      <c r="H28" s="2" t="str">
        <f t="shared" si="1"/>
        <v/>
      </c>
      <c r="I28" s="2" t="str">
        <f>IF(E28,averaged_runs370!AQ28,"")</f>
        <v/>
      </c>
      <c r="J28" t="s">
        <v>47</v>
      </c>
      <c r="K28">
        <v>1.74</v>
      </c>
      <c r="L28">
        <v>8.44</v>
      </c>
      <c r="M28">
        <v>4.8617835980760997E-3</v>
      </c>
      <c r="N28">
        <v>116.84237022026571</v>
      </c>
      <c r="O28">
        <v>1.6100000001440951</v>
      </c>
      <c r="P28">
        <v>-1.776666666497636</v>
      </c>
      <c r="Q28">
        <v>-0.20256227089644291</v>
      </c>
      <c r="R28">
        <v>1.2866666668110609</v>
      </c>
      <c r="S28">
        <v>-1.891666666497531</v>
      </c>
      <c r="T28">
        <v>1.7283333334773121</v>
      </c>
      <c r="U28">
        <v>-1.891666666497531</v>
      </c>
      <c r="V28">
        <v>2.98799765249611</v>
      </c>
      <c r="W28">
        <v>8.6301194763806696E-2</v>
      </c>
      <c r="X28">
        <v>-1.2391368277896999E-3</v>
      </c>
      <c r="Y28">
        <v>2.9465260112208399E-2</v>
      </c>
      <c r="Z28">
        <v>4.8617835980760997E-3</v>
      </c>
      <c r="AA28">
        <v>100.3290775228251</v>
      </c>
      <c r="AB28">
        <v>1.640000000144141</v>
      </c>
      <c r="AC28">
        <v>-1.739999999831175</v>
      </c>
      <c r="AD28">
        <v>-0.2837341268169431</v>
      </c>
      <c r="AE28">
        <v>1.316666666811106</v>
      </c>
      <c r="AF28">
        <v>-1.85499999983107</v>
      </c>
      <c r="AG28">
        <v>1.846666666810616</v>
      </c>
      <c r="AH28">
        <v>-1.85499999983107</v>
      </c>
      <c r="AI28">
        <v>1.562813492056349</v>
      </c>
      <c r="AJ28">
        <v>2.9465260112208399E-2</v>
      </c>
      <c r="AK28">
        <v>3.3288160715361901</v>
      </c>
      <c r="AL28">
        <v>3.460703667904709</v>
      </c>
      <c r="AM28">
        <v>3.6392056021791781</v>
      </c>
      <c r="AN28">
        <v>3.9348099998077499</v>
      </c>
      <c r="AO28">
        <v>0.9851914532306848</v>
      </c>
      <c r="AP28">
        <v>16.948</v>
      </c>
      <c r="AQ28">
        <v>17.547999999999998</v>
      </c>
      <c r="AR28">
        <v>0.19314120481697949</v>
      </c>
      <c r="AS28">
        <v>0.5041404082455706</v>
      </c>
      <c r="AT28">
        <v>8.5353200000000005</v>
      </c>
      <c r="AU28">
        <v>207.87539663167439</v>
      </c>
      <c r="AV28">
        <v>9.2255884414651407E-2</v>
      </c>
      <c r="AW28">
        <v>6.4882050657753904E-2</v>
      </c>
      <c r="AX28">
        <v>6.1381024186881503E-2</v>
      </c>
      <c r="AY28">
        <v>8.0496809512362197E-2</v>
      </c>
      <c r="AZ28">
        <v>7.8184694896152596E-2</v>
      </c>
    </row>
    <row r="29" spans="1:52" x14ac:dyDescent="0.2">
      <c r="A29" t="s">
        <v>77</v>
      </c>
      <c r="B29" t="s">
        <v>76</v>
      </c>
      <c r="C29" t="str">
        <f t="shared" ca="1" si="2"/>
        <v/>
      </c>
      <c r="E29">
        <f>AND(AX29&lt;$C$1,averaged_runs370!AQ29&lt;$C$1,averaged_runs126!AQ29&lt;$C$1)*1</f>
        <v>1</v>
      </c>
      <c r="F29" s="2">
        <f>IF(TRUE,SQRT(averaged_runs126!AQ29^2/2+averaged_runs370!AQ29^2/2+AX29^2*0),"")</f>
        <v>4.7642948992071756E-2</v>
      </c>
      <c r="G29" s="2">
        <f>IF(E29,averaged_runs126!AQ29,"")</f>
        <v>4.9512157556286997E-2</v>
      </c>
      <c r="H29" s="2">
        <f t="shared" si="1"/>
        <v>4.2694875260971002E-2</v>
      </c>
      <c r="I29" s="2">
        <f>IF(E29,averaged_runs370!AQ29,"")</f>
        <v>4.5697346E-2</v>
      </c>
      <c r="J29" t="s">
        <v>47</v>
      </c>
      <c r="K29">
        <v>8.1</v>
      </c>
      <c r="L29">
        <v>37</v>
      </c>
      <c r="M29">
        <v>8.1647212391326995E-3</v>
      </c>
      <c r="N29">
        <v>155.8882570054426</v>
      </c>
      <c r="O29">
        <v>0.57750000014504166</v>
      </c>
      <c r="P29">
        <v>-1.0991666664982751</v>
      </c>
      <c r="Q29">
        <v>-0.56585317443667049</v>
      </c>
      <c r="R29">
        <v>0.41166666681186143</v>
      </c>
      <c r="S29">
        <v>-1.2366666664981489</v>
      </c>
      <c r="T29">
        <v>0.60333333347834928</v>
      </c>
      <c r="U29">
        <v>-1.2366666664981489</v>
      </c>
      <c r="V29">
        <v>2.2727015341833652</v>
      </c>
      <c r="W29">
        <v>4.9927332974733202E-2</v>
      </c>
      <c r="X29">
        <v>-3.2250487625674002E-3</v>
      </c>
      <c r="Y29">
        <v>2.0900392814889701E-2</v>
      </c>
      <c r="Z29">
        <v>8.1647212391328002E-3</v>
      </c>
      <c r="AA29">
        <v>114.7006399424899</v>
      </c>
      <c r="AB29">
        <v>0.60750000014508709</v>
      </c>
      <c r="AC29">
        <v>-1.062499999831815</v>
      </c>
      <c r="AD29">
        <v>-0.61559523792748239</v>
      </c>
      <c r="AE29">
        <v>0.44166666681190692</v>
      </c>
      <c r="AF29">
        <v>-1.199999999831689</v>
      </c>
      <c r="AG29">
        <v>0.50500000014518265</v>
      </c>
      <c r="AH29">
        <v>-1.199999999831689</v>
      </c>
      <c r="AI29">
        <v>1.4846031745559181</v>
      </c>
      <c r="AJ29">
        <v>2.0900392814889701E-2</v>
      </c>
      <c r="AK29">
        <v>5.2652807953590246</v>
      </c>
      <c r="AL29">
        <v>5.1986300917516282</v>
      </c>
      <c r="AM29">
        <v>6.5199674899323004</v>
      </c>
      <c r="AN29">
        <v>6.5098197523038701</v>
      </c>
      <c r="AO29">
        <v>1.2174176160845931</v>
      </c>
      <c r="AP29">
        <v>14.8</v>
      </c>
      <c r="AQ29">
        <v>15.38</v>
      </c>
      <c r="AR29">
        <v>5.1039634234019901E-2</v>
      </c>
      <c r="AS29">
        <v>0.13507083736067499</v>
      </c>
      <c r="AT29">
        <v>5.4155199999999999</v>
      </c>
      <c r="AU29">
        <v>258.09253460993369</v>
      </c>
      <c r="AV29">
        <v>6.7433329014812596E-2</v>
      </c>
      <c r="AW29">
        <v>4.3465024164943203E-2</v>
      </c>
      <c r="AX29">
        <v>4.2694875260971002E-2</v>
      </c>
      <c r="AY29">
        <v>6.1892972941058701E-2</v>
      </c>
      <c r="AZ29">
        <v>6.02330836960615E-2</v>
      </c>
    </row>
    <row r="30" spans="1:52" x14ac:dyDescent="0.2">
      <c r="A30" t="s">
        <v>78</v>
      </c>
      <c r="B30" t="s">
        <v>76</v>
      </c>
      <c r="C30" t="str">
        <f t="shared" ca="1" si="2"/>
        <v/>
      </c>
      <c r="E30">
        <f>AND(AX30&lt;$C$1,averaged_runs370!AQ30&lt;$C$1,averaged_runs126!AQ30&lt;$C$1)*1</f>
        <v>1</v>
      </c>
      <c r="F30" s="2">
        <f>IF(TRUE,SQRT(averaged_runs126!AQ30^2/2+averaged_runs370!AQ30^2/2+AX30^2*0),"")</f>
        <v>5.3090438521516251E-2</v>
      </c>
      <c r="G30" s="2">
        <f>IF(E30,averaged_runs126!AQ30,"")</f>
        <v>5.7475802831718298E-2</v>
      </c>
      <c r="H30" s="2">
        <f t="shared" si="1"/>
        <v>4.2196430748409598E-2</v>
      </c>
      <c r="I30" s="2">
        <f>IF(E30,averaged_runs370!AQ30,"")</f>
        <v>4.8308605999999997E-2</v>
      </c>
      <c r="J30" t="s">
        <v>47</v>
      </c>
      <c r="K30">
        <v>11.1</v>
      </c>
      <c r="L30">
        <v>32.44</v>
      </c>
      <c r="M30">
        <v>1.5236117095737999E-3</v>
      </c>
      <c r="N30">
        <v>140.95415965478361</v>
      </c>
      <c r="O30">
        <v>0.53583333347843565</v>
      </c>
      <c r="P30">
        <v>-0.79777777760963542</v>
      </c>
      <c r="Q30">
        <v>-0.46765415123832788</v>
      </c>
      <c r="R30">
        <v>0.38333333347857662</v>
      </c>
      <c r="S30">
        <v>-1.018333333164992</v>
      </c>
      <c r="T30">
        <v>0.62166666681168858</v>
      </c>
      <c r="U30">
        <v>-0.91166666649843142</v>
      </c>
      <c r="V30">
        <v>2.0490240025699422</v>
      </c>
      <c r="W30">
        <v>5.3036516323117802E-2</v>
      </c>
      <c r="X30">
        <v>-1.4853155654114301E-2</v>
      </c>
      <c r="Y30">
        <v>2.64613340105147E-2</v>
      </c>
      <c r="Z30">
        <v>1.5236117095737999E-3</v>
      </c>
      <c r="AA30">
        <v>118.1655436686107</v>
      </c>
      <c r="AB30">
        <v>0.56583333347848108</v>
      </c>
      <c r="AC30">
        <v>-0.76111111094317496</v>
      </c>
      <c r="AD30">
        <v>-0.60246031729329796</v>
      </c>
      <c r="AE30">
        <v>0.413333333478622</v>
      </c>
      <c r="AF30">
        <v>-0.9816666664985314</v>
      </c>
      <c r="AG30">
        <v>0.56500000014514629</v>
      </c>
      <c r="AH30">
        <v>-0.92666666649858598</v>
      </c>
      <c r="AI30">
        <v>1.4102777777239279</v>
      </c>
      <c r="AJ30">
        <v>2.64613340105147E-2</v>
      </c>
      <c r="AK30">
        <v>4.9695711244167953</v>
      </c>
      <c r="AL30">
        <v>4.9537552283506514</v>
      </c>
      <c r="AM30">
        <v>5.7676964822903116</v>
      </c>
      <c r="AN30">
        <v>5.6957707040702834</v>
      </c>
      <c r="AO30">
        <v>1.1534148714283881</v>
      </c>
      <c r="AP30">
        <v>16.475999999999999</v>
      </c>
      <c r="AQ30">
        <v>17.335999999999999</v>
      </c>
      <c r="AR30">
        <v>6.7105924402217507E-2</v>
      </c>
      <c r="AS30">
        <v>0.1147690925447418</v>
      </c>
      <c r="AT30">
        <v>6.0910000000000002</v>
      </c>
      <c r="AU30">
        <v>244.5239527428183</v>
      </c>
      <c r="AV30">
        <v>6.2320217213374697E-2</v>
      </c>
      <c r="AW30">
        <v>4.8475209346477199E-2</v>
      </c>
      <c r="AX30">
        <v>4.2196430748409598E-2</v>
      </c>
      <c r="AY30">
        <v>6.4205650650433294E-2</v>
      </c>
      <c r="AZ30">
        <v>5.6334707346362901E-2</v>
      </c>
    </row>
    <row r="31" spans="1:52" x14ac:dyDescent="0.2">
      <c r="A31" t="s">
        <v>79</v>
      </c>
      <c r="B31" t="s">
        <v>80</v>
      </c>
      <c r="C31">
        <f t="shared" ca="1" si="2"/>
        <v>1</v>
      </c>
      <c r="D31">
        <v>4</v>
      </c>
      <c r="E31">
        <f>AND(AX31&lt;$C$1,averaged_runs370!AQ31&lt;$C$1,averaged_runs126!AQ31&lt;$C$1)*1</f>
        <v>1</v>
      </c>
      <c r="F31" s="2">
        <f>IF(TRUE,SQRT(averaged_runs126!AQ31^2/2+averaged_runs370!AQ31^2/2+AX31^2*0),"")</f>
        <v>4.4717706253304616E-2</v>
      </c>
      <c r="G31" s="2">
        <f>IF(E31,averaged_runs126!AQ31,"")</f>
        <v>4.6562177041001601E-2</v>
      </c>
      <c r="H31" s="2">
        <f t="shared" si="1"/>
        <v>4.2115561704313E-2</v>
      </c>
      <c r="I31" s="2">
        <f>IF(E31,averaged_runs370!AQ31,"")</f>
        <v>4.2793810000000002E-2</v>
      </c>
      <c r="J31" t="s">
        <v>47</v>
      </c>
      <c r="K31">
        <v>0.74</v>
      </c>
      <c r="L31">
        <v>9.24</v>
      </c>
      <c r="M31">
        <v>6.3357361339309998E-3</v>
      </c>
      <c r="N31">
        <v>156.62857312161631</v>
      </c>
      <c r="O31">
        <v>0.62500000014500079</v>
      </c>
      <c r="P31">
        <v>-0.71083333316530117</v>
      </c>
      <c r="Q31">
        <v>-0.36158577516942808</v>
      </c>
      <c r="R31">
        <v>0.45500000014515529</v>
      </c>
      <c r="S31">
        <v>-0.89166666649846771</v>
      </c>
      <c r="T31">
        <v>0.70000000014492803</v>
      </c>
      <c r="U31">
        <v>-0.89166666649846771</v>
      </c>
      <c r="V31">
        <v>1.8959241099583399</v>
      </c>
      <c r="W31">
        <v>5.1980415626393897E-2</v>
      </c>
      <c r="X31">
        <v>-3.2212809563869002E-3</v>
      </c>
      <c r="Y31">
        <v>1.49231918326444E-2</v>
      </c>
      <c r="Z31">
        <v>6.3357361339311004E-3</v>
      </c>
      <c r="AA31">
        <v>120.0197347381136</v>
      </c>
      <c r="AB31">
        <v>0.65500000014504622</v>
      </c>
      <c r="AC31">
        <v>-0.67416666649884061</v>
      </c>
      <c r="AD31">
        <v>-0.42771825380074779</v>
      </c>
      <c r="AE31">
        <v>0.48500000014520078</v>
      </c>
      <c r="AF31">
        <v>-0.85499999983200725</v>
      </c>
      <c r="AG31">
        <v>0.72666666681165226</v>
      </c>
      <c r="AH31">
        <v>-0.85499999983200725</v>
      </c>
      <c r="AI31">
        <v>1.4010515872811391</v>
      </c>
      <c r="AJ31">
        <v>1.49231918326444E-2</v>
      </c>
      <c r="AK31">
        <v>5.1090315253941183</v>
      </c>
      <c r="AL31">
        <v>4.6734183224169437</v>
      </c>
      <c r="AM31">
        <v>6.2446380232393084</v>
      </c>
      <c r="AN31">
        <v>5.8649052009793046</v>
      </c>
      <c r="AO31">
        <v>1.546958173142859</v>
      </c>
      <c r="AP31">
        <v>16.416</v>
      </c>
      <c r="AQ31">
        <v>17.135999999999999</v>
      </c>
      <c r="AR31">
        <v>0.41714933333108672</v>
      </c>
      <c r="AS31">
        <v>0.58902631265017835</v>
      </c>
      <c r="AT31">
        <v>4.6524400000000004</v>
      </c>
      <c r="AU31">
        <v>357.34733799600031</v>
      </c>
      <c r="AV31">
        <v>5.1369132492452597E-2</v>
      </c>
      <c r="AW31">
        <v>4.2451647518937E-2</v>
      </c>
      <c r="AX31">
        <v>4.2115561704313E-2</v>
      </c>
      <c r="AY31">
        <v>6.1170930250333502E-2</v>
      </c>
      <c r="AZ31">
        <v>6.0108628123603902E-2</v>
      </c>
    </row>
    <row r="32" spans="1:52" x14ac:dyDescent="0.2">
      <c r="A32" t="s">
        <v>81</v>
      </c>
      <c r="B32" t="s">
        <v>80</v>
      </c>
      <c r="C32" t="str">
        <f t="shared" ca="1" si="2"/>
        <v/>
      </c>
      <c r="E32">
        <f>AND(AX32&lt;$C$1,averaged_runs370!AQ32&lt;$C$1,averaged_runs126!AQ32&lt;$C$1)*1</f>
        <v>0</v>
      </c>
      <c r="F32" s="2">
        <f>IF(TRUE,SQRT(averaged_runs126!AQ32^2/2+averaged_runs370!AQ32^2/2+AX32^2*0),"")</f>
        <v>6.9063847229958314E-2</v>
      </c>
      <c r="G32" s="2" t="str">
        <f>IF(E32,averaged_runs126!AQ32,"")</f>
        <v/>
      </c>
      <c r="H32" s="2" t="str">
        <f t="shared" si="1"/>
        <v/>
      </c>
      <c r="I32" s="2" t="str">
        <f>IF(E32,averaged_runs370!AQ32,"")</f>
        <v/>
      </c>
      <c r="J32" t="s">
        <v>47</v>
      </c>
      <c r="K32">
        <v>7.28</v>
      </c>
      <c r="L32">
        <v>68.64</v>
      </c>
      <c r="M32">
        <v>4.5058009146738999E-2</v>
      </c>
      <c r="N32">
        <v>99.558643452780046</v>
      </c>
      <c r="O32">
        <v>-1.0724999998534579</v>
      </c>
      <c r="P32">
        <v>-3.144999999829722</v>
      </c>
      <c r="Q32">
        <v>-2.5901495724830741</v>
      </c>
      <c r="R32">
        <v>-1.224999999853317</v>
      </c>
      <c r="S32">
        <v>-3.4949999998294059</v>
      </c>
      <c r="T32">
        <v>-1.224999999853317</v>
      </c>
      <c r="U32">
        <v>-3.4949999998294059</v>
      </c>
      <c r="V32">
        <v>3.691895718726129</v>
      </c>
      <c r="W32">
        <v>4.7881903430233103E-2</v>
      </c>
      <c r="X32">
        <v>1.2804085139518299E-2</v>
      </c>
      <c r="Y32">
        <v>7.0544088562941004E-2</v>
      </c>
      <c r="Z32">
        <v>4.5058009146738999E-2</v>
      </c>
      <c r="AA32">
        <v>58.756917796817248</v>
      </c>
      <c r="AB32">
        <v>-1.0424999998534119</v>
      </c>
      <c r="AC32">
        <v>-3.108333333163261</v>
      </c>
      <c r="AD32">
        <v>-2.8100039680862579</v>
      </c>
      <c r="AE32">
        <v>-1.194999999853271</v>
      </c>
      <c r="AF32">
        <v>-3.4583333331629462</v>
      </c>
      <c r="AG32">
        <v>-0.99166666652012281</v>
      </c>
      <c r="AH32">
        <v>-3.278333333163109</v>
      </c>
      <c r="AI32">
        <v>2.8851230157252119</v>
      </c>
      <c r="AJ32">
        <v>7.0544088562941004E-2</v>
      </c>
      <c r="AK32">
        <v>5.1209836803297364</v>
      </c>
      <c r="AL32">
        <v>3.601443239334559</v>
      </c>
      <c r="AM32">
        <v>6.4021265920069403</v>
      </c>
      <c r="AN32">
        <v>3.1068430249214911</v>
      </c>
      <c r="AO32">
        <v>1.2649421573468791</v>
      </c>
      <c r="AP32">
        <v>15.776</v>
      </c>
      <c r="AQ32">
        <v>16.596</v>
      </c>
      <c r="AR32">
        <v>6.2323895997879603E-2</v>
      </c>
      <c r="AS32">
        <v>0.11980918562371751</v>
      </c>
      <c r="AT32">
        <v>4.9033800000000003</v>
      </c>
      <c r="AU32">
        <v>292.20163834712889</v>
      </c>
      <c r="AV32">
        <v>6.0895300762818898E-2</v>
      </c>
      <c r="AW32">
        <v>6.629437512104E-2</v>
      </c>
      <c r="AX32">
        <v>7.12740474686996E-2</v>
      </c>
      <c r="AY32">
        <v>7.8751581605423296E-2</v>
      </c>
      <c r="AZ32">
        <v>8.2545523712677205E-2</v>
      </c>
    </row>
    <row r="33" spans="1:52" x14ac:dyDescent="0.2">
      <c r="A33" t="s">
        <v>82</v>
      </c>
      <c r="B33" t="s">
        <v>80</v>
      </c>
      <c r="C33" t="str">
        <f t="shared" ca="1" si="2"/>
        <v/>
      </c>
      <c r="E33">
        <f>AND(AX33&lt;$C$1,averaged_runs370!AQ33&lt;$C$1,averaged_runs126!AQ33&lt;$C$1)*1</f>
        <v>0</v>
      </c>
      <c r="F33" s="2">
        <f>IF(TRUE,SQRT(averaged_runs126!AQ33^2/2+averaged_runs370!AQ33^2/2+AX33^2*0),"")</f>
        <v>7.4863619143348617E-2</v>
      </c>
      <c r="G33" s="2" t="str">
        <f>IF(E33,averaged_runs126!AQ33,"")</f>
        <v/>
      </c>
      <c r="H33" s="2" t="str">
        <f t="shared" si="1"/>
        <v/>
      </c>
      <c r="I33" s="2" t="str">
        <f>IF(E33,averaged_runs370!AQ33,"")</f>
        <v/>
      </c>
      <c r="J33" t="s">
        <v>47</v>
      </c>
      <c r="K33">
        <v>1.42</v>
      </c>
      <c r="L33">
        <v>18.48</v>
      </c>
      <c r="M33">
        <v>-4.1426296209455003E-2</v>
      </c>
      <c r="N33">
        <v>121.1792005384259</v>
      </c>
      <c r="O33">
        <v>2.7983333334763212</v>
      </c>
      <c r="P33">
        <v>1.938333333498969</v>
      </c>
      <c r="Q33">
        <v>2.3189934372836181</v>
      </c>
      <c r="R33">
        <v>2.286666666810115</v>
      </c>
      <c r="S33">
        <v>1.236666666832944</v>
      </c>
      <c r="T33">
        <v>3.3100000001425269</v>
      </c>
      <c r="U33">
        <v>2.6566666668316432</v>
      </c>
      <c r="V33">
        <v>2.7978450796566019</v>
      </c>
      <c r="W33">
        <v>5.3934803694378697E-2</v>
      </c>
      <c r="X33">
        <v>-2.7871645952326999E-2</v>
      </c>
      <c r="Y33">
        <v>-3.1459053789713601E-2</v>
      </c>
      <c r="Z33">
        <v>-4.1426296209455003E-2</v>
      </c>
      <c r="AA33">
        <v>93.742289158405342</v>
      </c>
      <c r="AB33">
        <v>2.8283333334763672</v>
      </c>
      <c r="AC33">
        <v>1.9750000001654291</v>
      </c>
      <c r="AD33">
        <v>2.2592559525472709</v>
      </c>
      <c r="AE33">
        <v>2.316666666810161</v>
      </c>
      <c r="AF33">
        <v>1.2733333334994039</v>
      </c>
      <c r="AG33">
        <v>3.2500000001426539</v>
      </c>
      <c r="AH33">
        <v>2.5350000001649189</v>
      </c>
      <c r="AI33">
        <v>2.3791567461645169</v>
      </c>
      <c r="AJ33">
        <v>-3.1459053789713601E-2</v>
      </c>
      <c r="AK33">
        <v>3.980845318466288</v>
      </c>
      <c r="AL33">
        <v>4.432652509473531</v>
      </c>
      <c r="AM33">
        <v>3.979250965078255</v>
      </c>
      <c r="AN33">
        <v>5.4573866238682944</v>
      </c>
      <c r="AO33">
        <v>1.357604555382161</v>
      </c>
      <c r="AP33">
        <v>18.088000000000001</v>
      </c>
      <c r="AQ33">
        <v>18.728000000000002</v>
      </c>
      <c r="AR33">
        <v>0.23476242717929041</v>
      </c>
      <c r="AS33">
        <v>0.37606394688749289</v>
      </c>
      <c r="AT33">
        <v>6.1204999999999998</v>
      </c>
      <c r="AU33">
        <v>313.60665229327918</v>
      </c>
      <c r="AV33">
        <v>6.0921741117054798E-2</v>
      </c>
      <c r="AW33">
        <v>6.2105946259084999E-2</v>
      </c>
      <c r="AX33">
        <v>6.0917559987028698E-2</v>
      </c>
      <c r="AY33">
        <v>7.4485885974343899E-2</v>
      </c>
      <c r="AZ33">
        <v>7.2901585471798397E-2</v>
      </c>
    </row>
    <row r="34" spans="1:52" x14ac:dyDescent="0.2">
      <c r="A34" t="s">
        <v>83</v>
      </c>
      <c r="B34" t="s">
        <v>80</v>
      </c>
      <c r="C34" t="str">
        <f t="shared" ca="1" si="2"/>
        <v/>
      </c>
      <c r="E34">
        <f>AND(AX34&lt;$C$1,averaged_runs370!AQ34&lt;$C$1,averaged_runs126!AQ34&lt;$C$1)*1</f>
        <v>0</v>
      </c>
      <c r="F34" s="2">
        <f>IF(TRUE,SQRT(averaged_runs126!AQ34^2/2+averaged_runs370!AQ34^2/2+AX34^2*0),"")</f>
        <v>9.2647185764193521E-2</v>
      </c>
      <c r="G34" s="2" t="str">
        <f>IF(E34,averaged_runs126!AQ34,"")</f>
        <v/>
      </c>
      <c r="H34" s="2" t="str">
        <f t="shared" si="1"/>
        <v/>
      </c>
      <c r="I34" s="2" t="str">
        <f>IF(E34,averaged_runs370!AQ34,"")</f>
        <v/>
      </c>
      <c r="J34" t="s">
        <v>47</v>
      </c>
      <c r="K34">
        <v>17.96</v>
      </c>
      <c r="L34">
        <v>78.02</v>
      </c>
      <c r="M34">
        <v>5.1562125411722302E-2</v>
      </c>
      <c r="N34">
        <v>56.089583115022137</v>
      </c>
      <c r="O34">
        <v>-0.69944444429826336</v>
      </c>
      <c r="P34">
        <v>-3.691249999829231</v>
      </c>
      <c r="Q34">
        <v>-2.8020085468428091</v>
      </c>
      <c r="R34">
        <v>-1.1883333331867021</v>
      </c>
      <c r="S34">
        <v>-4.3299999998286509</v>
      </c>
      <c r="T34">
        <v>-0.99999999985353483</v>
      </c>
      <c r="U34">
        <v>-4.3299999998286509</v>
      </c>
      <c r="V34">
        <v>4.3853918188202723</v>
      </c>
      <c r="W34">
        <v>5.1085138775808198E-2</v>
      </c>
      <c r="X34">
        <v>5.4735648830122998E-3</v>
      </c>
      <c r="Y34">
        <v>0.100785260360155</v>
      </c>
      <c r="Z34">
        <v>5.1562125411722302E-2</v>
      </c>
      <c r="AA34">
        <v>25.404084393583489</v>
      </c>
      <c r="AB34">
        <v>-0.66944444429821803</v>
      </c>
      <c r="AC34">
        <v>-3.65458333316277</v>
      </c>
      <c r="AD34">
        <v>-3.12826388872202</v>
      </c>
      <c r="AE34">
        <v>-1.1583333331866561</v>
      </c>
      <c r="AF34">
        <v>-4.2933333331621908</v>
      </c>
      <c r="AG34">
        <v>-0.79166666652033202</v>
      </c>
      <c r="AH34">
        <v>-4.1833333331622908</v>
      </c>
      <c r="AI34">
        <v>3.1674305554018831</v>
      </c>
      <c r="AJ34">
        <v>0.1007852603601551</v>
      </c>
      <c r="AK34">
        <v>4.6360476907511687</v>
      </c>
      <c r="AL34">
        <v>2.995860930586137</v>
      </c>
      <c r="AM34">
        <v>5.9007506023601604</v>
      </c>
      <c r="AN34">
        <v>2.3982337714546671</v>
      </c>
      <c r="AO34">
        <v>0.9947319680044524</v>
      </c>
      <c r="AP34">
        <v>17.962</v>
      </c>
      <c r="AQ34">
        <v>18.681999999999999</v>
      </c>
      <c r="AR34">
        <v>1.3641905882443E-2</v>
      </c>
      <c r="AS34">
        <v>3.3839715685712597E-2</v>
      </c>
      <c r="AT34">
        <v>6.8464600000000004</v>
      </c>
      <c r="AU34">
        <v>229.78308460902849</v>
      </c>
      <c r="AV34">
        <v>7.3608676927050906E-2</v>
      </c>
      <c r="AW34">
        <v>8.55292320880046E-2</v>
      </c>
      <c r="AX34">
        <v>9.5480192596416796E-2</v>
      </c>
      <c r="AY34">
        <v>9.4899303328684903E-2</v>
      </c>
      <c r="AZ34">
        <v>0.1037063523092987</v>
      </c>
    </row>
    <row r="35" spans="1:52" x14ac:dyDescent="0.2">
      <c r="A35" t="s">
        <v>84</v>
      </c>
      <c r="B35" t="s">
        <v>85</v>
      </c>
      <c r="C35">
        <f t="shared" ca="1" si="2"/>
        <v>0</v>
      </c>
      <c r="D35">
        <v>4</v>
      </c>
      <c r="E35">
        <f>AND(AX35&lt;$C$1,averaged_runs370!AQ35&lt;$C$1,averaged_runs126!AQ35&lt;$C$1)*1</f>
        <v>0</v>
      </c>
      <c r="F35" s="2">
        <f>IF(TRUE,SQRT(averaged_runs126!AQ35^2/2+averaged_runs370!AQ35^2/2+AX35^2*0),"")</f>
        <v>7.8010684826746585E-2</v>
      </c>
      <c r="G35" s="2">
        <f>IF(TRUE,averaged_runs126!AQ35,"")</f>
        <v>6.4842693218633105E-2</v>
      </c>
      <c r="H35" s="2">
        <f>IF(TRUE,AX35,"")</f>
        <v>7.0065136229644095E-2</v>
      </c>
      <c r="I35" s="2">
        <f>IF(TRUE,averaged_runs370!AQ35,"")</f>
        <v>8.9256703000000007E-2</v>
      </c>
      <c r="J35" t="s">
        <v>47</v>
      </c>
      <c r="K35">
        <v>3.66</v>
      </c>
      <c r="L35">
        <v>38.08</v>
      </c>
      <c r="M35">
        <v>-3.1400051090743397E-2</v>
      </c>
      <c r="N35">
        <v>109.0292697695542</v>
      </c>
      <c r="O35">
        <v>2.3901388890322508</v>
      </c>
      <c r="P35">
        <v>1.7354166668324811</v>
      </c>
      <c r="Q35">
        <v>2.0306018011422049</v>
      </c>
      <c r="R35">
        <v>1.210000000144446</v>
      </c>
      <c r="S35">
        <v>0.14500000016725609</v>
      </c>
      <c r="T35">
        <v>3.3866666668091239</v>
      </c>
      <c r="U35">
        <v>3.0400000001646368</v>
      </c>
      <c r="V35">
        <v>2.6792508089404472</v>
      </c>
      <c r="W35">
        <v>0.06</v>
      </c>
      <c r="X35">
        <v>-2.1751757351044398E-2</v>
      </c>
      <c r="Y35">
        <v>-2.5834234178066202E-2</v>
      </c>
      <c r="Z35">
        <v>-3.1400051090743397E-2</v>
      </c>
      <c r="AA35">
        <v>87.070688138655228</v>
      </c>
      <c r="AB35">
        <v>2.4201388890322968</v>
      </c>
      <c r="AC35">
        <v>1.772083333498941</v>
      </c>
      <c r="AD35">
        <v>1.9399305557219999</v>
      </c>
      <c r="AE35">
        <v>1.240000000144492</v>
      </c>
      <c r="AF35">
        <v>0.1816666668337166</v>
      </c>
      <c r="AG35">
        <v>3.268333333475967</v>
      </c>
      <c r="AH35">
        <v>2.4366666668316612</v>
      </c>
      <c r="AI35">
        <v>2.1506369048747578</v>
      </c>
      <c r="AJ35">
        <v>-2.5834234178066202E-2</v>
      </c>
      <c r="AK35">
        <v>3.690315864007399</v>
      </c>
      <c r="AL35">
        <v>3.7682191292658032</v>
      </c>
      <c r="AM35">
        <v>3.3858720967658602</v>
      </c>
      <c r="AN35">
        <v>4.2803472776602183</v>
      </c>
      <c r="AO35">
        <v>1.122074153367828</v>
      </c>
      <c r="AP35">
        <v>25.99</v>
      </c>
      <c r="AQ35">
        <v>26.81</v>
      </c>
      <c r="AR35">
        <v>9.1638762860082199E-2</v>
      </c>
      <c r="AS35">
        <v>0.1957952171345039</v>
      </c>
      <c r="AT35">
        <v>14.40884</v>
      </c>
      <c r="AU35">
        <v>259.19912942796822</v>
      </c>
      <c r="AV35">
        <v>7.45738950125997E-2</v>
      </c>
      <c r="AW35">
        <v>7.08075423067627E-2</v>
      </c>
      <c r="AX35">
        <v>7.0065136229644095E-2</v>
      </c>
      <c r="AY35">
        <v>8.21650188973891E-2</v>
      </c>
      <c r="AZ35">
        <v>8.1218146486047596E-2</v>
      </c>
    </row>
    <row r="36" spans="1:52" x14ac:dyDescent="0.2">
      <c r="A36" t="s">
        <v>86</v>
      </c>
      <c r="B36" t="s">
        <v>85</v>
      </c>
      <c r="C36" t="str">
        <f t="shared" ca="1" si="2"/>
        <v/>
      </c>
      <c r="E36">
        <f>AND(AX36&lt;$C$1,averaged_runs370!AQ36&lt;$C$1,averaged_runs126!AQ36&lt;$C$1)*1</f>
        <v>0</v>
      </c>
      <c r="F36" s="2">
        <f>IF(TRUE,SQRT(averaged_runs126!AQ36^2/2+averaged_runs370!AQ36^2/2+AX36^2*0),"")</f>
        <v>0.12049253778710514</v>
      </c>
      <c r="G36" s="2" t="str">
        <f>IF(E36,averaged_runs126!AQ36,"")</f>
        <v/>
      </c>
      <c r="H36" s="2" t="str">
        <f t="shared" ref="H36:H61" si="3">IF(E36,AX36,"")</f>
        <v/>
      </c>
      <c r="I36" s="2" t="str">
        <f>IF(E36,averaged_runs370!AQ36,"")</f>
        <v/>
      </c>
      <c r="J36" t="s">
        <v>47</v>
      </c>
      <c r="K36">
        <v>28.14</v>
      </c>
      <c r="L36">
        <v>61.82</v>
      </c>
      <c r="M36">
        <v>-6.6640382145797997E-2</v>
      </c>
      <c r="N36">
        <v>-93.617860024834684</v>
      </c>
      <c r="O36">
        <v>2.8801111112540339</v>
      </c>
      <c r="P36">
        <v>6.9995555557165856</v>
      </c>
      <c r="Q36">
        <v>5.1760941480782936</v>
      </c>
      <c r="R36">
        <v>1.015000000144628</v>
      </c>
      <c r="S36">
        <v>2.4583333334984951</v>
      </c>
      <c r="T36">
        <v>4.600000000141363</v>
      </c>
      <c r="U36">
        <v>11.43000000015698</v>
      </c>
      <c r="V36">
        <v>6.6784805780917074</v>
      </c>
      <c r="W36">
        <v>0.100023794873983</v>
      </c>
      <c r="X36">
        <v>2.2780991709542E-3</v>
      </c>
      <c r="Y36">
        <v>-0.1094359939967653</v>
      </c>
      <c r="Z36">
        <v>-6.6640382145797997E-2</v>
      </c>
      <c r="AA36">
        <v>-136.19266821295881</v>
      </c>
      <c r="AB36">
        <v>2.910111111254079</v>
      </c>
      <c r="AC36">
        <v>7.0362222223830484</v>
      </c>
      <c r="AD36">
        <v>5.4694883788422723</v>
      </c>
      <c r="AE36">
        <v>1.0450000001446731</v>
      </c>
      <c r="AF36">
        <v>2.4950000001649562</v>
      </c>
      <c r="AG36">
        <v>4.3016666668083694</v>
      </c>
      <c r="AH36">
        <v>11.466666666823439</v>
      </c>
      <c r="AI36">
        <v>5.4694883788422723</v>
      </c>
      <c r="AJ36">
        <v>-0.1094359939967653</v>
      </c>
      <c r="AK36">
        <v>2.607047104773593</v>
      </c>
      <c r="AL36">
        <v>2.1316428469648638</v>
      </c>
      <c r="AM36">
        <v>3.508666419074165</v>
      </c>
      <c r="AN36">
        <v>1.932031727305946</v>
      </c>
      <c r="AO36">
        <v>-0.26033924491717447</v>
      </c>
      <c r="AP36">
        <v>34.578000000000003</v>
      </c>
      <c r="AQ36">
        <v>34.677999999999997</v>
      </c>
      <c r="AR36" s="1">
        <v>1.474618297261619E-8</v>
      </c>
      <c r="AS36" s="1">
        <v>4.1043485595572853E-5</v>
      </c>
      <c r="AT36">
        <v>21.612480000000001</v>
      </c>
      <c r="AU36">
        <v>-60.138365575867319</v>
      </c>
      <c r="AV36">
        <v>0.1014803306392095</v>
      </c>
      <c r="AW36">
        <v>0.10606319585471841</v>
      </c>
      <c r="AX36">
        <v>0.1151140089682271</v>
      </c>
      <c r="AY36">
        <v>0.1134230165166302</v>
      </c>
      <c r="AZ36">
        <v>0.12183376020567829</v>
      </c>
    </row>
    <row r="37" spans="1:52" x14ac:dyDescent="0.2">
      <c r="A37" t="s">
        <v>87</v>
      </c>
      <c r="B37" t="s">
        <v>85</v>
      </c>
      <c r="C37" t="str">
        <f t="shared" ca="1" si="2"/>
        <v/>
      </c>
      <c r="E37">
        <f>AND(AX37&lt;$C$1,averaged_runs370!AQ37&lt;$C$1,averaged_runs126!AQ37&lt;$C$1)*1</f>
        <v>0</v>
      </c>
      <c r="F37" s="2">
        <f>IF(TRUE,SQRT(averaged_runs126!AQ37^2/2+averaged_runs370!AQ37^2/2+AX37^2*0),"")</f>
        <v>9.9470220027020537E-2</v>
      </c>
      <c r="G37" s="2" t="str">
        <f>IF(E37,averaged_runs126!AQ37,"")</f>
        <v/>
      </c>
      <c r="H37" s="2" t="str">
        <f t="shared" si="3"/>
        <v/>
      </c>
      <c r="I37" s="2" t="str">
        <f>IF(E37,averaged_runs370!AQ37,"")</f>
        <v/>
      </c>
      <c r="J37" t="s">
        <v>47</v>
      </c>
      <c r="K37">
        <v>7.14</v>
      </c>
      <c r="L37">
        <v>42.06</v>
      </c>
      <c r="M37">
        <v>-2.0347383096222402E-2</v>
      </c>
      <c r="N37">
        <v>88.517163169920948</v>
      </c>
      <c r="O37">
        <v>0.33383333347858057</v>
      </c>
      <c r="P37">
        <v>3.8763333334971941</v>
      </c>
      <c r="Q37">
        <v>2.2925755496175579</v>
      </c>
      <c r="R37">
        <v>-1.7166666665195409</v>
      </c>
      <c r="S37">
        <v>-0.26666666649904069</v>
      </c>
      <c r="T37">
        <v>0.33500000014525538</v>
      </c>
      <c r="U37">
        <v>7.883333333493538</v>
      </c>
      <c r="V37">
        <v>4.5168059774380884</v>
      </c>
      <c r="W37">
        <v>6.9852579055513703E-2</v>
      </c>
      <c r="X37">
        <v>9.6958379074089992E-3</v>
      </c>
      <c r="Y37">
        <v>-6.8796946742905901E-2</v>
      </c>
      <c r="Z37">
        <v>-2.0347383096222402E-2</v>
      </c>
      <c r="AA37">
        <v>72.998651772384633</v>
      </c>
      <c r="AB37">
        <v>0.36383333347862601</v>
      </c>
      <c r="AC37">
        <v>3.9130000001636538</v>
      </c>
      <c r="AD37">
        <v>2.4566102609360532</v>
      </c>
      <c r="AE37">
        <v>-1.6866666665194949</v>
      </c>
      <c r="AF37">
        <v>-0.2299999998325801</v>
      </c>
      <c r="AG37">
        <v>0.62833333347839471</v>
      </c>
      <c r="AH37">
        <v>7.6766666668268861</v>
      </c>
      <c r="AI37">
        <v>2.6556816894733442</v>
      </c>
      <c r="AJ37">
        <v>-6.8796946742905901E-2</v>
      </c>
      <c r="AK37">
        <v>3.5606418250506038</v>
      </c>
      <c r="AL37">
        <v>3.5188696509244339</v>
      </c>
      <c r="AM37">
        <v>4.3944131202879868</v>
      </c>
      <c r="AN37">
        <v>3.4992347977697311</v>
      </c>
      <c r="AO37">
        <v>0.73993340357787307</v>
      </c>
      <c r="AP37">
        <v>36.636000000000003</v>
      </c>
      <c r="AQ37">
        <v>37.176000000000002</v>
      </c>
      <c r="AR37">
        <v>6.0799359482227498E-2</v>
      </c>
      <c r="AS37">
        <v>0.14633065927092639</v>
      </c>
      <c r="AT37">
        <v>22.520859999999999</v>
      </c>
      <c r="AU37">
        <v>88.792008429344776</v>
      </c>
      <c r="AV37">
        <v>9.8352700362570794E-2</v>
      </c>
      <c r="AW37">
        <v>8.5898915925256794E-2</v>
      </c>
      <c r="AX37">
        <v>8.6661544273656702E-2</v>
      </c>
      <c r="AY37">
        <v>9.4914271303284406E-2</v>
      </c>
      <c r="AZ37">
        <v>9.5564240860829403E-2</v>
      </c>
    </row>
    <row r="38" spans="1:52" x14ac:dyDescent="0.2">
      <c r="A38" t="s">
        <v>88</v>
      </c>
      <c r="B38" t="s">
        <v>85</v>
      </c>
      <c r="E38">
        <f>AND(AX38&lt;$C$1,averaged_runs370!AQ38&lt;$C$1,averaged_runs126!AQ38&lt;$C$1)*1</f>
        <v>0</v>
      </c>
      <c r="F38" s="2">
        <f>IF(TRUE,SQRT(averaged_runs126!AQ38^2/2+averaged_runs370!AQ38^2/2+AX38^2*0),"")</f>
        <v>0.16606404835142169</v>
      </c>
      <c r="G38" s="2" t="str">
        <f>IF(E38,averaged_runs126!AQ38,"")</f>
        <v/>
      </c>
      <c r="H38" s="2" t="str">
        <f t="shared" si="3"/>
        <v/>
      </c>
      <c r="I38" s="2" t="str">
        <f>IF(E38,averaged_runs370!AQ38,"")</f>
        <v/>
      </c>
      <c r="J38" t="s">
        <v>47</v>
      </c>
      <c r="K38">
        <v>0.04</v>
      </c>
      <c r="L38">
        <v>15.08</v>
      </c>
      <c r="M38">
        <v>-0.1118819068452867</v>
      </c>
      <c r="N38">
        <v>44.28747678757847</v>
      </c>
      <c r="O38">
        <v>5.218527777918589</v>
      </c>
      <c r="P38">
        <v>10.749083333490971</v>
      </c>
      <c r="Q38">
        <v>8.2515964592495763</v>
      </c>
      <c r="R38">
        <v>3.1666666668093422</v>
      </c>
      <c r="S38">
        <v>5.9950000001619719</v>
      </c>
      <c r="T38">
        <v>7.3966666668055039</v>
      </c>
      <c r="U38">
        <v>15.46500000015336</v>
      </c>
      <c r="V38">
        <v>9.8503533781773847</v>
      </c>
      <c r="W38">
        <v>0.1305226611890172</v>
      </c>
      <c r="X38">
        <v>-0.1035158561705487</v>
      </c>
      <c r="Y38">
        <v>-0.16041414690786429</v>
      </c>
      <c r="Z38">
        <v>-0.1118819068452867</v>
      </c>
      <c r="AA38">
        <v>40.199535864644268</v>
      </c>
      <c r="AB38">
        <v>5.2485277779186346</v>
      </c>
      <c r="AC38">
        <v>10.83491666682405</v>
      </c>
      <c r="AD38">
        <v>8.7282448981045331</v>
      </c>
      <c r="AE38">
        <v>3.1966666668093882</v>
      </c>
      <c r="AF38">
        <v>6.031666666828432</v>
      </c>
      <c r="AG38">
        <v>7.2633333334723647</v>
      </c>
      <c r="AH38">
        <v>15.61666666681972</v>
      </c>
      <c r="AI38">
        <v>8.7282448981045331</v>
      </c>
      <c r="AJ38">
        <v>-0.16041414690786429</v>
      </c>
      <c r="AK38">
        <v>1.8117612139893531</v>
      </c>
      <c r="AL38">
        <v>1.683688024153559</v>
      </c>
      <c r="AM38">
        <v>2.0692913831662492</v>
      </c>
      <c r="AN38">
        <v>1.6699406917546611</v>
      </c>
      <c r="AO38">
        <v>0.50135552702007535</v>
      </c>
      <c r="AP38">
        <v>34.53</v>
      </c>
      <c r="AQ38">
        <v>34.61</v>
      </c>
      <c r="AR38">
        <v>0.51790526579591112</v>
      </c>
      <c r="AS38">
        <v>0.59915004886700207</v>
      </c>
      <c r="AT38">
        <v>23.762239999999998</v>
      </c>
      <c r="AU38">
        <v>51.639619283067759</v>
      </c>
      <c r="AV38">
        <v>0.14250624250821989</v>
      </c>
      <c r="AW38">
        <v>0.1426830583595641</v>
      </c>
      <c r="AX38">
        <v>0.15827522649012199</v>
      </c>
      <c r="AY38">
        <v>0.14803831098820369</v>
      </c>
      <c r="AZ38">
        <v>0.16298523651772751</v>
      </c>
    </row>
    <row r="39" spans="1:52" x14ac:dyDescent="0.2">
      <c r="A39" t="s">
        <v>89</v>
      </c>
      <c r="B39" t="s">
        <v>90</v>
      </c>
      <c r="C39">
        <f t="shared" ref="C39:C61" ca="1" si="4">IF(ISNUMBER(D39),SUM(INDIRECT(_xlfn.CONCAT("e",ROW(),":e",ROW()+D39-1))),"")</f>
        <v>0</v>
      </c>
      <c r="D39">
        <v>2</v>
      </c>
      <c r="E39">
        <f>AND(AX39&lt;$C$1,averaged_runs370!AQ39&lt;$C$1,averaged_runs126!AQ39&lt;$C$1)*1</f>
        <v>0</v>
      </c>
      <c r="F39" s="2">
        <f>IF(TRUE,SQRT(averaged_runs126!AQ39^2/2+averaged_runs370!AQ39^2/2+AX39^2*0),"")</f>
        <v>0.58235568400890025</v>
      </c>
      <c r="G39" s="2" t="str">
        <f>IF(E39,averaged_runs126!AQ39,"")</f>
        <v/>
      </c>
      <c r="H39" s="2" t="str">
        <f t="shared" si="3"/>
        <v/>
      </c>
      <c r="I39" s="2" t="str">
        <f>IF(E39,averaged_runs370!AQ39,"")</f>
        <v/>
      </c>
      <c r="J39" t="s">
        <v>47</v>
      </c>
      <c r="K39">
        <v>39.92</v>
      </c>
      <c r="L39">
        <v>49.8</v>
      </c>
      <c r="M39">
        <v>0.31393468735809982</v>
      </c>
      <c r="N39">
        <v>-35.288854344526207</v>
      </c>
      <c r="O39">
        <v>-7.3483333331810989</v>
      </c>
      <c r="P39">
        <v>-14.97833333315231</v>
      </c>
      <c r="Q39">
        <v>-7.5085439558941447</v>
      </c>
      <c r="R39">
        <v>-7.3483333331810989</v>
      </c>
      <c r="S39">
        <v>-14.97833333315231</v>
      </c>
      <c r="T39">
        <v>-7.3483333331810989</v>
      </c>
      <c r="U39">
        <v>-14.97833333315231</v>
      </c>
      <c r="V39">
        <v>13.746902873812299</v>
      </c>
      <c r="W39">
        <v>0.26817119856213911</v>
      </c>
      <c r="X39">
        <v>0.15637927958276951</v>
      </c>
      <c r="Y39">
        <v>0.53497869737744064</v>
      </c>
      <c r="Z39">
        <v>0.31393468735809982</v>
      </c>
      <c r="AA39">
        <v>-34.85778967160222</v>
      </c>
      <c r="AB39">
        <v>-7.3183333331810534</v>
      </c>
      <c r="AC39">
        <v>-14.941666666485849</v>
      </c>
      <c r="AD39">
        <v>-6.102380952237886</v>
      </c>
      <c r="AE39">
        <v>-7.3183333331810534</v>
      </c>
      <c r="AF39">
        <v>-14.941666666485849</v>
      </c>
      <c r="AG39">
        <v>-7.3183333331810534</v>
      </c>
      <c r="AH39">
        <v>-14.941666666485849</v>
      </c>
      <c r="AI39">
        <v>6.102380952237886</v>
      </c>
      <c r="AJ39">
        <v>0.53497869737744042</v>
      </c>
      <c r="AK39">
        <v>0.77319250292359598</v>
      </c>
      <c r="AL39">
        <v>0.4775131310198521</v>
      </c>
      <c r="AM39">
        <v>0.76350066744120026</v>
      </c>
      <c r="AN39">
        <v>0.4811207002104102</v>
      </c>
      <c r="AO39">
        <v>-2.2827873929393721</v>
      </c>
      <c r="AP39">
        <v>12.44</v>
      </c>
      <c r="AQ39">
        <v>12.32</v>
      </c>
      <c r="AR39" s="1">
        <v>7.0205684173477732E-7</v>
      </c>
      <c r="AS39">
        <v>1.938032335072E-4</v>
      </c>
      <c r="AT39">
        <v>0.21714</v>
      </c>
      <c r="AU39">
        <v>-527.32388776899506</v>
      </c>
      <c r="AV39">
        <v>0.25127289661885438</v>
      </c>
      <c r="AW39">
        <v>0.3871740829371178</v>
      </c>
      <c r="AX39">
        <v>0.4525183594185706</v>
      </c>
      <c r="AY39">
        <v>0.38512903416260169</v>
      </c>
      <c r="AZ39">
        <v>0.45080103270710098</v>
      </c>
    </row>
    <row r="40" spans="1:52" x14ac:dyDescent="0.2">
      <c r="A40" t="s">
        <v>91</v>
      </c>
      <c r="B40" t="s">
        <v>90</v>
      </c>
      <c r="C40" t="str">
        <f t="shared" ca="1" si="4"/>
        <v/>
      </c>
      <c r="E40">
        <f>AND(AX40&lt;$C$1,averaged_runs370!AQ40&lt;$C$1,averaged_runs126!AQ40&lt;$C$1)*1</f>
        <v>0</v>
      </c>
      <c r="F40" s="2">
        <f>IF(TRUE,SQRT(averaged_runs126!AQ40^2/2+averaged_runs370!AQ40^2/2+AX40^2*0),"")</f>
        <v>0.14363147288804673</v>
      </c>
      <c r="G40" s="2" t="str">
        <f>IF(E40,averaged_runs126!AQ40,"")</f>
        <v/>
      </c>
      <c r="H40" s="2" t="str">
        <f t="shared" si="3"/>
        <v/>
      </c>
      <c r="I40" s="2" t="str">
        <f>IF(E40,averaged_runs370!AQ40,"")</f>
        <v/>
      </c>
      <c r="J40" t="s">
        <v>47</v>
      </c>
      <c r="K40">
        <v>140.26</v>
      </c>
      <c r="L40">
        <v>186.98</v>
      </c>
      <c r="M40">
        <v>8.9251708722984699E-2</v>
      </c>
      <c r="N40">
        <v>-601.3103473469032</v>
      </c>
      <c r="O40">
        <v>-4.4649999998503969</v>
      </c>
      <c r="P40">
        <v>-6.7349999998264503</v>
      </c>
      <c r="Q40">
        <v>-5.6740109888439827</v>
      </c>
      <c r="R40">
        <v>-4.4649999998503969</v>
      </c>
      <c r="S40">
        <v>-6.7349999998264503</v>
      </c>
      <c r="T40">
        <v>-4.4649999998503969</v>
      </c>
      <c r="U40">
        <v>-6.7349999998264503</v>
      </c>
      <c r="V40">
        <v>6.7550957156619758</v>
      </c>
      <c r="W40">
        <v>2.57323727191337E-2</v>
      </c>
      <c r="X40">
        <v>3.90002971792539E-2</v>
      </c>
      <c r="Y40">
        <v>0.14014378449285039</v>
      </c>
      <c r="Z40">
        <v>8.9251708722984699E-2</v>
      </c>
      <c r="AA40">
        <v>-681.06171775880182</v>
      </c>
      <c r="AB40">
        <v>-4.4349999998503513</v>
      </c>
      <c r="AC40">
        <v>-6.6983333331599901</v>
      </c>
      <c r="AD40">
        <v>-5.9760714284031806</v>
      </c>
      <c r="AE40">
        <v>-4.4349999998503513</v>
      </c>
      <c r="AF40">
        <v>-6.6983333331599901</v>
      </c>
      <c r="AG40">
        <v>-4.4349999998503513</v>
      </c>
      <c r="AH40">
        <v>-6.6983333331599901</v>
      </c>
      <c r="AI40">
        <v>5.9760714284031806</v>
      </c>
      <c r="AJ40">
        <v>0.14014378449285039</v>
      </c>
      <c r="AK40">
        <v>1.478999980988287</v>
      </c>
      <c r="AL40">
        <v>0.53206571535427127</v>
      </c>
      <c r="AM40">
        <v>0.81345250126335911</v>
      </c>
      <c r="AN40">
        <v>8.1720542408244695E-2</v>
      </c>
      <c r="AO40">
        <v>-4.7314453806063144</v>
      </c>
      <c r="AP40">
        <v>13.56</v>
      </c>
      <c r="AQ40">
        <v>14</v>
      </c>
      <c r="AR40" s="1">
        <v>5.2280391965955908E-11</v>
      </c>
      <c r="AS40" s="1">
        <v>7.8073239644880905E-8</v>
      </c>
      <c r="AT40">
        <v>1.0657799999999999</v>
      </c>
      <c r="AU40">
        <v>-1092.9638829200589</v>
      </c>
      <c r="AV40">
        <v>8.9991122863933001E-2</v>
      </c>
      <c r="AW40">
        <v>0.115461211917048</v>
      </c>
      <c r="AX40">
        <v>0.13187270441832169</v>
      </c>
      <c r="AY40">
        <v>0.1217050202432063</v>
      </c>
      <c r="AZ40">
        <v>0.1360150541012573</v>
      </c>
    </row>
    <row r="41" spans="1:52" x14ac:dyDescent="0.2">
      <c r="A41" t="s">
        <v>92</v>
      </c>
      <c r="B41" t="s">
        <v>93</v>
      </c>
      <c r="C41">
        <f t="shared" ca="1" si="4"/>
        <v>4</v>
      </c>
      <c r="D41">
        <v>7</v>
      </c>
      <c r="E41">
        <f>AND(AX41&lt;$C$1,averaged_runs370!AQ41&lt;$C$1,averaged_runs126!AQ41&lt;$C$1)*1</f>
        <v>0</v>
      </c>
      <c r="F41" s="2">
        <f>IF(TRUE,SQRT(averaged_runs126!AQ41^2/2+averaged_runs370!AQ41^2/2+AX41^2*0),"")</f>
        <v>6.4084824130384674E-2</v>
      </c>
      <c r="G41" s="2" t="str">
        <f>IF(E41,averaged_runs126!AQ41,"")</f>
        <v/>
      </c>
      <c r="H41" s="2" t="str">
        <f t="shared" si="3"/>
        <v/>
      </c>
      <c r="I41" s="2" t="str">
        <f>IF(E41,averaged_runs370!AQ41,"")</f>
        <v/>
      </c>
      <c r="J41" t="s">
        <v>47</v>
      </c>
      <c r="K41">
        <v>139.04</v>
      </c>
      <c r="L41">
        <v>152.34</v>
      </c>
      <c r="M41">
        <v>5.5740464304245403E-2</v>
      </c>
      <c r="N41">
        <v>-201056.633082282</v>
      </c>
      <c r="O41">
        <v>-4.4974999998503744</v>
      </c>
      <c r="P41">
        <v>-1.1249999998315621</v>
      </c>
      <c r="Q41">
        <v>-3.0114468862780339</v>
      </c>
      <c r="R41">
        <v>-4.5383333331836733</v>
      </c>
      <c r="S41">
        <v>-1.1249999998315621</v>
      </c>
      <c r="T41">
        <v>-4.5383333331836733</v>
      </c>
      <c r="U41">
        <v>-1.1249999998315621</v>
      </c>
      <c r="V41">
        <v>4.0748302749557803</v>
      </c>
      <c r="W41">
        <v>5.5673743956102997E-3</v>
      </c>
      <c r="X41">
        <v>3.0789667550157902E-2</v>
      </c>
      <c r="Y41">
        <v>1.5088957524848699E-2</v>
      </c>
      <c r="Z41">
        <v>5.5740464304245403E-2</v>
      </c>
      <c r="AA41">
        <v>-237473.24917833801</v>
      </c>
      <c r="AB41">
        <v>-4.4674999998503289</v>
      </c>
      <c r="AC41">
        <v>-1.0883333331651011</v>
      </c>
      <c r="AD41">
        <v>-2.9526587299890639</v>
      </c>
      <c r="AE41">
        <v>-4.5083333331836277</v>
      </c>
      <c r="AF41">
        <v>-1.0883333331651011</v>
      </c>
      <c r="AG41">
        <v>-4.5083333331836277</v>
      </c>
      <c r="AH41">
        <v>-1.0883333331651011</v>
      </c>
      <c r="AI41">
        <v>3.1719841268406448</v>
      </c>
      <c r="AJ41">
        <v>1.5088957524848699E-2</v>
      </c>
      <c r="AK41">
        <v>0.115206507053442</v>
      </c>
      <c r="AL41">
        <v>9.9259886413691696</v>
      </c>
      <c r="AM41" s="1">
        <v>2.5078084966939811E-51</v>
      </c>
      <c r="AN41">
        <v>12.42424093381447</v>
      </c>
      <c r="AO41">
        <v>-1780.806285566088</v>
      </c>
      <c r="AP41">
        <v>13.744</v>
      </c>
      <c r="AQ41">
        <v>14.284000000000001</v>
      </c>
      <c r="AR41" s="1">
        <v>2.6935982668133599E-38</v>
      </c>
      <c r="AS41" s="1">
        <v>1.206997141196246E-26</v>
      </c>
      <c r="AT41">
        <v>3.1182799999999999</v>
      </c>
      <c r="AU41">
        <v>-286709.81197614007</v>
      </c>
      <c r="AV41">
        <v>7.3032070358873602E-2</v>
      </c>
      <c r="AW41">
        <v>7.5559843440152499E-2</v>
      </c>
      <c r="AX41">
        <v>5.8161326599152498E-2</v>
      </c>
      <c r="AY41">
        <v>8.1462642304333296E-2</v>
      </c>
      <c r="AZ41">
        <v>6.3753387330730701E-2</v>
      </c>
    </row>
    <row r="42" spans="1:52" x14ac:dyDescent="0.2">
      <c r="A42" t="s">
        <v>94</v>
      </c>
      <c r="B42" t="s">
        <v>93</v>
      </c>
      <c r="C42" t="str">
        <f t="shared" ca="1" si="4"/>
        <v/>
      </c>
      <c r="E42">
        <f>AND(AX42&lt;$C$1,averaged_runs370!AQ42&lt;$C$1,averaged_runs126!AQ42&lt;$C$1)*1</f>
        <v>0</v>
      </c>
      <c r="F42" s="2">
        <f>IF(TRUE,SQRT(averaged_runs126!AQ42^2/2+averaged_runs370!AQ42^2/2+AX42^2*0),"")</f>
        <v>5.6760213107870154E-2</v>
      </c>
      <c r="G42" s="2" t="str">
        <f>IF(E42,averaged_runs126!AQ42,"")</f>
        <v/>
      </c>
      <c r="H42" s="2" t="str">
        <f t="shared" si="3"/>
        <v/>
      </c>
      <c r="I42" s="2" t="str">
        <f>IF(E42,averaged_runs370!AQ42,"")</f>
        <v/>
      </c>
      <c r="J42" t="s">
        <v>47</v>
      </c>
      <c r="K42">
        <v>0</v>
      </c>
      <c r="L42">
        <v>0.02</v>
      </c>
      <c r="M42">
        <v>2.03544643042455E-2</v>
      </c>
      <c r="N42">
        <v>116.1137812788017</v>
      </c>
      <c r="O42">
        <v>-2.1049999998525162</v>
      </c>
      <c r="P42">
        <v>0.92416666683322557</v>
      </c>
      <c r="Q42">
        <v>-0.84464743572936629</v>
      </c>
      <c r="R42">
        <v>-2.1049999998525162</v>
      </c>
      <c r="S42">
        <v>0.91333333349990442</v>
      </c>
      <c r="T42">
        <v>-2.1049999998525162</v>
      </c>
      <c r="U42">
        <v>0.93500000016654683</v>
      </c>
      <c r="V42">
        <v>2.930372750624461</v>
      </c>
      <c r="W42">
        <v>8.6995815229529205E-2</v>
      </c>
      <c r="X42">
        <v>-3.1725403540055E-3</v>
      </c>
      <c r="Y42">
        <v>-2.0297042475151E-2</v>
      </c>
      <c r="Z42">
        <v>2.03544643042455E-2</v>
      </c>
      <c r="AA42">
        <v>111.1946533979367</v>
      </c>
      <c r="AB42">
        <v>-2.0749999998524711</v>
      </c>
      <c r="AC42">
        <v>0.96083333349968603</v>
      </c>
      <c r="AD42">
        <v>-0.57035714269063842</v>
      </c>
      <c r="AE42">
        <v>-2.0749999998524711</v>
      </c>
      <c r="AF42">
        <v>0.95000000016636477</v>
      </c>
      <c r="AG42">
        <v>-2.0749999998524711</v>
      </c>
      <c r="AH42">
        <v>0.97166666683300718</v>
      </c>
      <c r="AI42">
        <v>1.769642857092276</v>
      </c>
      <c r="AJ42">
        <v>-2.0297042475151E-2</v>
      </c>
      <c r="AK42">
        <v>3.5857588547843382</v>
      </c>
      <c r="AL42">
        <v>3.6897222495930202</v>
      </c>
      <c r="AM42">
        <v>3.7931835984206361</v>
      </c>
      <c r="AN42">
        <v>3.9542958674723692</v>
      </c>
      <c r="AO42">
        <v>1.2086578781933279</v>
      </c>
      <c r="AP42">
        <v>13.94</v>
      </c>
      <c r="AQ42">
        <v>14.3</v>
      </c>
      <c r="AR42">
        <v>0.95684804868242435</v>
      </c>
      <c r="AS42">
        <v>0.98867859170318317</v>
      </c>
      <c r="AT42">
        <v>3.3806799999999999</v>
      </c>
      <c r="AU42">
        <v>194.59391838912569</v>
      </c>
      <c r="AV42">
        <v>6.47277235498704E-2</v>
      </c>
      <c r="AW42">
        <v>5.4923535910939902E-2</v>
      </c>
      <c r="AX42">
        <v>4.4040431542937297E-2</v>
      </c>
      <c r="AY42">
        <v>6.2797029766253301E-2</v>
      </c>
      <c r="AZ42">
        <v>5.1198770442824497E-2</v>
      </c>
    </row>
    <row r="43" spans="1:52" x14ac:dyDescent="0.2">
      <c r="A43" t="s">
        <v>95</v>
      </c>
      <c r="B43" t="s">
        <v>93</v>
      </c>
      <c r="C43" t="str">
        <f t="shared" ca="1" si="4"/>
        <v/>
      </c>
      <c r="E43">
        <f>AND(AX43&lt;$C$1,averaged_runs370!AQ43&lt;$C$1,averaged_runs126!AQ43&lt;$C$1)*1</f>
        <v>0</v>
      </c>
      <c r="F43" s="2">
        <f>IF(TRUE,SQRT(averaged_runs126!AQ43^2/2+averaged_runs370!AQ43^2/2+AX43^2*0),"")</f>
        <v>5.8659768251748262E-2</v>
      </c>
      <c r="G43" s="2" t="str">
        <f>IF(E43,averaged_runs126!AQ43,"")</f>
        <v/>
      </c>
      <c r="H43" s="2" t="str">
        <f t="shared" si="3"/>
        <v/>
      </c>
      <c r="I43" s="2" t="str">
        <f>IF(E43,averaged_runs370!AQ43,"")</f>
        <v/>
      </c>
      <c r="J43" t="s">
        <v>47</v>
      </c>
      <c r="K43">
        <v>0</v>
      </c>
      <c r="L43">
        <v>4.5</v>
      </c>
      <c r="M43">
        <v>1.7833211192569701E-2</v>
      </c>
      <c r="N43">
        <v>117.8417506537567</v>
      </c>
      <c r="O43">
        <v>-2.5066666665188588</v>
      </c>
      <c r="P43">
        <v>0.33500000016711051</v>
      </c>
      <c r="Q43">
        <v>-0.95922161155382601</v>
      </c>
      <c r="R43">
        <v>-2.51999999985218</v>
      </c>
      <c r="S43">
        <v>0.33500000016711051</v>
      </c>
      <c r="T43">
        <v>-2.51999999985218</v>
      </c>
      <c r="U43">
        <v>0.33500000016711051</v>
      </c>
      <c r="V43">
        <v>2.5698355014490541</v>
      </c>
      <c r="W43">
        <v>8.7031604865675904E-2</v>
      </c>
      <c r="X43">
        <v>-1.7388282903521599E-2</v>
      </c>
      <c r="Y43">
        <v>-9.5708537140630004E-3</v>
      </c>
      <c r="Z43">
        <v>1.7833211192569701E-2</v>
      </c>
      <c r="AA43">
        <v>114.37086332207249</v>
      </c>
      <c r="AB43">
        <v>-2.4766666665188128</v>
      </c>
      <c r="AC43">
        <v>0.37166666683357108</v>
      </c>
      <c r="AD43">
        <v>-0.82934523792695092</v>
      </c>
      <c r="AE43">
        <v>-2.489999999852134</v>
      </c>
      <c r="AF43">
        <v>0.37166666683357108</v>
      </c>
      <c r="AG43">
        <v>-2.489999999852134</v>
      </c>
      <c r="AH43">
        <v>0.37166666683357108</v>
      </c>
      <c r="AI43">
        <v>1.6120833332442921</v>
      </c>
      <c r="AJ43">
        <v>-9.5708537140630993E-3</v>
      </c>
      <c r="AK43">
        <v>3.4242744046257871</v>
      </c>
      <c r="AL43">
        <v>3.799180433786272</v>
      </c>
      <c r="AM43">
        <v>3.7003353712599449</v>
      </c>
      <c r="AN43">
        <v>3.7842166129630912</v>
      </c>
      <c r="AO43">
        <v>1.110470741552736</v>
      </c>
      <c r="AP43">
        <v>13.664</v>
      </c>
      <c r="AQ43">
        <v>14.124000000000001</v>
      </c>
      <c r="AR43">
        <v>0.75493376997678918</v>
      </c>
      <c r="AS43">
        <v>0.75493376997678918</v>
      </c>
      <c r="AT43">
        <v>1.6919200000000001</v>
      </c>
      <c r="AU43">
        <v>178.7857893899905</v>
      </c>
      <c r="AV43">
        <v>6.6728176907387998E-2</v>
      </c>
      <c r="AW43">
        <v>4.5730600199295798E-2</v>
      </c>
      <c r="AX43">
        <v>4.2405236782677103E-2</v>
      </c>
      <c r="AY43">
        <v>5.1762841603810797E-2</v>
      </c>
      <c r="AZ43">
        <v>4.7268776245593599E-2</v>
      </c>
    </row>
    <row r="44" spans="1:52" x14ac:dyDescent="0.2">
      <c r="A44" t="s">
        <v>96</v>
      </c>
      <c r="B44" t="s">
        <v>93</v>
      </c>
      <c r="C44" t="str">
        <f t="shared" ca="1" si="4"/>
        <v/>
      </c>
      <c r="E44">
        <f>AND(AX44&lt;$C$1,averaged_runs370!AQ44&lt;$C$1,averaged_runs126!AQ44&lt;$C$1)*1</f>
        <v>1</v>
      </c>
      <c r="F44" s="2">
        <f>IF(TRUE,SQRT(averaged_runs126!AQ44^2/2+averaged_runs370!AQ44^2/2+AX44^2*0),"")</f>
        <v>5.4191613421405764E-2</v>
      </c>
      <c r="G44" s="2">
        <f>IF(E44,averaged_runs126!AQ44,"")</f>
        <v>5.9151021781088498E-2</v>
      </c>
      <c r="H44" s="2">
        <f t="shared" si="3"/>
        <v>4.156303561586E-2</v>
      </c>
      <c r="I44" s="2">
        <f>IF(E44,averaged_runs370!AQ44,"")</f>
        <v>4.8730058E-2</v>
      </c>
      <c r="J44" t="s">
        <v>47</v>
      </c>
      <c r="K44">
        <v>0</v>
      </c>
      <c r="L44">
        <v>5.52</v>
      </c>
      <c r="M44">
        <v>1.37332111925696E-2</v>
      </c>
      <c r="N44">
        <v>118.4534387224228</v>
      </c>
      <c r="O44">
        <v>-2.2133333331857652</v>
      </c>
      <c r="P44">
        <v>0.55666666683358013</v>
      </c>
      <c r="Q44">
        <v>-0.71811355294583568</v>
      </c>
      <c r="R44">
        <v>-2.2133333331857652</v>
      </c>
      <c r="S44">
        <v>0.55666666683358013</v>
      </c>
      <c r="T44">
        <v>-2.2133333331857652</v>
      </c>
      <c r="U44">
        <v>0.55666666683358013</v>
      </c>
      <c r="V44">
        <v>2.5045012000066751</v>
      </c>
      <c r="W44">
        <v>8.7031604865675904E-2</v>
      </c>
      <c r="X44">
        <v>-2.1488282903521699E-2</v>
      </c>
      <c r="Y44">
        <v>-1.3670853714063199E-2</v>
      </c>
      <c r="Z44">
        <v>1.37332111925696E-2</v>
      </c>
      <c r="AA44">
        <v>114.9941040689215</v>
      </c>
      <c r="AB44">
        <v>-2.1833333331857192</v>
      </c>
      <c r="AC44">
        <v>0.59333333350004069</v>
      </c>
      <c r="AD44">
        <v>-0.5561904760226597</v>
      </c>
      <c r="AE44">
        <v>-2.1833333331857192</v>
      </c>
      <c r="AF44">
        <v>0.59333333350004069</v>
      </c>
      <c r="AG44">
        <v>-2.1833333331857192</v>
      </c>
      <c r="AH44">
        <v>0.59333333350004069</v>
      </c>
      <c r="AI44">
        <v>1.5476190475565481</v>
      </c>
      <c r="AJ44">
        <v>-1.3670853714063199E-2</v>
      </c>
      <c r="AK44">
        <v>3.474887341833953</v>
      </c>
      <c r="AL44">
        <v>3.791480519848252</v>
      </c>
      <c r="AM44">
        <v>3.7494919023500981</v>
      </c>
      <c r="AN44">
        <v>3.7729261952311131</v>
      </c>
      <c r="AO44">
        <v>1.0933038062768421</v>
      </c>
      <c r="AP44">
        <v>13.64</v>
      </c>
      <c r="AQ44">
        <v>14.04</v>
      </c>
      <c r="AR44">
        <v>0.7235725071497372</v>
      </c>
      <c r="AS44">
        <v>0.7235725071497372</v>
      </c>
      <c r="AT44">
        <v>1.6919200000000001</v>
      </c>
      <c r="AU44">
        <v>176.02191281057151</v>
      </c>
      <c r="AV44">
        <v>6.7912027750557893E-2</v>
      </c>
      <c r="AW44">
        <v>4.4292950486604102E-2</v>
      </c>
      <c r="AX44">
        <v>4.156303561586E-2</v>
      </c>
      <c r="AY44">
        <v>5.0497222093122497E-2</v>
      </c>
      <c r="AZ44">
        <v>4.6514718431549501E-2</v>
      </c>
    </row>
    <row r="45" spans="1:52" x14ac:dyDescent="0.2">
      <c r="A45" t="s">
        <v>97</v>
      </c>
      <c r="B45" t="s">
        <v>93</v>
      </c>
      <c r="C45" t="str">
        <f t="shared" ca="1" si="4"/>
        <v/>
      </c>
      <c r="E45">
        <f>AND(AX45&lt;$C$1,averaged_runs370!AQ45&lt;$C$1,averaged_runs126!AQ45&lt;$C$1)*1</f>
        <v>1</v>
      </c>
      <c r="F45" s="2">
        <f>IF(TRUE,SQRT(averaged_runs126!AQ45^2/2+averaged_runs370!AQ45^2/2+AX45^2*0),"")</f>
        <v>5.3599691775050945E-2</v>
      </c>
      <c r="G45" s="2">
        <f>IF(E45,averaged_runs126!AQ45,"")</f>
        <v>5.7246554833985802E-2</v>
      </c>
      <c r="H45" s="2">
        <f t="shared" si="3"/>
        <v>4.0584464253692901E-2</v>
      </c>
      <c r="I45" s="2">
        <f>IF(E45,averaged_runs370!AQ45,"")</f>
        <v>4.9685871999999999E-2</v>
      </c>
      <c r="J45" t="s">
        <v>47</v>
      </c>
      <c r="K45">
        <v>0</v>
      </c>
      <c r="L45">
        <v>0</v>
      </c>
      <c r="M45">
        <v>1.48690554625858E-2</v>
      </c>
      <c r="N45">
        <v>131.5978318002916</v>
      </c>
      <c r="O45">
        <v>-1.9849999998526711</v>
      </c>
      <c r="P45">
        <v>0.83333333349996797</v>
      </c>
      <c r="Q45">
        <v>-0.74619505477736481</v>
      </c>
      <c r="R45">
        <v>-1.9849999998526711</v>
      </c>
      <c r="S45">
        <v>0.83333333349996797</v>
      </c>
      <c r="T45">
        <v>-1.9849999998526711</v>
      </c>
      <c r="U45">
        <v>0.83333333349996797</v>
      </c>
      <c r="V45">
        <v>2.5247571330415362</v>
      </c>
      <c r="W45">
        <v>7.4255367476983095E-2</v>
      </c>
      <c r="X45">
        <v>-3.8795621730873999E-3</v>
      </c>
      <c r="Y45">
        <v>-1.49634102524845E-2</v>
      </c>
      <c r="Z45">
        <v>1.4869055462585899E-2</v>
      </c>
      <c r="AA45">
        <v>125.4708946257079</v>
      </c>
      <c r="AB45">
        <v>-1.9549999998526251</v>
      </c>
      <c r="AC45">
        <v>0.87000000016642842</v>
      </c>
      <c r="AD45">
        <v>-0.63065476173661672</v>
      </c>
      <c r="AE45">
        <v>-1.9549999998526251</v>
      </c>
      <c r="AF45">
        <v>0.87000000016642842</v>
      </c>
      <c r="AG45">
        <v>-1.9549999998526251</v>
      </c>
      <c r="AH45">
        <v>0.87000000016642842</v>
      </c>
      <c r="AI45">
        <v>1.6051785713731881</v>
      </c>
      <c r="AJ45">
        <v>-1.49634102524845E-2</v>
      </c>
      <c r="AK45">
        <v>4.1918953594698154</v>
      </c>
      <c r="AL45">
        <v>4.278025116802449</v>
      </c>
      <c r="AM45">
        <v>4.3995879935162039</v>
      </c>
      <c r="AN45">
        <v>4.539003484630916</v>
      </c>
      <c r="AO45">
        <v>1.4401319142933231</v>
      </c>
      <c r="AP45">
        <v>13.72</v>
      </c>
      <c r="AQ45">
        <v>14.2</v>
      </c>
      <c r="AR45">
        <v>0.98883411784879338</v>
      </c>
      <c r="AS45">
        <v>0.98883411784879338</v>
      </c>
      <c r="AT45">
        <v>2.1447400000000001</v>
      </c>
      <c r="AU45">
        <v>226.10071054405179</v>
      </c>
      <c r="AV45">
        <v>4.7603020753283702E-2</v>
      </c>
      <c r="AW45">
        <v>4.4994716824577202E-2</v>
      </c>
      <c r="AX45">
        <v>4.0584464253692901E-2</v>
      </c>
      <c r="AY45">
        <v>5.3520283906087603E-2</v>
      </c>
      <c r="AZ45">
        <v>4.7459818265854797E-2</v>
      </c>
    </row>
    <row r="46" spans="1:52" x14ac:dyDescent="0.2">
      <c r="A46" t="s">
        <v>98</v>
      </c>
      <c r="B46" t="s">
        <v>93</v>
      </c>
      <c r="C46" t="str">
        <f t="shared" ca="1" si="4"/>
        <v/>
      </c>
      <c r="E46">
        <f>AND(AX46&lt;$C$1,averaged_runs370!AQ46&lt;$C$1,averaged_runs126!AQ46&lt;$C$1)*1</f>
        <v>1</v>
      </c>
      <c r="F46" s="2">
        <f>IF(TRUE,SQRT(averaged_runs126!AQ46^2/2+averaged_runs370!AQ46^2/2+AX46^2*0),"")</f>
        <v>5.5575754239331067E-2</v>
      </c>
      <c r="G46" s="2">
        <f>IF(E46,averaged_runs126!AQ46,"")</f>
        <v>5.8514582132816503E-2</v>
      </c>
      <c r="H46" s="2">
        <f t="shared" si="3"/>
        <v>4.0243673569142602E-2</v>
      </c>
      <c r="I46" s="2">
        <f>IF(E46,averaged_runs370!AQ46,"")</f>
        <v>5.2472589E-2</v>
      </c>
      <c r="J46" t="s">
        <v>47</v>
      </c>
      <c r="K46">
        <v>0</v>
      </c>
      <c r="L46">
        <v>0</v>
      </c>
      <c r="M46">
        <v>1.8534464352588799E-2</v>
      </c>
      <c r="N46">
        <v>107.17952644997079</v>
      </c>
      <c r="O46">
        <v>-2.22416666651909</v>
      </c>
      <c r="P46">
        <v>0.4033333335003863</v>
      </c>
      <c r="Q46">
        <v>-1.0348885834708701</v>
      </c>
      <c r="R46">
        <v>-2.254999999852398</v>
      </c>
      <c r="S46">
        <v>0.4033333335003863</v>
      </c>
      <c r="T46">
        <v>-2.254999999852398</v>
      </c>
      <c r="U46">
        <v>0.4033333335003863</v>
      </c>
      <c r="V46">
        <v>2.4954697836159592</v>
      </c>
      <c r="W46">
        <v>0.1051427819640887</v>
      </c>
      <c r="X46">
        <v>-3.8424808636168001E-3</v>
      </c>
      <c r="Y46">
        <v>-7.4273634429399002E-3</v>
      </c>
      <c r="Z46">
        <v>1.85344643525889E-2</v>
      </c>
      <c r="AA46">
        <v>104.0445987740702</v>
      </c>
      <c r="AB46">
        <v>-2.1941666665190449</v>
      </c>
      <c r="AC46">
        <v>0.44000000016684682</v>
      </c>
      <c r="AD46">
        <v>-0.92212301570482724</v>
      </c>
      <c r="AE46">
        <v>-2.224999999852352</v>
      </c>
      <c r="AF46">
        <v>0.44000000016684682</v>
      </c>
      <c r="AG46">
        <v>-2.224999999852352</v>
      </c>
      <c r="AH46">
        <v>0.44000000016684682</v>
      </c>
      <c r="AI46">
        <v>1.696170634838281</v>
      </c>
      <c r="AJ46">
        <v>-7.4273634429399002E-3</v>
      </c>
      <c r="AK46">
        <v>3.2450173626992171</v>
      </c>
      <c r="AL46">
        <v>3.13980954390227</v>
      </c>
      <c r="AM46">
        <v>3.255080842430047</v>
      </c>
      <c r="AN46">
        <v>3.3310526540765171</v>
      </c>
      <c r="AO46">
        <v>1.1664881980874451</v>
      </c>
      <c r="AP46">
        <v>13.848000000000001</v>
      </c>
      <c r="AQ46">
        <v>14.368</v>
      </c>
      <c r="AR46">
        <v>0.99530312964869561</v>
      </c>
      <c r="AS46">
        <v>0.99530312964869561</v>
      </c>
      <c r="AT46">
        <v>2.1466599999999998</v>
      </c>
      <c r="AU46">
        <v>187.8045998920787</v>
      </c>
      <c r="AV46">
        <v>5.1354246934252702E-2</v>
      </c>
      <c r="AW46">
        <v>4.4571158464554797E-2</v>
      </c>
      <c r="AX46">
        <v>4.0243673569142602E-2</v>
      </c>
      <c r="AY46">
        <v>5.3180504218303198E-2</v>
      </c>
      <c r="AZ46">
        <v>4.73987546811886E-2</v>
      </c>
    </row>
    <row r="47" spans="1:52" x14ac:dyDescent="0.2">
      <c r="A47" t="s">
        <v>99</v>
      </c>
      <c r="B47" t="s">
        <v>93</v>
      </c>
      <c r="C47" t="str">
        <f t="shared" ca="1" si="4"/>
        <v/>
      </c>
      <c r="E47">
        <f>AND(AX47&lt;$C$1,averaged_runs370!AQ47&lt;$C$1,averaged_runs126!AQ47&lt;$C$1)*1</f>
        <v>1</v>
      </c>
      <c r="F47" s="2">
        <f>IF(TRUE,SQRT(averaged_runs126!AQ47^2/2+averaged_runs370!AQ47^2/2+AX47^2*0),"")</f>
        <v>5.1720024561316143E-2</v>
      </c>
      <c r="G47" s="2">
        <f>IF(E47,averaged_runs126!AQ47,"")</f>
        <v>5.7179370250623099E-2</v>
      </c>
      <c r="H47" s="2">
        <f t="shared" si="3"/>
        <v>3.9148858101532298E-2</v>
      </c>
      <c r="I47" s="2">
        <f>IF(E47,averaged_runs370!AQ47,"")</f>
        <v>4.5611856999999999E-2</v>
      </c>
      <c r="J47" t="s">
        <v>47</v>
      </c>
      <c r="K47">
        <v>0</v>
      </c>
      <c r="L47">
        <v>0</v>
      </c>
      <c r="M47">
        <v>1.29819858676571E-2</v>
      </c>
      <c r="N47">
        <v>124.5994922362129</v>
      </c>
      <c r="O47">
        <v>-1.91833333318602</v>
      </c>
      <c r="P47">
        <v>0.6916666668334619</v>
      </c>
      <c r="Q47">
        <v>-0.7150091573415257</v>
      </c>
      <c r="R47">
        <v>-1.9383333331860011</v>
      </c>
      <c r="S47">
        <v>0.6916666668334619</v>
      </c>
      <c r="T47">
        <v>-1.9383333331860011</v>
      </c>
      <c r="U47">
        <v>0.6916666668334619</v>
      </c>
      <c r="V47">
        <v>2.416130039261823</v>
      </c>
      <c r="W47">
        <v>8.4223326907458401E-2</v>
      </c>
      <c r="X47">
        <v>-6.5486138945438001E-3</v>
      </c>
      <c r="Y47">
        <v>-1.30324156025744E-2</v>
      </c>
      <c r="Z47">
        <v>1.2981985867657199E-2</v>
      </c>
      <c r="AA47">
        <v>119.72885963908151</v>
      </c>
      <c r="AB47">
        <v>-1.888333333185974</v>
      </c>
      <c r="AC47">
        <v>0.72833333349992246</v>
      </c>
      <c r="AD47">
        <v>-0.5638690474513206</v>
      </c>
      <c r="AE47">
        <v>-1.908333333185956</v>
      </c>
      <c r="AF47">
        <v>0.72833333349992246</v>
      </c>
      <c r="AG47">
        <v>-1.908333333185956</v>
      </c>
      <c r="AH47">
        <v>0.72833333349992246</v>
      </c>
      <c r="AI47">
        <v>1.583749999951066</v>
      </c>
      <c r="AJ47">
        <v>-1.30324156025744E-2</v>
      </c>
      <c r="AK47">
        <v>3.9085295047715869</v>
      </c>
      <c r="AL47">
        <v>3.8000684422024809</v>
      </c>
      <c r="AM47">
        <v>3.9994418302747601</v>
      </c>
      <c r="AN47">
        <v>4.0666569892186297</v>
      </c>
      <c r="AO47">
        <v>1.341116058686832</v>
      </c>
      <c r="AP47">
        <v>13.843999999999999</v>
      </c>
      <c r="AQ47">
        <v>14.384</v>
      </c>
      <c r="AR47">
        <v>0.99224095616659402</v>
      </c>
      <c r="AS47">
        <v>0.99224095616659402</v>
      </c>
      <c r="AT47">
        <v>2.1</v>
      </c>
      <c r="AU47">
        <v>215.91968544857991</v>
      </c>
      <c r="AV47">
        <v>4.94307462898467E-2</v>
      </c>
      <c r="AW47">
        <v>4.2599911876613099E-2</v>
      </c>
      <c r="AX47">
        <v>3.9148858101532298E-2</v>
      </c>
      <c r="AY47">
        <v>5.1539436194774503E-2</v>
      </c>
      <c r="AZ47">
        <v>4.64751361648977E-2</v>
      </c>
    </row>
    <row r="48" spans="1:52" x14ac:dyDescent="0.2">
      <c r="A48" t="s">
        <v>100</v>
      </c>
      <c r="B48" t="s">
        <v>101</v>
      </c>
      <c r="C48">
        <f t="shared" ca="1" si="4"/>
        <v>1</v>
      </c>
      <c r="D48">
        <v>3</v>
      </c>
      <c r="E48">
        <f>AND(AX48&lt;$C$1,averaged_runs370!AQ48&lt;$C$1,averaged_runs126!AQ48&lt;$C$1)*1</f>
        <v>0</v>
      </c>
      <c r="F48" s="2">
        <f>IF(TRUE,SQRT(averaged_runs126!AQ48^2/2+averaged_runs370!AQ48^2/2+AX48^2*0),"")</f>
        <v>0.30658008994202901</v>
      </c>
      <c r="G48" s="2" t="str">
        <f>IF(E48,averaged_runs126!AQ48,"")</f>
        <v/>
      </c>
      <c r="H48" s="2" t="str">
        <f t="shared" si="3"/>
        <v/>
      </c>
      <c r="I48" s="2" t="str">
        <f>IF(E48,averaged_runs370!AQ48,"")</f>
        <v/>
      </c>
      <c r="J48" t="s">
        <v>47</v>
      </c>
      <c r="K48">
        <v>196.86</v>
      </c>
      <c r="L48">
        <v>216.2</v>
      </c>
      <c r="M48">
        <v>0.2190918340934766</v>
      </c>
      <c r="N48">
        <v>-4120.1808338271167</v>
      </c>
      <c r="O48">
        <v>-8.1966666665135381</v>
      </c>
      <c r="P48">
        <v>-13.286666666487291</v>
      </c>
      <c r="Q48">
        <v>-9.7293315016686019</v>
      </c>
      <c r="R48">
        <v>-8.1966666665135381</v>
      </c>
      <c r="S48">
        <v>-13.286666666487291</v>
      </c>
      <c r="T48">
        <v>-8.1966666665135381</v>
      </c>
      <c r="U48">
        <v>-13.286666666487291</v>
      </c>
      <c r="V48">
        <v>12.717752043431011</v>
      </c>
      <c r="W48">
        <v>3.5371210779511199E-2</v>
      </c>
      <c r="X48">
        <v>1.4043431029621399E-2</v>
      </c>
      <c r="Y48">
        <v>0.38865224309200791</v>
      </c>
      <c r="Z48">
        <v>0.21909183409347671</v>
      </c>
      <c r="AA48">
        <v>-4036.94889808886</v>
      </c>
      <c r="AB48">
        <v>-8.1666666665134926</v>
      </c>
      <c r="AC48">
        <v>-13.24999999982083</v>
      </c>
      <c r="AD48">
        <v>-7.6927380950850814</v>
      </c>
      <c r="AE48">
        <v>-8.1666666665134926</v>
      </c>
      <c r="AF48">
        <v>-13.24999999982083</v>
      </c>
      <c r="AG48">
        <v>-8.1666666665134926</v>
      </c>
      <c r="AH48">
        <v>-13.24999999982083</v>
      </c>
      <c r="AI48">
        <v>7.6927380950850814</v>
      </c>
      <c r="AJ48">
        <v>0.38865224309200791</v>
      </c>
      <c r="AK48" s="1">
        <v>3.4039661140394269E-9</v>
      </c>
      <c r="AL48" s="1">
        <v>5.3286306668500526E-27</v>
      </c>
      <c r="AM48">
        <v>2.91215698862838E-2</v>
      </c>
      <c r="AN48" s="1">
        <v>5.1517986923300537E-10</v>
      </c>
      <c r="AO48">
        <v>-24.11026369477009</v>
      </c>
      <c r="AP48">
        <v>13.28</v>
      </c>
      <c r="AQ48">
        <v>13</v>
      </c>
      <c r="AR48" s="1">
        <v>4.267562325772358E-42</v>
      </c>
      <c r="AS48" s="1">
        <v>2.749975180588249E-36</v>
      </c>
      <c r="AT48">
        <v>0.51892000000000005</v>
      </c>
      <c r="AU48">
        <v>-5569.4709134918903</v>
      </c>
      <c r="AV48">
        <v>0.22140422366899529</v>
      </c>
      <c r="AW48">
        <v>0.29587897934161073</v>
      </c>
      <c r="AX48">
        <v>0.3382703122089657</v>
      </c>
      <c r="AY48">
        <v>0.29303912667412702</v>
      </c>
      <c r="AZ48">
        <v>0.33588445991446619</v>
      </c>
    </row>
    <row r="49" spans="1:52" x14ac:dyDescent="0.2">
      <c r="A49" t="s">
        <v>102</v>
      </c>
      <c r="B49" t="s">
        <v>101</v>
      </c>
      <c r="C49" t="str">
        <f t="shared" ca="1" si="4"/>
        <v/>
      </c>
      <c r="E49">
        <f>AND(AX49&lt;$C$1,averaged_runs370!AQ49&lt;$C$1,averaged_runs126!AQ49&lt;$C$1)*1</f>
        <v>0</v>
      </c>
      <c r="F49" s="2">
        <f>IF(TRUE,SQRT(averaged_runs126!AQ49^2/2+averaged_runs370!AQ49^2/2+AX49^2*0),"")</f>
        <v>0.16866832930049139</v>
      </c>
      <c r="G49" s="2" t="str">
        <f>IF(E49,averaged_runs126!AQ49,"")</f>
        <v/>
      </c>
      <c r="H49" s="2" t="str">
        <f t="shared" si="3"/>
        <v/>
      </c>
      <c r="I49" s="2" t="str">
        <f>IF(E49,averaged_runs370!AQ49,"")</f>
        <v/>
      </c>
      <c r="J49" t="s">
        <v>47</v>
      </c>
      <c r="K49">
        <v>122.04</v>
      </c>
      <c r="L49">
        <v>179.56</v>
      </c>
      <c r="M49">
        <v>0.1130867096421114</v>
      </c>
      <c r="N49">
        <v>-851.59585506733242</v>
      </c>
      <c r="O49">
        <v>-8.9533333331796072</v>
      </c>
      <c r="P49">
        <v>-7.7416666664922102</v>
      </c>
      <c r="Q49">
        <v>-7.1248855309655292</v>
      </c>
      <c r="R49">
        <v>-8.9533333331796072</v>
      </c>
      <c r="S49">
        <v>-7.7583333331588618</v>
      </c>
      <c r="T49">
        <v>-8.9533333331796072</v>
      </c>
      <c r="U49">
        <v>-7.7583333331588618</v>
      </c>
      <c r="V49">
        <v>7.4464790694093788</v>
      </c>
      <c r="W49">
        <v>3.11237237838425E-2</v>
      </c>
      <c r="X49">
        <v>4.2807235117795599E-2</v>
      </c>
      <c r="Y49">
        <v>0.10209427774788481</v>
      </c>
      <c r="Z49">
        <v>0.1130867096421114</v>
      </c>
      <c r="AA49">
        <v>-786.59700363014008</v>
      </c>
      <c r="AB49">
        <v>-8.9233333331795617</v>
      </c>
      <c r="AC49">
        <v>-7.7049999998257501</v>
      </c>
      <c r="AD49">
        <v>-7.2166071426859126</v>
      </c>
      <c r="AE49">
        <v>-8.9233333331795617</v>
      </c>
      <c r="AF49">
        <v>-7.7216666664924016</v>
      </c>
      <c r="AG49">
        <v>-8.9233333331795617</v>
      </c>
      <c r="AH49">
        <v>-7.7216666664924016</v>
      </c>
      <c r="AI49">
        <v>7.2166071426859126</v>
      </c>
      <c r="AJ49">
        <v>0.10209427774788481</v>
      </c>
      <c r="AK49">
        <v>1.1192631064645049E-8</v>
      </c>
      <c r="AL49">
        <v>1.0420453068746001E-3</v>
      </c>
      <c r="AM49">
        <v>1.3432041819070001E-4</v>
      </c>
      <c r="AN49">
        <v>0.1179015042614977</v>
      </c>
      <c r="AO49">
        <v>-3.1851600229517092</v>
      </c>
      <c r="AP49">
        <v>13.68</v>
      </c>
      <c r="AQ49">
        <v>14.14</v>
      </c>
      <c r="AR49" s="1">
        <v>8.66153748856184E-8</v>
      </c>
      <c r="AS49">
        <v>9.0262121637060686E-8</v>
      </c>
      <c r="AT49">
        <v>1.5453399999999999</v>
      </c>
      <c r="AU49">
        <v>-735.77196530184472</v>
      </c>
      <c r="AV49">
        <v>9.0266108707120901E-2</v>
      </c>
      <c r="AW49">
        <v>0.128955204369337</v>
      </c>
      <c r="AX49">
        <v>0.14144670572130599</v>
      </c>
      <c r="AY49">
        <v>0.1250847659468847</v>
      </c>
      <c r="AZ49">
        <v>0.13809063619964401</v>
      </c>
    </row>
    <row r="50" spans="1:52" x14ac:dyDescent="0.2">
      <c r="A50" t="s">
        <v>103</v>
      </c>
      <c r="B50" t="s">
        <v>101</v>
      </c>
      <c r="C50" t="str">
        <f t="shared" ca="1" si="4"/>
        <v/>
      </c>
      <c r="E50">
        <f>AND(AX50&lt;$C$1,averaged_runs370!AQ50&lt;$C$1,averaged_runs126!AQ50&lt;$C$1)*1</f>
        <v>1</v>
      </c>
      <c r="F50" s="2">
        <f>IF(TRUE,SQRT(averaged_runs126!AQ50^2/2+averaged_runs370!AQ50^2/2+AX50^2*0),"")</f>
        <v>3.6909808475928445E-2</v>
      </c>
      <c r="G50" s="2">
        <f>IF(E50,averaged_runs126!AQ50,"")</f>
        <v>3.7023785897865098E-2</v>
      </c>
      <c r="H50" s="2">
        <f t="shared" si="3"/>
        <v>3.6406480436746297E-2</v>
      </c>
      <c r="I50" s="2">
        <f>IF(E50,averaged_runs370!AQ50,"")</f>
        <v>3.6795478E-2</v>
      </c>
      <c r="J50" t="s">
        <v>47</v>
      </c>
      <c r="K50">
        <v>0.9</v>
      </c>
      <c r="L50">
        <v>8.24</v>
      </c>
      <c r="M50">
        <v>5.5319214529225003E-3</v>
      </c>
      <c r="N50">
        <v>168.32361262000839</v>
      </c>
      <c r="O50">
        <v>2.5000001455281998E-3</v>
      </c>
      <c r="P50">
        <v>-1.6666664992817E-3</v>
      </c>
      <c r="Q50">
        <v>-0.34860653218971549</v>
      </c>
      <c r="R50">
        <v>-0.24333333318758371</v>
      </c>
      <c r="S50">
        <v>-0.18166666649911339</v>
      </c>
      <c r="T50">
        <v>-5.3333333187756501E-2</v>
      </c>
      <c r="U50">
        <v>4.6666666834007602E-2</v>
      </c>
      <c r="V50">
        <v>1.6888635368379581</v>
      </c>
      <c r="W50">
        <v>4.8910518590878603E-2</v>
      </c>
      <c r="X50">
        <v>3.2582788061345999E-3</v>
      </c>
      <c r="Y50">
        <v>2.9417268743800001E-4</v>
      </c>
      <c r="Z50">
        <v>5.5319214529226E-3</v>
      </c>
      <c r="AA50">
        <v>111.8576070999554</v>
      </c>
      <c r="AB50">
        <v>3.25000001455737E-2</v>
      </c>
      <c r="AC50">
        <v>3.5000000167178698E-2</v>
      </c>
      <c r="AD50">
        <v>-0.36609126967329658</v>
      </c>
      <c r="AE50">
        <v>-0.2133333331875383</v>
      </c>
      <c r="AF50">
        <v>-0.14499999983265291</v>
      </c>
      <c r="AG50">
        <v>7.0000000145537297E-2</v>
      </c>
      <c r="AH50">
        <v>-7.16666664993863E-2</v>
      </c>
      <c r="AI50">
        <v>1.232361111090601</v>
      </c>
      <c r="AJ50">
        <v>2.9417268743800001E-4</v>
      </c>
      <c r="AK50">
        <v>6.3060874253398467</v>
      </c>
      <c r="AL50">
        <v>6.0607504278907109</v>
      </c>
      <c r="AM50">
        <v>8.7673590449893286</v>
      </c>
      <c r="AN50">
        <v>8.1388831240255826</v>
      </c>
      <c r="AO50">
        <v>1.794227203794927</v>
      </c>
      <c r="AP50">
        <v>15.768000000000001</v>
      </c>
      <c r="AQ50">
        <v>16.367999999999999</v>
      </c>
      <c r="AR50">
        <v>0.33110686909539661</v>
      </c>
      <c r="AS50">
        <v>0.52602364061434126</v>
      </c>
      <c r="AT50">
        <v>3.5724399999999998</v>
      </c>
      <c r="AU50">
        <v>414.46648407662821</v>
      </c>
      <c r="AV50">
        <v>3.83258189657276E-2</v>
      </c>
      <c r="AW50">
        <v>3.7434556824458898E-2</v>
      </c>
      <c r="AX50">
        <v>3.6406480436746297E-2</v>
      </c>
      <c r="AY50">
        <v>5.2571960207871402E-2</v>
      </c>
      <c r="AZ50">
        <v>5.1256294369649701E-2</v>
      </c>
    </row>
    <row r="51" spans="1:52" x14ac:dyDescent="0.2">
      <c r="A51" t="s">
        <v>104</v>
      </c>
      <c r="B51" t="s">
        <v>105</v>
      </c>
      <c r="C51">
        <f t="shared" ca="1" si="4"/>
        <v>6</v>
      </c>
      <c r="D51">
        <v>8</v>
      </c>
      <c r="E51">
        <f>AND(AX51&lt;$C$1,averaged_runs370!AQ51&lt;$C$1,averaged_runs126!AQ51&lt;$C$1)*1</f>
        <v>1</v>
      </c>
      <c r="F51" s="2">
        <f>IF(TRUE,SQRT(averaged_runs126!AQ51^2/2+averaged_runs370!AQ51^2/2+AX51^2*0),"")</f>
        <v>5.1030714860978557E-2</v>
      </c>
      <c r="G51" s="2">
        <f>IF(E51,averaged_runs126!AQ51,"")</f>
        <v>4.21465572063753E-2</v>
      </c>
      <c r="H51" s="2">
        <f t="shared" si="3"/>
        <v>4.2070184322203399E-2</v>
      </c>
      <c r="I51" s="2">
        <f>IF(E51,averaged_runs370!AQ51,"")</f>
        <v>5.8582723000000003E-2</v>
      </c>
      <c r="J51" t="s">
        <v>47</v>
      </c>
      <c r="K51">
        <v>3.7</v>
      </c>
      <c r="L51">
        <v>19.739999999999998</v>
      </c>
      <c r="M51">
        <v>1.35403253361476E-2</v>
      </c>
      <c r="N51">
        <v>145.85853775026251</v>
      </c>
      <c r="O51">
        <v>-1.421666666519805</v>
      </c>
      <c r="P51">
        <v>1.2316666668329339</v>
      </c>
      <c r="Q51">
        <v>-0.44692765551050151</v>
      </c>
      <c r="R51">
        <v>-1.421666666519805</v>
      </c>
      <c r="S51">
        <v>1.2316666668329339</v>
      </c>
      <c r="T51">
        <v>-1.421666666519805</v>
      </c>
      <c r="U51">
        <v>1.2316666668329339</v>
      </c>
      <c r="V51">
        <v>2.5338955389401918</v>
      </c>
      <c r="W51">
        <v>5.35949200057892E-2</v>
      </c>
      <c r="X51">
        <v>2.13974794963851E-2</v>
      </c>
      <c r="Y51">
        <v>-1.29141977927608E-2</v>
      </c>
      <c r="Z51">
        <v>1.3540325336147701E-2</v>
      </c>
      <c r="AA51">
        <v>139.4250234968994</v>
      </c>
      <c r="AB51">
        <v>-1.391666666519759</v>
      </c>
      <c r="AC51">
        <v>1.2683333334993949</v>
      </c>
      <c r="AD51">
        <v>-0.48398809506983781</v>
      </c>
      <c r="AE51">
        <v>-1.391666666519759</v>
      </c>
      <c r="AF51">
        <v>1.2683333334993949</v>
      </c>
      <c r="AG51">
        <v>-1.391666666519759</v>
      </c>
      <c r="AH51">
        <v>1.2683333334993949</v>
      </c>
      <c r="AI51">
        <v>1.565416666605417</v>
      </c>
      <c r="AJ51">
        <v>-1.29141977927608E-2</v>
      </c>
      <c r="AK51">
        <v>5.971990413117819</v>
      </c>
      <c r="AL51">
        <v>6.2592060130340492</v>
      </c>
      <c r="AM51">
        <v>6.5833180391385433</v>
      </c>
      <c r="AN51">
        <v>6.0818844977074491</v>
      </c>
      <c r="AO51">
        <v>1.411513494012387</v>
      </c>
      <c r="AP51">
        <v>13.6</v>
      </c>
      <c r="AQ51">
        <v>14.04</v>
      </c>
      <c r="AR51">
        <v>0.32650784353892409</v>
      </c>
      <c r="AS51">
        <v>0.48393327942261449</v>
      </c>
      <c r="AT51">
        <v>1.65018</v>
      </c>
      <c r="AU51">
        <v>199.02340265574651</v>
      </c>
      <c r="AV51">
        <v>5.8896783330378101E-2</v>
      </c>
      <c r="AW51">
        <v>4.9679418559382599E-2</v>
      </c>
      <c r="AX51">
        <v>4.2070184322203399E-2</v>
      </c>
      <c r="AY51">
        <v>5.3591482053420299E-2</v>
      </c>
      <c r="AZ51">
        <v>4.1871450734008303E-2</v>
      </c>
    </row>
    <row r="52" spans="1:52" x14ac:dyDescent="0.2">
      <c r="A52" t="s">
        <v>106</v>
      </c>
      <c r="B52" t="s">
        <v>105</v>
      </c>
      <c r="C52" t="str">
        <f t="shared" ca="1" si="4"/>
        <v/>
      </c>
      <c r="E52">
        <f>AND(AX52&lt;$C$1,averaged_runs370!AQ52&lt;$C$1,averaged_runs126!AQ52&lt;$C$1)*1</f>
        <v>0</v>
      </c>
      <c r="F52" s="2">
        <f>IF(TRUE,SQRT(averaged_runs126!AQ52^2/2+averaged_runs370!AQ52^2/2+AX52^2*0),"")</f>
        <v>5.7500394018061625E-2</v>
      </c>
      <c r="G52" s="2" t="str">
        <f>IF(E52,averaged_runs126!AQ52,"")</f>
        <v/>
      </c>
      <c r="H52" s="2" t="str">
        <f t="shared" si="3"/>
        <v/>
      </c>
      <c r="I52" s="2" t="str">
        <f>IF(E52,averaged_runs370!AQ52,"")</f>
        <v/>
      </c>
      <c r="J52" t="s">
        <v>47</v>
      </c>
      <c r="K52">
        <v>5.86</v>
      </c>
      <c r="L52">
        <v>28.42</v>
      </c>
      <c r="M52">
        <v>6.7169722142841996E-3</v>
      </c>
      <c r="N52">
        <v>158.30121557569049</v>
      </c>
      <c r="O52">
        <v>-0.48166666652064122</v>
      </c>
      <c r="P52">
        <v>1.260000000166247</v>
      </c>
      <c r="Q52">
        <v>-1.2976190309842499E-2</v>
      </c>
      <c r="R52">
        <v>-0.48166666652064122</v>
      </c>
      <c r="S52">
        <v>1.260000000166247</v>
      </c>
      <c r="T52">
        <v>-0.48166666652064122</v>
      </c>
      <c r="U52">
        <v>1.260000000166247</v>
      </c>
      <c r="V52">
        <v>2.0545105723049728</v>
      </c>
      <c r="W52">
        <v>4.6228321241819803E-2</v>
      </c>
      <c r="X52">
        <v>2.5164735616174799E-2</v>
      </c>
      <c r="Y52">
        <v>-6.1427582602932998E-3</v>
      </c>
      <c r="Z52">
        <v>6.7169722142841996E-3</v>
      </c>
      <c r="AA52">
        <v>148.87932700127999</v>
      </c>
      <c r="AB52">
        <v>-0.45166666652059573</v>
      </c>
      <c r="AC52">
        <v>1.2966666668327069</v>
      </c>
      <c r="AD52">
        <v>-0.13761904745166181</v>
      </c>
      <c r="AE52">
        <v>-0.45166666652059573</v>
      </c>
      <c r="AF52">
        <v>1.2966666668327069</v>
      </c>
      <c r="AG52">
        <v>-0.45166666652059573</v>
      </c>
      <c r="AH52">
        <v>1.2966666668327069</v>
      </c>
      <c r="AI52">
        <v>1.372857142809619</v>
      </c>
      <c r="AJ52">
        <v>-6.1427582602933996E-3</v>
      </c>
      <c r="AK52">
        <v>6.9604658778152153</v>
      </c>
      <c r="AL52">
        <v>6.5264797797247676</v>
      </c>
      <c r="AM52">
        <v>7.3681583795970029</v>
      </c>
      <c r="AN52">
        <v>6.3092263859833118</v>
      </c>
      <c r="AO52">
        <v>1.3824896690626429</v>
      </c>
      <c r="AP52">
        <v>13.56</v>
      </c>
      <c r="AQ52">
        <v>14</v>
      </c>
      <c r="AR52">
        <v>0.1450737214820261</v>
      </c>
      <c r="AS52">
        <v>0.27396182336615083</v>
      </c>
      <c r="AT52">
        <v>1.2466200000000001</v>
      </c>
      <c r="AU52">
        <v>194.9310433378327</v>
      </c>
      <c r="AV52">
        <v>5.5142080488701999E-2</v>
      </c>
      <c r="AW52">
        <v>4.0788243736562001E-2</v>
      </c>
      <c r="AX52">
        <v>3.7966457700861503E-2</v>
      </c>
      <c r="AY52">
        <v>4.4772970910691899E-2</v>
      </c>
      <c r="AZ52">
        <v>3.7529069881877597E-2</v>
      </c>
    </row>
    <row r="53" spans="1:52" x14ac:dyDescent="0.2">
      <c r="A53" t="s">
        <v>107</v>
      </c>
      <c r="B53" t="s">
        <v>105</v>
      </c>
      <c r="C53" t="str">
        <f t="shared" ca="1" si="4"/>
        <v/>
      </c>
      <c r="E53">
        <f>AND(AX53&lt;$C$1,averaged_runs370!AQ53&lt;$C$1,averaged_runs126!AQ53&lt;$C$1)*1</f>
        <v>1</v>
      </c>
      <c r="F53" s="2">
        <f>IF(TRUE,SQRT(averaged_runs126!AQ53^2/2+averaged_runs370!AQ53^2/2+AX53^2*0),"")</f>
        <v>5.160033164712316E-2</v>
      </c>
      <c r="G53" s="2">
        <f>IF(E53,averaged_runs126!AQ53,"")</f>
        <v>4.2235630068686303E-2</v>
      </c>
      <c r="H53" s="2">
        <f t="shared" si="3"/>
        <v>4.2936636835500003E-2</v>
      </c>
      <c r="I53" s="2">
        <f>IF(E53,averaged_runs370!AQ53,"")</f>
        <v>5.9509158999999999E-2</v>
      </c>
      <c r="J53" t="s">
        <v>47</v>
      </c>
      <c r="K53">
        <v>3.94</v>
      </c>
      <c r="L53">
        <v>21.24</v>
      </c>
      <c r="M53">
        <v>1.52754509862387E-2</v>
      </c>
      <c r="N53">
        <v>142.79448070945489</v>
      </c>
      <c r="O53">
        <v>-1.5591666665196771</v>
      </c>
      <c r="P53">
        <v>1.2483333334995861</v>
      </c>
      <c r="Q53">
        <v>-0.53429487162758038</v>
      </c>
      <c r="R53">
        <v>-1.5733333331863291</v>
      </c>
      <c r="S53">
        <v>1.2483333334995861</v>
      </c>
      <c r="T53">
        <v>-1.5733333331863291</v>
      </c>
      <c r="U53">
        <v>1.2483333334995861</v>
      </c>
      <c r="V53">
        <v>2.6593483575937569</v>
      </c>
      <c r="W53">
        <v>5.5724933890835202E-2</v>
      </c>
      <c r="X53">
        <v>2.3491905469266799E-2</v>
      </c>
      <c r="Y53">
        <v>-1.4654988015759599E-2</v>
      </c>
      <c r="Z53">
        <v>1.52754509862388E-2</v>
      </c>
      <c r="AA53">
        <v>136.28544993473591</v>
      </c>
      <c r="AB53">
        <v>-1.529166666519632</v>
      </c>
      <c r="AC53">
        <v>1.285000000166046</v>
      </c>
      <c r="AD53">
        <v>-0.60958333316502478</v>
      </c>
      <c r="AE53">
        <v>-1.5433333331862831</v>
      </c>
      <c r="AF53">
        <v>1.285000000166046</v>
      </c>
      <c r="AG53">
        <v>-1.5433333331862831</v>
      </c>
      <c r="AH53">
        <v>1.285000000166046</v>
      </c>
      <c r="AI53">
        <v>1.562440476129064</v>
      </c>
      <c r="AJ53">
        <v>-1.46549880157597E-2</v>
      </c>
      <c r="AK53">
        <v>5.8599273548433164</v>
      </c>
      <c r="AL53">
        <v>6.2016382591864279</v>
      </c>
      <c r="AM53">
        <v>6.4787317669831239</v>
      </c>
      <c r="AN53">
        <v>6.0404482306296652</v>
      </c>
      <c r="AO53">
        <v>1.3632926727018531</v>
      </c>
      <c r="AP53">
        <v>13.683999999999999</v>
      </c>
      <c r="AQ53">
        <v>14.124000000000001</v>
      </c>
      <c r="AR53">
        <v>0.35389841029353769</v>
      </c>
      <c r="AS53">
        <v>0.48364217983913971</v>
      </c>
      <c r="AT53">
        <v>1.7901</v>
      </c>
      <c r="AU53">
        <v>192.22426685096119</v>
      </c>
      <c r="AV53">
        <v>6.2603731230527496E-2</v>
      </c>
      <c r="AW53">
        <v>5.19617894409087E-2</v>
      </c>
      <c r="AX53">
        <v>4.2936636835500003E-2</v>
      </c>
      <c r="AY53">
        <v>5.5786270584509599E-2</v>
      </c>
      <c r="AZ53">
        <v>4.27495915057826E-2</v>
      </c>
    </row>
    <row r="54" spans="1:52" x14ac:dyDescent="0.2">
      <c r="A54" t="s">
        <v>108</v>
      </c>
      <c r="B54" t="s">
        <v>105</v>
      </c>
      <c r="C54" t="str">
        <f t="shared" ca="1" si="4"/>
        <v/>
      </c>
      <c r="E54">
        <f>AND(AX54&lt;$C$1,averaged_runs370!AQ54&lt;$C$1,averaged_runs126!AQ54&lt;$C$1)*1</f>
        <v>1</v>
      </c>
      <c r="F54" s="2">
        <f>IF(TRUE,SQRT(averaged_runs126!AQ54^2/2+averaged_runs370!AQ54^2/2+AX54^2*0),"")</f>
        <v>5.0974574102705082E-2</v>
      </c>
      <c r="G54" s="2">
        <f>IF(E54,averaged_runs126!AQ54,"")</f>
        <v>4.2665330341377899E-2</v>
      </c>
      <c r="H54" s="2">
        <f t="shared" si="3"/>
        <v>4.1909582874987202E-2</v>
      </c>
      <c r="I54" s="2">
        <f>IF(E54,averaged_runs370!AQ54,"")</f>
        <v>5.8107521000000002E-2</v>
      </c>
      <c r="J54" t="s">
        <v>47</v>
      </c>
      <c r="K54">
        <v>3.28</v>
      </c>
      <c r="L54">
        <v>18.12</v>
      </c>
      <c r="M54">
        <v>1.2528892984941101E-2</v>
      </c>
      <c r="N54">
        <v>147.74936608791819</v>
      </c>
      <c r="O54">
        <v>-1.4249999998531171</v>
      </c>
      <c r="P54">
        <v>1.133333333499722</v>
      </c>
      <c r="Q54">
        <v>-0.38293040276332641</v>
      </c>
      <c r="R54">
        <v>-1.4249999998531171</v>
      </c>
      <c r="S54">
        <v>1.133333333499722</v>
      </c>
      <c r="T54">
        <v>-1.4249999998531171</v>
      </c>
      <c r="U54">
        <v>1.133333333499722</v>
      </c>
      <c r="V54">
        <v>2.4222016154743931</v>
      </c>
      <c r="W54">
        <v>5.27127166340235E-2</v>
      </c>
      <c r="X54">
        <v>1.88485720026315E-2</v>
      </c>
      <c r="Y54">
        <v>-1.1883088786977801E-2</v>
      </c>
      <c r="Z54">
        <v>1.2528892984941101E-2</v>
      </c>
      <c r="AA54">
        <v>141.1911216445167</v>
      </c>
      <c r="AB54">
        <v>-1.3949999998530711</v>
      </c>
      <c r="AC54">
        <v>1.170000000166183</v>
      </c>
      <c r="AD54">
        <v>-0.4289880950699288</v>
      </c>
      <c r="AE54">
        <v>-1.3949999998530711</v>
      </c>
      <c r="AF54">
        <v>1.170000000166183</v>
      </c>
      <c r="AG54">
        <v>-1.3949999998530711</v>
      </c>
      <c r="AH54">
        <v>1.170000000166183</v>
      </c>
      <c r="AI54">
        <v>1.530892857081656</v>
      </c>
      <c r="AJ54">
        <v>-1.1883088786977801E-2</v>
      </c>
      <c r="AK54">
        <v>5.9837778547195946</v>
      </c>
      <c r="AL54">
        <v>6.3368268443570592</v>
      </c>
      <c r="AM54">
        <v>6.5911075039197771</v>
      </c>
      <c r="AN54">
        <v>6.1468827920082072</v>
      </c>
      <c r="AO54">
        <v>1.4607437640651459</v>
      </c>
      <c r="AP54">
        <v>13.6</v>
      </c>
      <c r="AQ54">
        <v>14.04</v>
      </c>
      <c r="AR54">
        <v>0.3434175623823269</v>
      </c>
      <c r="AS54">
        <v>0.48124951174984149</v>
      </c>
      <c r="AT54">
        <v>1.5689</v>
      </c>
      <c r="AU54">
        <v>205.96487073318559</v>
      </c>
      <c r="AV54">
        <v>5.6031187928256697E-2</v>
      </c>
      <c r="AW54">
        <v>4.8122976023225898E-2</v>
      </c>
      <c r="AX54">
        <v>4.1909582874987202E-2</v>
      </c>
      <c r="AY54">
        <v>5.2181241654127401E-2</v>
      </c>
      <c r="AZ54">
        <v>4.1693751269829799E-2</v>
      </c>
    </row>
    <row r="55" spans="1:52" x14ac:dyDescent="0.2">
      <c r="A55" t="s">
        <v>109</v>
      </c>
      <c r="B55" t="s">
        <v>105</v>
      </c>
      <c r="C55" t="str">
        <f t="shared" ca="1" si="4"/>
        <v/>
      </c>
      <c r="E55">
        <f>AND(AX55&lt;$C$1,averaged_runs370!AQ55&lt;$C$1,averaged_runs126!AQ55&lt;$C$1)*1</f>
        <v>1</v>
      </c>
      <c r="F55" s="2">
        <f>IF(TRUE,SQRT(averaged_runs126!AQ55^2/2+averaged_runs370!AQ55^2/2+AX55^2*0),"")</f>
        <v>5.0501067134030478E-2</v>
      </c>
      <c r="G55" s="2">
        <f>IF(E55,averaged_runs126!AQ55,"")</f>
        <v>4.0139026945393397E-2</v>
      </c>
      <c r="H55" s="2">
        <f t="shared" si="3"/>
        <v>4.3222287885076899E-2</v>
      </c>
      <c r="I55" s="2">
        <f>IF(E55,averaged_runs370!AQ55,"")</f>
        <v>5.9072617000000001E-2</v>
      </c>
      <c r="J55" t="s">
        <v>47</v>
      </c>
      <c r="K55">
        <v>3.54</v>
      </c>
      <c r="L55">
        <v>14.6</v>
      </c>
      <c r="M55">
        <v>-6.3488716458219997E-4</v>
      </c>
      <c r="N55">
        <v>144.62703982628469</v>
      </c>
      <c r="O55">
        <v>-0.61833333318718364</v>
      </c>
      <c r="P55">
        <v>2.4083333334985402</v>
      </c>
      <c r="Q55">
        <v>0.4305219781889939</v>
      </c>
      <c r="R55">
        <v>-0.61833333318718364</v>
      </c>
      <c r="S55">
        <v>2.4083333334985402</v>
      </c>
      <c r="T55">
        <v>-0.61833333318718364</v>
      </c>
      <c r="U55">
        <v>2.4083333334985402</v>
      </c>
      <c r="V55">
        <v>2.699587430175999</v>
      </c>
      <c r="W55">
        <v>5.3132418392245903E-2</v>
      </c>
      <c r="X55">
        <v>1.2998809763133E-3</v>
      </c>
      <c r="Y55">
        <v>-3.3425498641670499E-2</v>
      </c>
      <c r="Z55">
        <v>-6.3488716458219997E-4</v>
      </c>
      <c r="AA55">
        <v>128.83269304470059</v>
      </c>
      <c r="AB55">
        <v>-0.5883333331871381</v>
      </c>
      <c r="AC55">
        <v>2.4450000001650012</v>
      </c>
      <c r="AD55">
        <v>0.45345238112007458</v>
      </c>
      <c r="AE55">
        <v>-0.5883333331871381</v>
      </c>
      <c r="AF55">
        <v>2.4450000001650012</v>
      </c>
      <c r="AG55">
        <v>-0.5883333331871381</v>
      </c>
      <c r="AH55">
        <v>2.4450000001650012</v>
      </c>
      <c r="AI55">
        <v>1.589404761917024</v>
      </c>
      <c r="AJ55">
        <v>-3.3425498641670499E-2</v>
      </c>
      <c r="AK55">
        <v>6.1961956494696979</v>
      </c>
      <c r="AL55">
        <v>5.7377208149195758</v>
      </c>
      <c r="AM55">
        <v>6.7793590679832496</v>
      </c>
      <c r="AN55">
        <v>5.5669519189186198</v>
      </c>
      <c r="AO55">
        <v>1.3555031254370691</v>
      </c>
      <c r="AP55">
        <v>13.68</v>
      </c>
      <c r="AQ55">
        <v>14.1</v>
      </c>
      <c r="AR55">
        <v>7.6518987826493398E-2</v>
      </c>
      <c r="AS55">
        <v>0.35642138575801652</v>
      </c>
      <c r="AT55">
        <v>2.6709200000000002</v>
      </c>
      <c r="AU55">
        <v>191.12594068662671</v>
      </c>
      <c r="AV55">
        <v>6.1407341944944703E-2</v>
      </c>
      <c r="AW55">
        <v>5.0075437258310602E-2</v>
      </c>
      <c r="AX55">
        <v>4.3222287885076899E-2</v>
      </c>
      <c r="AY55">
        <v>5.8023050456028097E-2</v>
      </c>
      <c r="AZ55">
        <v>4.8008471094763701E-2</v>
      </c>
    </row>
    <row r="56" spans="1:52" x14ac:dyDescent="0.2">
      <c r="A56" t="s">
        <v>110</v>
      </c>
      <c r="B56" t="s">
        <v>105</v>
      </c>
      <c r="C56" t="str">
        <f t="shared" ca="1" si="4"/>
        <v/>
      </c>
      <c r="E56">
        <f>AND(AX56&lt;$C$1,averaged_runs370!AQ56&lt;$C$1,averaged_runs126!AQ56&lt;$C$1)*1</f>
        <v>0</v>
      </c>
      <c r="F56" s="2">
        <f>IF(TRUE,SQRT(averaged_runs126!AQ56^2/2+averaged_runs370!AQ56^2/2+AX56^2*0),"")</f>
        <v>5.6566884548294658E-2</v>
      </c>
      <c r="G56" s="2" t="str">
        <f>IF(E56,averaged_runs126!AQ56,"")</f>
        <v/>
      </c>
      <c r="H56" s="2" t="str">
        <f t="shared" si="3"/>
        <v/>
      </c>
      <c r="I56" s="2" t="str">
        <f>IF(E56,averaged_runs370!AQ56,"")</f>
        <v/>
      </c>
      <c r="J56" t="s">
        <v>47</v>
      </c>
      <c r="K56">
        <v>14.06</v>
      </c>
      <c r="L56">
        <v>26.04</v>
      </c>
      <c r="M56">
        <v>6.9656716239582996E-3</v>
      </c>
      <c r="N56">
        <v>165.01167085293861</v>
      </c>
      <c r="O56">
        <v>-0.7383333331871017</v>
      </c>
      <c r="P56">
        <v>1.3133333334995501</v>
      </c>
      <c r="Q56">
        <v>-0.29573260056593059</v>
      </c>
      <c r="R56">
        <v>-0.7383333331871017</v>
      </c>
      <c r="S56">
        <v>1.3133333334995501</v>
      </c>
      <c r="T56">
        <v>-0.7383333331871017</v>
      </c>
      <c r="U56">
        <v>1.3133333334995501</v>
      </c>
      <c r="V56">
        <v>2.1240126796251242</v>
      </c>
      <c r="W56">
        <v>4.4954424487843501E-2</v>
      </c>
      <c r="X56">
        <v>2.55965515202791E-2</v>
      </c>
      <c r="Y56">
        <v>-7.3741591194962999E-3</v>
      </c>
      <c r="Z56">
        <v>6.9656716239582996E-3</v>
      </c>
      <c r="AA56">
        <v>147.6816066879027</v>
      </c>
      <c r="AB56">
        <v>-0.70833333318705627</v>
      </c>
      <c r="AC56">
        <v>1.35000000016601</v>
      </c>
      <c r="AD56">
        <v>-0.39214285697511769</v>
      </c>
      <c r="AE56">
        <v>-0.70833333318705627</v>
      </c>
      <c r="AF56">
        <v>1.35000000016601</v>
      </c>
      <c r="AG56">
        <v>-0.70833333318705627</v>
      </c>
      <c r="AH56">
        <v>1.35000000016601</v>
      </c>
      <c r="AI56">
        <v>1.550952380918043</v>
      </c>
      <c r="AJ56">
        <v>-7.3741591194962999E-3</v>
      </c>
      <c r="AK56">
        <v>6.6110409466486599</v>
      </c>
      <c r="AL56">
        <v>6.4477409356037683</v>
      </c>
      <c r="AM56">
        <v>7.2562895005856047</v>
      </c>
      <c r="AN56">
        <v>6.5223657191426252</v>
      </c>
      <c r="AO56">
        <v>0.94003945680279954</v>
      </c>
      <c r="AP56">
        <v>13.56</v>
      </c>
      <c r="AQ56">
        <v>14</v>
      </c>
      <c r="AR56">
        <v>7.3607378075260702E-2</v>
      </c>
      <c r="AS56">
        <v>9.9903963317193298E-2</v>
      </c>
      <c r="AT56">
        <v>1.3353999999999999</v>
      </c>
      <c r="AU56">
        <v>132.5455634091947</v>
      </c>
      <c r="AV56">
        <v>5.8548364475920399E-2</v>
      </c>
      <c r="AW56">
        <v>3.80027610535228E-2</v>
      </c>
      <c r="AX56">
        <v>3.4297532075810697E-2</v>
      </c>
      <c r="AY56">
        <v>4.7352964218007901E-2</v>
      </c>
      <c r="AZ56">
        <v>3.9992128615686802E-2</v>
      </c>
    </row>
    <row r="57" spans="1:52" x14ac:dyDescent="0.2">
      <c r="A57" t="s">
        <v>111</v>
      </c>
      <c r="B57" t="s">
        <v>105</v>
      </c>
      <c r="C57" t="str">
        <f t="shared" ca="1" si="4"/>
        <v/>
      </c>
      <c r="E57">
        <f>AND(AX57&lt;$C$1,averaged_runs370!AQ57&lt;$C$1,averaged_runs126!AQ57&lt;$C$1)*1</f>
        <v>1</v>
      </c>
      <c r="F57" s="2">
        <f>IF(TRUE,SQRT(averaged_runs126!AQ57^2/2+averaged_runs370!AQ57^2/2+AX57^2*0),"")</f>
        <v>4.9251983690871345E-2</v>
      </c>
      <c r="G57" s="2">
        <f>IF(E57,averaged_runs126!AQ57,"")</f>
        <v>3.9585073275730402E-2</v>
      </c>
      <c r="H57" s="2">
        <f t="shared" si="3"/>
        <v>3.9952145868967899E-2</v>
      </c>
      <c r="I57" s="2">
        <f>IF(E57,averaged_runs370!AQ57,"")</f>
        <v>5.7310886999999998E-2</v>
      </c>
      <c r="J57" t="s">
        <v>47</v>
      </c>
      <c r="K57">
        <v>1.48</v>
      </c>
      <c r="L57">
        <v>11.08</v>
      </c>
      <c r="M57">
        <v>1.6604808866140301E-2</v>
      </c>
      <c r="N57">
        <v>146.5063427949753</v>
      </c>
      <c r="O57">
        <v>-1.826666666519432</v>
      </c>
      <c r="P57">
        <v>1.3416666668328709</v>
      </c>
      <c r="Q57">
        <v>-0.72185439543684227</v>
      </c>
      <c r="R57">
        <v>-1.826666666519432</v>
      </c>
      <c r="S57">
        <v>1.3416666668328709</v>
      </c>
      <c r="T57">
        <v>-1.826666666519432</v>
      </c>
      <c r="U57">
        <v>1.3416666668328709</v>
      </c>
      <c r="V57">
        <v>2.8184285425528208</v>
      </c>
      <c r="W57">
        <v>5.4583798372545199E-2</v>
      </c>
      <c r="X57">
        <v>2.1155610282848999E-2</v>
      </c>
      <c r="Y57">
        <v>-1.6375488120667199E-2</v>
      </c>
      <c r="Z57">
        <v>1.6604808866140301E-2</v>
      </c>
      <c r="AA57">
        <v>130.1748294850635</v>
      </c>
      <c r="AB57">
        <v>-1.796666666519386</v>
      </c>
      <c r="AC57">
        <v>1.3783333334993311</v>
      </c>
      <c r="AD57">
        <v>-0.79738095221242022</v>
      </c>
      <c r="AE57">
        <v>-1.796666666519386</v>
      </c>
      <c r="AF57">
        <v>1.3783333334993311</v>
      </c>
      <c r="AG57">
        <v>-1.796666666519386</v>
      </c>
      <c r="AH57">
        <v>1.3783333334993311</v>
      </c>
      <c r="AI57">
        <v>1.669285714224173</v>
      </c>
      <c r="AJ57">
        <v>-1.6375488120667199E-2</v>
      </c>
      <c r="AK57">
        <v>5.6134622999958284</v>
      </c>
      <c r="AL57">
        <v>6.0808592117068478</v>
      </c>
      <c r="AM57">
        <v>6.3041478891408858</v>
      </c>
      <c r="AN57">
        <v>6.2234093186501616</v>
      </c>
      <c r="AO57">
        <v>1.4852904911262681</v>
      </c>
      <c r="AP57">
        <v>13.66</v>
      </c>
      <c r="AQ57">
        <v>14.1</v>
      </c>
      <c r="AR57">
        <v>0.56696191084810654</v>
      </c>
      <c r="AS57">
        <v>0.63954627978370449</v>
      </c>
      <c r="AT57">
        <v>1.83036</v>
      </c>
      <c r="AU57">
        <v>209.42595924880379</v>
      </c>
      <c r="AV57">
        <v>5.6166254573186802E-2</v>
      </c>
      <c r="AW57">
        <v>5.1457761507360998E-2</v>
      </c>
      <c r="AX57">
        <v>3.9952145868967899E-2</v>
      </c>
      <c r="AY57">
        <v>5.9299107158125697E-2</v>
      </c>
      <c r="AZ57">
        <v>4.5109145478007401E-2</v>
      </c>
    </row>
    <row r="58" spans="1:52" x14ac:dyDescent="0.2">
      <c r="A58" t="s">
        <v>112</v>
      </c>
      <c r="B58" t="s">
        <v>105</v>
      </c>
      <c r="C58" t="str">
        <f t="shared" ca="1" si="4"/>
        <v/>
      </c>
      <c r="E58">
        <f>AND(AX58&lt;$C$1,averaged_runs370!AQ58&lt;$C$1,averaged_runs126!AQ58&lt;$C$1)*1</f>
        <v>1</v>
      </c>
      <c r="F58" s="2">
        <f>IF(TRUE,SQRT(averaged_runs126!AQ58^2/2+averaged_runs370!AQ58^2/2+AX58^2*0),"")</f>
        <v>4.9636514735815297E-2</v>
      </c>
      <c r="G58" s="2">
        <f>IF(E58,averaged_runs126!AQ58,"")</f>
        <v>4.0070094459644302E-2</v>
      </c>
      <c r="H58" s="2">
        <f t="shared" si="3"/>
        <v>3.8694313077880398E-2</v>
      </c>
      <c r="I58" s="2">
        <f>IF(E58,averaged_runs370!AQ58,"")</f>
        <v>5.7636400999999997E-2</v>
      </c>
      <c r="J58" t="s">
        <v>47</v>
      </c>
      <c r="K58">
        <v>3.1</v>
      </c>
      <c r="L58">
        <v>13.66</v>
      </c>
      <c r="M58">
        <v>1.5159505429295001E-2</v>
      </c>
      <c r="N58">
        <v>147.78594165712349</v>
      </c>
      <c r="O58">
        <v>-1.484999999853071</v>
      </c>
      <c r="P58">
        <v>1.313333333499568</v>
      </c>
      <c r="Q58">
        <v>-0.58537545770803801</v>
      </c>
      <c r="R58">
        <v>-1.484999999853071</v>
      </c>
      <c r="S58">
        <v>1.313333333499568</v>
      </c>
      <c r="T58">
        <v>-1.484999999853071</v>
      </c>
      <c r="U58">
        <v>1.313333333499568</v>
      </c>
      <c r="V58">
        <v>2.758588619164553</v>
      </c>
      <c r="W58">
        <v>5.1708211541839501E-2</v>
      </c>
      <c r="X58">
        <v>1.56031467029632E-2</v>
      </c>
      <c r="Y58">
        <v>-1.53921159629018E-2</v>
      </c>
      <c r="Z58">
        <v>1.5159505429295001E-2</v>
      </c>
      <c r="AA58">
        <v>130.5266583606851</v>
      </c>
      <c r="AB58">
        <v>-1.4549999998530261</v>
      </c>
      <c r="AC58">
        <v>1.3500000001660279</v>
      </c>
      <c r="AD58">
        <v>-0.60315476173622806</v>
      </c>
      <c r="AE58">
        <v>-1.4549999998530261</v>
      </c>
      <c r="AF58">
        <v>1.3500000001660279</v>
      </c>
      <c r="AG58">
        <v>-1.4549999998530261</v>
      </c>
      <c r="AH58">
        <v>1.3500000001660279</v>
      </c>
      <c r="AI58">
        <v>1.688630952332894</v>
      </c>
      <c r="AJ58">
        <v>-1.53921159629018E-2</v>
      </c>
      <c r="AK58">
        <v>5.9021550147912558</v>
      </c>
      <c r="AL58">
        <v>6.141612802256847</v>
      </c>
      <c r="AM58">
        <v>6.4905474013365287</v>
      </c>
      <c r="AN58">
        <v>6.304952660584962</v>
      </c>
      <c r="AO58">
        <v>1.4345620218359201</v>
      </c>
      <c r="AP58">
        <v>13.74</v>
      </c>
      <c r="AQ58">
        <v>14.18</v>
      </c>
      <c r="AR58">
        <v>0.2416743966444036</v>
      </c>
      <c r="AS58">
        <v>0.40974272241656368</v>
      </c>
      <c r="AT58">
        <v>1.7650600000000001</v>
      </c>
      <c r="AU58">
        <v>202.27324507886459</v>
      </c>
      <c r="AV58">
        <v>5.6344279087737099E-2</v>
      </c>
      <c r="AW58">
        <v>5.07188835180023E-2</v>
      </c>
      <c r="AX58">
        <v>3.8694313077880398E-2</v>
      </c>
      <c r="AY58">
        <v>5.8637853507090297E-2</v>
      </c>
      <c r="AZ58">
        <v>4.3959419726117298E-2</v>
      </c>
    </row>
    <row r="59" spans="1:52" x14ac:dyDescent="0.2">
      <c r="A59" t="s">
        <v>113</v>
      </c>
      <c r="B59" t="s">
        <v>114</v>
      </c>
      <c r="C59">
        <f t="shared" ca="1" si="4"/>
        <v>2</v>
      </c>
      <c r="D59">
        <v>3</v>
      </c>
      <c r="E59">
        <f>AND(AX59&lt;$C$1,averaged_runs370!AQ59&lt;$C$1,averaged_runs126!AQ59&lt;$C$1)*1</f>
        <v>0</v>
      </c>
      <c r="F59" s="2">
        <f>IF(TRUE,SQRT(averaged_runs126!AQ59^2/2+averaged_runs370!AQ59^2/2+AX59^2*0),"")</f>
        <v>8.5754718967188406E-2</v>
      </c>
      <c r="G59" s="2" t="str">
        <f>IF(E59,averaged_runs126!AQ59,"")</f>
        <v/>
      </c>
      <c r="H59" s="2" t="str">
        <f t="shared" si="3"/>
        <v/>
      </c>
      <c r="I59" s="2" t="str">
        <f>IF(E59,averaged_runs370!AQ59,"")</f>
        <v/>
      </c>
      <c r="J59" t="s">
        <v>47</v>
      </c>
      <c r="K59">
        <v>0</v>
      </c>
      <c r="L59">
        <v>1.92</v>
      </c>
      <c r="M59">
        <v>8.7510167300031305E-2</v>
      </c>
      <c r="N59">
        <v>44.970954199554463</v>
      </c>
      <c r="O59">
        <v>-1.1083333331867651</v>
      </c>
      <c r="P59">
        <v>-4.4283333331619268</v>
      </c>
      <c r="Q59">
        <v>-3.8329578752929718</v>
      </c>
      <c r="R59">
        <v>-1.1083333331867651</v>
      </c>
      <c r="S59">
        <v>-4.4283333331619268</v>
      </c>
      <c r="T59">
        <v>-1.1083333331867651</v>
      </c>
      <c r="U59">
        <v>-4.4283333331619268</v>
      </c>
      <c r="V59">
        <v>5.8570510796083113</v>
      </c>
      <c r="W59">
        <v>0.13723734361322029</v>
      </c>
      <c r="X59">
        <v>2.8905555951563501E-2</v>
      </c>
      <c r="Y59">
        <v>0.17548421037824519</v>
      </c>
      <c r="Z59">
        <v>8.7510167300031402E-2</v>
      </c>
      <c r="AA59">
        <v>44.836636090365161</v>
      </c>
      <c r="AB59">
        <v>-1.07833333318672</v>
      </c>
      <c r="AC59">
        <v>-4.3916666664954667</v>
      </c>
      <c r="AD59">
        <v>-4.3334523807864427</v>
      </c>
      <c r="AE59">
        <v>-1.07833333318672</v>
      </c>
      <c r="AF59">
        <v>-4.3916666664954667</v>
      </c>
      <c r="AG59">
        <v>-1.07833333318672</v>
      </c>
      <c r="AH59">
        <v>-4.3916666664954667</v>
      </c>
      <c r="AI59">
        <v>4.3334523807864427</v>
      </c>
      <c r="AJ59">
        <v>0.17548421037824519</v>
      </c>
      <c r="AK59">
        <v>1.951323212786547</v>
      </c>
      <c r="AL59">
        <v>1.3162268274119271</v>
      </c>
      <c r="AM59">
        <v>1.92920994824311</v>
      </c>
      <c r="AN59">
        <v>1.3436004483616919</v>
      </c>
      <c r="AO59">
        <v>0.99761108928001663</v>
      </c>
      <c r="AP59">
        <v>13.56</v>
      </c>
      <c r="AQ59">
        <v>14</v>
      </c>
      <c r="AR59">
        <v>0.86368600849889487</v>
      </c>
      <c r="AS59">
        <v>0.87805550056238701</v>
      </c>
      <c r="AT59">
        <v>1.4859</v>
      </c>
      <c r="AU59">
        <v>228.45293944512369</v>
      </c>
      <c r="AV59">
        <v>8.6885279890899295E-2</v>
      </c>
      <c r="AW59">
        <v>0.1275525828368505</v>
      </c>
      <c r="AX59">
        <v>0.14951681839553341</v>
      </c>
      <c r="AY59">
        <v>0.12784917329890139</v>
      </c>
      <c r="AZ59">
        <v>0.1496253886030062</v>
      </c>
    </row>
    <row r="60" spans="1:52" x14ac:dyDescent="0.2">
      <c r="A60" t="s">
        <v>115</v>
      </c>
      <c r="B60" t="s">
        <v>114</v>
      </c>
      <c r="C60" t="str">
        <f t="shared" ca="1" si="4"/>
        <v/>
      </c>
      <c r="E60">
        <f>AND(AX60&lt;$C$1,averaged_runs370!AQ60&lt;$C$1,averaged_runs126!AQ60&lt;$C$1)*1</f>
        <v>1</v>
      </c>
      <c r="F60" s="2">
        <f>IF(TRUE,SQRT(averaged_runs126!AQ60^2/2+averaged_runs370!AQ60^2/2+AX60^2*0),"")</f>
        <v>4.977895118535354E-2</v>
      </c>
      <c r="G60" s="2">
        <f>IF(E60,averaged_runs126!AQ60,"")</f>
        <v>4.4329383165177497E-2</v>
      </c>
      <c r="H60" s="2">
        <f t="shared" si="3"/>
        <v>5.6348388878281301E-2</v>
      </c>
      <c r="I60" s="2">
        <f>IF(E60,averaged_runs370!AQ60,"")</f>
        <v>5.4688149999999998E-2</v>
      </c>
      <c r="J60" t="s">
        <v>47</v>
      </c>
      <c r="K60">
        <v>0</v>
      </c>
      <c r="L60">
        <v>0.02</v>
      </c>
      <c r="M60">
        <v>3.5137594703877797E-2</v>
      </c>
      <c r="N60">
        <v>132.4408562438287</v>
      </c>
      <c r="O60">
        <v>-0.83833333318698811</v>
      </c>
      <c r="P60">
        <v>-2.2083333331639108</v>
      </c>
      <c r="Q60">
        <v>-1.9446428569763199</v>
      </c>
      <c r="R60">
        <v>-1.111666666520077</v>
      </c>
      <c r="S60">
        <v>-2.5716666664969119</v>
      </c>
      <c r="T60">
        <v>-0.85666666652030476</v>
      </c>
      <c r="U60">
        <v>-2.5716666664969119</v>
      </c>
      <c r="V60">
        <v>2.8435629877915152</v>
      </c>
      <c r="W60">
        <v>5.35129764923317E-2</v>
      </c>
      <c r="X60">
        <v>1.38285093135314E-2</v>
      </c>
      <c r="Y60">
        <v>5.3450950133172997E-2</v>
      </c>
      <c r="Z60">
        <v>3.5137594703877797E-2</v>
      </c>
      <c r="AA60">
        <v>109.28475422990429</v>
      </c>
      <c r="AB60">
        <v>-0.80833333318694256</v>
      </c>
      <c r="AC60">
        <v>-2.1716666664974511</v>
      </c>
      <c r="AD60">
        <v>-2.1209722220545602</v>
      </c>
      <c r="AE60">
        <v>-1.0816666665200321</v>
      </c>
      <c r="AF60">
        <v>-2.5349999998304522</v>
      </c>
      <c r="AG60">
        <v>-0.80166666652028651</v>
      </c>
      <c r="AH60">
        <v>-2.5066666664971402</v>
      </c>
      <c r="AI60">
        <v>2.3513888887477692</v>
      </c>
      <c r="AJ60">
        <v>5.3450950133172997E-2</v>
      </c>
      <c r="AK60">
        <v>5.0161805407384952</v>
      </c>
      <c r="AL60">
        <v>3.6965785694006632</v>
      </c>
      <c r="AM60">
        <v>5.6011572318489691</v>
      </c>
      <c r="AN60">
        <v>4.0681644733785189</v>
      </c>
      <c r="AO60">
        <v>1.5837003823029649</v>
      </c>
      <c r="AP60">
        <v>17.774000000000001</v>
      </c>
      <c r="AQ60">
        <v>18.474</v>
      </c>
      <c r="AR60">
        <v>0.94021862731004324</v>
      </c>
      <c r="AS60">
        <v>0.95546092034028562</v>
      </c>
      <c r="AT60">
        <v>6.0518200000000002</v>
      </c>
      <c r="AU60">
        <v>348.41408410665213</v>
      </c>
      <c r="AV60">
        <v>4.75565660970537E-2</v>
      </c>
      <c r="AW60">
        <v>5.3099309693515097E-2</v>
      </c>
      <c r="AX60">
        <v>5.6348388878281301E-2</v>
      </c>
      <c r="AY60">
        <v>6.8691496961159004E-2</v>
      </c>
      <c r="AZ60">
        <v>7.0500287131275999E-2</v>
      </c>
    </row>
    <row r="61" spans="1:52" x14ac:dyDescent="0.2">
      <c r="A61" t="s">
        <v>116</v>
      </c>
      <c r="B61" t="s">
        <v>114</v>
      </c>
      <c r="C61" t="str">
        <f t="shared" ca="1" si="4"/>
        <v/>
      </c>
      <c r="E61">
        <f>AND(AX61&lt;$C$1,averaged_runs370!AQ61&lt;$C$1,averaged_runs126!AQ61&lt;$C$1)*1</f>
        <v>1</v>
      </c>
      <c r="F61" s="2">
        <f>IF(TRUE,SQRT(averaged_runs126!AQ61^2/2+averaged_runs370!AQ61^2/2+AX61^2*0),"")</f>
        <v>5.1059639270227379E-2</v>
      </c>
      <c r="G61" s="2">
        <f>IF(E61,averaged_runs126!AQ61,"")</f>
        <v>4.34031990513562E-2</v>
      </c>
      <c r="H61" s="2">
        <f t="shared" si="3"/>
        <v>5.8474281623044702E-2</v>
      </c>
      <c r="I61" s="2">
        <f>IF(E61,averaged_runs370!AQ61,"")</f>
        <v>5.7709061999999998E-2</v>
      </c>
      <c r="J61" t="s">
        <v>47</v>
      </c>
      <c r="K61">
        <v>0.02</v>
      </c>
      <c r="L61">
        <v>0.02</v>
      </c>
      <c r="M61">
        <v>3.9036286861708902E-2</v>
      </c>
      <c r="N61">
        <v>131.5547368774572</v>
      </c>
      <c r="O61">
        <v>-0.87333333318696083</v>
      </c>
      <c r="P61">
        <v>-2.414999999830397</v>
      </c>
      <c r="Q61">
        <v>-2.1499801585636771</v>
      </c>
      <c r="R61">
        <v>-0.93166666652024122</v>
      </c>
      <c r="S61">
        <v>-2.543333333163619</v>
      </c>
      <c r="T61">
        <v>-0.88166666652028658</v>
      </c>
      <c r="U61">
        <v>-2.543333333163619</v>
      </c>
      <c r="V61">
        <v>3.1878761785174219</v>
      </c>
      <c r="W61">
        <v>5.5170744919810701E-2</v>
      </c>
      <c r="X61">
        <v>1.50842162046403E-2</v>
      </c>
      <c r="Y61">
        <v>6.0894735580996402E-2</v>
      </c>
      <c r="Z61">
        <v>3.9036286861708902E-2</v>
      </c>
      <c r="AA61">
        <v>108.9316164839174</v>
      </c>
      <c r="AB61">
        <v>-0.84333333318691528</v>
      </c>
      <c r="AC61">
        <v>-2.3783333331639369</v>
      </c>
      <c r="AD61">
        <v>-2.3283928569750958</v>
      </c>
      <c r="AE61">
        <v>-0.90166666652019556</v>
      </c>
      <c r="AF61">
        <v>-2.506666666497158</v>
      </c>
      <c r="AG61">
        <v>-0.85166666652024103</v>
      </c>
      <c r="AH61">
        <v>-2.506666666497158</v>
      </c>
      <c r="AI61">
        <v>2.5395039681194298</v>
      </c>
      <c r="AJ61">
        <v>6.0894735580996402E-2</v>
      </c>
      <c r="AK61">
        <v>5.3565258360621</v>
      </c>
      <c r="AL61">
        <v>3.5643915550446699</v>
      </c>
      <c r="AM61">
        <v>5.6336482340225329</v>
      </c>
      <c r="AN61">
        <v>3.9664793123811561</v>
      </c>
      <c r="AO61">
        <v>1.5544720268789169</v>
      </c>
      <c r="AP61">
        <v>14.808</v>
      </c>
      <c r="AQ61">
        <v>15.348000000000001</v>
      </c>
      <c r="AR61">
        <v>0.92165020867296443</v>
      </c>
      <c r="AS61">
        <v>0.93660821233882641</v>
      </c>
      <c r="AT61">
        <v>3.2341600000000001</v>
      </c>
      <c r="AU61">
        <v>341.98384591336168</v>
      </c>
      <c r="AV61">
        <v>4.9096994317004199E-2</v>
      </c>
      <c r="AW61">
        <v>5.3982111397743497E-2</v>
      </c>
      <c r="AX61">
        <v>5.8474281623044702E-2</v>
      </c>
      <c r="AY61">
        <v>6.97223204526915E-2</v>
      </c>
      <c r="AZ61">
        <v>7.2397254981055995E-2</v>
      </c>
    </row>
    <row r="64" spans="1:52" x14ac:dyDescent="0.2">
      <c r="E64">
        <f>SUM(E2:E61)</f>
        <v>25</v>
      </c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61"/>
  <sheetViews>
    <sheetView topLeftCell="AE1" workbookViewId="0">
      <pane ySplit="1" topLeftCell="A2" activePane="bottomLeft" state="frozen"/>
      <selection pane="bottomLeft" activeCell="E25" sqref="E25"/>
    </sheetView>
  </sheetViews>
  <sheetFormatPr baseColWidth="10" defaultRowHeight="16" x14ac:dyDescent="0.2"/>
  <sheetData>
    <row r="1" spans="1:4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x14ac:dyDescent="0.2">
      <c r="A2" t="s">
        <v>45</v>
      </c>
      <c r="B2" t="s">
        <v>46</v>
      </c>
      <c r="C2" t="s">
        <v>47</v>
      </c>
      <c r="D2">
        <v>98.02</v>
      </c>
      <c r="E2">
        <v>159.4</v>
      </c>
      <c r="F2">
        <v>-0.12922009800000001</v>
      </c>
      <c r="G2">
        <v>-339.64773279999997</v>
      </c>
      <c r="H2">
        <v>4.943333333</v>
      </c>
      <c r="I2">
        <v>4.6008333329999997</v>
      </c>
      <c r="J2">
        <v>4.6041747639999997</v>
      </c>
      <c r="K2">
        <v>4.9216666670000002</v>
      </c>
      <c r="L2">
        <v>4.5866666670000003</v>
      </c>
      <c r="M2">
        <v>4.9649999999999999</v>
      </c>
      <c r="N2">
        <v>4.6150000000000002</v>
      </c>
      <c r="O2">
        <v>4.6953361459999998</v>
      </c>
      <c r="P2">
        <v>4.1412013999999997E-2</v>
      </c>
      <c r="Q2">
        <v>-6.6930096999999994E-2</v>
      </c>
      <c r="R2">
        <v>-0.15777031699999999</v>
      </c>
      <c r="S2">
        <v>-0.12922009800000001</v>
      </c>
      <c r="T2">
        <v>-410.18386900000002</v>
      </c>
      <c r="U2">
        <v>4.9133333329999997</v>
      </c>
      <c r="V2">
        <v>4.5858333330000001</v>
      </c>
      <c r="W2">
        <v>4.5902536229999997</v>
      </c>
      <c r="X2">
        <v>4.891666667</v>
      </c>
      <c r="Y2">
        <v>4.5716666669999997</v>
      </c>
      <c r="Z2">
        <v>4.9349999999999996</v>
      </c>
      <c r="AA2">
        <v>4.5999999999999996</v>
      </c>
      <c r="AB2">
        <v>4.5902536229999997</v>
      </c>
      <c r="AC2">
        <v>-0.15777031699999999</v>
      </c>
      <c r="AD2">
        <v>1.1310248730000001</v>
      </c>
      <c r="AE2">
        <v>0.49843881200000001</v>
      </c>
      <c r="AF2">
        <v>0.44828553900000001</v>
      </c>
      <c r="AG2">
        <v>0.203666441</v>
      </c>
      <c r="AH2">
        <v>-0.740404375</v>
      </c>
      <c r="AI2">
        <v>23.744</v>
      </c>
      <c r="AJ2">
        <v>23.283999999999999</v>
      </c>
      <c r="AK2" s="1">
        <v>4.1899999999999998E-7</v>
      </c>
      <c r="AL2" s="1">
        <v>1.0900000000000001E-5</v>
      </c>
      <c r="AM2">
        <v>2.8928199999999999</v>
      </c>
      <c r="AN2">
        <v>-171.0334106</v>
      </c>
      <c r="AO2">
        <v>9.6506215000000006E-2</v>
      </c>
      <c r="AP2">
        <v>0.13639421500000001</v>
      </c>
      <c r="AQ2">
        <v>0.149510952</v>
      </c>
      <c r="AR2">
        <v>0.144203521</v>
      </c>
      <c r="AS2">
        <v>0.15625019200000001</v>
      </c>
    </row>
    <row r="3" spans="1:45" x14ac:dyDescent="0.2">
      <c r="A3" t="s">
        <v>48</v>
      </c>
      <c r="B3" t="s">
        <v>46</v>
      </c>
      <c r="C3" t="s">
        <v>47</v>
      </c>
      <c r="D3">
        <v>36.22</v>
      </c>
      <c r="E3">
        <v>103.34</v>
      </c>
      <c r="F3">
        <v>-5.7070717E-2</v>
      </c>
      <c r="G3">
        <v>-28.69220632</v>
      </c>
      <c r="H3">
        <v>2.4166666669999999</v>
      </c>
      <c r="I3">
        <v>1.994166667</v>
      </c>
      <c r="J3">
        <v>2.1026623569999998</v>
      </c>
      <c r="K3">
        <v>2.003333333</v>
      </c>
      <c r="L3">
        <v>1.7916666670000001</v>
      </c>
      <c r="M3">
        <v>2.83</v>
      </c>
      <c r="N3">
        <v>2.1966666670000001</v>
      </c>
      <c r="O3">
        <v>2.494188914</v>
      </c>
      <c r="P3">
        <v>4.8642075999999999E-2</v>
      </c>
      <c r="Q3">
        <v>-3.1939754000000001E-2</v>
      </c>
      <c r="R3">
        <v>-7.1403538000000003E-2</v>
      </c>
      <c r="S3">
        <v>-5.7070717E-2</v>
      </c>
      <c r="T3">
        <v>-101.1929418</v>
      </c>
      <c r="U3">
        <v>2.3866666670000001</v>
      </c>
      <c r="V3">
        <v>1.9791666670000001</v>
      </c>
      <c r="W3">
        <v>2.0857125609999998</v>
      </c>
      <c r="X3">
        <v>1.973333333</v>
      </c>
      <c r="Y3">
        <v>1.776666667</v>
      </c>
      <c r="Z3">
        <v>2.7250000000000001</v>
      </c>
      <c r="AA3">
        <v>2.125</v>
      </c>
      <c r="AB3">
        <v>2.1123067629999999</v>
      </c>
      <c r="AC3">
        <v>-7.1403538000000003E-2</v>
      </c>
      <c r="AD3">
        <v>4.6225392190000001</v>
      </c>
      <c r="AE3">
        <v>4.3447428529999996</v>
      </c>
      <c r="AF3">
        <v>3.403760986</v>
      </c>
      <c r="AG3">
        <v>4.0548348750000001</v>
      </c>
      <c r="AH3">
        <v>0.40406885599999998</v>
      </c>
      <c r="AI3">
        <v>25.896000000000001</v>
      </c>
      <c r="AJ3">
        <v>25.396000000000001</v>
      </c>
      <c r="AK3" s="1">
        <v>1.5800000000000001E-5</v>
      </c>
      <c r="AL3">
        <v>6.4780999999999997E-4</v>
      </c>
      <c r="AM3">
        <v>5.6426800000000004</v>
      </c>
      <c r="AN3">
        <v>93.339905740000006</v>
      </c>
      <c r="AO3">
        <v>7.3477529999999999E-2</v>
      </c>
      <c r="AP3">
        <v>7.9507492999999999E-2</v>
      </c>
      <c r="AQ3">
        <v>8.3538694999999996E-2</v>
      </c>
      <c r="AR3">
        <v>9.2361352999999993E-2</v>
      </c>
      <c r="AS3">
        <v>9.5435353000000001E-2</v>
      </c>
    </row>
    <row r="4" spans="1:45" x14ac:dyDescent="0.2">
      <c r="A4" t="s">
        <v>49</v>
      </c>
      <c r="B4" t="s">
        <v>46</v>
      </c>
      <c r="C4" t="s">
        <v>47</v>
      </c>
      <c r="D4">
        <v>85.34</v>
      </c>
      <c r="E4">
        <v>168.64</v>
      </c>
      <c r="F4">
        <v>-3.3321101999999998E-2</v>
      </c>
      <c r="G4">
        <v>120.09038820000001</v>
      </c>
      <c r="H4">
        <v>1.105</v>
      </c>
      <c r="I4">
        <v>1.5433333330000001</v>
      </c>
      <c r="J4">
        <v>1.355041859</v>
      </c>
      <c r="K4">
        <v>1.105</v>
      </c>
      <c r="L4">
        <v>1.5433333330000001</v>
      </c>
      <c r="M4">
        <v>1.105</v>
      </c>
      <c r="N4">
        <v>1.5433333330000001</v>
      </c>
      <c r="O4">
        <v>1.8812130149999999</v>
      </c>
      <c r="P4">
        <v>4.0544430999999999E-2</v>
      </c>
      <c r="Q4">
        <v>3.6251875000000003E-2</v>
      </c>
      <c r="R4">
        <v>-6.4797985000000002E-2</v>
      </c>
      <c r="S4">
        <v>-3.3321101999999998E-2</v>
      </c>
      <c r="T4">
        <v>52.890359189999998</v>
      </c>
      <c r="U4">
        <v>1.075</v>
      </c>
      <c r="V4">
        <v>1.528333333</v>
      </c>
      <c r="W4">
        <v>1.3288768120000001</v>
      </c>
      <c r="X4">
        <v>1.075</v>
      </c>
      <c r="Y4">
        <v>1.528333333</v>
      </c>
      <c r="Z4">
        <v>1.075</v>
      </c>
      <c r="AA4">
        <v>1.528333333</v>
      </c>
      <c r="AB4">
        <v>1.443804348</v>
      </c>
      <c r="AC4">
        <v>-6.4797985000000002E-2</v>
      </c>
      <c r="AD4">
        <v>5.6849692379999999</v>
      </c>
      <c r="AE4">
        <v>5.6243457479999996</v>
      </c>
      <c r="AF4">
        <v>7.0503443240000001</v>
      </c>
      <c r="AG4">
        <v>5.2634152869999999</v>
      </c>
      <c r="AH4">
        <v>-0.32436605400000001</v>
      </c>
      <c r="AI4">
        <v>23.74</v>
      </c>
      <c r="AJ4">
        <v>23.28</v>
      </c>
      <c r="AK4" s="1">
        <v>2.2399999999999999E-5</v>
      </c>
      <c r="AL4" s="1">
        <v>6.69E-5</v>
      </c>
      <c r="AM4">
        <v>2.6407799999999999</v>
      </c>
      <c r="AN4">
        <v>-74.928558390000006</v>
      </c>
      <c r="AO4">
        <v>8.2720963999999994E-2</v>
      </c>
      <c r="AP4">
        <v>5.5904925000000001E-2</v>
      </c>
      <c r="AQ4">
        <v>6.1676944999999997E-2</v>
      </c>
      <c r="AR4">
        <v>7.2228208000000002E-2</v>
      </c>
      <c r="AS4">
        <v>7.5926817999999993E-2</v>
      </c>
    </row>
    <row r="5" spans="1:45" x14ac:dyDescent="0.2">
      <c r="A5" t="s">
        <v>50</v>
      </c>
      <c r="B5" t="s">
        <v>46</v>
      </c>
      <c r="C5" t="s">
        <v>47</v>
      </c>
      <c r="D5">
        <v>0.04</v>
      </c>
      <c r="E5">
        <v>0.76</v>
      </c>
      <c r="F5">
        <v>-4.8493400000000002E-4</v>
      </c>
      <c r="G5">
        <v>67.660280420000007</v>
      </c>
      <c r="H5">
        <v>-0.10180555500000001</v>
      </c>
      <c r="I5">
        <v>0.136944445</v>
      </c>
      <c r="J5">
        <v>-0.17596358200000001</v>
      </c>
      <c r="K5">
        <v>-3.8050000000000002</v>
      </c>
      <c r="L5">
        <v>-2.75</v>
      </c>
      <c r="M5">
        <v>-0.796666667</v>
      </c>
      <c r="N5">
        <v>-3.333333E-3</v>
      </c>
      <c r="O5">
        <v>1.6639365939999999</v>
      </c>
      <c r="P5">
        <v>0.126900757</v>
      </c>
      <c r="Q5">
        <v>-3.1054250000000002E-3</v>
      </c>
      <c r="R5">
        <v>-2.5897960000000001E-3</v>
      </c>
      <c r="S5">
        <v>-4.8493400000000002E-4</v>
      </c>
      <c r="T5">
        <v>60.38211304</v>
      </c>
      <c r="U5">
        <v>-0.13180555499999999</v>
      </c>
      <c r="V5">
        <v>0.121944445</v>
      </c>
      <c r="W5">
        <v>-0.196204451</v>
      </c>
      <c r="X5">
        <v>-3.835</v>
      </c>
      <c r="Y5">
        <v>-2.7650000000000001</v>
      </c>
      <c r="Z5">
        <v>-1.096666667</v>
      </c>
      <c r="AA5">
        <v>0.568333333</v>
      </c>
      <c r="AB5">
        <v>0.94510472700000003</v>
      </c>
      <c r="AC5">
        <v>-2.5897960000000001E-3</v>
      </c>
      <c r="AD5">
        <v>2.2898636460000001</v>
      </c>
      <c r="AE5">
        <v>2.2976470720000002</v>
      </c>
      <c r="AF5">
        <v>2.3790349169999998</v>
      </c>
      <c r="AG5">
        <v>2.3891619419999999</v>
      </c>
      <c r="AH5">
        <v>0.70694928999999995</v>
      </c>
      <c r="AI5">
        <v>54.094000000000001</v>
      </c>
      <c r="AJ5">
        <v>53.073999999999998</v>
      </c>
      <c r="AK5">
        <v>0.62199400699999996</v>
      </c>
      <c r="AL5">
        <v>0.86912426099999995</v>
      </c>
      <c r="AM5">
        <v>29.102959999999999</v>
      </c>
      <c r="AN5">
        <v>163.30528609999999</v>
      </c>
      <c r="AO5">
        <v>0.11831905</v>
      </c>
      <c r="AP5">
        <v>0.115129844</v>
      </c>
      <c r="AQ5">
        <v>0.112614435</v>
      </c>
      <c r="AR5">
        <v>0.12432744699999999</v>
      </c>
      <c r="AS5">
        <v>0.121954376</v>
      </c>
    </row>
    <row r="6" spans="1:45" x14ac:dyDescent="0.2">
      <c r="A6" t="s">
        <v>51</v>
      </c>
      <c r="B6" t="s">
        <v>52</v>
      </c>
      <c r="C6" t="s">
        <v>47</v>
      </c>
      <c r="D6">
        <v>90.94</v>
      </c>
      <c r="E6">
        <v>140.80000000000001</v>
      </c>
      <c r="F6">
        <v>-7.2325979999999998E-2</v>
      </c>
      <c r="G6">
        <v>-140.92312849999999</v>
      </c>
      <c r="H6">
        <v>2.6466666669999999</v>
      </c>
      <c r="I6">
        <v>3.4950000000000001</v>
      </c>
      <c r="J6">
        <v>2.5698276240000002</v>
      </c>
      <c r="K6">
        <v>2.6466666669999999</v>
      </c>
      <c r="L6">
        <v>3.4950000000000001</v>
      </c>
      <c r="M6">
        <v>2.6466666669999999</v>
      </c>
      <c r="N6">
        <v>3.4950000000000001</v>
      </c>
      <c r="O6">
        <v>2.9198475259999999</v>
      </c>
      <c r="P6">
        <v>3.3011345999999997E-2</v>
      </c>
      <c r="Q6">
        <v>-5.4942536E-2</v>
      </c>
      <c r="R6">
        <v>-9.6599727999999996E-2</v>
      </c>
      <c r="S6">
        <v>-7.2325979999999998E-2</v>
      </c>
      <c r="T6">
        <v>-231.85024089999999</v>
      </c>
      <c r="U6">
        <v>2.6166666670000001</v>
      </c>
      <c r="V6">
        <v>3.48</v>
      </c>
      <c r="W6">
        <v>2.5653623190000001</v>
      </c>
      <c r="X6">
        <v>2.6166666670000001</v>
      </c>
      <c r="Y6">
        <v>3.48</v>
      </c>
      <c r="Z6">
        <v>2.6166666670000001</v>
      </c>
      <c r="AA6">
        <v>3.48</v>
      </c>
      <c r="AB6">
        <v>2.5653623190000001</v>
      </c>
      <c r="AC6">
        <v>-9.6599727999999996E-2</v>
      </c>
      <c r="AD6">
        <v>4.0859979590000002</v>
      </c>
      <c r="AE6">
        <v>1.358879658</v>
      </c>
      <c r="AF6">
        <v>3.3433527170000001</v>
      </c>
      <c r="AG6">
        <v>0.93556251700000004</v>
      </c>
      <c r="AH6">
        <v>-1.5427779850000001</v>
      </c>
      <c r="AI6">
        <v>23.52</v>
      </c>
      <c r="AJ6">
        <v>23.04</v>
      </c>
      <c r="AK6" s="1">
        <v>3.77E-8</v>
      </c>
      <c r="AL6" s="1">
        <v>1.9500000000000001E-7</v>
      </c>
      <c r="AM6">
        <v>2.3557199999999998</v>
      </c>
      <c r="AN6">
        <v>-296.21337319999998</v>
      </c>
      <c r="AO6">
        <v>8.3188515000000005E-2</v>
      </c>
      <c r="AP6">
        <v>8.9553618000000001E-2</v>
      </c>
      <c r="AQ6">
        <v>9.8355265999999997E-2</v>
      </c>
      <c r="AR6">
        <v>9.9949211999999996E-2</v>
      </c>
      <c r="AS6">
        <v>0.10617858099999999</v>
      </c>
    </row>
    <row r="7" spans="1:45" x14ac:dyDescent="0.2">
      <c r="A7" t="s">
        <v>53</v>
      </c>
      <c r="B7" t="s">
        <v>52</v>
      </c>
      <c r="C7" t="s">
        <v>47</v>
      </c>
      <c r="D7">
        <v>0.72</v>
      </c>
      <c r="E7">
        <v>1.28</v>
      </c>
      <c r="F7">
        <v>-4.3317650999999999E-2</v>
      </c>
      <c r="G7">
        <v>46.704630209999998</v>
      </c>
      <c r="H7">
        <v>2.0175000000000001</v>
      </c>
      <c r="I7">
        <v>1.495833333</v>
      </c>
      <c r="J7">
        <v>1.5584707579999999</v>
      </c>
      <c r="K7">
        <v>1.1000000000000001</v>
      </c>
      <c r="L7">
        <v>0.58833333300000001</v>
      </c>
      <c r="M7">
        <v>2.798333333</v>
      </c>
      <c r="N7">
        <v>2.0416666669999999</v>
      </c>
      <c r="O7">
        <v>1.9814818300000001</v>
      </c>
      <c r="P7">
        <v>0.194984042</v>
      </c>
      <c r="Q7">
        <v>-3.8560191000000001E-2</v>
      </c>
      <c r="R7">
        <v>-5.0466207999999999E-2</v>
      </c>
      <c r="S7">
        <v>-4.3317650999999999E-2</v>
      </c>
      <c r="T7">
        <v>41.980809710000003</v>
      </c>
      <c r="U7">
        <v>1.9875</v>
      </c>
      <c r="V7">
        <v>1.4808333330000001</v>
      </c>
      <c r="W7">
        <v>1.543949276</v>
      </c>
      <c r="X7">
        <v>1.07</v>
      </c>
      <c r="Y7">
        <v>0.573333333</v>
      </c>
      <c r="Z7">
        <v>1.9550000000000001</v>
      </c>
      <c r="AA7">
        <v>2.0950000000000002</v>
      </c>
      <c r="AB7">
        <v>1.59897343</v>
      </c>
      <c r="AC7">
        <v>-5.0466207999999999E-2</v>
      </c>
      <c r="AD7">
        <v>1.9375488949999999</v>
      </c>
      <c r="AE7">
        <v>1.546451289</v>
      </c>
      <c r="AF7">
        <v>1.9212363770000001</v>
      </c>
      <c r="AG7">
        <v>1.598807195</v>
      </c>
      <c r="AH7">
        <v>0.63423399899999999</v>
      </c>
      <c r="AI7">
        <v>35.444000000000003</v>
      </c>
      <c r="AJ7">
        <v>34.643999999999998</v>
      </c>
      <c r="AK7">
        <v>0.37902691500000002</v>
      </c>
      <c r="AL7">
        <v>0.97307310899999999</v>
      </c>
      <c r="AM7">
        <v>12.289300000000001</v>
      </c>
      <c r="AN7">
        <v>90.061227819999999</v>
      </c>
      <c r="AO7">
        <v>7.5267804999999993E-2</v>
      </c>
      <c r="AP7">
        <v>7.6791846999999996E-2</v>
      </c>
      <c r="AQ7">
        <v>8.0493438E-2</v>
      </c>
      <c r="AR7">
        <v>9.1337584999999999E-2</v>
      </c>
      <c r="AS7">
        <v>9.4550881000000003E-2</v>
      </c>
    </row>
    <row r="8" spans="1:45" x14ac:dyDescent="0.2">
      <c r="A8" t="s">
        <v>54</v>
      </c>
      <c r="B8" t="s">
        <v>52</v>
      </c>
      <c r="C8" t="s">
        <v>47</v>
      </c>
      <c r="D8">
        <v>50.5</v>
      </c>
      <c r="E8">
        <v>75.12</v>
      </c>
      <c r="F8">
        <v>-0.12619850199999999</v>
      </c>
      <c r="G8">
        <v>-243.2435079</v>
      </c>
      <c r="H8">
        <v>1.96</v>
      </c>
      <c r="I8">
        <v>5.08</v>
      </c>
      <c r="J8">
        <v>5.6607611440000003</v>
      </c>
      <c r="K8">
        <v>1.96</v>
      </c>
      <c r="L8">
        <v>5.08</v>
      </c>
      <c r="M8">
        <v>1.96</v>
      </c>
      <c r="N8">
        <v>5.08</v>
      </c>
      <c r="O8">
        <v>6.8261826579999996</v>
      </c>
      <c r="P8">
        <v>6.4634548E-2</v>
      </c>
      <c r="Q8">
        <v>-7.2331031000000004E-2</v>
      </c>
      <c r="R8">
        <v>-0.243456275</v>
      </c>
      <c r="S8">
        <v>-0.12619850199999999</v>
      </c>
      <c r="T8">
        <v>-261.5706543</v>
      </c>
      <c r="U8">
        <v>1.93</v>
      </c>
      <c r="V8">
        <v>5.0650000000000004</v>
      </c>
      <c r="W8">
        <v>5.4524637680000003</v>
      </c>
      <c r="X8">
        <v>1.93</v>
      </c>
      <c r="Y8">
        <v>5.0650000000000004</v>
      </c>
      <c r="Z8">
        <v>1.93</v>
      </c>
      <c r="AA8">
        <v>5.0650000000000004</v>
      </c>
      <c r="AB8">
        <v>5.4524637680000003</v>
      </c>
      <c r="AC8">
        <v>-0.243456275</v>
      </c>
      <c r="AD8">
        <v>4.1648379709999999</v>
      </c>
      <c r="AE8">
        <v>1.007001949</v>
      </c>
      <c r="AF8">
        <v>4.5012212140000001</v>
      </c>
      <c r="AG8">
        <v>0.71447803300000001</v>
      </c>
      <c r="AH8">
        <v>-1.0746007529999999</v>
      </c>
      <c r="AI8">
        <v>23.28</v>
      </c>
      <c r="AJ8">
        <v>22.98</v>
      </c>
      <c r="AK8" s="1">
        <v>3.1600000000000002E-5</v>
      </c>
      <c r="AL8" s="1">
        <v>3.8999999999999999E-5</v>
      </c>
      <c r="AM8">
        <v>1.7066399999999999</v>
      </c>
      <c r="AN8">
        <v>-167.63771740000001</v>
      </c>
      <c r="AO8">
        <v>0.139750287</v>
      </c>
      <c r="AP8">
        <v>0.17581576600000001</v>
      </c>
      <c r="AQ8">
        <v>0.20491040799999999</v>
      </c>
      <c r="AR8">
        <v>0.17975012200000001</v>
      </c>
      <c r="AS8">
        <v>0.20717169899999999</v>
      </c>
    </row>
    <row r="9" spans="1:45" x14ac:dyDescent="0.2">
      <c r="A9" t="s">
        <v>55</v>
      </c>
      <c r="B9" t="s">
        <v>52</v>
      </c>
      <c r="C9" t="s">
        <v>47</v>
      </c>
      <c r="D9">
        <v>67.239999999999995</v>
      </c>
      <c r="E9">
        <v>102.84</v>
      </c>
      <c r="F9">
        <v>-0.110966183</v>
      </c>
      <c r="G9">
        <v>-719.57532719999995</v>
      </c>
      <c r="H9">
        <v>2.3866666670000001</v>
      </c>
      <c r="I9">
        <v>4.43</v>
      </c>
      <c r="J9">
        <v>4.5114291010000001</v>
      </c>
      <c r="K9">
        <v>2.3866666670000001</v>
      </c>
      <c r="L9">
        <v>4.43</v>
      </c>
      <c r="M9">
        <v>2.3866666670000001</v>
      </c>
      <c r="N9">
        <v>4.43</v>
      </c>
      <c r="O9">
        <v>5.0938834030000004</v>
      </c>
      <c r="P9">
        <v>3.7831699000000003E-2</v>
      </c>
      <c r="Q9">
        <v>-6.8571640000000003E-2</v>
      </c>
      <c r="R9">
        <v>-0.19516573400000001</v>
      </c>
      <c r="S9">
        <v>-0.110966183</v>
      </c>
      <c r="T9">
        <v>-775.8011904</v>
      </c>
      <c r="U9">
        <v>2.3566666669999998</v>
      </c>
      <c r="V9">
        <v>4.415</v>
      </c>
      <c r="W9">
        <v>4.4361231889999999</v>
      </c>
      <c r="X9">
        <v>2.3566666669999998</v>
      </c>
      <c r="Y9">
        <v>4.415</v>
      </c>
      <c r="Z9">
        <v>2.3566666669999998</v>
      </c>
      <c r="AA9">
        <v>4.415</v>
      </c>
      <c r="AB9">
        <v>4.4361231889999999</v>
      </c>
      <c r="AC9">
        <v>-0.19516573400000001</v>
      </c>
      <c r="AD9">
        <v>4.3619001129999999</v>
      </c>
      <c r="AE9">
        <v>0.40914872600000002</v>
      </c>
      <c r="AF9">
        <v>4.067686331</v>
      </c>
      <c r="AG9">
        <v>0.144988172</v>
      </c>
      <c r="AH9">
        <v>-4.4669933559999997</v>
      </c>
      <c r="AI9">
        <v>23.48</v>
      </c>
      <c r="AJ9">
        <v>23.02</v>
      </c>
      <c r="AK9" s="1">
        <v>2.16E-9</v>
      </c>
      <c r="AL9" s="1">
        <v>4.7200000000000002E-9</v>
      </c>
      <c r="AM9">
        <v>2.06718</v>
      </c>
      <c r="AN9">
        <v>-696.85096350000003</v>
      </c>
      <c r="AO9">
        <v>0.117083175</v>
      </c>
      <c r="AP9">
        <v>0.143421194</v>
      </c>
      <c r="AQ9">
        <v>0.16605204000000001</v>
      </c>
      <c r="AR9">
        <v>0.14803935300000001</v>
      </c>
      <c r="AS9">
        <v>0.168712481</v>
      </c>
    </row>
    <row r="10" spans="1:45" x14ac:dyDescent="0.2">
      <c r="A10" t="s">
        <v>56</v>
      </c>
      <c r="B10" t="s">
        <v>52</v>
      </c>
      <c r="C10" t="s">
        <v>47</v>
      </c>
      <c r="D10">
        <v>119.68</v>
      </c>
      <c r="E10">
        <v>131.52000000000001</v>
      </c>
      <c r="F10">
        <v>-0.42883980599999999</v>
      </c>
      <c r="G10">
        <v>-5723.8780569999999</v>
      </c>
      <c r="H10">
        <v>15.02166667</v>
      </c>
      <c r="I10">
        <v>17.405000000000001</v>
      </c>
      <c r="J10">
        <v>18.48237374</v>
      </c>
      <c r="K10">
        <v>15.02166667</v>
      </c>
      <c r="L10">
        <v>17.405000000000001</v>
      </c>
      <c r="M10">
        <v>15.02166667</v>
      </c>
      <c r="N10">
        <v>17.405000000000001</v>
      </c>
      <c r="O10">
        <v>18.819639089999999</v>
      </c>
      <c r="P10">
        <v>3.5696459E-2</v>
      </c>
      <c r="Q10">
        <v>-0.28540975600000001</v>
      </c>
      <c r="R10">
        <v>-0.59132368499999999</v>
      </c>
      <c r="S10">
        <v>-0.42883980599999999</v>
      </c>
      <c r="T10">
        <v>-5796.9587529999999</v>
      </c>
      <c r="U10">
        <v>14.991666670000001</v>
      </c>
      <c r="V10">
        <v>17.39</v>
      </c>
      <c r="W10">
        <v>18.31963768</v>
      </c>
      <c r="X10">
        <v>14.991666670000001</v>
      </c>
      <c r="Y10">
        <v>17.39</v>
      </c>
      <c r="Z10">
        <v>14.991666670000001</v>
      </c>
      <c r="AA10">
        <v>17.39</v>
      </c>
      <c r="AB10">
        <v>18.31963768</v>
      </c>
      <c r="AC10">
        <v>-0.59132368499999999</v>
      </c>
      <c r="AD10" s="1">
        <v>1.8199999999999999E-10</v>
      </c>
      <c r="AE10" s="1">
        <v>3.1699999999999999E-22</v>
      </c>
      <c r="AF10" s="1">
        <v>1.8399999999999998E-12</v>
      </c>
      <c r="AG10" s="1">
        <v>1.54E-25</v>
      </c>
      <c r="AH10">
        <v>-41.541561190000003</v>
      </c>
      <c r="AI10">
        <v>19.600000000000001</v>
      </c>
      <c r="AJ10">
        <v>19.579999999999998</v>
      </c>
      <c r="AK10" s="1">
        <v>5.8699999999999999E-40</v>
      </c>
      <c r="AL10" s="1">
        <v>1.5200000000000001E-38</v>
      </c>
      <c r="AM10">
        <v>0.7651</v>
      </c>
      <c r="AN10">
        <v>-5857.3601269999999</v>
      </c>
      <c r="AO10">
        <v>0.37345338099999997</v>
      </c>
      <c r="AP10">
        <v>0.45981236599999997</v>
      </c>
      <c r="AQ10">
        <v>0.51871854799999995</v>
      </c>
      <c r="AR10">
        <v>0.46054419699999999</v>
      </c>
      <c r="AS10">
        <v>0.51920239599999995</v>
      </c>
    </row>
    <row r="11" spans="1:45" x14ac:dyDescent="0.2">
      <c r="A11" t="s">
        <v>57</v>
      </c>
      <c r="B11" t="s">
        <v>52</v>
      </c>
      <c r="C11" t="s">
        <v>47</v>
      </c>
      <c r="D11">
        <v>10</v>
      </c>
      <c r="E11">
        <v>63.98</v>
      </c>
      <c r="F11">
        <v>5.2175388000000003E-2</v>
      </c>
      <c r="G11">
        <v>91.264412770000007</v>
      </c>
      <c r="H11">
        <v>-2.7</v>
      </c>
      <c r="I11">
        <v>-1.653333333</v>
      </c>
      <c r="J11">
        <v>-1.924478755</v>
      </c>
      <c r="K11">
        <v>-2.7</v>
      </c>
      <c r="L11">
        <v>-1.653333333</v>
      </c>
      <c r="M11">
        <v>-2.7</v>
      </c>
      <c r="N11">
        <v>-1.653333333</v>
      </c>
      <c r="O11">
        <v>2.5968188909999999</v>
      </c>
      <c r="P11">
        <v>4.9462616000000001E-2</v>
      </c>
      <c r="Q11">
        <v>1.8420721000000001E-2</v>
      </c>
      <c r="R11">
        <v>4.6229744000000003E-2</v>
      </c>
      <c r="S11">
        <v>5.2175388000000003E-2</v>
      </c>
      <c r="T11">
        <v>34.421230749999999</v>
      </c>
      <c r="U11">
        <v>-2.73</v>
      </c>
      <c r="V11">
        <v>-1.6683333330000001</v>
      </c>
      <c r="W11">
        <v>-1.951195652</v>
      </c>
      <c r="X11">
        <v>-2.73</v>
      </c>
      <c r="Y11">
        <v>-1.6683333330000001</v>
      </c>
      <c r="Z11">
        <v>-2.73</v>
      </c>
      <c r="AA11">
        <v>-1.6683333330000001</v>
      </c>
      <c r="AB11">
        <v>2.1186594200000002</v>
      </c>
      <c r="AC11">
        <v>4.6229744000000003E-2</v>
      </c>
      <c r="AD11">
        <v>3.2858077780000001</v>
      </c>
      <c r="AE11">
        <v>4.6400321250000003</v>
      </c>
      <c r="AF11">
        <v>3.8796032999999999</v>
      </c>
      <c r="AG11">
        <v>5.4029708059999999</v>
      </c>
      <c r="AH11">
        <v>0.98121409299999995</v>
      </c>
      <c r="AI11">
        <v>23.58</v>
      </c>
      <c r="AJ11">
        <v>23.12</v>
      </c>
      <c r="AK11">
        <v>0.10446762</v>
      </c>
      <c r="AL11">
        <v>0.15382916899999999</v>
      </c>
      <c r="AM11">
        <v>3.0442399999999998</v>
      </c>
      <c r="AN11">
        <v>138.3511872</v>
      </c>
      <c r="AO11">
        <v>7.3244553000000004E-2</v>
      </c>
      <c r="AP11">
        <v>6.9316324999999998E-2</v>
      </c>
      <c r="AQ11">
        <v>6.5589036000000003E-2</v>
      </c>
      <c r="AR11">
        <v>8.4926256000000006E-2</v>
      </c>
      <c r="AS11">
        <v>7.9548782999999998E-2</v>
      </c>
    </row>
    <row r="12" spans="1:45" x14ac:dyDescent="0.2">
      <c r="A12" t="s">
        <v>58</v>
      </c>
      <c r="B12" t="s">
        <v>52</v>
      </c>
      <c r="C12" t="s">
        <v>47</v>
      </c>
      <c r="D12">
        <v>75.739999999999995</v>
      </c>
      <c r="E12">
        <v>111.32</v>
      </c>
      <c r="F12">
        <v>-0.177443348</v>
      </c>
      <c r="G12">
        <v>-1890.962012</v>
      </c>
      <c r="H12">
        <v>2.7749999999999999</v>
      </c>
      <c r="I12">
        <v>6.7533333329999996</v>
      </c>
      <c r="J12">
        <v>8.1880138339999995</v>
      </c>
      <c r="K12">
        <v>2.7749999999999999</v>
      </c>
      <c r="L12">
        <v>6.7533333329999996</v>
      </c>
      <c r="M12">
        <v>2.7749999999999999</v>
      </c>
      <c r="N12">
        <v>6.7533333329999996</v>
      </c>
      <c r="O12">
        <v>9.8862792489999993</v>
      </c>
      <c r="P12">
        <v>3.9166258000000002E-2</v>
      </c>
      <c r="Q12">
        <v>-0.10945062899999999</v>
      </c>
      <c r="R12">
        <v>-0.31332726</v>
      </c>
      <c r="S12">
        <v>-0.177443348</v>
      </c>
      <c r="T12">
        <v>-1955.056994</v>
      </c>
      <c r="U12">
        <v>2.7450000000000001</v>
      </c>
      <c r="V12">
        <v>6.7383333329999999</v>
      </c>
      <c r="W12">
        <v>7.8232608700000004</v>
      </c>
      <c r="X12">
        <v>2.7450000000000001</v>
      </c>
      <c r="Y12">
        <v>6.7383333329999999</v>
      </c>
      <c r="Z12">
        <v>2.7450000000000001</v>
      </c>
      <c r="AA12">
        <v>6.7383333329999999</v>
      </c>
      <c r="AB12">
        <v>7.8232608700000004</v>
      </c>
      <c r="AC12">
        <v>-0.31332726</v>
      </c>
      <c r="AD12">
        <v>3.4318858200000002</v>
      </c>
      <c r="AE12">
        <v>0.156293664</v>
      </c>
      <c r="AF12">
        <v>3.8425386000000001</v>
      </c>
      <c r="AG12">
        <v>1.7207980000000001E-2</v>
      </c>
      <c r="AH12">
        <v>-11.573109349999999</v>
      </c>
      <c r="AI12">
        <v>22.3</v>
      </c>
      <c r="AJ12">
        <v>22.32</v>
      </c>
      <c r="AK12" s="1">
        <v>4.0800000000000001E-22</v>
      </c>
      <c r="AL12" s="1">
        <v>8.0700000000000002E-19</v>
      </c>
      <c r="AM12">
        <v>2.1159599999999998</v>
      </c>
      <c r="AN12">
        <v>-1805.4050589999999</v>
      </c>
      <c r="AO12">
        <v>0.17974104699999999</v>
      </c>
      <c r="AP12">
        <v>0.22966007599999999</v>
      </c>
      <c r="AQ12">
        <v>0.26503333499999998</v>
      </c>
      <c r="AR12">
        <v>0.23257065699999999</v>
      </c>
      <c r="AS12">
        <v>0.26679924399999999</v>
      </c>
    </row>
    <row r="13" spans="1:45" x14ac:dyDescent="0.2">
      <c r="A13" t="s">
        <v>59</v>
      </c>
      <c r="B13" t="s">
        <v>60</v>
      </c>
      <c r="C13" t="s">
        <v>47</v>
      </c>
      <c r="D13">
        <v>5.34</v>
      </c>
      <c r="E13">
        <v>29.44</v>
      </c>
      <c r="F13">
        <v>-2.6780689999999999E-3</v>
      </c>
      <c r="G13">
        <v>128.48984290000001</v>
      </c>
      <c r="H13">
        <v>0.676666667</v>
      </c>
      <c r="I13">
        <v>0.21583333299999999</v>
      </c>
      <c r="J13">
        <v>0.19459573099999999</v>
      </c>
      <c r="K13">
        <v>0.33500000000000002</v>
      </c>
      <c r="L13">
        <v>0.09</v>
      </c>
      <c r="M13">
        <v>0.72833333300000003</v>
      </c>
      <c r="N13">
        <v>0.18833333299999999</v>
      </c>
      <c r="O13">
        <v>1.482391671</v>
      </c>
      <c r="P13">
        <v>5.8316536000000002E-2</v>
      </c>
      <c r="Q13">
        <v>-5.4689359999999998E-3</v>
      </c>
      <c r="R13">
        <v>-4.7435790000000004E-3</v>
      </c>
      <c r="S13">
        <v>-2.6780689999999999E-3</v>
      </c>
      <c r="T13">
        <v>83.293570880000004</v>
      </c>
      <c r="U13">
        <v>0.64666666699999997</v>
      </c>
      <c r="V13">
        <v>0.200833333</v>
      </c>
      <c r="W13">
        <v>0.19044686</v>
      </c>
      <c r="X13">
        <v>0.30499999999999999</v>
      </c>
      <c r="Y13">
        <v>7.4999999999999997E-2</v>
      </c>
      <c r="Z13">
        <v>0.63166666699999996</v>
      </c>
      <c r="AA13">
        <v>7.4999999999999997E-2</v>
      </c>
      <c r="AB13">
        <v>0.96489130400000001</v>
      </c>
      <c r="AC13">
        <v>-4.7435790000000004E-3</v>
      </c>
      <c r="AD13">
        <v>4.3483875660000004</v>
      </c>
      <c r="AE13">
        <v>4.489546335</v>
      </c>
      <c r="AF13">
        <v>4.6536898799999999</v>
      </c>
      <c r="AG13">
        <v>5.5301850220000004</v>
      </c>
      <c r="AH13">
        <v>1.1824755300000001</v>
      </c>
      <c r="AI13">
        <v>26.056000000000001</v>
      </c>
      <c r="AJ13">
        <v>25.596</v>
      </c>
      <c r="AK13">
        <v>0.11142837</v>
      </c>
      <c r="AL13">
        <v>0.22532978300000001</v>
      </c>
      <c r="AM13">
        <v>5.6890799999999997</v>
      </c>
      <c r="AN13">
        <v>268.4219453</v>
      </c>
      <c r="AO13">
        <v>6.6438207999999999E-2</v>
      </c>
      <c r="AP13">
        <v>5.6582264E-2</v>
      </c>
      <c r="AQ13">
        <v>5.2133390000000002E-2</v>
      </c>
      <c r="AR13">
        <v>7.7290207999999999E-2</v>
      </c>
      <c r="AS13">
        <v>7.3583017000000001E-2</v>
      </c>
    </row>
    <row r="14" spans="1:45" x14ac:dyDescent="0.2">
      <c r="A14" t="s">
        <v>61</v>
      </c>
      <c r="B14" t="s">
        <v>60</v>
      </c>
      <c r="C14" t="s">
        <v>47</v>
      </c>
      <c r="D14">
        <v>4.74</v>
      </c>
      <c r="E14">
        <v>36.659999999999997</v>
      </c>
      <c r="F14">
        <v>-1.6810136E-2</v>
      </c>
      <c r="G14">
        <v>148.59900859999999</v>
      </c>
      <c r="H14">
        <v>1.7933333330000001</v>
      </c>
      <c r="I14">
        <v>0.70666666700000003</v>
      </c>
      <c r="J14">
        <v>0.525586161</v>
      </c>
      <c r="K14">
        <v>1.778333333</v>
      </c>
      <c r="L14">
        <v>0.70666666700000003</v>
      </c>
      <c r="M14">
        <v>1.808333333</v>
      </c>
      <c r="N14">
        <v>0.70666666700000003</v>
      </c>
      <c r="O14">
        <v>1.5186641169999999</v>
      </c>
      <c r="P14">
        <v>4.3953913999999997E-2</v>
      </c>
      <c r="Q14">
        <v>-1.4729374E-2</v>
      </c>
      <c r="R14">
        <v>-1.5202067E-2</v>
      </c>
      <c r="S14">
        <v>-1.6810136E-2</v>
      </c>
      <c r="T14">
        <v>88.433298559999997</v>
      </c>
      <c r="U14">
        <v>1.7633333330000001</v>
      </c>
      <c r="V14">
        <v>0.69166666700000001</v>
      </c>
      <c r="W14">
        <v>0.52288647399999999</v>
      </c>
      <c r="X14">
        <v>1.7483333329999999</v>
      </c>
      <c r="Y14">
        <v>0.69166666700000001</v>
      </c>
      <c r="Z14">
        <v>1.778333333</v>
      </c>
      <c r="AA14">
        <v>0.69166666700000001</v>
      </c>
      <c r="AB14">
        <v>1.000785024</v>
      </c>
      <c r="AC14">
        <v>-1.5202067E-2</v>
      </c>
      <c r="AD14">
        <v>4.5112746100000001</v>
      </c>
      <c r="AE14">
        <v>5.869965476</v>
      </c>
      <c r="AF14">
        <v>5.0899677490000004</v>
      </c>
      <c r="AG14">
        <v>5.9817240509999996</v>
      </c>
      <c r="AH14">
        <v>1.4293501120000001</v>
      </c>
      <c r="AI14">
        <v>23.724</v>
      </c>
      <c r="AJ14">
        <v>23.263999999999999</v>
      </c>
      <c r="AK14">
        <v>0.16603628000000001</v>
      </c>
      <c r="AL14">
        <v>0.20299609800000001</v>
      </c>
      <c r="AM14">
        <v>2.95574</v>
      </c>
      <c r="AN14">
        <v>303.02222369999998</v>
      </c>
      <c r="AO14">
        <v>5.4135805000000002E-2</v>
      </c>
      <c r="AP14">
        <v>4.6571056999999999E-2</v>
      </c>
      <c r="AQ14">
        <v>4.6349965999999999E-2</v>
      </c>
      <c r="AR14">
        <v>6.6660074999999999E-2</v>
      </c>
      <c r="AS14">
        <v>6.5633876999999993E-2</v>
      </c>
    </row>
    <row r="15" spans="1:45" x14ac:dyDescent="0.2">
      <c r="A15" t="s">
        <v>62</v>
      </c>
      <c r="B15" t="s">
        <v>60</v>
      </c>
      <c r="C15" t="s">
        <v>47</v>
      </c>
      <c r="D15">
        <v>12.94</v>
      </c>
      <c r="E15">
        <v>61.6</v>
      </c>
      <c r="F15">
        <v>-4.0058973999999997E-2</v>
      </c>
      <c r="G15">
        <v>100.7115501</v>
      </c>
      <c r="H15">
        <v>1.7933333330000001</v>
      </c>
      <c r="I15">
        <v>0.70666666700000003</v>
      </c>
      <c r="J15">
        <v>0.79758303200000003</v>
      </c>
      <c r="K15">
        <v>1.778333333</v>
      </c>
      <c r="L15">
        <v>0.70666666700000003</v>
      </c>
      <c r="M15">
        <v>1.808333333</v>
      </c>
      <c r="N15">
        <v>0.70666666700000003</v>
      </c>
      <c r="O15">
        <v>1.5740236999999999</v>
      </c>
      <c r="P15">
        <v>4.3953913999999997E-2</v>
      </c>
      <c r="Q15">
        <v>-2.4708827999999999E-2</v>
      </c>
      <c r="R15">
        <v>-1.5202067E-2</v>
      </c>
      <c r="S15">
        <v>-4.0058973999999997E-2</v>
      </c>
      <c r="T15">
        <v>64.492832160000006</v>
      </c>
      <c r="U15">
        <v>1.7633333330000001</v>
      </c>
      <c r="V15">
        <v>0.69166666700000001</v>
      </c>
      <c r="W15">
        <v>0.80254830899999996</v>
      </c>
      <c r="X15">
        <v>1.7483333329999999</v>
      </c>
      <c r="Y15">
        <v>0.69166666700000001</v>
      </c>
      <c r="Z15">
        <v>1.778333333</v>
      </c>
      <c r="AA15">
        <v>0.69166666700000001</v>
      </c>
      <c r="AB15">
        <v>0.98240338199999999</v>
      </c>
      <c r="AC15">
        <v>-1.5202067E-2</v>
      </c>
      <c r="AD15">
        <v>4.5112746100000001</v>
      </c>
      <c r="AE15">
        <v>5.869965476</v>
      </c>
      <c r="AF15">
        <v>5.0899677490000004</v>
      </c>
      <c r="AG15">
        <v>5.9817240509999996</v>
      </c>
      <c r="AH15">
        <v>1.2034658730000001</v>
      </c>
      <c r="AI15">
        <v>23.803999999999998</v>
      </c>
      <c r="AJ15">
        <v>23.344000000000001</v>
      </c>
      <c r="AK15">
        <v>6.7851096E-2</v>
      </c>
      <c r="AL15">
        <v>9.7276634000000001E-2</v>
      </c>
      <c r="AM15">
        <v>3.1463399999999999</v>
      </c>
      <c r="AN15">
        <v>255.1347652</v>
      </c>
      <c r="AO15">
        <v>6.3313583000000007E-2</v>
      </c>
      <c r="AP15">
        <v>6.8411052E-2</v>
      </c>
      <c r="AQ15">
        <v>4.6349965999999999E-2</v>
      </c>
      <c r="AR15">
        <v>7.5612521000000002E-2</v>
      </c>
      <c r="AS15">
        <v>6.5633876999999993E-2</v>
      </c>
    </row>
    <row r="16" spans="1:45" x14ac:dyDescent="0.2">
      <c r="A16" t="s">
        <v>63</v>
      </c>
      <c r="B16" t="s">
        <v>60</v>
      </c>
      <c r="C16" t="s">
        <v>47</v>
      </c>
      <c r="D16">
        <v>2</v>
      </c>
      <c r="E16">
        <v>20.52</v>
      </c>
      <c r="F16">
        <v>-3.6782086999999998E-2</v>
      </c>
      <c r="G16">
        <v>131.5902863</v>
      </c>
      <c r="H16">
        <v>1.82</v>
      </c>
      <c r="I16">
        <v>1.5816666669999999</v>
      </c>
      <c r="J16">
        <v>1.1357560659999999</v>
      </c>
      <c r="K16">
        <v>1.82</v>
      </c>
      <c r="L16">
        <v>1.5816666669999999</v>
      </c>
      <c r="M16">
        <v>1.82</v>
      </c>
      <c r="N16">
        <v>1.5816666669999999</v>
      </c>
      <c r="O16">
        <v>1.5471329009999999</v>
      </c>
      <c r="P16">
        <v>6.0580986000000003E-2</v>
      </c>
      <c r="Q16">
        <v>-2.5516299999999999E-2</v>
      </c>
      <c r="R16">
        <v>-3.5932417000000001E-2</v>
      </c>
      <c r="S16">
        <v>-3.6782086999999998E-2</v>
      </c>
      <c r="T16">
        <v>70.476737389999997</v>
      </c>
      <c r="U16">
        <v>1.79</v>
      </c>
      <c r="V16">
        <v>1.566666667</v>
      </c>
      <c r="W16">
        <v>1.1340579710000001</v>
      </c>
      <c r="X16">
        <v>1.79</v>
      </c>
      <c r="Y16">
        <v>1.566666667</v>
      </c>
      <c r="Z16">
        <v>1.79</v>
      </c>
      <c r="AA16">
        <v>1.566666667</v>
      </c>
      <c r="AB16">
        <v>1.268333333</v>
      </c>
      <c r="AC16">
        <v>-3.5932417000000001E-2</v>
      </c>
      <c r="AD16">
        <v>5.1192602669999996</v>
      </c>
      <c r="AE16">
        <v>5.0715183069999998</v>
      </c>
      <c r="AF16">
        <v>5.2865878369999999</v>
      </c>
      <c r="AG16">
        <v>4.3867528010000001</v>
      </c>
      <c r="AH16">
        <v>1.366533835</v>
      </c>
      <c r="AI16">
        <v>23.52</v>
      </c>
      <c r="AJ16">
        <v>23.06</v>
      </c>
      <c r="AK16">
        <v>0.267732005</v>
      </c>
      <c r="AL16">
        <v>0.34113833999999998</v>
      </c>
      <c r="AM16">
        <v>2.5245199999999999</v>
      </c>
      <c r="AN16">
        <v>315.66931599999998</v>
      </c>
      <c r="AO16">
        <v>5.4949895999999998E-2</v>
      </c>
      <c r="AP16">
        <v>5.1091939000000003E-2</v>
      </c>
      <c r="AQ16">
        <v>5.1162143E-2</v>
      </c>
      <c r="AR16">
        <v>6.7350815999999994E-2</v>
      </c>
      <c r="AS16">
        <v>6.5855456000000007E-2</v>
      </c>
    </row>
    <row r="17" spans="1:45" x14ac:dyDescent="0.2">
      <c r="A17" t="s">
        <v>64</v>
      </c>
      <c r="B17" t="s">
        <v>60</v>
      </c>
      <c r="C17" t="s">
        <v>47</v>
      </c>
      <c r="D17">
        <v>83.64</v>
      </c>
      <c r="E17">
        <v>148.16</v>
      </c>
      <c r="F17" s="1">
        <v>4.5500000000000001E-5</v>
      </c>
      <c r="G17">
        <v>-243.2278273</v>
      </c>
      <c r="H17">
        <v>0.12472222199999999</v>
      </c>
      <c r="I17">
        <v>-0.17611111099999999</v>
      </c>
      <c r="J17">
        <v>9.5803829999999996E-3</v>
      </c>
      <c r="K17">
        <v>-1.1333333329999999</v>
      </c>
      <c r="L17">
        <v>-0.98333333300000003</v>
      </c>
      <c r="M17">
        <v>2.8333332999999999E-2</v>
      </c>
      <c r="N17">
        <v>-0.24666666700000001</v>
      </c>
      <c r="O17">
        <v>1.565360928</v>
      </c>
      <c r="P17">
        <v>4.7131115000000001E-2</v>
      </c>
      <c r="Q17">
        <v>-3.5627020000000001E-3</v>
      </c>
      <c r="R17">
        <v>-2.4308820000000001E-3</v>
      </c>
      <c r="S17" s="1">
        <v>4.5500000000000001E-5</v>
      </c>
      <c r="T17">
        <v>-382.6899047</v>
      </c>
      <c r="U17">
        <v>9.4722221999999995E-2</v>
      </c>
      <c r="V17">
        <v>-0.191111111</v>
      </c>
      <c r="W17">
        <v>-9.3417870000000007E-3</v>
      </c>
      <c r="X17">
        <v>-1.163333333</v>
      </c>
      <c r="Y17">
        <v>-0.99833333300000004</v>
      </c>
      <c r="Z17">
        <v>-0.40166666699999998</v>
      </c>
      <c r="AA17">
        <v>-0.09</v>
      </c>
      <c r="AB17">
        <v>0.99511473399999995</v>
      </c>
      <c r="AC17">
        <v>-2.4308820000000001E-3</v>
      </c>
      <c r="AD17">
        <v>4.118000339</v>
      </c>
      <c r="AE17">
        <v>4.434612778</v>
      </c>
      <c r="AF17">
        <v>4.5756386229999997</v>
      </c>
      <c r="AG17">
        <v>4.0082535379999999</v>
      </c>
      <c r="AH17">
        <v>-1.4946230739999999</v>
      </c>
      <c r="AI17">
        <v>32.61</v>
      </c>
      <c r="AJ17">
        <v>31.95</v>
      </c>
      <c r="AK17" s="1">
        <v>1.12E-10</v>
      </c>
      <c r="AL17" s="1">
        <v>1.22E-6</v>
      </c>
      <c r="AM17">
        <v>10.36992</v>
      </c>
      <c r="AN17">
        <v>-345.25793010000001</v>
      </c>
      <c r="AO17">
        <v>9.2765530999999998E-2</v>
      </c>
      <c r="AP17">
        <v>8.3853340999999998E-2</v>
      </c>
      <c r="AQ17">
        <v>7.8807686000000002E-2</v>
      </c>
      <c r="AR17">
        <v>9.6193994000000005E-2</v>
      </c>
      <c r="AS17">
        <v>9.1694379000000006E-2</v>
      </c>
    </row>
    <row r="18" spans="1:45" x14ac:dyDescent="0.2">
      <c r="A18" t="s">
        <v>65</v>
      </c>
      <c r="B18" t="s">
        <v>60</v>
      </c>
      <c r="C18" t="s">
        <v>47</v>
      </c>
      <c r="D18">
        <v>65.78</v>
      </c>
      <c r="E18">
        <v>133.06</v>
      </c>
      <c r="F18">
        <v>-2.508831E-3</v>
      </c>
      <c r="G18">
        <v>-23.648034020000001</v>
      </c>
      <c r="H18">
        <v>0.82666666700000002</v>
      </c>
      <c r="I18">
        <v>0.24</v>
      </c>
      <c r="J18">
        <v>0.21544576200000001</v>
      </c>
      <c r="K18">
        <v>0.38</v>
      </c>
      <c r="L18">
        <v>0.163333333</v>
      </c>
      <c r="M18">
        <v>1.085</v>
      </c>
      <c r="N18">
        <v>0.163333333</v>
      </c>
      <c r="O18">
        <v>1.4658852849999999</v>
      </c>
      <c r="P18">
        <v>3.9844504000000003E-2</v>
      </c>
      <c r="Q18">
        <v>-5.5746490000000001E-3</v>
      </c>
      <c r="R18">
        <v>-4.6109369999999998E-3</v>
      </c>
      <c r="S18">
        <v>-2.508831E-3</v>
      </c>
      <c r="T18">
        <v>-304.19439799999998</v>
      </c>
      <c r="U18">
        <v>0.796666667</v>
      </c>
      <c r="V18">
        <v>0.22500000000000001</v>
      </c>
      <c r="W18">
        <v>0.21262077300000001</v>
      </c>
      <c r="X18">
        <v>0.35</v>
      </c>
      <c r="Y18">
        <v>0.14833333300000001</v>
      </c>
      <c r="Z18">
        <v>0.75833333300000005</v>
      </c>
      <c r="AA18">
        <v>0.14833333300000001</v>
      </c>
      <c r="AB18">
        <v>0.94822463800000001</v>
      </c>
      <c r="AC18">
        <v>-4.6109369999999998E-3</v>
      </c>
      <c r="AD18">
        <v>5.3121737570000001</v>
      </c>
      <c r="AE18">
        <v>5.01211962</v>
      </c>
      <c r="AF18">
        <v>6.0787123669999996</v>
      </c>
      <c r="AG18">
        <v>8.0464471199999998</v>
      </c>
      <c r="AH18">
        <v>1.7884777000000001E-2</v>
      </c>
      <c r="AI18">
        <v>25.988</v>
      </c>
      <c r="AJ18">
        <v>25.507999999999999</v>
      </c>
      <c r="AK18" s="1">
        <v>4.8600000000000002E-5</v>
      </c>
      <c r="AL18">
        <v>4.0606799999999999E-4</v>
      </c>
      <c r="AM18">
        <v>5.5509000000000004</v>
      </c>
      <c r="AN18">
        <v>4.1313834189999996</v>
      </c>
      <c r="AO18">
        <v>6.5079738999999998E-2</v>
      </c>
      <c r="AP18">
        <v>5.5018453000000002E-2</v>
      </c>
      <c r="AQ18">
        <v>5.0958470999999998E-2</v>
      </c>
      <c r="AR18">
        <v>7.5476756000000006E-2</v>
      </c>
      <c r="AS18">
        <v>7.2109572999999996E-2</v>
      </c>
    </row>
    <row r="19" spans="1:45" x14ac:dyDescent="0.2">
      <c r="A19" t="s">
        <v>66</v>
      </c>
      <c r="B19" t="s">
        <v>60</v>
      </c>
      <c r="C19" t="s">
        <v>47</v>
      </c>
      <c r="D19">
        <v>51.8</v>
      </c>
      <c r="E19">
        <v>118.02</v>
      </c>
      <c r="F19">
        <v>-2.508831E-3</v>
      </c>
      <c r="G19">
        <v>26.749540369999998</v>
      </c>
      <c r="H19">
        <v>0.83083333299999995</v>
      </c>
      <c r="I19">
        <v>0.24083333300000001</v>
      </c>
      <c r="J19">
        <v>0.215695634</v>
      </c>
      <c r="K19">
        <v>0.38666666700000002</v>
      </c>
      <c r="L19">
        <v>0.16500000000000001</v>
      </c>
      <c r="M19">
        <v>1.086666667</v>
      </c>
      <c r="N19">
        <v>0.16500000000000001</v>
      </c>
      <c r="O19">
        <v>1.463581308</v>
      </c>
      <c r="P19">
        <v>3.5902571000000001E-2</v>
      </c>
      <c r="Q19">
        <v>-5.0787890000000002E-3</v>
      </c>
      <c r="R19">
        <v>-4.6109369999999998E-3</v>
      </c>
      <c r="S19">
        <v>-2.508831E-3</v>
      </c>
      <c r="T19">
        <v>-191.40538230000001</v>
      </c>
      <c r="U19">
        <v>0.80083333300000004</v>
      </c>
      <c r="V19">
        <v>0.225833333</v>
      </c>
      <c r="W19">
        <v>0.21292270499999999</v>
      </c>
      <c r="X19">
        <v>0.35666666699999999</v>
      </c>
      <c r="Y19">
        <v>0.15</v>
      </c>
      <c r="Z19">
        <v>0.76166666699999996</v>
      </c>
      <c r="AA19">
        <v>0.15</v>
      </c>
      <c r="AB19">
        <v>0.949057971</v>
      </c>
      <c r="AC19">
        <v>-4.6109369999999998E-3</v>
      </c>
      <c r="AD19">
        <v>5.2903462670000003</v>
      </c>
      <c r="AE19">
        <v>5.0181329699999999</v>
      </c>
      <c r="AF19">
        <v>6.009297332</v>
      </c>
      <c r="AG19">
        <v>7.9024365569999997</v>
      </c>
      <c r="AH19">
        <v>0.38826981900000002</v>
      </c>
      <c r="AI19">
        <v>25.988</v>
      </c>
      <c r="AJ19">
        <v>25.507999999999999</v>
      </c>
      <c r="AK19">
        <v>3.79875E-4</v>
      </c>
      <c r="AL19">
        <v>1.6624910000000001E-3</v>
      </c>
      <c r="AM19">
        <v>5.4938599999999997</v>
      </c>
      <c r="AN19">
        <v>83.791126800000001</v>
      </c>
      <c r="AO19">
        <v>6.5412477999999996E-2</v>
      </c>
      <c r="AP19">
        <v>5.5018453000000002E-2</v>
      </c>
      <c r="AQ19">
        <v>5.0958470999999998E-2</v>
      </c>
      <c r="AR19">
        <v>7.5476756000000006E-2</v>
      </c>
      <c r="AS19">
        <v>7.2109572999999996E-2</v>
      </c>
    </row>
    <row r="20" spans="1:45" x14ac:dyDescent="0.2">
      <c r="A20" t="s">
        <v>67</v>
      </c>
      <c r="B20" t="s">
        <v>60</v>
      </c>
      <c r="C20" t="s">
        <v>47</v>
      </c>
      <c r="D20">
        <v>12.82</v>
      </c>
      <c r="E20">
        <v>55.5</v>
      </c>
      <c r="F20">
        <v>-2.508831E-3</v>
      </c>
      <c r="G20">
        <v>108.1755357</v>
      </c>
      <c r="H20">
        <v>0.828333333</v>
      </c>
      <c r="I20">
        <v>0.24</v>
      </c>
      <c r="J20">
        <v>0.214061585</v>
      </c>
      <c r="K20">
        <v>0.38500000000000001</v>
      </c>
      <c r="L20">
        <v>0.16500000000000001</v>
      </c>
      <c r="M20">
        <v>1.0833333329999999</v>
      </c>
      <c r="N20">
        <v>0.16500000000000001</v>
      </c>
      <c r="O20">
        <v>1.4597836559999999</v>
      </c>
      <c r="P20">
        <v>5.7224170999999997E-2</v>
      </c>
      <c r="Q20">
        <v>-5.5746490000000001E-3</v>
      </c>
      <c r="R20">
        <v>-4.6109369999999998E-3</v>
      </c>
      <c r="S20">
        <v>-2.508831E-3</v>
      </c>
      <c r="T20">
        <v>-2.0929211410000002</v>
      </c>
      <c r="U20">
        <v>0.79833333299999998</v>
      </c>
      <c r="V20">
        <v>0.22500000000000001</v>
      </c>
      <c r="W20">
        <v>0.21158212600000001</v>
      </c>
      <c r="X20">
        <v>0.35499999999999998</v>
      </c>
      <c r="Y20">
        <v>0.15</v>
      </c>
      <c r="Z20">
        <v>0.75666666699999996</v>
      </c>
      <c r="AA20">
        <v>0.15</v>
      </c>
      <c r="AB20">
        <v>0.94865942000000003</v>
      </c>
      <c r="AC20">
        <v>-4.6109369999999998E-3</v>
      </c>
      <c r="AD20">
        <v>4.9182098029999999</v>
      </c>
      <c r="AE20">
        <v>5.0133013489999998</v>
      </c>
      <c r="AF20">
        <v>5.6218457380000002</v>
      </c>
      <c r="AG20">
        <v>7.1887430439999997</v>
      </c>
      <c r="AH20">
        <v>1.108719209</v>
      </c>
      <c r="AI20">
        <v>25.988</v>
      </c>
      <c r="AJ20">
        <v>25.507999999999999</v>
      </c>
      <c r="AK20">
        <v>3.2562168000000002E-2</v>
      </c>
      <c r="AL20">
        <v>5.6706345999999998E-2</v>
      </c>
      <c r="AM20">
        <v>5.5509000000000004</v>
      </c>
      <c r="AN20">
        <v>256.11413729999998</v>
      </c>
      <c r="AO20">
        <v>6.5079738999999998E-2</v>
      </c>
      <c r="AP20">
        <v>5.5018453000000002E-2</v>
      </c>
      <c r="AQ20">
        <v>5.0958470999999998E-2</v>
      </c>
      <c r="AR20">
        <v>7.5476756000000006E-2</v>
      </c>
      <c r="AS20">
        <v>7.2109572999999996E-2</v>
      </c>
    </row>
    <row r="21" spans="1:45" x14ac:dyDescent="0.2">
      <c r="A21" t="s">
        <v>68</v>
      </c>
      <c r="B21" t="s">
        <v>60</v>
      </c>
      <c r="C21" t="s">
        <v>47</v>
      </c>
      <c r="D21">
        <v>3.78</v>
      </c>
      <c r="E21">
        <v>22.72</v>
      </c>
      <c r="F21">
        <v>-5.6927729999999999E-3</v>
      </c>
      <c r="G21">
        <v>141.3205404</v>
      </c>
      <c r="H21">
        <v>0.97499999999999998</v>
      </c>
      <c r="I21">
        <v>0.24249999999999999</v>
      </c>
      <c r="J21">
        <v>0.29352410000000001</v>
      </c>
      <c r="K21">
        <v>0.72166666700000004</v>
      </c>
      <c r="L21">
        <v>0.16</v>
      </c>
      <c r="M21">
        <v>1.151666667</v>
      </c>
      <c r="N21">
        <v>0.26666666700000002</v>
      </c>
      <c r="O21">
        <v>1.4022971150000001</v>
      </c>
      <c r="P21">
        <v>5.9766459000000001E-2</v>
      </c>
      <c r="Q21">
        <v>-7.5686659999999999E-3</v>
      </c>
      <c r="R21">
        <v>-6.8131490000000001E-3</v>
      </c>
      <c r="S21">
        <v>-5.6927729999999999E-3</v>
      </c>
      <c r="T21">
        <v>44.885137120000003</v>
      </c>
      <c r="U21">
        <v>0.94499999999999995</v>
      </c>
      <c r="V21">
        <v>0.22750000000000001</v>
      </c>
      <c r="W21">
        <v>0.29178744000000001</v>
      </c>
      <c r="X21">
        <v>0.69166666700000001</v>
      </c>
      <c r="Y21">
        <v>0.14499999999999999</v>
      </c>
      <c r="Z21">
        <v>0.86</v>
      </c>
      <c r="AA21">
        <v>0.25166666700000001</v>
      </c>
      <c r="AB21">
        <v>1.000193237</v>
      </c>
      <c r="AC21">
        <v>-6.8131490000000001E-3</v>
      </c>
      <c r="AD21">
        <v>4.7019233280000003</v>
      </c>
      <c r="AE21">
        <v>5.6764798259999996</v>
      </c>
      <c r="AF21">
        <v>5.7699227119999996</v>
      </c>
      <c r="AG21">
        <v>7.5379645719999999</v>
      </c>
      <c r="AH21">
        <v>1.3528936650000001</v>
      </c>
      <c r="AI21">
        <v>24.768000000000001</v>
      </c>
      <c r="AJ21">
        <v>24.288</v>
      </c>
      <c r="AK21">
        <v>0.165170081</v>
      </c>
      <c r="AL21">
        <v>0.29475169099999998</v>
      </c>
      <c r="AM21">
        <v>4.4257</v>
      </c>
      <c r="AN21">
        <v>312.5184367</v>
      </c>
      <c r="AO21">
        <v>5.7832160000000001E-2</v>
      </c>
      <c r="AP21">
        <v>4.7224094000000001E-2</v>
      </c>
      <c r="AQ21">
        <v>4.4530776000000001E-2</v>
      </c>
      <c r="AR21">
        <v>6.9996119999999995E-2</v>
      </c>
      <c r="AS21">
        <v>6.7734415000000006E-2</v>
      </c>
    </row>
    <row r="22" spans="1:45" x14ac:dyDescent="0.2">
      <c r="A22" t="s">
        <v>69</v>
      </c>
      <c r="B22" t="s">
        <v>60</v>
      </c>
      <c r="C22" t="s">
        <v>47</v>
      </c>
      <c r="D22">
        <v>2.08</v>
      </c>
      <c r="E22">
        <v>13</v>
      </c>
      <c r="F22">
        <v>-8.2394240000000004E-3</v>
      </c>
      <c r="G22">
        <v>150.35714920000001</v>
      </c>
      <c r="H22">
        <v>1.173333333</v>
      </c>
      <c r="I22">
        <v>0.225833333</v>
      </c>
      <c r="J22">
        <v>0.34335995800000002</v>
      </c>
      <c r="K22">
        <v>1.1116666669999999</v>
      </c>
      <c r="L22">
        <v>0.20166666699999999</v>
      </c>
      <c r="M22">
        <v>1.2350000000000001</v>
      </c>
      <c r="N22">
        <v>0.25</v>
      </c>
      <c r="O22">
        <v>1.376432874</v>
      </c>
      <c r="P22">
        <v>6.1007750999999999E-2</v>
      </c>
      <c r="Q22">
        <v>-9.1387550000000001E-3</v>
      </c>
      <c r="R22">
        <v>-8.5195559999999993E-3</v>
      </c>
      <c r="S22">
        <v>-8.2394240000000004E-3</v>
      </c>
      <c r="T22">
        <v>62.541161260000003</v>
      </c>
      <c r="U22">
        <v>1.143333333</v>
      </c>
      <c r="V22">
        <v>0.21083333300000001</v>
      </c>
      <c r="W22">
        <v>0.34194444499999999</v>
      </c>
      <c r="X22">
        <v>1.0816666669999999</v>
      </c>
      <c r="Y22">
        <v>0.18666666700000001</v>
      </c>
      <c r="Z22">
        <v>1.2050000000000001</v>
      </c>
      <c r="AA22">
        <v>0.18666666700000001</v>
      </c>
      <c r="AB22">
        <v>1.004263285</v>
      </c>
      <c r="AC22">
        <v>-8.5195559999999993E-3</v>
      </c>
      <c r="AD22">
        <v>4.6578804920000003</v>
      </c>
      <c r="AE22">
        <v>6.0431362530000001</v>
      </c>
      <c r="AF22">
        <v>5.7998898829999996</v>
      </c>
      <c r="AG22">
        <v>7.6068613230000004</v>
      </c>
      <c r="AH22">
        <v>1.4278249350000001</v>
      </c>
      <c r="AI22">
        <v>24.388000000000002</v>
      </c>
      <c r="AJ22">
        <v>23.928000000000001</v>
      </c>
      <c r="AK22">
        <v>0.30827967000000001</v>
      </c>
      <c r="AL22">
        <v>0.489842163</v>
      </c>
      <c r="AM22">
        <v>3.9156599999999999</v>
      </c>
      <c r="AN22">
        <v>329.82756010000003</v>
      </c>
      <c r="AO22">
        <v>5.4760888000000001E-2</v>
      </c>
      <c r="AP22">
        <v>4.4484034999999998E-2</v>
      </c>
      <c r="AQ22">
        <v>4.2712463999999999E-2</v>
      </c>
      <c r="AR22">
        <v>6.7636034999999997E-2</v>
      </c>
      <c r="AS22">
        <v>6.5971182000000003E-2</v>
      </c>
    </row>
    <row r="23" spans="1:45" x14ac:dyDescent="0.2">
      <c r="A23" t="s">
        <v>70</v>
      </c>
      <c r="B23" t="s">
        <v>60</v>
      </c>
      <c r="C23" t="s">
        <v>47</v>
      </c>
      <c r="D23">
        <v>1.26</v>
      </c>
      <c r="E23">
        <v>5.66</v>
      </c>
      <c r="F23">
        <v>-1.2642843000000001E-2</v>
      </c>
      <c r="G23">
        <v>155.2317357</v>
      </c>
      <c r="H23">
        <v>1.496666667</v>
      </c>
      <c r="I23">
        <v>0.443333333</v>
      </c>
      <c r="J23">
        <v>0.44643500200000003</v>
      </c>
      <c r="K23">
        <v>1.451666667</v>
      </c>
      <c r="L23">
        <v>0.443333333</v>
      </c>
      <c r="M23">
        <v>1.5416666670000001</v>
      </c>
      <c r="N23">
        <v>0.443333333</v>
      </c>
      <c r="O23">
        <v>1.3881566949999999</v>
      </c>
      <c r="P23">
        <v>6.2428590999999999E-2</v>
      </c>
      <c r="Q23">
        <v>-1.1839758000000001E-2</v>
      </c>
      <c r="R23">
        <v>-1.1908393E-2</v>
      </c>
      <c r="S23">
        <v>-1.2642843000000001E-2</v>
      </c>
      <c r="T23">
        <v>79.546074680000004</v>
      </c>
      <c r="U23">
        <v>1.4666666669999999</v>
      </c>
      <c r="V23">
        <v>0.42833333299999998</v>
      </c>
      <c r="W23">
        <v>0.44402173900000003</v>
      </c>
      <c r="X23">
        <v>1.421666667</v>
      </c>
      <c r="Y23">
        <v>0.42833333299999998</v>
      </c>
      <c r="Z23">
        <v>1.5116666670000001</v>
      </c>
      <c r="AA23">
        <v>0.42833333299999998</v>
      </c>
      <c r="AB23">
        <v>0.99228260899999998</v>
      </c>
      <c r="AC23">
        <v>-1.1908393E-2</v>
      </c>
      <c r="AD23">
        <v>4.589542636</v>
      </c>
      <c r="AE23">
        <v>6.2536101510000002</v>
      </c>
      <c r="AF23">
        <v>5.6731718679999998</v>
      </c>
      <c r="AG23">
        <v>7.2414895289999999</v>
      </c>
      <c r="AH23">
        <v>1.4786525559999999</v>
      </c>
      <c r="AI23">
        <v>23.988</v>
      </c>
      <c r="AJ23">
        <v>23.527999999999999</v>
      </c>
      <c r="AK23">
        <v>0.471468418</v>
      </c>
      <c r="AL23">
        <v>0.59958972099999996</v>
      </c>
      <c r="AM23">
        <v>3.3626</v>
      </c>
      <c r="AN23">
        <v>341.56874040000002</v>
      </c>
      <c r="AO23">
        <v>5.2027443E-2</v>
      </c>
      <c r="AP23">
        <v>4.2869523E-2</v>
      </c>
      <c r="AQ23">
        <v>4.2395032999999999E-2</v>
      </c>
      <c r="AR23">
        <v>6.5384367999999998E-2</v>
      </c>
      <c r="AS23">
        <v>6.4359110999999997E-2</v>
      </c>
    </row>
    <row r="24" spans="1:45" x14ac:dyDescent="0.2">
      <c r="A24" t="s">
        <v>71</v>
      </c>
      <c r="B24" t="s">
        <v>60</v>
      </c>
      <c r="C24" t="s">
        <v>47</v>
      </c>
      <c r="D24">
        <v>27.16</v>
      </c>
      <c r="E24">
        <v>83.02</v>
      </c>
      <c r="F24">
        <v>1.344526E-3</v>
      </c>
      <c r="G24">
        <v>28.201908710000001</v>
      </c>
      <c r="H24">
        <v>0.21472222199999999</v>
      </c>
      <c r="I24">
        <v>-9.3333333000000004E-2</v>
      </c>
      <c r="J24">
        <v>-3.3948016999999997E-2</v>
      </c>
      <c r="K24">
        <v>-1.2366666669999999</v>
      </c>
      <c r="L24">
        <v>-0.88500000000000001</v>
      </c>
      <c r="M24">
        <v>1.3333332999999999E-2</v>
      </c>
      <c r="N24">
        <v>-4.1666666999999998E-2</v>
      </c>
      <c r="O24">
        <v>1.647533554</v>
      </c>
      <c r="P24">
        <v>7.1756312000000003E-2</v>
      </c>
      <c r="Q24">
        <v>-3.0691400000000001E-3</v>
      </c>
      <c r="R24">
        <v>-1.5582899999999999E-3</v>
      </c>
      <c r="S24">
        <v>1.344526E-3</v>
      </c>
      <c r="T24">
        <v>-29.181712690000001</v>
      </c>
      <c r="U24">
        <v>0.18472222199999999</v>
      </c>
      <c r="V24">
        <v>-0.108333333</v>
      </c>
      <c r="W24">
        <v>-5.2536232000000002E-2</v>
      </c>
      <c r="X24">
        <v>-1.266666667</v>
      </c>
      <c r="Y24">
        <v>-0.9</v>
      </c>
      <c r="Z24">
        <v>-0.296666667</v>
      </c>
      <c r="AA24">
        <v>-9.6666666999999998E-2</v>
      </c>
      <c r="AB24">
        <v>0.980120773</v>
      </c>
      <c r="AC24">
        <v>-1.5582899999999999E-3</v>
      </c>
      <c r="AD24">
        <v>4.0166070889999999</v>
      </c>
      <c r="AE24">
        <v>3.9779736909999999</v>
      </c>
      <c r="AF24">
        <v>4.2304892670000003</v>
      </c>
      <c r="AG24">
        <v>4.0917906329999996</v>
      </c>
      <c r="AH24">
        <v>0.50137392400000003</v>
      </c>
      <c r="AI24">
        <v>32.588000000000001</v>
      </c>
      <c r="AJ24">
        <v>31.968</v>
      </c>
      <c r="AK24">
        <v>4.263808E-3</v>
      </c>
      <c r="AL24">
        <v>1.2465758E-2</v>
      </c>
      <c r="AM24">
        <v>10.63808</v>
      </c>
      <c r="AN24">
        <v>115.8173764</v>
      </c>
      <c r="AO24">
        <v>9.4476413999999995E-2</v>
      </c>
      <c r="AP24">
        <v>8.6114929000000007E-2</v>
      </c>
      <c r="AQ24">
        <v>7.9111287000000002E-2</v>
      </c>
      <c r="AR24">
        <v>9.8128040999999999E-2</v>
      </c>
      <c r="AS24">
        <v>9.1848274999999993E-2</v>
      </c>
    </row>
    <row r="25" spans="1:45" x14ac:dyDescent="0.2">
      <c r="A25" t="s">
        <v>72</v>
      </c>
      <c r="B25" t="s">
        <v>60</v>
      </c>
      <c r="C25" t="s">
        <v>47</v>
      </c>
      <c r="D25">
        <v>4.22</v>
      </c>
      <c r="E25">
        <v>24.54</v>
      </c>
      <c r="F25">
        <v>1.4898330000000001E-3</v>
      </c>
      <c r="G25">
        <v>105.9886716</v>
      </c>
      <c r="H25">
        <v>0.50972222199999995</v>
      </c>
      <c r="I25">
        <v>-9.4166666999999996E-2</v>
      </c>
      <c r="J25">
        <v>4.9586343999999997E-2</v>
      </c>
      <c r="K25">
        <v>-0.30833333299999999</v>
      </c>
      <c r="L25">
        <v>-0.366666667</v>
      </c>
      <c r="M25">
        <v>0.51</v>
      </c>
      <c r="N25">
        <v>-0.163333333</v>
      </c>
      <c r="O25">
        <v>1.6041787329999999</v>
      </c>
      <c r="P25">
        <v>7.9309684000000005E-2</v>
      </c>
      <c r="Q25">
        <v>-3.025898E-3</v>
      </c>
      <c r="R25">
        <v>-1.822377E-3</v>
      </c>
      <c r="S25">
        <v>1.4898330000000001E-3</v>
      </c>
      <c r="T25">
        <v>54.240180209999998</v>
      </c>
      <c r="U25">
        <v>0.47972222199999998</v>
      </c>
      <c r="V25">
        <v>-0.109166667</v>
      </c>
      <c r="W25">
        <v>4.4874395999999997E-2</v>
      </c>
      <c r="X25">
        <v>-0.33833333300000001</v>
      </c>
      <c r="Y25">
        <v>-0.38166666700000001</v>
      </c>
      <c r="Z25">
        <v>0.39500000000000002</v>
      </c>
      <c r="AA25">
        <v>-0.17833333300000001</v>
      </c>
      <c r="AB25">
        <v>0.94097101400000005</v>
      </c>
      <c r="AC25">
        <v>-1.822377E-3</v>
      </c>
      <c r="AD25">
        <v>4.3664252570000004</v>
      </c>
      <c r="AE25">
        <v>4.2515775930000004</v>
      </c>
      <c r="AF25">
        <v>4.8007469570000003</v>
      </c>
      <c r="AG25">
        <v>5.3242856529999996</v>
      </c>
      <c r="AH25">
        <v>1.0242364580000001</v>
      </c>
      <c r="AI25">
        <v>27.954000000000001</v>
      </c>
      <c r="AJ25">
        <v>27.454000000000001</v>
      </c>
      <c r="AK25">
        <v>0.121633175</v>
      </c>
      <c r="AL25">
        <v>0.229544416</v>
      </c>
      <c r="AM25">
        <v>7.6741200000000003</v>
      </c>
      <c r="AN25">
        <v>236.59862190000001</v>
      </c>
      <c r="AO25">
        <v>7.9722312000000004E-2</v>
      </c>
      <c r="AP25">
        <v>6.8225549999999996E-2</v>
      </c>
      <c r="AQ25">
        <v>6.2101924000000003E-2</v>
      </c>
      <c r="AR25">
        <v>8.5590729000000004E-2</v>
      </c>
      <c r="AS25">
        <v>8.0473499000000004E-2</v>
      </c>
    </row>
    <row r="26" spans="1:45" x14ac:dyDescent="0.2">
      <c r="A26" t="s">
        <v>73</v>
      </c>
      <c r="B26" t="s">
        <v>60</v>
      </c>
      <c r="C26" t="s">
        <v>47</v>
      </c>
      <c r="D26">
        <v>0.3</v>
      </c>
      <c r="E26">
        <v>2.14</v>
      </c>
      <c r="F26">
        <v>2.4166551000000001E-2</v>
      </c>
      <c r="G26">
        <v>65.039055210000001</v>
      </c>
      <c r="H26">
        <v>-0.921666667</v>
      </c>
      <c r="I26">
        <v>-0.29249999999999998</v>
      </c>
      <c r="J26">
        <v>-0.35064339</v>
      </c>
      <c r="K26">
        <v>-1.766666667</v>
      </c>
      <c r="L26">
        <v>-0.77500000000000002</v>
      </c>
      <c r="M26">
        <v>-1.651666667</v>
      </c>
      <c r="N26">
        <v>-0.77500000000000002</v>
      </c>
      <c r="O26">
        <v>2.569804725</v>
      </c>
      <c r="P26">
        <v>0.168571692</v>
      </c>
      <c r="Q26">
        <v>3.3792872000000002E-2</v>
      </c>
      <c r="R26">
        <v>-8.0212440000000003E-3</v>
      </c>
      <c r="S26">
        <v>2.4166551000000001E-2</v>
      </c>
      <c r="T26">
        <v>58.862751660000001</v>
      </c>
      <c r="U26">
        <v>-0.95166666700000002</v>
      </c>
      <c r="V26">
        <v>-0.3075</v>
      </c>
      <c r="W26">
        <v>-0.38549516900000003</v>
      </c>
      <c r="X26">
        <v>-1.796666667</v>
      </c>
      <c r="Y26">
        <v>-0.79</v>
      </c>
      <c r="Z26">
        <v>-1.3883333330000001</v>
      </c>
      <c r="AA26">
        <v>-0.42499999999999999</v>
      </c>
      <c r="AB26">
        <v>1.0408333329999999</v>
      </c>
      <c r="AC26">
        <v>-8.0212440000000003E-3</v>
      </c>
      <c r="AD26">
        <v>2.439170404</v>
      </c>
      <c r="AE26">
        <v>2.2632710920000001</v>
      </c>
      <c r="AF26">
        <v>2.5035824469999999</v>
      </c>
      <c r="AG26">
        <v>2.2925786490000002</v>
      </c>
      <c r="AH26">
        <v>0.64610543499999995</v>
      </c>
      <c r="AI26">
        <v>27.027999999999999</v>
      </c>
      <c r="AJ26">
        <v>26.527999999999999</v>
      </c>
      <c r="AK26">
        <v>0.707434075</v>
      </c>
      <c r="AL26">
        <v>0.81844887799999999</v>
      </c>
      <c r="AM26">
        <v>11.45866</v>
      </c>
      <c r="AN26">
        <v>143.43540659999999</v>
      </c>
      <c r="AO26">
        <v>0.10776759299999999</v>
      </c>
      <c r="AP26">
        <v>0.105184685</v>
      </c>
      <c r="AQ26">
        <v>9.5721974000000001E-2</v>
      </c>
      <c r="AR26">
        <v>0.115893713</v>
      </c>
      <c r="AS26">
        <v>0.106832528</v>
      </c>
    </row>
    <row r="27" spans="1:45" x14ac:dyDescent="0.2">
      <c r="A27" t="s">
        <v>74</v>
      </c>
      <c r="B27" t="s">
        <v>60</v>
      </c>
      <c r="C27" t="s">
        <v>47</v>
      </c>
      <c r="D27">
        <v>40.86</v>
      </c>
      <c r="E27">
        <v>87.86</v>
      </c>
      <c r="F27">
        <v>-2.5308497999999999E-2</v>
      </c>
      <c r="G27">
        <v>-14415.45737</v>
      </c>
      <c r="H27">
        <v>0.91430555599999996</v>
      </c>
      <c r="I27">
        <v>0.47791666700000002</v>
      </c>
      <c r="J27">
        <v>0.62579894999999996</v>
      </c>
      <c r="K27">
        <v>-1.9</v>
      </c>
      <c r="L27">
        <v>-1.713333333</v>
      </c>
      <c r="M27">
        <v>1</v>
      </c>
      <c r="N27">
        <v>1.2583333329999999</v>
      </c>
      <c r="O27">
        <v>2.0868829390000001</v>
      </c>
      <c r="P27">
        <v>5.8138571E-2</v>
      </c>
      <c r="Q27">
        <v>-2.0239763000000001E-2</v>
      </c>
      <c r="R27">
        <v>-1.7825272999999999E-2</v>
      </c>
      <c r="S27">
        <v>-2.5308497999999999E-2</v>
      </c>
      <c r="T27">
        <v>-7806.0948159999998</v>
      </c>
      <c r="U27">
        <v>0.88430555600000005</v>
      </c>
      <c r="V27">
        <v>0.462916667</v>
      </c>
      <c r="W27">
        <v>0.62215942000000002</v>
      </c>
      <c r="X27">
        <v>-1.93</v>
      </c>
      <c r="Y27">
        <v>-1.7283333329999999</v>
      </c>
      <c r="Z27">
        <v>0.46500000000000002</v>
      </c>
      <c r="AA27">
        <v>0.921666667</v>
      </c>
      <c r="AB27">
        <v>1.221125604</v>
      </c>
      <c r="AC27">
        <v>-1.7825272999999999E-2</v>
      </c>
      <c r="AD27">
        <v>2.4615996330000001</v>
      </c>
      <c r="AE27">
        <v>3.1305207560000001</v>
      </c>
      <c r="AF27">
        <v>2.9165028199999998</v>
      </c>
      <c r="AG27">
        <v>3.4486900139999999</v>
      </c>
      <c r="AH27">
        <v>-1565.1478090000001</v>
      </c>
      <c r="AI27">
        <v>47.69</v>
      </c>
      <c r="AJ27">
        <v>46.71</v>
      </c>
      <c r="AK27" s="1">
        <v>1.09E-12</v>
      </c>
      <c r="AL27">
        <v>3.2901810000000001E-3</v>
      </c>
      <c r="AM27">
        <v>18.589939999999999</v>
      </c>
      <c r="AN27">
        <v>-361549.14380000002</v>
      </c>
      <c r="AO27">
        <v>9.5811646E-2</v>
      </c>
      <c r="AP27">
        <v>0.114560647</v>
      </c>
      <c r="AQ27">
        <v>0.113909418</v>
      </c>
      <c r="AR27">
        <v>0.124444869</v>
      </c>
      <c r="AS27">
        <v>0.12254778400000001</v>
      </c>
    </row>
    <row r="28" spans="1:45" x14ac:dyDescent="0.2">
      <c r="A28" t="s">
        <v>75</v>
      </c>
      <c r="B28" t="s">
        <v>76</v>
      </c>
      <c r="C28" t="s">
        <v>47</v>
      </c>
      <c r="D28">
        <v>1.74</v>
      </c>
      <c r="E28">
        <v>8.6199999999999992</v>
      </c>
      <c r="F28">
        <v>2.4147859999999999E-3</v>
      </c>
      <c r="G28">
        <v>114.6831576</v>
      </c>
      <c r="H28">
        <v>1.9783333329999999</v>
      </c>
      <c r="I28">
        <v>-0.39</v>
      </c>
      <c r="J28">
        <v>-6.4834715000000001E-2</v>
      </c>
      <c r="K28">
        <v>1.891666667</v>
      </c>
      <c r="L28">
        <v>-0.40166666699999998</v>
      </c>
      <c r="M28">
        <v>2.0649999999999999</v>
      </c>
      <c r="N28">
        <v>-0.37833333299999999</v>
      </c>
      <c r="O28">
        <v>1.9821129669999999</v>
      </c>
      <c r="P28">
        <v>8.6407484000000007E-2</v>
      </c>
      <c r="Q28">
        <v>-2.2944770000000001E-3</v>
      </c>
      <c r="R28">
        <v>2.8289423000000001E-2</v>
      </c>
      <c r="S28">
        <v>2.4147859999999999E-3</v>
      </c>
      <c r="T28">
        <v>92.346787610000007</v>
      </c>
      <c r="U28">
        <v>1.9483333329999999</v>
      </c>
      <c r="V28">
        <v>-0.40500000000000003</v>
      </c>
      <c r="W28">
        <v>-5.5084541000000001E-2</v>
      </c>
      <c r="X28">
        <v>1.8616666669999999</v>
      </c>
      <c r="Y28">
        <v>-0.41666666699999999</v>
      </c>
      <c r="Z28">
        <v>1.943333333</v>
      </c>
      <c r="AA28">
        <v>-0.39333333300000001</v>
      </c>
      <c r="AB28">
        <v>1.071171498</v>
      </c>
      <c r="AC28">
        <v>2.8289423000000001E-2</v>
      </c>
      <c r="AD28">
        <v>2.8344714620000002</v>
      </c>
      <c r="AE28">
        <v>3.8548136629999998</v>
      </c>
      <c r="AF28">
        <v>3.258278963</v>
      </c>
      <c r="AG28">
        <v>4.3829282330000003</v>
      </c>
      <c r="AH28">
        <v>0.97484245199999997</v>
      </c>
      <c r="AI28">
        <v>25.327999999999999</v>
      </c>
      <c r="AJ28">
        <v>24.867999999999999</v>
      </c>
      <c r="AK28">
        <v>0.18369070800000001</v>
      </c>
      <c r="AL28">
        <v>0.49896789699999999</v>
      </c>
      <c r="AM28">
        <v>8.5295000000000005</v>
      </c>
      <c r="AN28">
        <v>205.6917574</v>
      </c>
      <c r="AO28">
        <v>9.2914303000000004E-2</v>
      </c>
      <c r="AP28">
        <v>6.7025165999999997E-2</v>
      </c>
      <c r="AQ28">
        <v>6.3255461999999998E-2</v>
      </c>
      <c r="AR28">
        <v>8.6301249999999996E-2</v>
      </c>
      <c r="AS28">
        <v>8.4046382000000003E-2</v>
      </c>
    </row>
    <row r="29" spans="1:45" x14ac:dyDescent="0.2">
      <c r="A29" t="s">
        <v>77</v>
      </c>
      <c r="B29" t="s">
        <v>76</v>
      </c>
      <c r="C29" t="s">
        <v>47</v>
      </c>
      <c r="D29">
        <v>8.74</v>
      </c>
      <c r="E29">
        <v>40.08</v>
      </c>
      <c r="F29">
        <v>-1.4427311999999999E-2</v>
      </c>
      <c r="G29">
        <v>150.8036342</v>
      </c>
      <c r="H29">
        <v>1.4850000000000001</v>
      </c>
      <c r="I29">
        <v>0.4</v>
      </c>
      <c r="J29">
        <v>0.51197271600000005</v>
      </c>
      <c r="K29">
        <v>1.4583333329999999</v>
      </c>
      <c r="L29">
        <v>0.34833333300000002</v>
      </c>
      <c r="M29">
        <v>1.5116666670000001</v>
      </c>
      <c r="N29">
        <v>0.34833333300000002</v>
      </c>
      <c r="O29">
        <v>1.4619080659999999</v>
      </c>
      <c r="P29">
        <v>4.9923310999999998E-2</v>
      </c>
      <c r="Q29">
        <v>-1.2922572E-2</v>
      </c>
      <c r="R29">
        <v>-1.6111454000000001E-2</v>
      </c>
      <c r="S29">
        <v>-1.4427311999999999E-2</v>
      </c>
      <c r="T29">
        <v>95.630899330000005</v>
      </c>
      <c r="U29">
        <v>1.4550000000000001</v>
      </c>
      <c r="V29">
        <v>0.38500000000000001</v>
      </c>
      <c r="W29">
        <v>0.50142512100000003</v>
      </c>
      <c r="X29">
        <v>1.4283333330000001</v>
      </c>
      <c r="Y29">
        <v>0.33333333300000001</v>
      </c>
      <c r="Z29">
        <v>1.481666667</v>
      </c>
      <c r="AA29">
        <v>0.33333333300000001</v>
      </c>
      <c r="AB29">
        <v>1.09442029</v>
      </c>
      <c r="AC29">
        <v>-1.6111454000000001E-2</v>
      </c>
      <c r="AD29">
        <v>4.4825383140000001</v>
      </c>
      <c r="AE29">
        <v>5.3275626129999996</v>
      </c>
      <c r="AF29">
        <v>5.2402161669999998</v>
      </c>
      <c r="AG29">
        <v>6.3880481590000002</v>
      </c>
      <c r="AH29">
        <v>1.1934335460000001</v>
      </c>
      <c r="AI29">
        <v>24.184000000000001</v>
      </c>
      <c r="AJ29">
        <v>23.724</v>
      </c>
      <c r="AK29">
        <v>4.0577407000000003E-2</v>
      </c>
      <c r="AL29">
        <v>0.12521838499999999</v>
      </c>
      <c r="AM29">
        <v>5.4016799999999998</v>
      </c>
      <c r="AN29">
        <v>253.00791179999999</v>
      </c>
      <c r="AO29">
        <v>6.8158994000000001E-2</v>
      </c>
      <c r="AP29">
        <v>4.6026461999999997E-2</v>
      </c>
      <c r="AQ29">
        <v>4.5697346E-2</v>
      </c>
      <c r="AR29">
        <v>6.8344376999999998E-2</v>
      </c>
      <c r="AS29">
        <v>6.7615454000000005E-2</v>
      </c>
    </row>
    <row r="30" spans="1:45" x14ac:dyDescent="0.2">
      <c r="A30" t="s">
        <v>78</v>
      </c>
      <c r="B30" t="s">
        <v>76</v>
      </c>
      <c r="C30" t="s">
        <v>47</v>
      </c>
      <c r="D30">
        <v>11.22</v>
      </c>
      <c r="E30">
        <v>33.32</v>
      </c>
      <c r="F30">
        <v>-3.0272836000000001E-2</v>
      </c>
      <c r="G30">
        <v>134.8437519</v>
      </c>
      <c r="H30">
        <v>1.5308333329999999</v>
      </c>
      <c r="I30">
        <v>1.180833333</v>
      </c>
      <c r="J30">
        <v>0.89486769899999996</v>
      </c>
      <c r="K30">
        <v>1.4166666670000001</v>
      </c>
      <c r="L30">
        <v>1.125</v>
      </c>
      <c r="M30">
        <v>1.586666667</v>
      </c>
      <c r="N30">
        <v>1.2366666669999999</v>
      </c>
      <c r="O30">
        <v>1.4119952570000001</v>
      </c>
      <c r="P30">
        <v>5.3475222000000003E-2</v>
      </c>
      <c r="Q30">
        <v>-2.8501630999999999E-2</v>
      </c>
      <c r="R30">
        <v>-2.6970475000000001E-2</v>
      </c>
      <c r="S30">
        <v>-3.0272836000000001E-2</v>
      </c>
      <c r="T30">
        <v>104.89283279999999</v>
      </c>
      <c r="U30">
        <v>1.5008333330000001</v>
      </c>
      <c r="V30">
        <v>1.1658333329999999</v>
      </c>
      <c r="W30">
        <v>0.88910628000000003</v>
      </c>
      <c r="X30">
        <v>1.3866666670000001</v>
      </c>
      <c r="Y30">
        <v>1.1100000000000001</v>
      </c>
      <c r="Z30">
        <v>1.4883333329999999</v>
      </c>
      <c r="AA30">
        <v>1.221666667</v>
      </c>
      <c r="AB30">
        <v>1.179903382</v>
      </c>
      <c r="AC30">
        <v>-2.6970475000000001E-2</v>
      </c>
      <c r="AD30">
        <v>4.326097248</v>
      </c>
      <c r="AE30">
        <v>4.6688225560000003</v>
      </c>
      <c r="AF30">
        <v>4.7178471530000001</v>
      </c>
      <c r="AG30">
        <v>4.7775014840000001</v>
      </c>
      <c r="AH30">
        <v>1.1245921940000001</v>
      </c>
      <c r="AI30">
        <v>25.256</v>
      </c>
      <c r="AJ30">
        <v>24.756</v>
      </c>
      <c r="AK30">
        <v>6.6678228000000006E-2</v>
      </c>
      <c r="AL30">
        <v>0.113324429</v>
      </c>
      <c r="AM30">
        <v>6.1829999999999998</v>
      </c>
      <c r="AN30">
        <v>238.413545</v>
      </c>
      <c r="AO30">
        <v>6.3773122000000002E-2</v>
      </c>
      <c r="AP30">
        <v>5.2693884000000003E-2</v>
      </c>
      <c r="AQ30">
        <v>4.8308605999999997E-2</v>
      </c>
      <c r="AR30">
        <v>7.1036850999999998E-2</v>
      </c>
      <c r="AS30">
        <v>6.5374091999999995E-2</v>
      </c>
    </row>
    <row r="31" spans="1:45" x14ac:dyDescent="0.2">
      <c r="A31" t="s">
        <v>79</v>
      </c>
      <c r="B31" t="s">
        <v>80</v>
      </c>
      <c r="C31" t="s">
        <v>47</v>
      </c>
      <c r="D31">
        <v>0.72</v>
      </c>
      <c r="E31">
        <v>9.14</v>
      </c>
      <c r="F31">
        <v>-1.0024505E-2</v>
      </c>
      <c r="G31">
        <v>155.12542970000001</v>
      </c>
      <c r="H31">
        <v>1.131666667</v>
      </c>
      <c r="I31">
        <v>0.43916666700000001</v>
      </c>
      <c r="J31">
        <v>0.39354843699999997</v>
      </c>
      <c r="K31">
        <v>0.84</v>
      </c>
      <c r="L31">
        <v>0.38666666700000002</v>
      </c>
      <c r="M31">
        <v>1.423333333</v>
      </c>
      <c r="N31">
        <v>0.491666667</v>
      </c>
      <c r="O31">
        <v>1.303582781</v>
      </c>
      <c r="P31">
        <v>5.1980416000000002E-2</v>
      </c>
      <c r="Q31">
        <v>-9.6662239999999993E-3</v>
      </c>
      <c r="R31">
        <v>-1.0443502E-2</v>
      </c>
      <c r="S31">
        <v>-1.0024505E-2</v>
      </c>
      <c r="T31">
        <v>109.30075189999999</v>
      </c>
      <c r="U31">
        <v>1.1016666669999999</v>
      </c>
      <c r="V31">
        <v>0.424166667</v>
      </c>
      <c r="W31">
        <v>0.39062802000000002</v>
      </c>
      <c r="X31">
        <v>0.81</v>
      </c>
      <c r="Y31">
        <v>0.37166666700000001</v>
      </c>
      <c r="Z31">
        <v>1.07</v>
      </c>
      <c r="AA31">
        <v>0.435</v>
      </c>
      <c r="AB31">
        <v>1.0041545890000001</v>
      </c>
      <c r="AC31">
        <v>-1.0443502E-2</v>
      </c>
      <c r="AD31">
        <v>4.6958242119999998</v>
      </c>
      <c r="AE31">
        <v>5.4274323820000001</v>
      </c>
      <c r="AF31">
        <v>5.540235901</v>
      </c>
      <c r="AG31">
        <v>6.4825410120000004</v>
      </c>
      <c r="AH31">
        <v>1.540451059</v>
      </c>
      <c r="AI31">
        <v>24.692</v>
      </c>
      <c r="AJ31">
        <v>24.212</v>
      </c>
      <c r="AK31">
        <v>0.38605634799999999</v>
      </c>
      <c r="AL31">
        <v>0.55364314999999997</v>
      </c>
      <c r="AM31">
        <v>4.6480199999999998</v>
      </c>
      <c r="AN31">
        <v>355.84419459999998</v>
      </c>
      <c r="AO31">
        <v>5.1673620000000003E-2</v>
      </c>
      <c r="AP31">
        <v>4.3379571999999998E-2</v>
      </c>
      <c r="AQ31">
        <v>4.2793810000000002E-2</v>
      </c>
      <c r="AR31">
        <v>6.5649326999999993E-2</v>
      </c>
      <c r="AS31">
        <v>6.4521136000000007E-2</v>
      </c>
    </row>
    <row r="32" spans="1:45" x14ac:dyDescent="0.2">
      <c r="A32" t="s">
        <v>81</v>
      </c>
      <c r="B32" t="s">
        <v>80</v>
      </c>
      <c r="C32" t="s">
        <v>47</v>
      </c>
      <c r="D32">
        <v>5.74</v>
      </c>
      <c r="E32">
        <v>56.98</v>
      </c>
      <c r="F32">
        <v>3.6190890000000003E-2</v>
      </c>
      <c r="G32">
        <v>111.8972326</v>
      </c>
      <c r="H32">
        <v>0.12666666700000001</v>
      </c>
      <c r="I32">
        <v>-0.97499999999999998</v>
      </c>
      <c r="J32">
        <v>-1.258877909</v>
      </c>
      <c r="K32">
        <v>-0.10666666700000001</v>
      </c>
      <c r="L32">
        <v>-1.016666667</v>
      </c>
      <c r="M32">
        <v>7.3333333000000001E-2</v>
      </c>
      <c r="N32">
        <v>-1.016666667</v>
      </c>
      <c r="O32">
        <v>1.942821219</v>
      </c>
      <c r="P32">
        <v>4.7881903000000003E-2</v>
      </c>
      <c r="Q32">
        <v>9.3109769999999998E-3</v>
      </c>
      <c r="R32">
        <v>6.060082E-2</v>
      </c>
      <c r="S32">
        <v>3.6190890000000003E-2</v>
      </c>
      <c r="T32">
        <v>63.333252209999998</v>
      </c>
      <c r="U32">
        <v>9.6666666999999998E-2</v>
      </c>
      <c r="V32">
        <v>-0.99</v>
      </c>
      <c r="W32">
        <v>-1.2445289850000001</v>
      </c>
      <c r="X32">
        <v>-0.13666666699999999</v>
      </c>
      <c r="Y32">
        <v>-1.0316666670000001</v>
      </c>
      <c r="Z32">
        <v>-3.3333333E-2</v>
      </c>
      <c r="AA32">
        <v>-1.0316666670000001</v>
      </c>
      <c r="AB32">
        <v>1.4105434779999999</v>
      </c>
      <c r="AC32">
        <v>6.060082E-2</v>
      </c>
      <c r="AD32">
        <v>5.1989845890000002</v>
      </c>
      <c r="AE32">
        <v>5.3918175679999996</v>
      </c>
      <c r="AF32">
        <v>6.6191193999999998</v>
      </c>
      <c r="AG32">
        <v>6.2688937229999997</v>
      </c>
      <c r="AH32">
        <v>1.3183559629999999</v>
      </c>
      <c r="AI32">
        <v>24.763999999999999</v>
      </c>
      <c r="AJ32">
        <v>24.303999999999998</v>
      </c>
      <c r="AK32">
        <v>8.2073619E-2</v>
      </c>
      <c r="AL32">
        <v>0.15739571099999999</v>
      </c>
      <c r="AM32">
        <v>4.9065399999999997</v>
      </c>
      <c r="AN32">
        <v>304.54022750000001</v>
      </c>
      <c r="AO32">
        <v>5.9101504999999999E-2</v>
      </c>
      <c r="AP32">
        <v>6.2036609999999999E-2</v>
      </c>
      <c r="AQ32">
        <v>6.5604705999999999E-2</v>
      </c>
      <c r="AR32">
        <v>7.7454198000000002E-2</v>
      </c>
      <c r="AS32">
        <v>7.9735692999999996E-2</v>
      </c>
    </row>
    <row r="33" spans="1:45" x14ac:dyDescent="0.2">
      <c r="A33" t="s">
        <v>82</v>
      </c>
      <c r="B33" t="s">
        <v>80</v>
      </c>
      <c r="C33" t="s">
        <v>47</v>
      </c>
      <c r="D33">
        <v>4.4800000000000004</v>
      </c>
      <c r="E33">
        <v>78.52</v>
      </c>
      <c r="F33">
        <v>-7.2986696000000004E-2</v>
      </c>
      <c r="G33">
        <v>60.011761370000002</v>
      </c>
      <c r="H33">
        <v>2.9108333329999998</v>
      </c>
      <c r="I33">
        <v>2.6291666669999998</v>
      </c>
      <c r="J33">
        <v>2.5934829270000002</v>
      </c>
      <c r="K33">
        <v>2.68</v>
      </c>
      <c r="L33">
        <v>2.5449999999999999</v>
      </c>
      <c r="M33">
        <v>3.141666667</v>
      </c>
      <c r="N33">
        <v>2.713333333</v>
      </c>
      <c r="O33">
        <v>2.8279432249999998</v>
      </c>
      <c r="P33">
        <v>5.3934804000000003E-2</v>
      </c>
      <c r="Q33">
        <v>-4.0304530999999998E-2</v>
      </c>
      <c r="R33">
        <v>-8.8775755999999997E-2</v>
      </c>
      <c r="S33">
        <v>-7.2986696000000004E-2</v>
      </c>
      <c r="T33">
        <v>25.391968250000001</v>
      </c>
      <c r="U33">
        <v>2.880833333</v>
      </c>
      <c r="V33">
        <v>2.6141666670000001</v>
      </c>
      <c r="W33">
        <v>2.5732367150000002</v>
      </c>
      <c r="X33">
        <v>2.65</v>
      </c>
      <c r="Y33">
        <v>2.5299999999999998</v>
      </c>
      <c r="Z33">
        <v>2.9566666669999999</v>
      </c>
      <c r="AA33">
        <v>2.6983333329999999</v>
      </c>
      <c r="AB33">
        <v>2.5732367150000002</v>
      </c>
      <c r="AC33">
        <v>-8.8775755999999997E-2</v>
      </c>
      <c r="AD33">
        <v>3.073317742</v>
      </c>
      <c r="AE33">
        <v>3.3517666419999999</v>
      </c>
      <c r="AF33">
        <v>3.1347134259999998</v>
      </c>
      <c r="AG33">
        <v>2.78570567</v>
      </c>
      <c r="AH33">
        <v>1.0928104460000001</v>
      </c>
      <c r="AI33">
        <v>25.984000000000002</v>
      </c>
      <c r="AJ33">
        <v>25.443999999999999</v>
      </c>
      <c r="AK33">
        <v>8.5660766999999999E-2</v>
      </c>
      <c r="AL33">
        <v>0.129855626</v>
      </c>
      <c r="AM33">
        <v>6.1162999999999998</v>
      </c>
      <c r="AN33">
        <v>252.43921309999999</v>
      </c>
      <c r="AO33">
        <v>7.2087208E-2</v>
      </c>
      <c r="AP33">
        <v>8.7332901000000004E-2</v>
      </c>
      <c r="AQ33">
        <v>9.3827682999999995E-2</v>
      </c>
      <c r="AR33">
        <v>9.8796413999999999E-2</v>
      </c>
      <c r="AS33">
        <v>0.104174087</v>
      </c>
    </row>
    <row r="34" spans="1:45" x14ac:dyDescent="0.2">
      <c r="A34" t="s">
        <v>83</v>
      </c>
      <c r="B34" t="s">
        <v>80</v>
      </c>
      <c r="C34" t="s">
        <v>47</v>
      </c>
      <c r="D34">
        <v>11.12</v>
      </c>
      <c r="E34">
        <v>64.84</v>
      </c>
      <c r="F34">
        <v>3.7309254E-2</v>
      </c>
      <c r="G34">
        <v>85.598915120000001</v>
      </c>
      <c r="H34">
        <v>0.18333333299999999</v>
      </c>
      <c r="I34">
        <v>-1.0325</v>
      </c>
      <c r="J34">
        <v>-1.32992351</v>
      </c>
      <c r="K34">
        <v>-0.2</v>
      </c>
      <c r="L34">
        <v>-1.288333333</v>
      </c>
      <c r="M34">
        <v>0.34333333300000002</v>
      </c>
      <c r="N34">
        <v>-1.2366666669999999</v>
      </c>
      <c r="O34">
        <v>2.1233794590000001</v>
      </c>
      <c r="P34">
        <v>5.1085139000000002E-2</v>
      </c>
      <c r="Q34">
        <v>-1.4120300000000001E-4</v>
      </c>
      <c r="R34">
        <v>7.9192074000000001E-2</v>
      </c>
      <c r="S34">
        <v>3.7309254E-2</v>
      </c>
      <c r="T34">
        <v>49.002457079999999</v>
      </c>
      <c r="U34">
        <v>0.15333333299999999</v>
      </c>
      <c r="V34">
        <v>-1.0475000000000001</v>
      </c>
      <c r="W34">
        <v>-1.2967632849999999</v>
      </c>
      <c r="X34">
        <v>-0.23</v>
      </c>
      <c r="Y34">
        <v>-1.3033333330000001</v>
      </c>
      <c r="Z34">
        <v>3.3333333E-2</v>
      </c>
      <c r="AA34">
        <v>-1.1483333330000001</v>
      </c>
      <c r="AB34">
        <v>1.4500241540000001</v>
      </c>
      <c r="AC34">
        <v>7.9192074000000001E-2</v>
      </c>
      <c r="AD34">
        <v>4.868551171</v>
      </c>
      <c r="AE34">
        <v>4.802676935</v>
      </c>
      <c r="AF34">
        <v>5.7180718160000001</v>
      </c>
      <c r="AG34">
        <v>5.7113769449999996</v>
      </c>
      <c r="AH34">
        <v>1.122477994</v>
      </c>
      <c r="AI34">
        <v>26.515999999999998</v>
      </c>
      <c r="AJ34">
        <v>26.015999999999998</v>
      </c>
      <c r="AK34">
        <v>2.0780603000000002E-2</v>
      </c>
      <c r="AL34">
        <v>5.4959180000000003E-2</v>
      </c>
      <c r="AM34">
        <v>6.8540000000000001</v>
      </c>
      <c r="AN34">
        <v>259.29241660000002</v>
      </c>
      <c r="AO34">
        <v>6.9121343000000002E-2</v>
      </c>
      <c r="AP34">
        <v>7.5428260999999996E-2</v>
      </c>
      <c r="AQ34">
        <v>8.2596447000000003E-2</v>
      </c>
      <c r="AR34">
        <v>8.7782214999999997E-2</v>
      </c>
      <c r="AS34">
        <v>9.3601282999999993E-2</v>
      </c>
    </row>
    <row r="35" spans="1:45" x14ac:dyDescent="0.2">
      <c r="A35" t="s">
        <v>84</v>
      </c>
      <c r="B35" t="s">
        <v>85</v>
      </c>
      <c r="C35" t="s">
        <v>47</v>
      </c>
      <c r="D35">
        <v>4.96</v>
      </c>
      <c r="E35">
        <v>65.64</v>
      </c>
      <c r="F35">
        <v>-5.7168267000000002E-2</v>
      </c>
      <c r="G35">
        <v>80.261385849999996</v>
      </c>
      <c r="H35">
        <v>2.2122222219999998</v>
      </c>
      <c r="I35">
        <v>2.04</v>
      </c>
      <c r="J35">
        <v>2.0468789119999999</v>
      </c>
      <c r="K35">
        <v>1.44</v>
      </c>
      <c r="L35">
        <v>1.4566666669999999</v>
      </c>
      <c r="M35">
        <v>2.9416666669999998</v>
      </c>
      <c r="N35">
        <v>2.5583333330000002</v>
      </c>
      <c r="O35">
        <v>2.4202587809999998</v>
      </c>
      <c r="P35">
        <v>0.06</v>
      </c>
      <c r="Q35">
        <v>-3.1890362999999998E-2</v>
      </c>
      <c r="R35">
        <v>-7.1979930999999997E-2</v>
      </c>
      <c r="S35">
        <v>-5.7168267000000002E-2</v>
      </c>
      <c r="T35">
        <v>52.314005510000001</v>
      </c>
      <c r="U35">
        <v>2.182222222</v>
      </c>
      <c r="V35">
        <v>2.0249999999999999</v>
      </c>
      <c r="W35">
        <v>2.028134058</v>
      </c>
      <c r="X35">
        <v>1.41</v>
      </c>
      <c r="Y35">
        <v>1.441666667</v>
      </c>
      <c r="Z35">
        <v>2.88</v>
      </c>
      <c r="AA35">
        <v>2.5433333330000001</v>
      </c>
      <c r="AB35">
        <v>2.0638828500000002</v>
      </c>
      <c r="AC35">
        <v>-7.1979930999999997E-2</v>
      </c>
      <c r="AD35">
        <v>3.1469427479999998</v>
      </c>
      <c r="AE35">
        <v>3.8250686169999999</v>
      </c>
      <c r="AF35">
        <v>3.3075586530000001</v>
      </c>
      <c r="AG35">
        <v>3.2712097359999999</v>
      </c>
      <c r="AH35">
        <v>0.99759168499999995</v>
      </c>
      <c r="AI35">
        <v>32.36</v>
      </c>
      <c r="AJ35">
        <v>31.74</v>
      </c>
      <c r="AK35">
        <v>5.0931139E-2</v>
      </c>
      <c r="AL35">
        <v>0.12645342400000001</v>
      </c>
      <c r="AM35">
        <v>14.300459999999999</v>
      </c>
      <c r="AN35">
        <v>230.44367919999999</v>
      </c>
      <c r="AO35">
        <v>8.0358817999999999E-2</v>
      </c>
      <c r="AP35">
        <v>8.5380608999999996E-2</v>
      </c>
      <c r="AQ35">
        <v>8.9256703000000007E-2</v>
      </c>
      <c r="AR35">
        <v>9.747343E-2</v>
      </c>
      <c r="AS35">
        <v>0.10043439</v>
      </c>
    </row>
    <row r="36" spans="1:45" x14ac:dyDescent="0.2">
      <c r="A36" t="s">
        <v>86</v>
      </c>
      <c r="B36" t="s">
        <v>85</v>
      </c>
      <c r="C36" t="s">
        <v>47</v>
      </c>
      <c r="D36">
        <v>28.82</v>
      </c>
      <c r="E36">
        <v>65.58</v>
      </c>
      <c r="F36">
        <v>-8.0662187999999996E-2</v>
      </c>
      <c r="G36">
        <v>-103.7837238</v>
      </c>
      <c r="H36">
        <v>2.0554999999999999</v>
      </c>
      <c r="I36">
        <v>2.8645833330000001</v>
      </c>
      <c r="J36">
        <v>3.3960880229999999</v>
      </c>
      <c r="K36">
        <v>0.82166666700000002</v>
      </c>
      <c r="L36">
        <v>1.6983333329999999</v>
      </c>
      <c r="M36">
        <v>3.0466666670000002</v>
      </c>
      <c r="N36">
        <v>4.068333333</v>
      </c>
      <c r="O36">
        <v>3.957272444</v>
      </c>
      <c r="P36">
        <v>0.11034401200000001</v>
      </c>
      <c r="Q36">
        <v>3.647057E-3</v>
      </c>
      <c r="R36">
        <v>-0.146453794</v>
      </c>
      <c r="S36">
        <v>-8.0662187999999996E-2</v>
      </c>
      <c r="T36">
        <v>-154.17516359999999</v>
      </c>
      <c r="U36">
        <v>2.0255000000000001</v>
      </c>
      <c r="V36">
        <v>2.849583333</v>
      </c>
      <c r="W36">
        <v>3.336089372</v>
      </c>
      <c r="X36">
        <v>0.79166666699999999</v>
      </c>
      <c r="Y36">
        <v>1.683333333</v>
      </c>
      <c r="Z36">
        <v>2.818333333</v>
      </c>
      <c r="AA36">
        <v>4.0533333330000003</v>
      </c>
      <c r="AB36">
        <v>3.336089372</v>
      </c>
      <c r="AC36">
        <v>-0.146453794</v>
      </c>
      <c r="AD36">
        <v>2.6503680009999999</v>
      </c>
      <c r="AE36">
        <v>2.2108969040000002</v>
      </c>
      <c r="AF36">
        <v>3.0076729630000001</v>
      </c>
      <c r="AG36">
        <v>2.5369718030000001</v>
      </c>
      <c r="AH36">
        <v>-0.37316692600000001</v>
      </c>
      <c r="AI36">
        <v>40.299999999999997</v>
      </c>
      <c r="AJ36">
        <v>39.58</v>
      </c>
      <c r="AK36" s="1">
        <v>1.9099999999999998E-9</v>
      </c>
      <c r="AL36" s="1">
        <v>7.9900000000000004E-5</v>
      </c>
      <c r="AM36">
        <v>21.296140000000001</v>
      </c>
      <c r="AN36">
        <v>-86.201560000000001</v>
      </c>
      <c r="AO36">
        <v>0.11302775800000001</v>
      </c>
      <c r="AP36">
        <v>0.12524949399999999</v>
      </c>
      <c r="AQ36">
        <v>0.13909690899999999</v>
      </c>
      <c r="AR36">
        <v>0.133350943</v>
      </c>
      <c r="AS36">
        <v>0.146215599</v>
      </c>
    </row>
    <row r="37" spans="1:45" x14ac:dyDescent="0.2">
      <c r="A37" t="s">
        <v>87</v>
      </c>
      <c r="B37" t="s">
        <v>85</v>
      </c>
      <c r="C37" t="s">
        <v>47</v>
      </c>
      <c r="D37">
        <v>10.6</v>
      </c>
      <c r="E37">
        <v>54.8</v>
      </c>
      <c r="F37">
        <v>-1.4798494000000001E-2</v>
      </c>
      <c r="G37">
        <v>62.00965583</v>
      </c>
      <c r="H37">
        <v>-0.90777777800000004</v>
      </c>
      <c r="I37">
        <v>0.65430555599999995</v>
      </c>
      <c r="J37">
        <v>1.2348615599999999</v>
      </c>
      <c r="K37">
        <v>-2.6316666670000002</v>
      </c>
      <c r="L37">
        <v>-0.42499999999999999</v>
      </c>
      <c r="M37">
        <v>-1.711666667</v>
      </c>
      <c r="N37">
        <v>1.193333333</v>
      </c>
      <c r="O37">
        <v>3.2982251740000001</v>
      </c>
      <c r="P37">
        <v>7.8855038000000002E-2</v>
      </c>
      <c r="Q37">
        <v>1.4763261999999999E-2</v>
      </c>
      <c r="R37">
        <v>-9.3283516999999996E-2</v>
      </c>
      <c r="S37">
        <v>-1.4798494000000001E-2</v>
      </c>
      <c r="T37">
        <v>46.056703630000001</v>
      </c>
      <c r="U37">
        <v>-0.93777777799999995</v>
      </c>
      <c r="V37">
        <v>0.63930555600000005</v>
      </c>
      <c r="W37">
        <v>1.136187198</v>
      </c>
      <c r="X37">
        <v>-2.661666667</v>
      </c>
      <c r="Y37">
        <v>-0.44</v>
      </c>
      <c r="Z37">
        <v>-2.0233333330000001</v>
      </c>
      <c r="AA37">
        <v>1.1100000000000001</v>
      </c>
      <c r="AB37">
        <v>1.3402814009999999</v>
      </c>
      <c r="AC37">
        <v>-9.3283516999999996E-2</v>
      </c>
      <c r="AD37">
        <v>3.2734583650000002</v>
      </c>
      <c r="AE37">
        <v>3.8385288819999999</v>
      </c>
      <c r="AF37">
        <v>3.4744557079999998</v>
      </c>
      <c r="AG37">
        <v>3.9123444690000002</v>
      </c>
      <c r="AH37">
        <v>0.47527495800000003</v>
      </c>
      <c r="AI37">
        <v>44.152000000000001</v>
      </c>
      <c r="AJ37">
        <v>43.491999999999997</v>
      </c>
      <c r="AK37">
        <v>4.9298028000000001E-2</v>
      </c>
      <c r="AL37">
        <v>0.10687368</v>
      </c>
      <c r="AM37">
        <v>23.921559999999999</v>
      </c>
      <c r="AN37">
        <v>57.032994909999999</v>
      </c>
      <c r="AO37">
        <v>0.117397642</v>
      </c>
      <c r="AP37">
        <v>0.108925837</v>
      </c>
      <c r="AQ37">
        <v>0.107327951</v>
      </c>
      <c r="AR37">
        <v>0.11806202</v>
      </c>
      <c r="AS37">
        <v>0.115944121</v>
      </c>
    </row>
    <row r="38" spans="1:45" x14ac:dyDescent="0.2">
      <c r="A38" t="s">
        <v>88</v>
      </c>
      <c r="B38" t="s">
        <v>85</v>
      </c>
      <c r="C38" t="s">
        <v>47</v>
      </c>
      <c r="D38">
        <v>3.44</v>
      </c>
      <c r="E38">
        <v>38.26</v>
      </c>
      <c r="F38">
        <v>-0.14197987200000001</v>
      </c>
      <c r="G38">
        <v>12.11789321</v>
      </c>
      <c r="H38">
        <v>4.270138889</v>
      </c>
      <c r="I38">
        <v>5.2824999999999998</v>
      </c>
      <c r="J38">
        <v>5.7105407059999997</v>
      </c>
      <c r="K38">
        <v>2.838333333</v>
      </c>
      <c r="L38">
        <v>4.3616666669999997</v>
      </c>
      <c r="M38">
        <v>5.5983333330000002</v>
      </c>
      <c r="N38">
        <v>6.193333333</v>
      </c>
      <c r="O38">
        <v>6.0935409519999997</v>
      </c>
      <c r="P38">
        <v>0.13084120299999999</v>
      </c>
      <c r="Q38">
        <v>-0.130107262</v>
      </c>
      <c r="R38">
        <v>-0.217764342</v>
      </c>
      <c r="S38">
        <v>-0.14197987200000001</v>
      </c>
      <c r="T38">
        <v>7.0404304140000002</v>
      </c>
      <c r="U38">
        <v>4.2401388889999998</v>
      </c>
      <c r="V38">
        <v>5.2675000000000001</v>
      </c>
      <c r="W38">
        <v>5.6478128019999998</v>
      </c>
      <c r="X38">
        <v>2.8083333330000002</v>
      </c>
      <c r="Y38">
        <v>4.346666667</v>
      </c>
      <c r="Z38">
        <v>5.5233333330000001</v>
      </c>
      <c r="AA38">
        <v>6.1783333330000003</v>
      </c>
      <c r="AB38">
        <v>5.6478128019999998</v>
      </c>
      <c r="AC38">
        <v>-0.217764342</v>
      </c>
      <c r="AD38">
        <v>1.996103159</v>
      </c>
      <c r="AE38">
        <v>1.658156084</v>
      </c>
      <c r="AF38">
        <v>2.0919130109999999</v>
      </c>
      <c r="AG38">
        <v>1.6906866030000001</v>
      </c>
      <c r="AH38">
        <v>0.189029473</v>
      </c>
      <c r="AI38">
        <v>40.26</v>
      </c>
      <c r="AJ38">
        <v>39.6</v>
      </c>
      <c r="AK38">
        <v>0.25816507399999999</v>
      </c>
      <c r="AL38">
        <v>0.303417357</v>
      </c>
      <c r="AM38">
        <v>22.837019999999999</v>
      </c>
      <c r="AN38">
        <v>19.470035710000001</v>
      </c>
      <c r="AO38">
        <v>0.17337217799999999</v>
      </c>
      <c r="AP38">
        <v>0.17718362500000001</v>
      </c>
      <c r="AQ38">
        <v>0.200409171</v>
      </c>
      <c r="AR38">
        <v>0.182192981</v>
      </c>
      <c r="AS38">
        <v>0.20450242399999999</v>
      </c>
    </row>
    <row r="39" spans="1:45" x14ac:dyDescent="0.2">
      <c r="A39" t="s">
        <v>89</v>
      </c>
      <c r="B39" t="s">
        <v>90</v>
      </c>
      <c r="C39" t="s">
        <v>47</v>
      </c>
      <c r="D39">
        <v>39.92</v>
      </c>
      <c r="E39">
        <v>50.22</v>
      </c>
      <c r="F39">
        <v>0.51381953000000002</v>
      </c>
      <c r="G39">
        <v>-57.281394890000001</v>
      </c>
      <c r="H39">
        <v>-6.4249999999999998</v>
      </c>
      <c r="I39">
        <v>-10.805</v>
      </c>
      <c r="J39">
        <v>-12.60169576</v>
      </c>
      <c r="K39">
        <v>-6.4249999999999998</v>
      </c>
      <c r="L39">
        <v>-10.805</v>
      </c>
      <c r="M39">
        <v>-6.4249999999999998</v>
      </c>
      <c r="N39">
        <v>-10.805</v>
      </c>
      <c r="O39">
        <v>14.019028390000001</v>
      </c>
      <c r="P39">
        <v>0.33780507900000001</v>
      </c>
      <c r="Q39">
        <v>0.235121793</v>
      </c>
      <c r="R39">
        <v>0.94176576999999995</v>
      </c>
      <c r="S39">
        <v>0.51381953000000002</v>
      </c>
      <c r="T39">
        <v>-56.813641359999998</v>
      </c>
      <c r="U39">
        <v>-6.4550000000000001</v>
      </c>
      <c r="V39">
        <v>-10.82</v>
      </c>
      <c r="W39">
        <v>-12.42442029</v>
      </c>
      <c r="X39">
        <v>-6.4550000000000001</v>
      </c>
      <c r="Y39">
        <v>-10.82</v>
      </c>
      <c r="Z39">
        <v>-6.4550000000000001</v>
      </c>
      <c r="AA39">
        <v>-10.82</v>
      </c>
      <c r="AB39">
        <v>12.42442029</v>
      </c>
      <c r="AC39">
        <v>0.94176576999999995</v>
      </c>
      <c r="AD39">
        <v>0.740110665</v>
      </c>
      <c r="AE39">
        <v>0.452621681</v>
      </c>
      <c r="AF39">
        <v>0.73778782700000001</v>
      </c>
      <c r="AG39">
        <v>0.45276406899999999</v>
      </c>
      <c r="AH39">
        <v>-2.3779931959999998</v>
      </c>
      <c r="AI39">
        <v>23.46</v>
      </c>
      <c r="AJ39">
        <v>23</v>
      </c>
      <c r="AK39" s="1">
        <v>7.0200000000000001E-7</v>
      </c>
      <c r="AL39">
        <v>1.9380299999999999E-4</v>
      </c>
      <c r="AM39">
        <v>0.23411999999999999</v>
      </c>
      <c r="AN39">
        <v>-549.31642829999998</v>
      </c>
      <c r="AO39">
        <v>0.43024557099999999</v>
      </c>
      <c r="AP39">
        <v>0.67788494799999999</v>
      </c>
      <c r="AQ39">
        <v>0.79457466499999996</v>
      </c>
      <c r="AR39">
        <v>0.67648820799999998</v>
      </c>
      <c r="AS39">
        <v>0.79342989500000005</v>
      </c>
    </row>
    <row r="40" spans="1:45" x14ac:dyDescent="0.2">
      <c r="A40" t="s">
        <v>91</v>
      </c>
      <c r="B40" t="s">
        <v>90</v>
      </c>
      <c r="C40" t="s">
        <v>47</v>
      </c>
      <c r="D40">
        <v>140.97999999999999</v>
      </c>
      <c r="E40">
        <v>187.3</v>
      </c>
      <c r="F40">
        <v>0.12863551600000001</v>
      </c>
      <c r="G40">
        <v>-964.14887239999996</v>
      </c>
      <c r="H40">
        <v>-3.88</v>
      </c>
      <c r="I40">
        <v>-4.8566666669999998</v>
      </c>
      <c r="J40">
        <v>-4.7461956519999999</v>
      </c>
      <c r="K40">
        <v>-3.88</v>
      </c>
      <c r="L40">
        <v>-4.8566666669999998</v>
      </c>
      <c r="M40">
        <v>-3.88</v>
      </c>
      <c r="N40">
        <v>-4.8566666669999998</v>
      </c>
      <c r="O40">
        <v>5.0955807269999998</v>
      </c>
      <c r="P40">
        <v>2.7400023999999999E-2</v>
      </c>
      <c r="Q40">
        <v>5.4515130000000002E-2</v>
      </c>
      <c r="R40">
        <v>0.21214461400000001</v>
      </c>
      <c r="S40">
        <v>0.12863551600000001</v>
      </c>
      <c r="T40">
        <v>-1046.7923780000001</v>
      </c>
      <c r="U40">
        <v>-3.91</v>
      </c>
      <c r="V40">
        <v>-4.8716666670000004</v>
      </c>
      <c r="W40">
        <v>-4.7368840580000002</v>
      </c>
      <c r="X40">
        <v>-3.91</v>
      </c>
      <c r="Y40">
        <v>-4.8716666670000004</v>
      </c>
      <c r="Z40">
        <v>-3.91</v>
      </c>
      <c r="AA40">
        <v>-4.8716666670000004</v>
      </c>
      <c r="AB40">
        <v>4.7368840580000002</v>
      </c>
      <c r="AC40">
        <v>0.21214461400000001</v>
      </c>
      <c r="AD40">
        <v>1.1918953720000001</v>
      </c>
      <c r="AE40">
        <v>0.23279539499999999</v>
      </c>
      <c r="AF40">
        <v>0.74474602199999995</v>
      </c>
      <c r="AG40">
        <v>7.3630440000000005E-2</v>
      </c>
      <c r="AH40">
        <v>-6.3021749260000002</v>
      </c>
      <c r="AI40">
        <v>23.46</v>
      </c>
      <c r="AJ40">
        <v>23</v>
      </c>
      <c r="AK40" s="1">
        <v>2.3699999999999999E-14</v>
      </c>
      <c r="AL40" s="1">
        <v>2E-12</v>
      </c>
      <c r="AM40">
        <v>1.12676</v>
      </c>
      <c r="AN40">
        <v>-1455.802408</v>
      </c>
      <c r="AO40">
        <v>0.11583209999999999</v>
      </c>
      <c r="AP40">
        <v>0.16380640599999999</v>
      </c>
      <c r="AQ40">
        <v>0.18955420000000001</v>
      </c>
      <c r="AR40">
        <v>0.169472544</v>
      </c>
      <c r="AS40">
        <v>0.19376346799999999</v>
      </c>
    </row>
    <row r="41" spans="1:45" x14ac:dyDescent="0.2">
      <c r="A41" t="s">
        <v>92</v>
      </c>
      <c r="B41" t="s">
        <v>93</v>
      </c>
      <c r="C41" t="s">
        <v>47</v>
      </c>
      <c r="D41">
        <v>138.30000000000001</v>
      </c>
      <c r="E41">
        <v>151.78</v>
      </c>
      <c r="F41">
        <v>3.1390528000000001E-2</v>
      </c>
      <c r="G41">
        <v>-180465.46479999999</v>
      </c>
      <c r="H41">
        <v>-2.8224999999999998</v>
      </c>
      <c r="I41">
        <v>0.47833333300000003</v>
      </c>
      <c r="J41">
        <v>-0.799641661</v>
      </c>
      <c r="K41">
        <v>-2.89</v>
      </c>
      <c r="L41">
        <v>0.47833333300000003</v>
      </c>
      <c r="M41">
        <v>-2.89</v>
      </c>
      <c r="N41">
        <v>0.47833333300000003</v>
      </c>
      <c r="O41">
        <v>2.5847735940000001</v>
      </c>
      <c r="P41">
        <v>5.5650170000000002E-3</v>
      </c>
      <c r="Q41">
        <v>1.6946228000000001E-2</v>
      </c>
      <c r="R41">
        <v>-1.4097634E-2</v>
      </c>
      <c r="S41">
        <v>3.1390528000000001E-2</v>
      </c>
      <c r="T41">
        <v>-232583.91899999999</v>
      </c>
      <c r="U41">
        <v>-2.8525</v>
      </c>
      <c r="V41">
        <v>0.46333333300000001</v>
      </c>
      <c r="W41">
        <v>-0.83836956500000004</v>
      </c>
      <c r="X41">
        <v>-2.92</v>
      </c>
      <c r="Y41">
        <v>0.46333333300000001</v>
      </c>
      <c r="Z41">
        <v>-2.92</v>
      </c>
      <c r="AA41">
        <v>0.46333333300000001</v>
      </c>
      <c r="AB41">
        <v>1.2044565220000001</v>
      </c>
      <c r="AC41">
        <v>-1.4097634E-2</v>
      </c>
      <c r="AD41">
        <v>4.4190307500000001</v>
      </c>
      <c r="AE41">
        <v>8.1269020320000003</v>
      </c>
      <c r="AF41">
        <v>5.1516293419999997</v>
      </c>
      <c r="AG41">
        <v>9.0607895870000004</v>
      </c>
      <c r="AH41">
        <v>-1656.2455729999999</v>
      </c>
      <c r="AI41">
        <v>23.628</v>
      </c>
      <c r="AJ41">
        <v>23.167999999999999</v>
      </c>
      <c r="AK41" s="1">
        <v>1.73E-35</v>
      </c>
      <c r="AL41" s="1">
        <v>4.2600000000000002E-28</v>
      </c>
      <c r="AM41">
        <v>3.0569799999999998</v>
      </c>
      <c r="AN41">
        <v>-266655.53730000003</v>
      </c>
      <c r="AO41">
        <v>7.0337891999999999E-2</v>
      </c>
      <c r="AP41">
        <v>7.0847990999999999E-2</v>
      </c>
      <c r="AQ41">
        <v>4.9854055000000001E-2</v>
      </c>
      <c r="AR41">
        <v>7.9129188000000003E-2</v>
      </c>
      <c r="AS41">
        <v>5.9670253999999999E-2</v>
      </c>
    </row>
    <row r="42" spans="1:45" x14ac:dyDescent="0.2">
      <c r="A42" t="s">
        <v>94</v>
      </c>
      <c r="B42" t="s">
        <v>93</v>
      </c>
      <c r="C42" t="s">
        <v>47</v>
      </c>
      <c r="D42">
        <v>0</v>
      </c>
      <c r="E42">
        <v>0</v>
      </c>
      <c r="F42">
        <v>2.2750027999999999E-2</v>
      </c>
      <c r="G42">
        <v>110.6677189</v>
      </c>
      <c r="H42">
        <v>-2.1749999999999998</v>
      </c>
      <c r="I42">
        <v>0.823333333</v>
      </c>
      <c r="J42">
        <v>-0.477625988</v>
      </c>
      <c r="K42">
        <v>-2.2149999999999999</v>
      </c>
      <c r="L42">
        <v>0.823333333</v>
      </c>
      <c r="M42">
        <v>-2.2149999999999999</v>
      </c>
      <c r="N42">
        <v>0.823333333</v>
      </c>
      <c r="O42">
        <v>2.4124385949999998</v>
      </c>
      <c r="P42">
        <v>8.5332726999999997E-2</v>
      </c>
      <c r="Q42">
        <v>9.7087460000000007E-3</v>
      </c>
      <c r="R42">
        <v>-2.2738134E-2</v>
      </c>
      <c r="S42">
        <v>2.2750027999999999E-2</v>
      </c>
      <c r="T42">
        <v>103.4433686</v>
      </c>
      <c r="U42">
        <v>-2.2050000000000001</v>
      </c>
      <c r="V42">
        <v>0.80833333299999999</v>
      </c>
      <c r="W42">
        <v>-0.51260869499999995</v>
      </c>
      <c r="X42">
        <v>-2.2450000000000001</v>
      </c>
      <c r="Y42">
        <v>0.80833333299999999</v>
      </c>
      <c r="Z42">
        <v>-2.2450000000000001</v>
      </c>
      <c r="AA42">
        <v>0.80833333299999999</v>
      </c>
      <c r="AB42">
        <v>1.0863768119999999</v>
      </c>
      <c r="AC42">
        <v>-2.2738134E-2</v>
      </c>
      <c r="AD42">
        <v>3.69558191</v>
      </c>
      <c r="AE42">
        <v>4.1196761569999998</v>
      </c>
      <c r="AF42">
        <v>3.9190753589999998</v>
      </c>
      <c r="AG42">
        <v>4.1071962830000004</v>
      </c>
      <c r="AH42">
        <v>1.2122967179999999</v>
      </c>
      <c r="AI42">
        <v>23.667999999999999</v>
      </c>
      <c r="AJ42">
        <v>23.207999999999998</v>
      </c>
      <c r="AK42">
        <v>0.97846619499999998</v>
      </c>
      <c r="AL42">
        <v>0.98531775600000004</v>
      </c>
      <c r="AM42">
        <v>3.3267199999999999</v>
      </c>
      <c r="AN42">
        <v>195.17977149999999</v>
      </c>
      <c r="AO42">
        <v>6.7806771000000002E-2</v>
      </c>
      <c r="AP42">
        <v>6.7465815999999998E-2</v>
      </c>
      <c r="AQ42">
        <v>4.9784382000000002E-2</v>
      </c>
      <c r="AR42">
        <v>7.6115878999999997E-2</v>
      </c>
      <c r="AS42">
        <v>5.9612053999999998E-2</v>
      </c>
    </row>
    <row r="43" spans="1:45" x14ac:dyDescent="0.2">
      <c r="A43" t="s">
        <v>95</v>
      </c>
      <c r="B43" t="s">
        <v>93</v>
      </c>
      <c r="C43" t="s">
        <v>47</v>
      </c>
      <c r="D43">
        <v>0</v>
      </c>
      <c r="E43">
        <v>4.16</v>
      </c>
      <c r="F43">
        <v>-9.7588650000000002E-3</v>
      </c>
      <c r="G43">
        <v>116.3449777</v>
      </c>
      <c r="H43">
        <v>-1.038333333</v>
      </c>
      <c r="I43">
        <v>1.7250000000000001</v>
      </c>
      <c r="J43">
        <v>0.52255270099999995</v>
      </c>
      <c r="K43">
        <v>-1.038333333</v>
      </c>
      <c r="L43">
        <v>1.7250000000000001</v>
      </c>
      <c r="M43">
        <v>-1.038333333</v>
      </c>
      <c r="N43">
        <v>1.7250000000000001</v>
      </c>
      <c r="O43">
        <v>1.9398454650000001</v>
      </c>
      <c r="P43">
        <v>8.4975914999999999E-2</v>
      </c>
      <c r="Q43">
        <v>-3.3003830999999997E-2</v>
      </c>
      <c r="R43">
        <v>-4.6825735E-2</v>
      </c>
      <c r="S43">
        <v>-9.7588650000000002E-3</v>
      </c>
      <c r="T43">
        <v>112.9787851</v>
      </c>
      <c r="U43">
        <v>-1.068333333</v>
      </c>
      <c r="V43">
        <v>1.71</v>
      </c>
      <c r="W43">
        <v>0.494166667</v>
      </c>
      <c r="X43">
        <v>-1.068333333</v>
      </c>
      <c r="Y43">
        <v>1.71</v>
      </c>
      <c r="Z43">
        <v>-1.068333333</v>
      </c>
      <c r="AA43">
        <v>1.71</v>
      </c>
      <c r="AB43">
        <v>0.87793478300000005</v>
      </c>
      <c r="AC43">
        <v>-4.6825735E-2</v>
      </c>
      <c r="AD43">
        <v>3.866046995</v>
      </c>
      <c r="AE43">
        <v>3.3972937590000001</v>
      </c>
      <c r="AF43">
        <v>4.019636674</v>
      </c>
      <c r="AG43">
        <v>3.426817776</v>
      </c>
      <c r="AH43">
        <v>1.0988887190000001</v>
      </c>
      <c r="AI43">
        <v>23.48</v>
      </c>
      <c r="AJ43">
        <v>23.02</v>
      </c>
      <c r="AK43">
        <v>0.74211308200000003</v>
      </c>
      <c r="AL43">
        <v>0.743134089</v>
      </c>
      <c r="AM43">
        <v>1.7306600000000001</v>
      </c>
      <c r="AN43">
        <v>176.92108379999999</v>
      </c>
      <c r="AO43">
        <v>7.0709785999999997E-2</v>
      </c>
      <c r="AP43">
        <v>5.5129495000000001E-2</v>
      </c>
      <c r="AQ43">
        <v>5.5897219999999997E-2</v>
      </c>
      <c r="AR43">
        <v>6.1467464999999999E-2</v>
      </c>
      <c r="AS43">
        <v>6.1465262E-2</v>
      </c>
    </row>
    <row r="44" spans="1:45" x14ac:dyDescent="0.2">
      <c r="A44" t="s">
        <v>96</v>
      </c>
      <c r="B44" t="s">
        <v>93</v>
      </c>
      <c r="C44" t="s">
        <v>47</v>
      </c>
      <c r="D44">
        <v>0</v>
      </c>
      <c r="E44">
        <v>0.18</v>
      </c>
      <c r="F44">
        <v>1.8141134999999999E-2</v>
      </c>
      <c r="G44">
        <v>115.97797919999999</v>
      </c>
      <c r="H44">
        <v>-2.5183333330000002</v>
      </c>
      <c r="I44">
        <v>0.80333333299999998</v>
      </c>
      <c r="J44">
        <v>-0.41986289500000001</v>
      </c>
      <c r="K44">
        <v>-2.5183333330000002</v>
      </c>
      <c r="L44">
        <v>0.80333333299999998</v>
      </c>
      <c r="M44">
        <v>-2.5183333330000002</v>
      </c>
      <c r="N44">
        <v>0.80333333299999998</v>
      </c>
      <c r="O44">
        <v>2.0754374439999999</v>
      </c>
      <c r="P44">
        <v>8.4975914999999999E-2</v>
      </c>
      <c r="Q44">
        <v>-5.1038309999999996E-3</v>
      </c>
      <c r="R44">
        <v>-1.8925734999999999E-2</v>
      </c>
      <c r="S44">
        <v>1.8141134999999999E-2</v>
      </c>
      <c r="T44">
        <v>112.2900696</v>
      </c>
      <c r="U44">
        <v>-2.548333333</v>
      </c>
      <c r="V44">
        <v>0.78833333299999997</v>
      </c>
      <c r="W44">
        <v>-0.45144927499999998</v>
      </c>
      <c r="X44">
        <v>-2.548333333</v>
      </c>
      <c r="Y44">
        <v>0.78833333299999997</v>
      </c>
      <c r="Z44">
        <v>-2.548333333</v>
      </c>
      <c r="AA44">
        <v>0.78833333299999997</v>
      </c>
      <c r="AB44">
        <v>0.95528985499999997</v>
      </c>
      <c r="AC44">
        <v>-1.8925734999999999E-2</v>
      </c>
      <c r="AD44">
        <v>3.5866806410000001</v>
      </c>
      <c r="AE44">
        <v>3.9689734149999998</v>
      </c>
      <c r="AF44">
        <v>3.8021231599999998</v>
      </c>
      <c r="AG44">
        <v>3.9480841199999999</v>
      </c>
      <c r="AH44">
        <v>1.215520691</v>
      </c>
      <c r="AI44">
        <v>23.54</v>
      </c>
      <c r="AJ44">
        <v>23.08</v>
      </c>
      <c r="AK44">
        <v>0.90834821799999999</v>
      </c>
      <c r="AL44">
        <v>0.90900888000000002</v>
      </c>
      <c r="AM44">
        <v>1.7306600000000001</v>
      </c>
      <c r="AN44">
        <v>195.6988312</v>
      </c>
      <c r="AO44">
        <v>6.2742887999999997E-2</v>
      </c>
      <c r="AP44">
        <v>5.7211245000000001E-2</v>
      </c>
      <c r="AQ44">
        <v>4.8730058E-2</v>
      </c>
      <c r="AR44">
        <v>6.3341254999999999E-2</v>
      </c>
      <c r="AS44">
        <v>5.5028154000000003E-2</v>
      </c>
    </row>
    <row r="45" spans="1:45" x14ac:dyDescent="0.2">
      <c r="A45" t="s">
        <v>97</v>
      </c>
      <c r="B45" t="s">
        <v>93</v>
      </c>
      <c r="C45" t="s">
        <v>47</v>
      </c>
      <c r="D45">
        <v>0</v>
      </c>
      <c r="E45">
        <v>0</v>
      </c>
      <c r="F45">
        <v>1.780522E-2</v>
      </c>
      <c r="G45">
        <v>121.6318009</v>
      </c>
      <c r="H45">
        <v>-2.431666667</v>
      </c>
      <c r="I45">
        <v>0.83499999999999996</v>
      </c>
      <c r="J45">
        <v>-0.384843818</v>
      </c>
      <c r="K45">
        <v>-2.451666667</v>
      </c>
      <c r="L45">
        <v>0.83499999999999996</v>
      </c>
      <c r="M45">
        <v>-2.451666667</v>
      </c>
      <c r="N45">
        <v>0.83499999999999996</v>
      </c>
      <c r="O45">
        <v>2.222625345</v>
      </c>
      <c r="P45">
        <v>7.2684526999999999E-2</v>
      </c>
      <c r="Q45">
        <v>1.2218173000000001E-2</v>
      </c>
      <c r="R45">
        <v>-2.3784446000000001E-2</v>
      </c>
      <c r="S45">
        <v>1.780522E-2</v>
      </c>
      <c r="T45">
        <v>112.6884536</v>
      </c>
      <c r="U45">
        <v>-2.4616666669999998</v>
      </c>
      <c r="V45">
        <v>0.82</v>
      </c>
      <c r="W45">
        <v>-0.420507246</v>
      </c>
      <c r="X45">
        <v>-2.4816666669999998</v>
      </c>
      <c r="Y45">
        <v>0.82</v>
      </c>
      <c r="Z45">
        <v>-2.4816666669999998</v>
      </c>
      <c r="AA45">
        <v>0.82</v>
      </c>
      <c r="AB45">
        <v>1.0445652169999999</v>
      </c>
      <c r="AC45">
        <v>-2.3784446000000001E-2</v>
      </c>
      <c r="AD45">
        <v>3.9957996200000001</v>
      </c>
      <c r="AE45">
        <v>4.6216115069999999</v>
      </c>
      <c r="AF45">
        <v>4.3095467059999999</v>
      </c>
      <c r="AG45">
        <v>4.6339244959999997</v>
      </c>
      <c r="AH45">
        <v>1.4098075400000001</v>
      </c>
      <c r="AI45">
        <v>23.484000000000002</v>
      </c>
      <c r="AJ45">
        <v>23.024000000000001</v>
      </c>
      <c r="AK45">
        <v>0.98063304500000004</v>
      </c>
      <c r="AL45">
        <v>0.98063304500000004</v>
      </c>
      <c r="AM45">
        <v>2.0853600000000001</v>
      </c>
      <c r="AN45">
        <v>221.33978379999999</v>
      </c>
      <c r="AO45">
        <v>5.3753895000000003E-2</v>
      </c>
      <c r="AP45">
        <v>6.0936837000000001E-2</v>
      </c>
      <c r="AQ45">
        <v>4.9685871999999999E-2</v>
      </c>
      <c r="AR45">
        <v>6.9461848000000007E-2</v>
      </c>
      <c r="AS45">
        <v>5.8493898000000003E-2</v>
      </c>
    </row>
    <row r="46" spans="1:45" x14ac:dyDescent="0.2">
      <c r="A46" t="s">
        <v>98</v>
      </c>
      <c r="B46" t="s">
        <v>93</v>
      </c>
      <c r="C46" t="s">
        <v>47</v>
      </c>
      <c r="D46">
        <v>0</v>
      </c>
      <c r="E46">
        <v>0</v>
      </c>
      <c r="F46">
        <v>-8.481176E-3</v>
      </c>
      <c r="G46">
        <v>107.72262379999999</v>
      </c>
      <c r="H46">
        <v>-0.745</v>
      </c>
      <c r="I46">
        <v>1.606666667</v>
      </c>
      <c r="J46">
        <v>0.44275526999999998</v>
      </c>
      <c r="K46">
        <v>-0.79500000000000004</v>
      </c>
      <c r="L46">
        <v>1.606666667</v>
      </c>
      <c r="M46">
        <v>-0.79500000000000004</v>
      </c>
      <c r="N46">
        <v>1.606666667</v>
      </c>
      <c r="O46">
        <v>1.8726837190000001</v>
      </c>
      <c r="P46">
        <v>0.10293864599999999</v>
      </c>
      <c r="Q46">
        <v>-1.9261120999999999E-2</v>
      </c>
      <c r="R46">
        <v>-4.1430585999999998E-2</v>
      </c>
      <c r="S46">
        <v>-8.481176E-3</v>
      </c>
      <c r="T46">
        <v>103.3978862</v>
      </c>
      <c r="U46">
        <v>-0.77500000000000002</v>
      </c>
      <c r="V46">
        <v>1.5916666669999999</v>
      </c>
      <c r="W46">
        <v>0.41666666699999999</v>
      </c>
      <c r="X46">
        <v>-0.82499999999999996</v>
      </c>
      <c r="Y46">
        <v>1.5916666669999999</v>
      </c>
      <c r="Z46">
        <v>-0.77166666699999997</v>
      </c>
      <c r="AA46">
        <v>1.5916666669999999</v>
      </c>
      <c r="AB46">
        <v>0.95159420299999997</v>
      </c>
      <c r="AC46">
        <v>-4.1430585999999998E-2</v>
      </c>
      <c r="AD46">
        <v>3.381576586</v>
      </c>
      <c r="AE46">
        <v>3.331656116</v>
      </c>
      <c r="AF46">
        <v>3.527640232</v>
      </c>
      <c r="AG46">
        <v>3.253046694</v>
      </c>
      <c r="AH46">
        <v>1.169309164</v>
      </c>
      <c r="AI46">
        <v>23.628</v>
      </c>
      <c r="AJ46">
        <v>23.167999999999999</v>
      </c>
      <c r="AK46">
        <v>0.98548689199999995</v>
      </c>
      <c r="AL46">
        <v>0.98548689199999995</v>
      </c>
      <c r="AM46">
        <v>2.0853000000000002</v>
      </c>
      <c r="AN46">
        <v>188.25877539999999</v>
      </c>
      <c r="AO46">
        <v>5.5575920000000001E-2</v>
      </c>
      <c r="AP46">
        <v>5.2665768000000002E-2</v>
      </c>
      <c r="AQ46">
        <v>5.2472589E-2</v>
      </c>
      <c r="AR46">
        <v>6.2453537000000003E-2</v>
      </c>
      <c r="AS46">
        <v>6.1162200999999999E-2</v>
      </c>
    </row>
    <row r="47" spans="1:45" x14ac:dyDescent="0.2">
      <c r="A47" t="s">
        <v>99</v>
      </c>
      <c r="B47" t="s">
        <v>93</v>
      </c>
      <c r="C47" t="s">
        <v>47</v>
      </c>
      <c r="D47">
        <v>0</v>
      </c>
      <c r="E47">
        <v>0</v>
      </c>
      <c r="F47">
        <v>1.6473578999999999E-2</v>
      </c>
      <c r="G47">
        <v>120.8754902</v>
      </c>
      <c r="H47">
        <v>-2.1316666670000002</v>
      </c>
      <c r="I47">
        <v>0.77500000000000002</v>
      </c>
      <c r="J47">
        <v>-0.40248874600000001</v>
      </c>
      <c r="K47">
        <v>-2.15</v>
      </c>
      <c r="L47">
        <v>0.77500000000000002</v>
      </c>
      <c r="M47">
        <v>-2.15</v>
      </c>
      <c r="N47">
        <v>0.77500000000000002</v>
      </c>
      <c r="O47">
        <v>2.0131355609999999</v>
      </c>
      <c r="P47">
        <v>8.2462939999999998E-2</v>
      </c>
      <c r="Q47">
        <v>8.5674470000000006E-3</v>
      </c>
      <c r="R47">
        <v>-1.6512743E-2</v>
      </c>
      <c r="S47">
        <v>1.6473578999999999E-2</v>
      </c>
      <c r="T47">
        <v>113.9243912</v>
      </c>
      <c r="U47">
        <v>-2.161666667</v>
      </c>
      <c r="V47">
        <v>0.76</v>
      </c>
      <c r="W47">
        <v>-0.43380434800000001</v>
      </c>
      <c r="X47">
        <v>-2.1800000000000002</v>
      </c>
      <c r="Y47">
        <v>0.76</v>
      </c>
      <c r="Z47">
        <v>-2.1800000000000002</v>
      </c>
      <c r="AA47">
        <v>0.76</v>
      </c>
      <c r="AB47">
        <v>1.028369565</v>
      </c>
      <c r="AC47">
        <v>-1.6512743E-2</v>
      </c>
      <c r="AD47">
        <v>3.8005189370000001</v>
      </c>
      <c r="AE47">
        <v>4.2588378230000004</v>
      </c>
      <c r="AF47">
        <v>4.07647504</v>
      </c>
      <c r="AG47">
        <v>4.2643046409999998</v>
      </c>
      <c r="AH47">
        <v>1.3499741279999999</v>
      </c>
      <c r="AI47">
        <v>23.524000000000001</v>
      </c>
      <c r="AJ47">
        <v>23.064</v>
      </c>
      <c r="AK47">
        <v>0.98953699500000003</v>
      </c>
      <c r="AL47">
        <v>0.98953699500000003</v>
      </c>
      <c r="AM47">
        <v>2.0381200000000002</v>
      </c>
      <c r="AN47">
        <v>217.3458345</v>
      </c>
      <c r="AO47">
        <v>5.1532326000000003E-2</v>
      </c>
      <c r="AP47">
        <v>5.4547445E-2</v>
      </c>
      <c r="AQ47">
        <v>4.5611856999999999E-2</v>
      </c>
      <c r="AR47">
        <v>6.4051145000000004E-2</v>
      </c>
      <c r="AS47">
        <v>5.5391312999999998E-2</v>
      </c>
    </row>
    <row r="48" spans="1:45" x14ac:dyDescent="0.2">
      <c r="A48" t="s">
        <v>100</v>
      </c>
      <c r="B48" t="s">
        <v>101</v>
      </c>
      <c r="C48" t="s">
        <v>47</v>
      </c>
      <c r="D48">
        <v>197.36</v>
      </c>
      <c r="E48">
        <v>216.42</v>
      </c>
      <c r="F48">
        <v>0.210549295</v>
      </c>
      <c r="G48">
        <v>-3895.168776</v>
      </c>
      <c r="H48">
        <v>-6.3866666670000001</v>
      </c>
      <c r="I48">
        <v>-7.068333333</v>
      </c>
      <c r="J48">
        <v>-7.7105994730000003</v>
      </c>
      <c r="K48">
        <v>-6.3866666670000001</v>
      </c>
      <c r="L48">
        <v>-7.068333333</v>
      </c>
      <c r="M48">
        <v>-6.3866666670000001</v>
      </c>
      <c r="N48">
        <v>-7.068333333</v>
      </c>
      <c r="O48">
        <v>8.2600190569999992</v>
      </c>
      <c r="P48">
        <v>3.5381755000000001E-2</v>
      </c>
      <c r="Q48">
        <v>1.0461981E-2</v>
      </c>
      <c r="R48">
        <v>0.37883129700000001</v>
      </c>
      <c r="S48">
        <v>0.210549295</v>
      </c>
      <c r="T48">
        <v>-3792.3194600000002</v>
      </c>
      <c r="U48">
        <v>-6.4166666670000003</v>
      </c>
      <c r="V48">
        <v>-7.0833333329999997</v>
      </c>
      <c r="W48">
        <v>-7.6630434779999996</v>
      </c>
      <c r="X48">
        <v>-6.4166666670000003</v>
      </c>
      <c r="Y48">
        <v>-7.0833333329999997</v>
      </c>
      <c r="Z48">
        <v>-6.4166666670000003</v>
      </c>
      <c r="AA48">
        <v>-7.0833333329999997</v>
      </c>
      <c r="AB48">
        <v>7.6630434779999996</v>
      </c>
      <c r="AC48">
        <v>0.37883129700000001</v>
      </c>
      <c r="AD48" s="1">
        <v>2.1600000000000001E-6</v>
      </c>
      <c r="AE48" s="1">
        <v>1.8899999999999999E-16</v>
      </c>
      <c r="AF48">
        <v>0.141417021</v>
      </c>
      <c r="AG48">
        <v>1.4600000000000001E-7</v>
      </c>
      <c r="AH48">
        <v>-23.17550645</v>
      </c>
      <c r="AI48">
        <v>23.46</v>
      </c>
      <c r="AJ48">
        <v>23</v>
      </c>
      <c r="AK48" s="1">
        <v>1.3199999999999999E-38</v>
      </c>
      <c r="AL48" s="1">
        <v>1.8299999999999999E-36</v>
      </c>
      <c r="AM48">
        <v>0.51126000000000005</v>
      </c>
      <c r="AN48">
        <v>-5353.5419890000003</v>
      </c>
      <c r="AO48">
        <v>0.217694691</v>
      </c>
      <c r="AP48">
        <v>0.28848784100000002</v>
      </c>
      <c r="AQ48">
        <v>0.32850850700000001</v>
      </c>
      <c r="AR48">
        <v>0.28487843200000001</v>
      </c>
      <c r="AS48">
        <v>0.32547387700000002</v>
      </c>
    </row>
    <row r="49" spans="1:45" x14ac:dyDescent="0.2">
      <c r="A49" t="s">
        <v>102</v>
      </c>
      <c r="B49" t="s">
        <v>101</v>
      </c>
      <c r="C49" t="s">
        <v>47</v>
      </c>
      <c r="D49">
        <v>126.56</v>
      </c>
      <c r="E49">
        <v>180.48</v>
      </c>
      <c r="F49">
        <v>0.17656717999999999</v>
      </c>
      <c r="G49">
        <v>-2286.539452</v>
      </c>
      <c r="H49">
        <v>-8.1133333329999999</v>
      </c>
      <c r="I49">
        <v>-7.9649999999999999</v>
      </c>
      <c r="J49">
        <v>-6.5519587169999998</v>
      </c>
      <c r="K49">
        <v>-8.1133333329999999</v>
      </c>
      <c r="L49">
        <v>-7.9649999999999999</v>
      </c>
      <c r="M49">
        <v>-8.1133333329999999</v>
      </c>
      <c r="N49">
        <v>-7.9649999999999999</v>
      </c>
      <c r="O49">
        <v>6.8001187410000004</v>
      </c>
      <c r="P49">
        <v>3.1132052E-2</v>
      </c>
      <c r="Q49">
        <v>6.7669207999999995E-2</v>
      </c>
      <c r="R49">
        <v>0.20319248600000001</v>
      </c>
      <c r="S49">
        <v>0.17656717999999999</v>
      </c>
      <c r="T49">
        <v>-2205.8690470000001</v>
      </c>
      <c r="U49">
        <v>-8.1433333329999993</v>
      </c>
      <c r="V49">
        <v>-7.98</v>
      </c>
      <c r="W49">
        <v>-6.6160869560000002</v>
      </c>
      <c r="X49">
        <v>-8.1433333329999993</v>
      </c>
      <c r="Y49">
        <v>-7.98</v>
      </c>
      <c r="Z49">
        <v>-8.1433333329999993</v>
      </c>
      <c r="AA49">
        <v>-7.98</v>
      </c>
      <c r="AB49">
        <v>6.6160869560000002</v>
      </c>
      <c r="AC49">
        <v>0.20319248600000001</v>
      </c>
      <c r="AD49">
        <v>5.9899999999999997E-13</v>
      </c>
      <c r="AE49">
        <v>2.4800000000000001E-17</v>
      </c>
      <c r="AF49">
        <v>2.9000000000000002E-6</v>
      </c>
      <c r="AG49">
        <v>1.14E-12</v>
      </c>
      <c r="AH49">
        <v>-9.3977659340000006</v>
      </c>
      <c r="AI49">
        <v>23.46</v>
      </c>
      <c r="AJ49">
        <v>23</v>
      </c>
      <c r="AK49" s="1">
        <v>4.8099999999999998E-14</v>
      </c>
      <c r="AL49" s="1">
        <v>4.8199999999999999E-14</v>
      </c>
      <c r="AM49">
        <v>1.5403199999999999</v>
      </c>
      <c r="AN49">
        <v>-2170.8839309999998</v>
      </c>
      <c r="AO49">
        <v>0.129333268</v>
      </c>
      <c r="AP49">
        <v>0.195970803</v>
      </c>
      <c r="AQ49">
        <v>0.22251232100000001</v>
      </c>
      <c r="AR49">
        <v>0.192827994</v>
      </c>
      <c r="AS49">
        <v>0.21988412500000001</v>
      </c>
    </row>
    <row r="50" spans="1:45" x14ac:dyDescent="0.2">
      <c r="A50" t="s">
        <v>103</v>
      </c>
      <c r="B50" t="s">
        <v>101</v>
      </c>
      <c r="C50" t="s">
        <v>47</v>
      </c>
      <c r="D50">
        <v>1.24</v>
      </c>
      <c r="E50">
        <v>8.24</v>
      </c>
      <c r="F50">
        <v>1.0563700000000001E-3</v>
      </c>
      <c r="G50">
        <v>166.1688303</v>
      </c>
      <c r="H50">
        <v>-0.28999999999999998</v>
      </c>
      <c r="I50">
        <v>7.6666666999999994E-2</v>
      </c>
      <c r="J50">
        <v>-3.9906949999999997E-2</v>
      </c>
      <c r="K50">
        <v>-0.48499999999999999</v>
      </c>
      <c r="L50">
        <v>7.6666666999999994E-2</v>
      </c>
      <c r="M50">
        <v>-0.36</v>
      </c>
      <c r="N50">
        <v>7.6666666999999994E-2</v>
      </c>
      <c r="O50">
        <v>1.234311674</v>
      </c>
      <c r="P50">
        <v>4.8931229E-2</v>
      </c>
      <c r="Q50">
        <v>1.561691E-3</v>
      </c>
      <c r="R50">
        <v>-1.2164424E-2</v>
      </c>
      <c r="S50">
        <v>1.0563700000000001E-3</v>
      </c>
      <c r="T50">
        <v>96.038937129999994</v>
      </c>
      <c r="U50">
        <v>-0.32</v>
      </c>
      <c r="V50">
        <v>6.1666667000000001E-2</v>
      </c>
      <c r="W50">
        <v>-6.5615941999999997E-2</v>
      </c>
      <c r="X50">
        <v>-0.51500000000000001</v>
      </c>
      <c r="Y50">
        <v>6.1666667000000001E-2</v>
      </c>
      <c r="Z50">
        <v>-0.43666666700000001</v>
      </c>
      <c r="AA50">
        <v>6.1666667000000001E-2</v>
      </c>
      <c r="AB50">
        <v>0.83597826099999994</v>
      </c>
      <c r="AC50">
        <v>-1.2164424E-2</v>
      </c>
      <c r="AD50">
        <v>6.5581787350000003</v>
      </c>
      <c r="AE50">
        <v>6.6033064100000001</v>
      </c>
      <c r="AF50">
        <v>8.4162031499999994</v>
      </c>
      <c r="AG50">
        <v>8.9268458820000003</v>
      </c>
      <c r="AH50">
        <v>1.784479296</v>
      </c>
      <c r="AI50">
        <v>24.42</v>
      </c>
      <c r="AJ50">
        <v>23.96</v>
      </c>
      <c r="AK50">
        <v>0.26030518800000002</v>
      </c>
      <c r="AL50">
        <v>0.47912670299999999</v>
      </c>
      <c r="AM50">
        <v>3.5756999999999999</v>
      </c>
      <c r="AN50">
        <v>412.21471730000002</v>
      </c>
      <c r="AO50">
        <v>3.8606741999999999E-2</v>
      </c>
      <c r="AP50">
        <v>3.8127070999999998E-2</v>
      </c>
      <c r="AQ50">
        <v>3.6795478E-2</v>
      </c>
      <c r="AR50">
        <v>5.6114828999999998E-2</v>
      </c>
      <c r="AS50">
        <v>5.4746282E-2</v>
      </c>
    </row>
    <row r="51" spans="1:45" x14ac:dyDescent="0.2">
      <c r="A51" t="s">
        <v>104</v>
      </c>
      <c r="B51" t="s">
        <v>105</v>
      </c>
      <c r="C51" t="s">
        <v>47</v>
      </c>
      <c r="D51">
        <v>14.92</v>
      </c>
      <c r="E51">
        <v>55</v>
      </c>
      <c r="F51">
        <v>2.4697522E-2</v>
      </c>
      <c r="G51">
        <v>101.5138841</v>
      </c>
      <c r="H51">
        <v>-2.625</v>
      </c>
      <c r="I51">
        <v>-0.83333333300000001</v>
      </c>
      <c r="J51">
        <v>-0.57170042799999998</v>
      </c>
      <c r="K51">
        <v>-2.625</v>
      </c>
      <c r="L51">
        <v>-0.83333333300000001</v>
      </c>
      <c r="M51">
        <v>-2.625</v>
      </c>
      <c r="N51">
        <v>-0.83333333300000001</v>
      </c>
      <c r="O51">
        <v>2.2713735540000002</v>
      </c>
      <c r="P51">
        <v>5.3218024000000003E-2</v>
      </c>
      <c r="Q51">
        <v>3.7663725000000002E-2</v>
      </c>
      <c r="R51">
        <v>-2.3892646E-2</v>
      </c>
      <c r="S51">
        <v>2.4697522E-2</v>
      </c>
      <c r="T51">
        <v>87.69710757</v>
      </c>
      <c r="U51">
        <v>-2.6549999999999998</v>
      </c>
      <c r="V51">
        <v>-0.84833333300000002</v>
      </c>
      <c r="W51">
        <v>-0.63275362300000004</v>
      </c>
      <c r="X51">
        <v>-2.6549999999999998</v>
      </c>
      <c r="Y51">
        <v>-0.84833333300000002</v>
      </c>
      <c r="Z51">
        <v>-2.6549999999999998</v>
      </c>
      <c r="AA51">
        <v>-0.84833333300000002</v>
      </c>
      <c r="AB51">
        <v>1.1684057969999999</v>
      </c>
      <c r="AC51">
        <v>-2.3892646E-2</v>
      </c>
      <c r="AD51">
        <v>3.8431833219999998</v>
      </c>
      <c r="AE51">
        <v>6.1911984169999998</v>
      </c>
      <c r="AF51">
        <v>3.9505973860000001</v>
      </c>
      <c r="AG51">
        <v>6.6059325050000002</v>
      </c>
      <c r="AH51">
        <v>0.93194973999999997</v>
      </c>
      <c r="AI51">
        <v>23.52</v>
      </c>
      <c r="AJ51">
        <v>23.06</v>
      </c>
      <c r="AK51">
        <v>0.119558134</v>
      </c>
      <c r="AL51">
        <v>0.17522253099999999</v>
      </c>
      <c r="AM51">
        <v>1.7137800000000001</v>
      </c>
      <c r="AN51">
        <v>131.4049133</v>
      </c>
      <c r="AO51">
        <v>7.5301982000000003E-2</v>
      </c>
      <c r="AP51">
        <v>6.7211365999999995E-2</v>
      </c>
      <c r="AQ51">
        <v>5.8582723000000003E-2</v>
      </c>
      <c r="AR51">
        <v>7.1939919000000005E-2</v>
      </c>
      <c r="AS51">
        <v>6.0962331000000002E-2</v>
      </c>
    </row>
    <row r="52" spans="1:45" x14ac:dyDescent="0.2">
      <c r="A52" t="s">
        <v>106</v>
      </c>
      <c r="B52" t="s">
        <v>105</v>
      </c>
      <c r="C52" t="s">
        <v>47</v>
      </c>
      <c r="D52">
        <v>74.22</v>
      </c>
      <c r="E52">
        <v>111.9</v>
      </c>
      <c r="F52">
        <v>3.3343694E-2</v>
      </c>
      <c r="G52">
        <v>21.119403640000002</v>
      </c>
      <c r="H52">
        <v>-3.233333333</v>
      </c>
      <c r="I52">
        <v>-0.94666666700000002</v>
      </c>
      <c r="J52">
        <v>-0.71876646899999996</v>
      </c>
      <c r="K52">
        <v>-3.233333333</v>
      </c>
      <c r="L52">
        <v>-0.94666666700000002</v>
      </c>
      <c r="M52">
        <v>-3.233333333</v>
      </c>
      <c r="N52">
        <v>-0.94666666700000002</v>
      </c>
      <c r="O52">
        <v>2.8189899700000001</v>
      </c>
      <c r="P52">
        <v>4.5979126000000002E-2</v>
      </c>
      <c r="Q52">
        <v>7.1006214999999998E-2</v>
      </c>
      <c r="R52">
        <v>-3.2180272000000003E-2</v>
      </c>
      <c r="S52">
        <v>3.3343694E-2</v>
      </c>
      <c r="T52">
        <v>9.4527194899999998</v>
      </c>
      <c r="U52">
        <v>-3.2633333329999998</v>
      </c>
      <c r="V52">
        <v>-0.96166666700000003</v>
      </c>
      <c r="W52">
        <v>-0.79605072399999999</v>
      </c>
      <c r="X52">
        <v>-3.2633333329999998</v>
      </c>
      <c r="Y52">
        <v>-0.96166666700000003</v>
      </c>
      <c r="Z52">
        <v>-3.2633333329999998</v>
      </c>
      <c r="AA52">
        <v>-0.96166666700000003</v>
      </c>
      <c r="AB52">
        <v>1.2166304349999999</v>
      </c>
      <c r="AC52">
        <v>-3.2180272000000003E-2</v>
      </c>
      <c r="AD52">
        <v>3.0965839769999999</v>
      </c>
      <c r="AE52">
        <v>6.2713801079999998</v>
      </c>
      <c r="AF52">
        <v>3.1454830290000002</v>
      </c>
      <c r="AG52">
        <v>6.8164367050000001</v>
      </c>
      <c r="AH52">
        <v>-1.1191204690000001</v>
      </c>
      <c r="AI52">
        <v>23.48</v>
      </c>
      <c r="AJ52">
        <v>23.02</v>
      </c>
      <c r="AK52" s="1">
        <v>1.1600000000000001E-5</v>
      </c>
      <c r="AL52">
        <v>2.0397899999999999E-4</v>
      </c>
      <c r="AM52">
        <v>1.2994600000000001</v>
      </c>
      <c r="AN52">
        <v>-157.79598609999999</v>
      </c>
      <c r="AO52">
        <v>0.10933348499999999</v>
      </c>
      <c r="AP52">
        <v>8.1667113E-2</v>
      </c>
      <c r="AQ52">
        <v>6.6229954999999993E-2</v>
      </c>
      <c r="AR52">
        <v>8.4835279999999999E-2</v>
      </c>
      <c r="AS52">
        <v>6.7780293000000005E-2</v>
      </c>
    </row>
    <row r="53" spans="1:45" x14ac:dyDescent="0.2">
      <c r="A53" t="s">
        <v>107</v>
      </c>
      <c r="B53" t="s">
        <v>105</v>
      </c>
      <c r="C53" t="s">
        <v>47</v>
      </c>
      <c r="D53">
        <v>15.88</v>
      </c>
      <c r="E53">
        <v>50.44</v>
      </c>
      <c r="F53">
        <v>3.2862186000000002E-2</v>
      </c>
      <c r="G53">
        <v>95.343910539999996</v>
      </c>
      <c r="H53">
        <v>-2.9183333330000001</v>
      </c>
      <c r="I53">
        <v>-1.088333333</v>
      </c>
      <c r="J53">
        <v>-0.89672650399999998</v>
      </c>
      <c r="K53">
        <v>-2.9183333330000001</v>
      </c>
      <c r="L53">
        <v>-1.088333333</v>
      </c>
      <c r="M53">
        <v>-2.9183333330000001</v>
      </c>
      <c r="N53">
        <v>-1.088333333</v>
      </c>
      <c r="O53">
        <v>2.4005208960000002</v>
      </c>
      <c r="P53">
        <v>5.5762608999999998E-2</v>
      </c>
      <c r="Q53">
        <v>4.2981444000000001E-2</v>
      </c>
      <c r="R53">
        <v>-1.4993505000000001E-2</v>
      </c>
      <c r="S53">
        <v>3.2862186000000002E-2</v>
      </c>
      <c r="T53">
        <v>81.284632439999996</v>
      </c>
      <c r="U53">
        <v>-2.9483333329999999</v>
      </c>
      <c r="V53">
        <v>-1.1033333329999999</v>
      </c>
      <c r="W53">
        <v>-0.94228260900000005</v>
      </c>
      <c r="X53">
        <v>-2.9483333329999999</v>
      </c>
      <c r="Y53">
        <v>-1.1033333329999999</v>
      </c>
      <c r="Z53">
        <v>-2.9483333329999999</v>
      </c>
      <c r="AA53">
        <v>-1.1033333329999999</v>
      </c>
      <c r="AB53">
        <v>1.304601449</v>
      </c>
      <c r="AC53">
        <v>-1.4993505000000001E-2</v>
      </c>
      <c r="AD53">
        <v>3.4959809719999999</v>
      </c>
      <c r="AE53">
        <v>5.642175387</v>
      </c>
      <c r="AF53">
        <v>3.6127635059999998</v>
      </c>
      <c r="AG53">
        <v>6.1625626699999998</v>
      </c>
      <c r="AH53">
        <v>0.89340738099999994</v>
      </c>
      <c r="AI53">
        <v>23.48</v>
      </c>
      <c r="AJ53">
        <v>23.02</v>
      </c>
      <c r="AK53">
        <v>0.152341791</v>
      </c>
      <c r="AL53">
        <v>0.20295656500000001</v>
      </c>
      <c r="AM53">
        <v>1.84836</v>
      </c>
      <c r="AN53">
        <v>125.97044080000001</v>
      </c>
      <c r="AO53">
        <v>7.8508153999999997E-2</v>
      </c>
      <c r="AP53">
        <v>7.0131463000000005E-2</v>
      </c>
      <c r="AQ53">
        <v>5.9509158999999999E-2</v>
      </c>
      <c r="AR53">
        <v>7.4798982999999999E-2</v>
      </c>
      <c r="AS53">
        <v>6.1934508999999999E-2</v>
      </c>
    </row>
    <row r="54" spans="1:45" x14ac:dyDescent="0.2">
      <c r="A54" t="s">
        <v>108</v>
      </c>
      <c r="B54" t="s">
        <v>105</v>
      </c>
      <c r="C54" t="s">
        <v>47</v>
      </c>
      <c r="D54">
        <v>14.64</v>
      </c>
      <c r="E54">
        <v>55.64</v>
      </c>
      <c r="F54">
        <v>2.4204059E-2</v>
      </c>
      <c r="G54">
        <v>104.46543149999999</v>
      </c>
      <c r="H54">
        <v>-2.5666666669999998</v>
      </c>
      <c r="I54">
        <v>-0.86333333300000004</v>
      </c>
      <c r="J54">
        <v>-0.53965195399999999</v>
      </c>
      <c r="K54">
        <v>-2.5666666669999998</v>
      </c>
      <c r="L54">
        <v>-0.86333333300000004</v>
      </c>
      <c r="M54">
        <v>-2.5666666669999998</v>
      </c>
      <c r="N54">
        <v>-0.86333333300000004</v>
      </c>
      <c r="O54">
        <v>2.206043218</v>
      </c>
      <c r="P54">
        <v>5.2307120999999998E-2</v>
      </c>
      <c r="Q54">
        <v>3.7044374999999997E-2</v>
      </c>
      <c r="R54">
        <v>-2.334833E-2</v>
      </c>
      <c r="S54">
        <v>2.4204059E-2</v>
      </c>
      <c r="T54">
        <v>90.586890949999997</v>
      </c>
      <c r="U54">
        <v>-2.596666667</v>
      </c>
      <c r="V54">
        <v>-0.87833333300000005</v>
      </c>
      <c r="W54">
        <v>-0.59985507199999999</v>
      </c>
      <c r="X54">
        <v>-2.596666667</v>
      </c>
      <c r="Y54">
        <v>-0.87833333300000005</v>
      </c>
      <c r="Z54">
        <v>-2.596666667</v>
      </c>
      <c r="AA54">
        <v>-0.87833333300000005</v>
      </c>
      <c r="AB54">
        <v>1.160652174</v>
      </c>
      <c r="AC54">
        <v>-2.334833E-2</v>
      </c>
      <c r="AD54">
        <v>3.8445212350000002</v>
      </c>
      <c r="AE54">
        <v>6.1606031899999998</v>
      </c>
      <c r="AF54">
        <v>3.9640616299999998</v>
      </c>
      <c r="AG54">
        <v>6.5675975869999998</v>
      </c>
      <c r="AH54">
        <v>0.95233674099999999</v>
      </c>
      <c r="AI54">
        <v>23.56</v>
      </c>
      <c r="AJ54">
        <v>23.1</v>
      </c>
      <c r="AK54">
        <v>8.5932359999999999E-2</v>
      </c>
      <c r="AL54">
        <v>0.14255139999999999</v>
      </c>
      <c r="AM54">
        <v>1.6298999999999999</v>
      </c>
      <c r="AN54">
        <v>134.27948050000001</v>
      </c>
      <c r="AO54">
        <v>7.3740592999999993E-2</v>
      </c>
      <c r="AP54">
        <v>6.6162572000000003E-2</v>
      </c>
      <c r="AQ54">
        <v>5.8107521000000002E-2</v>
      </c>
      <c r="AR54">
        <v>7.0940511999999997E-2</v>
      </c>
      <c r="AS54">
        <v>6.0474134999999998E-2</v>
      </c>
    </row>
    <row r="55" spans="1:45" x14ac:dyDescent="0.2">
      <c r="A55" t="s">
        <v>109</v>
      </c>
      <c r="B55" t="s">
        <v>105</v>
      </c>
      <c r="C55" t="s">
        <v>47</v>
      </c>
      <c r="D55">
        <v>17.02</v>
      </c>
      <c r="E55">
        <v>59.38</v>
      </c>
      <c r="F55">
        <v>2.8462458999999999E-2</v>
      </c>
      <c r="G55">
        <v>89.677115790000002</v>
      </c>
      <c r="H55">
        <v>-2.8883333329999998</v>
      </c>
      <c r="I55">
        <v>-1.163333333</v>
      </c>
      <c r="J55">
        <v>-0.69082427499999999</v>
      </c>
      <c r="K55">
        <v>-2.8883333329999998</v>
      </c>
      <c r="L55">
        <v>-1.163333333</v>
      </c>
      <c r="M55">
        <v>-2.8883333329999998</v>
      </c>
      <c r="N55">
        <v>-1.163333333</v>
      </c>
      <c r="O55">
        <v>2.5549069229999999</v>
      </c>
      <c r="P55">
        <v>5.2950218E-2</v>
      </c>
      <c r="Q55">
        <v>3.5933495000000003E-2</v>
      </c>
      <c r="R55">
        <v>-2.7630024E-2</v>
      </c>
      <c r="S55">
        <v>2.8462458999999999E-2</v>
      </c>
      <c r="T55">
        <v>62.261843429999999</v>
      </c>
      <c r="U55">
        <v>-2.9183333330000001</v>
      </c>
      <c r="V55">
        <v>-1.1783333330000001</v>
      </c>
      <c r="W55">
        <v>-0.75623188399999997</v>
      </c>
      <c r="X55">
        <v>-2.9183333330000001</v>
      </c>
      <c r="Y55">
        <v>-1.1783333330000001</v>
      </c>
      <c r="Z55">
        <v>-2.9183333330000001</v>
      </c>
      <c r="AA55">
        <v>-1.1783333330000001</v>
      </c>
      <c r="AB55">
        <v>1.2937681160000001</v>
      </c>
      <c r="AC55">
        <v>-2.7630024E-2</v>
      </c>
      <c r="AD55">
        <v>4.2403380300000002</v>
      </c>
      <c r="AE55">
        <v>5.4181003700000003</v>
      </c>
      <c r="AF55">
        <v>3.9954458530000001</v>
      </c>
      <c r="AG55">
        <v>6.0955682419999997</v>
      </c>
      <c r="AH55">
        <v>0.77038666099999997</v>
      </c>
      <c r="AI55">
        <v>23.56</v>
      </c>
      <c r="AJ55">
        <v>23.1</v>
      </c>
      <c r="AK55">
        <v>2.2467833999999999E-2</v>
      </c>
      <c r="AL55">
        <v>7.2729399E-2</v>
      </c>
      <c r="AM55">
        <v>2.7182200000000001</v>
      </c>
      <c r="AN55">
        <v>108.62451919999999</v>
      </c>
      <c r="AO55">
        <v>8.0269842999999994E-2</v>
      </c>
      <c r="AP55">
        <v>7.2889071E-2</v>
      </c>
      <c r="AQ55">
        <v>5.9072617000000001E-2</v>
      </c>
      <c r="AR55">
        <v>8.0800210999999997E-2</v>
      </c>
      <c r="AS55">
        <v>6.5767105000000006E-2</v>
      </c>
    </row>
    <row r="56" spans="1:45" x14ac:dyDescent="0.2">
      <c r="A56" t="s">
        <v>110</v>
      </c>
      <c r="B56" t="s">
        <v>105</v>
      </c>
      <c r="C56" t="s">
        <v>47</v>
      </c>
      <c r="D56">
        <v>71.94</v>
      </c>
      <c r="E56">
        <v>114.14</v>
      </c>
      <c r="F56">
        <v>3.4201796E-2</v>
      </c>
      <c r="G56">
        <v>25.847130780000001</v>
      </c>
      <c r="H56">
        <v>-3.7883333330000002</v>
      </c>
      <c r="I56">
        <v>-1.0916666669999999</v>
      </c>
      <c r="J56">
        <v>-0.92943373900000004</v>
      </c>
      <c r="K56">
        <v>-3.7883333330000002</v>
      </c>
      <c r="L56">
        <v>-1.0916666669999999</v>
      </c>
      <c r="M56">
        <v>-3.7883333330000002</v>
      </c>
      <c r="N56">
        <v>-1.0916666669999999</v>
      </c>
      <c r="O56">
        <v>3.1931173319999999</v>
      </c>
      <c r="P56">
        <v>4.4853236999999997E-2</v>
      </c>
      <c r="Q56">
        <v>7.2461671000000005E-2</v>
      </c>
      <c r="R56">
        <v>-3.4021307000000001E-2</v>
      </c>
      <c r="S56">
        <v>3.4201796E-2</v>
      </c>
      <c r="T56">
        <v>-0.70653417100000004</v>
      </c>
      <c r="U56">
        <v>-3.818333333</v>
      </c>
      <c r="V56">
        <v>-1.106666667</v>
      </c>
      <c r="W56">
        <v>-1.0144202899999999</v>
      </c>
      <c r="X56">
        <v>-3.818333333</v>
      </c>
      <c r="Y56">
        <v>-1.106666667</v>
      </c>
      <c r="Z56">
        <v>-3.818333333</v>
      </c>
      <c r="AA56">
        <v>-1.106666667</v>
      </c>
      <c r="AB56">
        <v>1.3883333330000001</v>
      </c>
      <c r="AC56">
        <v>-3.4021307000000001E-2</v>
      </c>
      <c r="AD56">
        <v>2.9340040840000001</v>
      </c>
      <c r="AE56">
        <v>5.8302079249999998</v>
      </c>
      <c r="AF56">
        <v>3.2037283759999999</v>
      </c>
      <c r="AG56">
        <v>6.5643439890000002</v>
      </c>
      <c r="AH56">
        <v>-2.140787429</v>
      </c>
      <c r="AI56">
        <v>23.46</v>
      </c>
      <c r="AJ56">
        <v>23</v>
      </c>
      <c r="AK56" s="1">
        <v>1.3199999999999999E-7</v>
      </c>
      <c r="AL56" s="1">
        <v>4.3300000000000002E-5</v>
      </c>
      <c r="AM56">
        <v>1.38384</v>
      </c>
      <c r="AN56">
        <v>-301.85102740000002</v>
      </c>
      <c r="AO56">
        <v>0.113192736</v>
      </c>
      <c r="AP56">
        <v>8.2685554999999994E-2</v>
      </c>
      <c r="AQ56">
        <v>6.6996212999999999E-2</v>
      </c>
      <c r="AR56">
        <v>8.9021919000000005E-2</v>
      </c>
      <c r="AS56">
        <v>7.2452613999999999E-2</v>
      </c>
    </row>
    <row r="57" spans="1:45" x14ac:dyDescent="0.2">
      <c r="A57" t="s">
        <v>111</v>
      </c>
      <c r="B57" t="s">
        <v>105</v>
      </c>
      <c r="C57" t="s">
        <v>47</v>
      </c>
      <c r="D57">
        <v>8.34</v>
      </c>
      <c r="E57">
        <v>43.08</v>
      </c>
      <c r="F57">
        <v>2.6216792999999999E-2</v>
      </c>
      <c r="G57">
        <v>100.2020928</v>
      </c>
      <c r="H57">
        <v>-2.9266666670000001</v>
      </c>
      <c r="I57">
        <v>-0.87166666699999995</v>
      </c>
      <c r="J57">
        <v>-0.73025581900000003</v>
      </c>
      <c r="K57">
        <v>-2.9266666670000001</v>
      </c>
      <c r="L57">
        <v>-0.87166666699999995</v>
      </c>
      <c r="M57">
        <v>-2.9266666670000001</v>
      </c>
      <c r="N57">
        <v>-0.87166666699999995</v>
      </c>
      <c r="O57">
        <v>2.5076291429999999</v>
      </c>
      <c r="P57">
        <v>5.4669181999999997E-2</v>
      </c>
      <c r="Q57">
        <v>3.3095389000000003E-2</v>
      </c>
      <c r="R57">
        <v>-2.5910999000000001E-2</v>
      </c>
      <c r="S57">
        <v>2.6216792999999999E-2</v>
      </c>
      <c r="T57">
        <v>73.484373959999999</v>
      </c>
      <c r="U57">
        <v>-2.9566666669999999</v>
      </c>
      <c r="V57">
        <v>-0.88666666699999996</v>
      </c>
      <c r="W57">
        <v>-0.77887681099999995</v>
      </c>
      <c r="X57">
        <v>-2.9566666669999999</v>
      </c>
      <c r="Y57">
        <v>-0.88666666699999996</v>
      </c>
      <c r="Z57">
        <v>-2.9566666669999999</v>
      </c>
      <c r="AA57">
        <v>-0.88666666699999996</v>
      </c>
      <c r="AB57">
        <v>1.295688406</v>
      </c>
      <c r="AC57">
        <v>-2.5910999000000001E-2</v>
      </c>
      <c r="AD57">
        <v>3.8322981729999999</v>
      </c>
      <c r="AE57">
        <v>5.9298045950000002</v>
      </c>
      <c r="AF57">
        <v>3.8283676980000001</v>
      </c>
      <c r="AG57">
        <v>6.5441337419999996</v>
      </c>
      <c r="AH57">
        <v>1.0744365950000001</v>
      </c>
      <c r="AI57">
        <v>23.52</v>
      </c>
      <c r="AJ57">
        <v>23.06</v>
      </c>
      <c r="AK57">
        <v>0.219867913</v>
      </c>
      <c r="AL57">
        <v>0.279671895</v>
      </c>
      <c r="AM57">
        <v>1.8809</v>
      </c>
      <c r="AN57">
        <v>151.49555989999999</v>
      </c>
      <c r="AO57">
        <v>6.9864939000000001E-2</v>
      </c>
      <c r="AP57">
        <v>6.8233767000000001E-2</v>
      </c>
      <c r="AQ57">
        <v>5.7310886999999998E-2</v>
      </c>
      <c r="AR57">
        <v>7.6748446999999997E-2</v>
      </c>
      <c r="AS57">
        <v>6.4262167999999995E-2</v>
      </c>
    </row>
    <row r="58" spans="1:45" x14ac:dyDescent="0.2">
      <c r="A58" t="s">
        <v>112</v>
      </c>
      <c r="B58" t="s">
        <v>105</v>
      </c>
      <c r="C58" t="s">
        <v>47</v>
      </c>
      <c r="D58">
        <v>14.46</v>
      </c>
      <c r="E58">
        <v>52.78</v>
      </c>
      <c r="F58">
        <v>2.7428198000000001E-2</v>
      </c>
      <c r="G58">
        <v>93.496065999999999</v>
      </c>
      <c r="H58">
        <v>-2.8833333329999999</v>
      </c>
      <c r="I58">
        <v>-0.931666667</v>
      </c>
      <c r="J58">
        <v>-0.69568936599999998</v>
      </c>
      <c r="K58">
        <v>-2.8833333329999999</v>
      </c>
      <c r="L58">
        <v>-0.931666667</v>
      </c>
      <c r="M58">
        <v>-2.8833333329999999</v>
      </c>
      <c r="N58">
        <v>-0.931666667</v>
      </c>
      <c r="O58">
        <v>2.6286691129999999</v>
      </c>
      <c r="P58">
        <v>5.1495025999999999E-2</v>
      </c>
      <c r="Q58">
        <v>3.4816607999999999E-2</v>
      </c>
      <c r="R58">
        <v>-2.7447725999999999E-2</v>
      </c>
      <c r="S58">
        <v>2.7428198000000001E-2</v>
      </c>
      <c r="T58">
        <v>64.845358379999993</v>
      </c>
      <c r="U58">
        <v>-2.9133333330000002</v>
      </c>
      <c r="V58">
        <v>-0.94666666700000002</v>
      </c>
      <c r="W58">
        <v>-0.76376811600000005</v>
      </c>
      <c r="X58">
        <v>-2.9133333330000002</v>
      </c>
      <c r="Y58">
        <v>-0.94666666700000002</v>
      </c>
      <c r="Z58">
        <v>-2.9133333330000002</v>
      </c>
      <c r="AA58">
        <v>-0.94666666700000002</v>
      </c>
      <c r="AB58">
        <v>1.3171014489999999</v>
      </c>
      <c r="AC58">
        <v>-2.7447725999999999E-2</v>
      </c>
      <c r="AD58">
        <v>3.9008272509999999</v>
      </c>
      <c r="AE58">
        <v>5.7726303640000003</v>
      </c>
      <c r="AF58">
        <v>3.864797045</v>
      </c>
      <c r="AG58">
        <v>6.4255999829999997</v>
      </c>
      <c r="AH58">
        <v>0.86879517100000003</v>
      </c>
      <c r="AI58">
        <v>23.62</v>
      </c>
      <c r="AJ58">
        <v>23.16</v>
      </c>
      <c r="AK58">
        <v>5.5789177000000002E-2</v>
      </c>
      <c r="AL58">
        <v>0.115156598</v>
      </c>
      <c r="AM58">
        <v>1.8167199999999999</v>
      </c>
      <c r="AN58">
        <v>122.50011910000001</v>
      </c>
      <c r="AO58">
        <v>7.4563144999999997E-2</v>
      </c>
      <c r="AP58">
        <v>7.1663968999999994E-2</v>
      </c>
      <c r="AQ58">
        <v>5.7636400999999997E-2</v>
      </c>
      <c r="AR58">
        <v>7.9691763999999998E-2</v>
      </c>
      <c r="AS58">
        <v>6.4438449999999994E-2</v>
      </c>
    </row>
    <row r="59" spans="1:45" x14ac:dyDescent="0.2">
      <c r="A59" t="s">
        <v>113</v>
      </c>
      <c r="B59" t="s">
        <v>114</v>
      </c>
      <c r="C59" t="s">
        <v>47</v>
      </c>
      <c r="D59">
        <v>0</v>
      </c>
      <c r="E59">
        <v>1.08</v>
      </c>
      <c r="F59">
        <v>-3.6072076000000002E-2</v>
      </c>
      <c r="G59">
        <v>47.78544187</v>
      </c>
      <c r="H59">
        <v>2.96</v>
      </c>
      <c r="I59">
        <v>3.55</v>
      </c>
      <c r="J59">
        <v>1.6418599039999999</v>
      </c>
      <c r="K59">
        <v>2.96</v>
      </c>
      <c r="L59">
        <v>3.55</v>
      </c>
      <c r="M59">
        <v>2.96</v>
      </c>
      <c r="N59">
        <v>3.55</v>
      </c>
      <c r="O59">
        <v>2.3223899650000002</v>
      </c>
      <c r="P59">
        <v>0.135107217</v>
      </c>
      <c r="Q59">
        <v>-1.9638294000000001E-2</v>
      </c>
      <c r="R59">
        <v>-3.6945637000000003E-2</v>
      </c>
      <c r="S59">
        <v>-3.6072076000000002E-2</v>
      </c>
      <c r="T59">
        <v>47.704386550000002</v>
      </c>
      <c r="U59">
        <v>2.93</v>
      </c>
      <c r="V59">
        <v>3.5350000000000001</v>
      </c>
      <c r="W59">
        <v>1.688115942</v>
      </c>
      <c r="X59">
        <v>2.93</v>
      </c>
      <c r="Y59">
        <v>3.5350000000000001</v>
      </c>
      <c r="Z59">
        <v>2.93</v>
      </c>
      <c r="AA59">
        <v>3.5350000000000001</v>
      </c>
      <c r="AB59">
        <v>1.688115942</v>
      </c>
      <c r="AC59">
        <v>-3.6945637000000003E-2</v>
      </c>
      <c r="AD59">
        <v>1.8777773440000001</v>
      </c>
      <c r="AE59">
        <v>1.4127123269999999</v>
      </c>
      <c r="AF59">
        <v>1.866949674</v>
      </c>
      <c r="AG59">
        <v>1.4126494199999999</v>
      </c>
      <c r="AH59">
        <v>1.016738696</v>
      </c>
      <c r="AI59">
        <v>23.52</v>
      </c>
      <c r="AJ59">
        <v>23.06</v>
      </c>
      <c r="AK59">
        <v>0.88013574900000002</v>
      </c>
      <c r="AL59">
        <v>0.89283803399999995</v>
      </c>
      <c r="AM59">
        <v>1.47976</v>
      </c>
      <c r="AN59">
        <v>232.83316139999999</v>
      </c>
      <c r="AO59">
        <v>5.2210877000000003E-2</v>
      </c>
      <c r="AP59">
        <v>6.2336888999999999E-2</v>
      </c>
      <c r="AQ59">
        <v>7.1397250999999995E-2</v>
      </c>
      <c r="AR59">
        <v>6.2797827000000001E-2</v>
      </c>
      <c r="AS59">
        <v>7.1626561000000005E-2</v>
      </c>
    </row>
    <row r="60" spans="1:45" x14ac:dyDescent="0.2">
      <c r="A60" t="s">
        <v>115</v>
      </c>
      <c r="B60" t="s">
        <v>114</v>
      </c>
      <c r="C60" t="s">
        <v>47</v>
      </c>
      <c r="D60">
        <v>0</v>
      </c>
      <c r="E60">
        <v>0.02</v>
      </c>
      <c r="F60">
        <v>1.9573045000000001E-2</v>
      </c>
      <c r="G60">
        <v>134.0040372</v>
      </c>
      <c r="H60">
        <v>1.488611111</v>
      </c>
      <c r="I60">
        <v>-7.4166667000000006E-2</v>
      </c>
      <c r="J60">
        <v>-0.61941937499999999</v>
      </c>
      <c r="K60">
        <v>1.231666667</v>
      </c>
      <c r="L60">
        <v>-0.168333333</v>
      </c>
      <c r="M60">
        <v>1.671666667</v>
      </c>
      <c r="N60">
        <v>-0.13666666699999999</v>
      </c>
      <c r="O60">
        <v>1.5788768710000001</v>
      </c>
      <c r="P60">
        <v>5.3842202999999998E-2</v>
      </c>
      <c r="Q60">
        <v>6.8125590000000001E-3</v>
      </c>
      <c r="R60">
        <v>4.7011999999999998E-2</v>
      </c>
      <c r="S60">
        <v>1.9573045000000001E-2</v>
      </c>
      <c r="T60">
        <v>105.4431838</v>
      </c>
      <c r="U60">
        <v>1.458611111</v>
      </c>
      <c r="V60">
        <v>-8.9166667000000005E-2</v>
      </c>
      <c r="W60">
        <v>-0.61676328499999999</v>
      </c>
      <c r="X60">
        <v>1.201666667</v>
      </c>
      <c r="Y60">
        <v>-0.18333333299999999</v>
      </c>
      <c r="Z60">
        <v>1.3633333329999999</v>
      </c>
      <c r="AA60">
        <v>-0.18333333299999999</v>
      </c>
      <c r="AB60">
        <v>1.1392512079999999</v>
      </c>
      <c r="AC60">
        <v>4.7011999999999998E-2</v>
      </c>
      <c r="AD60">
        <v>4.4774801249999996</v>
      </c>
      <c r="AE60">
        <v>4.8188453889999998</v>
      </c>
      <c r="AF60">
        <v>5.132494232</v>
      </c>
      <c r="AG60">
        <v>5.9147000070000004</v>
      </c>
      <c r="AH60">
        <v>1.5897526959999999</v>
      </c>
      <c r="AI60">
        <v>26.393999999999998</v>
      </c>
      <c r="AJ60">
        <v>25.893999999999998</v>
      </c>
      <c r="AK60">
        <v>0.94857403900000004</v>
      </c>
      <c r="AL60">
        <v>0.96321188000000002</v>
      </c>
      <c r="AM60">
        <v>6.0382999999999996</v>
      </c>
      <c r="AN60">
        <v>349.74559319999997</v>
      </c>
      <c r="AO60">
        <v>4.6759489000000001E-2</v>
      </c>
      <c r="AP60">
        <v>5.1608568E-2</v>
      </c>
      <c r="AQ60">
        <v>5.4688149999999998E-2</v>
      </c>
      <c r="AR60">
        <v>7.0830687000000003E-2</v>
      </c>
      <c r="AS60">
        <v>7.2579751999999997E-2</v>
      </c>
    </row>
    <row r="61" spans="1:45" x14ac:dyDescent="0.2">
      <c r="A61" t="s">
        <v>116</v>
      </c>
      <c r="B61" t="s">
        <v>114</v>
      </c>
      <c r="C61" t="s">
        <v>47</v>
      </c>
      <c r="D61">
        <v>0</v>
      </c>
      <c r="E61">
        <v>0.06</v>
      </c>
      <c r="F61">
        <v>2.1700770000000001E-2</v>
      </c>
      <c r="G61">
        <v>131.97087529999999</v>
      </c>
      <c r="H61">
        <v>1.7391666670000001</v>
      </c>
      <c r="I61">
        <v>0.18666666700000001</v>
      </c>
      <c r="J61">
        <v>-0.68600598400000001</v>
      </c>
      <c r="K61">
        <v>1.63</v>
      </c>
      <c r="L61">
        <v>0.18666666700000001</v>
      </c>
      <c r="M61">
        <v>1.848333333</v>
      </c>
      <c r="N61">
        <v>0.18666666700000001</v>
      </c>
      <c r="O61">
        <v>1.7777580609999999</v>
      </c>
      <c r="P61">
        <v>5.5419841999999997E-2</v>
      </c>
      <c r="Q61">
        <v>7.5210470000000003E-3</v>
      </c>
      <c r="R61">
        <v>5.3824374000000001E-2</v>
      </c>
      <c r="S61">
        <v>2.1700770000000001E-2</v>
      </c>
      <c r="T61">
        <v>104.3725239</v>
      </c>
      <c r="U61">
        <v>1.7091666670000001</v>
      </c>
      <c r="V61">
        <v>0.171666667</v>
      </c>
      <c r="W61">
        <v>-0.68282608700000003</v>
      </c>
      <c r="X61">
        <v>1.6</v>
      </c>
      <c r="Y61">
        <v>0.171666667</v>
      </c>
      <c r="Z61">
        <v>1.7649999999999999</v>
      </c>
      <c r="AA61">
        <v>0.171666667</v>
      </c>
      <c r="AB61">
        <v>1.1604347829999999</v>
      </c>
      <c r="AC61">
        <v>5.3824374000000001E-2</v>
      </c>
      <c r="AD61">
        <v>4.8242173130000001</v>
      </c>
      <c r="AE61">
        <v>4.8808704860000001</v>
      </c>
      <c r="AF61">
        <v>5.2693213700000001</v>
      </c>
      <c r="AG61">
        <v>6.0710988209999996</v>
      </c>
      <c r="AH61">
        <v>1.556092228</v>
      </c>
      <c r="AI61">
        <v>24.116</v>
      </c>
      <c r="AJ61">
        <v>23.655999999999999</v>
      </c>
      <c r="AK61">
        <v>0.91307871600000001</v>
      </c>
      <c r="AL61">
        <v>0.94973253000000002</v>
      </c>
      <c r="AM61">
        <v>3.1976</v>
      </c>
      <c r="AN61">
        <v>342.3402901</v>
      </c>
      <c r="AO61">
        <v>4.8449054999999998E-2</v>
      </c>
      <c r="AP61">
        <v>5.3209988E-2</v>
      </c>
      <c r="AQ61">
        <v>5.7709061999999998E-2</v>
      </c>
      <c r="AR61">
        <v>7.2360341999999994E-2</v>
      </c>
      <c r="AS61">
        <v>7.5103470000000006E-2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averaged_runs126</vt:lpstr>
      <vt:lpstr>averaged_runs245</vt:lpstr>
      <vt:lpstr>averaged_runs370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2025-07-05T21:43:17Z</dcterms:created>
  <dcterms:modified xsi:type="dcterms:W3CDTF">2026-10-20T17:44:35Z</dcterms:modified>
</cp:coreProperties>
</file>