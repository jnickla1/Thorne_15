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677BCDC1-FB39-324B-8A70-44F73D2DD3A8}" xr6:coauthVersionLast="47" xr6:coauthVersionMax="47" xr10:uidLastSave="{00000000-0000-0000-0000-000000000000}"/>
  <bookViews>
    <workbookView xWindow="11920" yWindow="12060" windowWidth="35840" windowHeight="21260" activeTab="1" xr2:uid="{092845C9-5ABA-C74D-AA55-1C7EA8016735}"/>
  </bookViews>
  <sheets>
    <sheet name="averaged_runs126" sheetId="1" r:id="rId1"/>
    <sheet name="averaged_runs245" sheetId="2" r:id="rId2"/>
    <sheet name="averaged_runs370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2" l="1"/>
  <c r="H35" i="2"/>
  <c r="G3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G14" i="2"/>
  <c r="H14" i="2"/>
  <c r="I14" i="2"/>
  <c r="G15" i="2"/>
  <c r="H15" i="2"/>
  <c r="I15" i="2"/>
  <c r="G16" i="2"/>
  <c r="H16" i="2"/>
  <c r="I16" i="2"/>
  <c r="G17" i="2"/>
  <c r="H17" i="2"/>
  <c r="I17" i="2"/>
  <c r="G18" i="2"/>
  <c r="H18" i="2"/>
  <c r="I18" i="2"/>
  <c r="G19" i="2"/>
  <c r="H19" i="2"/>
  <c r="I19" i="2"/>
  <c r="G20" i="2"/>
  <c r="H20" i="2"/>
  <c r="I20" i="2"/>
  <c r="G21" i="2"/>
  <c r="H21" i="2"/>
  <c r="I21" i="2"/>
  <c r="G22" i="2"/>
  <c r="H22" i="2"/>
  <c r="I22" i="2"/>
  <c r="G23" i="2"/>
  <c r="H23" i="2"/>
  <c r="I23" i="2"/>
  <c r="G24" i="2"/>
  <c r="H24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H29" i="2"/>
  <c r="I29" i="2"/>
  <c r="G30" i="2"/>
  <c r="H30" i="2"/>
  <c r="I30" i="2"/>
  <c r="G31" i="2"/>
  <c r="H31" i="2"/>
  <c r="I31" i="2"/>
  <c r="G32" i="2"/>
  <c r="H32" i="2"/>
  <c r="I32" i="2"/>
  <c r="G33" i="2"/>
  <c r="H33" i="2"/>
  <c r="I33" i="2"/>
  <c r="G34" i="2"/>
  <c r="H34" i="2"/>
  <c r="I34" i="2"/>
  <c r="G36" i="2"/>
  <c r="H36" i="2"/>
  <c r="I36" i="2"/>
  <c r="G37" i="2"/>
  <c r="H37" i="2"/>
  <c r="I37" i="2"/>
  <c r="G38" i="2"/>
  <c r="H38" i="2"/>
  <c r="I38" i="2"/>
  <c r="G39" i="2"/>
  <c r="H39" i="2"/>
  <c r="I39" i="2"/>
  <c r="G40" i="2"/>
  <c r="H40" i="2"/>
  <c r="I40" i="2"/>
  <c r="G41" i="2"/>
  <c r="H41" i="2"/>
  <c r="I41" i="2"/>
  <c r="G42" i="2"/>
  <c r="H42" i="2"/>
  <c r="I42" i="2"/>
  <c r="G43" i="2"/>
  <c r="H43" i="2"/>
  <c r="I43" i="2"/>
  <c r="G44" i="2"/>
  <c r="H44" i="2"/>
  <c r="I44" i="2"/>
  <c r="G46" i="2"/>
  <c r="H46" i="2"/>
  <c r="I46" i="2"/>
  <c r="G47" i="2"/>
  <c r="H47" i="2"/>
  <c r="I47" i="2"/>
  <c r="G48" i="2"/>
  <c r="H48" i="2"/>
  <c r="I48" i="2"/>
  <c r="G49" i="2"/>
  <c r="H49" i="2"/>
  <c r="I49" i="2"/>
  <c r="G50" i="2"/>
  <c r="H50" i="2"/>
  <c r="I50" i="2"/>
  <c r="G51" i="2"/>
  <c r="H51" i="2"/>
  <c r="I51" i="2"/>
  <c r="G52" i="2"/>
  <c r="H52" i="2"/>
  <c r="I52" i="2"/>
  <c r="G53" i="2"/>
  <c r="H53" i="2"/>
  <c r="I53" i="2"/>
  <c r="G54" i="2"/>
  <c r="H54" i="2"/>
  <c r="I54" i="2"/>
  <c r="G55" i="2"/>
  <c r="H55" i="2"/>
  <c r="I55" i="2"/>
  <c r="G56" i="2"/>
  <c r="H56" i="2"/>
  <c r="I56" i="2"/>
  <c r="G57" i="2"/>
  <c r="H57" i="2"/>
  <c r="I57" i="2"/>
  <c r="G58" i="2"/>
  <c r="H58" i="2"/>
  <c r="I58" i="2"/>
  <c r="G59" i="2"/>
  <c r="H59" i="2"/>
  <c r="I59" i="2"/>
  <c r="G60" i="2"/>
  <c r="H60" i="2"/>
  <c r="I60" i="2"/>
  <c r="G61" i="2"/>
  <c r="H61" i="2"/>
  <c r="I61" i="2"/>
  <c r="I13" i="2"/>
  <c r="G13" i="2"/>
  <c r="G11" i="2"/>
  <c r="I11" i="2"/>
  <c r="H13" i="2"/>
  <c r="H11" i="2"/>
  <c r="I3" i="2"/>
  <c r="H3" i="2"/>
  <c r="G3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G45" i="2" s="1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" i="2"/>
  <c r="H45" i="2" l="1"/>
  <c r="I45" i="2"/>
  <c r="C3" i="2"/>
  <c r="C5" i="2"/>
  <c r="C7" i="2"/>
  <c r="C8" i="2"/>
  <c r="C9" i="2"/>
  <c r="C10" i="2"/>
  <c r="C11" i="2"/>
  <c r="C12" i="2"/>
  <c r="C14" i="2"/>
  <c r="C15" i="2"/>
  <c r="C16" i="2"/>
  <c r="C17" i="2"/>
  <c r="C18" i="2"/>
  <c r="C19" i="2"/>
  <c r="C20" i="2"/>
  <c r="C21" i="2"/>
  <c r="C22" i="2"/>
  <c r="C26" i="2"/>
  <c r="C27" i="2"/>
  <c r="C29" i="2"/>
  <c r="C30" i="2"/>
  <c r="C32" i="2"/>
  <c r="C33" i="2"/>
  <c r="C34" i="2"/>
  <c r="C36" i="2"/>
  <c r="C37" i="2"/>
  <c r="C40" i="2"/>
  <c r="C42" i="2"/>
  <c r="C43" i="2"/>
  <c r="C44" i="2"/>
  <c r="C45" i="2"/>
  <c r="C46" i="2"/>
  <c r="C47" i="2"/>
  <c r="C49" i="2"/>
  <c r="C50" i="2"/>
  <c r="C52" i="2"/>
  <c r="C53" i="2"/>
  <c r="C54" i="2"/>
  <c r="C55" i="2"/>
  <c r="C56" i="2"/>
  <c r="C57" i="2"/>
  <c r="C58" i="2"/>
  <c r="C60" i="2"/>
  <c r="C61" i="2"/>
  <c r="C59" i="2"/>
  <c r="C2" i="2"/>
  <c r="C39" i="2"/>
  <c r="C48" i="2"/>
  <c r="C28" i="2"/>
  <c r="C41" i="2"/>
  <c r="C35" i="2"/>
  <c r="C31" i="2"/>
  <c r="C51" i="2"/>
  <c r="C6" i="2"/>
  <c r="C13" i="2"/>
  <c r="G12" i="2" l="1"/>
  <c r="H12" i="2"/>
  <c r="I12" i="2"/>
  <c r="E64" i="2"/>
</calcChain>
</file>

<file path=xl/sharedStrings.xml><?xml version="1.0" encoding="utf-8"?>
<sst xmlns="http://schemas.openxmlformats.org/spreadsheetml/2006/main" count="673" uniqueCount="117">
  <si>
    <t>method_name</t>
  </si>
  <si>
    <t>method_class</t>
  </si>
  <si>
    <t>c/r</t>
  </si>
  <si>
    <t>smooth_r</t>
  </si>
  <si>
    <t>avg_unc.(1se)</t>
  </si>
  <si>
    <t>#q&lt;0.5</t>
  </si>
  <si>
    <t>#q&lt;0.1</t>
  </si>
  <si>
    <t>q_min</t>
  </si>
  <si>
    <t>q_small5</t>
  </si>
  <si>
    <t>log-likeli</t>
  </si>
  <si>
    <t>RMS</t>
  </si>
  <si>
    <t>bias</t>
  </si>
  <si>
    <t>tlog-l</t>
  </si>
  <si>
    <t>100log-l</t>
  </si>
  <si>
    <t>100RMS</t>
  </si>
  <si>
    <t>100bias</t>
  </si>
  <si>
    <t>l15</t>
  </si>
  <si>
    <t>l20</t>
  </si>
  <si>
    <t>bias50</t>
  </si>
  <si>
    <t>Edyrs15</t>
  </si>
  <si>
    <t>Edyrs20</t>
  </si>
  <si>
    <t>Mdyrs15</t>
  </si>
  <si>
    <t>Mdyrs20</t>
  </si>
  <si>
    <t>Fdyrs15</t>
  </si>
  <si>
    <t>Fdyrs20</t>
  </si>
  <si>
    <t>EdyrsA</t>
  </si>
  <si>
    <t>RMSyrsA</t>
  </si>
  <si>
    <t>ncEdyrs</t>
  </si>
  <si>
    <t>e100log-l</t>
  </si>
  <si>
    <t>e100RMS</t>
  </si>
  <si>
    <t>e100bias</t>
  </si>
  <si>
    <t>el15</t>
  </si>
  <si>
    <t>el20</t>
  </si>
  <si>
    <t>ebias50</t>
  </si>
  <si>
    <t>eEdyrs15</t>
  </si>
  <si>
    <t>eEdyrs20</t>
  </si>
  <si>
    <t>eMdyrs15</t>
  </si>
  <si>
    <t>eMdyrs20</t>
  </si>
  <si>
    <t>eFdyrs15</t>
  </si>
  <si>
    <t>eFdyrs20</t>
  </si>
  <si>
    <t>eEdyrsA</t>
  </si>
  <si>
    <t>eRMSyrsA</t>
  </si>
  <si>
    <t>nceEdyrs</t>
  </si>
  <si>
    <t>lag10y</t>
  </si>
  <si>
    <t>42/1_Run_Means</t>
  </si>
  <si>
    <t>c</t>
  </si>
  <si>
    <t>lag5y</t>
  </si>
  <si>
    <t>raw1y</t>
  </si>
  <si>
    <t>Bayes_seq_CP</t>
  </si>
  <si>
    <t>42/2_LT_Fits</t>
  </si>
  <si>
    <t>butterworth</t>
  </si>
  <si>
    <t>hinge75meet</t>
  </si>
  <si>
    <t>OLS_hinge75</t>
  </si>
  <si>
    <t>OLS_refit</t>
  </si>
  <si>
    <t>quartic</t>
  </si>
  <si>
    <t>TheilSen_h7075</t>
  </si>
  <si>
    <t>etrend15y</t>
  </si>
  <si>
    <t>42/3_ST_Fits</t>
  </si>
  <si>
    <t>etrend30y</t>
  </si>
  <si>
    <t>etrend30y_3CS</t>
  </si>
  <si>
    <t>lowess1dg20wnc</t>
  </si>
  <si>
    <t>lowess1dt10wnc</t>
  </si>
  <si>
    <t>lowess1dt20wAR</t>
  </si>
  <si>
    <t>lowess1dt20wARMA</t>
  </si>
  <si>
    <t>lowess1dt20wnc</t>
  </si>
  <si>
    <t>lowess1dt30wnc</t>
  </si>
  <si>
    <t>lowess2dt20wnc</t>
  </si>
  <si>
    <t>offset11y</t>
  </si>
  <si>
    <t>opt_clim_norm</t>
  </si>
  <si>
    <t>cubic_spline</t>
  </si>
  <si>
    <t>42/4_GAM_AR1</t>
  </si>
  <si>
    <t>GAM_AR0</t>
  </si>
  <si>
    <t>GAM_AR1</t>
  </si>
  <si>
    <t>Kal_flexLin</t>
  </si>
  <si>
    <t>42/5_Kalman</t>
  </si>
  <si>
    <t>Kal_flexLin_ocn</t>
  </si>
  <si>
    <t>Kalman_RW</t>
  </si>
  <si>
    <t>Kalman_RW_ocn</t>
  </si>
  <si>
    <t>removeGreensfx</t>
  </si>
  <si>
    <t>42/6_Remove_IV</t>
  </si>
  <si>
    <t>removeMEI_cons</t>
  </si>
  <si>
    <t>removeMEI_volc_cons</t>
  </si>
  <si>
    <t>cons_hArrh_CO2forc</t>
  </si>
  <si>
    <t>43/0_Linear</t>
  </si>
  <si>
    <t>OLS_refit_CO2forc</t>
  </si>
  <si>
    <t>FaIR_all</t>
  </si>
  <si>
    <t>43/1_ERF_FaIR</t>
  </si>
  <si>
    <t>FaIR_all_unB</t>
  </si>
  <si>
    <t>FaIR_anthro</t>
  </si>
  <si>
    <t>FaIR_anthro_unB</t>
  </si>
  <si>
    <t>FaIR_comb_unB</t>
  </si>
  <si>
    <t>FaIR_nonat</t>
  </si>
  <si>
    <t>FaIR_nonat_unB</t>
  </si>
  <si>
    <t>EBMKF_ta</t>
  </si>
  <si>
    <t>43/2_Kalman</t>
  </si>
  <si>
    <t>EBMKF_ta2</t>
  </si>
  <si>
    <t>EBMKF_ta4</t>
  </si>
  <si>
    <t>GWI_anthro</t>
  </si>
  <si>
    <t>43/3_Human_Induced</t>
  </si>
  <si>
    <t>GWI_anthro_AR6</t>
  </si>
  <si>
    <t>GWI_anthro_CGWL</t>
  </si>
  <si>
    <t>GWI_anthro_SR15</t>
  </si>
  <si>
    <t>GWI_tot</t>
  </si>
  <si>
    <t>GWI_tot_AR6</t>
  </si>
  <si>
    <t>GWI_tot_CGWL</t>
  </si>
  <si>
    <t>GWI_tot_SR15</t>
  </si>
  <si>
    <t>CGWL10y_pUKCP</t>
  </si>
  <si>
    <t>44/44_EarthModel_CGWL</t>
  </si>
  <si>
    <t>CGWL10y_sfUKCP</t>
  </si>
  <si>
    <t>CGWL10y_sUKCP</t>
  </si>
  <si>
    <t>lowess1dt26wnc</t>
  </si>
  <si>
    <t>lowess1dt36wnc</t>
  </si>
  <si>
    <t>lowess2dt30wnc</t>
  </si>
  <si>
    <t>min_month_proj</t>
  </si>
  <si>
    <t>removeMEI_volc_refit</t>
  </si>
  <si>
    <t>75RMS</t>
  </si>
  <si>
    <t>e75RMS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</si>
</sst>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0" x14ac:knownFonts="1">
    <font>
      <sz val="12"/>
      <color theme="1"/>
      <name val="Aptos Narrow"/>
      <family val="2"/>
      <scheme val="minor"/>
    </font>
    <font>
      <sz val="12"/>
      <color indexed="8"/>
      <name val="Aptos Narrow"/>
      <family val="2"/>
    </font>
    <font>
      <b/>
      <sz val="15"/>
      <color indexed="56"/>
      <name val="Aptos Narrow"/>
      <family val="2"/>
    </font>
    <font>
      <b/>
      <sz val="13"/>
      <color indexed="56"/>
      <name val="Aptos Narrow"/>
      <family val="2"/>
    </font>
    <font>
      <b/>
      <sz val="11"/>
      <color indexed="56"/>
      <name val="Aptos Narrow"/>
      <family val="2"/>
    </font>
    <font>
      <sz val="12"/>
      <color indexed="52"/>
      <name val="Aptos Narrow"/>
      <family val="2"/>
    </font>
    <font>
      <sz val="18"/>
      <color indexed="56"/>
      <name val="Aptos Display"/>
      <family val="2"/>
      <charset val="1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indexed="5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1"/>
      <color indexed="56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8"/>
      </patternFill>
    </fill>
    <fill>
      <patternFill patternType="solid">
        <fgColor indexed="25"/>
      </patternFill>
    </fill>
    <fill>
      <patternFill patternType="solid">
        <fgColor indexed="11"/>
      </patternFill>
    </fill>
    <fill>
      <patternFill patternType="solid">
        <fgColor indexed="21"/>
      </patternFill>
    </fill>
    <fill>
      <patternFill patternType="solid">
        <fgColor indexed="53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2">
    <xf numFmtId="0" fontId="0" fillId="0" borderId="0"/>
    <xf numFmtId="0" fontId="7" fillId="2" borderId="0" applyNumberFormat="0" applyBorder="0" applyAlignment="0" applyProtection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3" borderId="0" applyNumberFormat="0" applyBorder="0" applyAlignment="0" applyProtection="0"/>
    <xf numFmtId="0" fontId="7" fillId="6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3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7" borderId="0" applyNumberFormat="0" applyBorder="0" applyAlignment="0" applyProtection="0"/>
    <xf numFmtId="0" fontId="9" fillId="5" borderId="0" applyNumberFormat="0" applyBorder="0" applyAlignment="0" applyProtection="0"/>
    <xf numFmtId="0" fontId="10" fillId="3" borderId="5" applyNumberFormat="0" applyAlignment="0" applyProtection="0"/>
    <xf numFmtId="0" fontId="11" fillId="22" borderId="6" applyNumberFormat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4" fillId="0" borderId="7" applyNumberFormat="0" applyFill="0" applyAlignment="0" applyProtection="0"/>
    <xf numFmtId="0" fontId="4" fillId="0" borderId="0" applyNumberFormat="0" applyFill="0" applyBorder="0" applyAlignment="0" applyProtection="0"/>
    <xf numFmtId="0" fontId="15" fillId="3" borderId="5" applyNumberFormat="0" applyAlignment="0" applyProtection="0"/>
    <xf numFmtId="0" fontId="5" fillId="0" borderId="3" applyNumberFormat="0" applyFill="0" applyAlignment="0" applyProtection="0"/>
    <xf numFmtId="0" fontId="16" fillId="23" borderId="0" applyNumberFormat="0" applyBorder="0" applyAlignment="0" applyProtection="0"/>
    <xf numFmtId="0" fontId="1" fillId="24" borderId="8" applyNumberFormat="0" applyFont="0" applyAlignment="0" applyProtection="0"/>
    <xf numFmtId="0" fontId="17" fillId="3" borderId="9" applyNumberFormat="0" applyAlignment="0" applyProtection="0"/>
    <xf numFmtId="0" fontId="6" fillId="0" borderId="0" applyNumberFormat="0" applyFill="0" applyBorder="0" applyAlignment="0" applyProtection="0"/>
    <xf numFmtId="0" fontId="18" fillId="0" borderId="4" applyNumberFormat="0" applyFill="0" applyAlignment="0" applyProtection="0"/>
    <xf numFmtId="0" fontId="19" fillId="0" borderId="0" applyNumberFormat="0" applyFill="0" applyBorder="0" applyAlignment="0" applyProtection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866F-3047-264B-9015-13D126F5F4B1}">
  <dimension ref="A1:AS61"/>
  <sheetViews>
    <sheetView workbookViewId="0">
      <pane ySplit="1" topLeftCell="A2" activePane="bottomLeft" state="frozen"/>
      <selection pane="bottomLeft" activeCell="A45" sqref="A45:XFD45"/>
    </sheetView>
  </sheetViews>
  <sheetFormatPr baseColWidth="10" defaultRowHeight="16" x14ac:dyDescent="0.2"/>
  <cols>
    <col min="1" max="1" width="22" customWidth="1"/>
  </cols>
  <sheetData>
    <row r="1" spans="1:45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115</v>
      </c>
      <c r="I1" t="s">
        <v>19</v>
      </c>
      <c r="J1" t="s">
        <v>20</v>
      </c>
      <c r="K1" t="s">
        <v>25</v>
      </c>
      <c r="L1" t="s">
        <v>23</v>
      </c>
      <c r="M1" t="s">
        <v>24</v>
      </c>
      <c r="N1" t="s">
        <v>21</v>
      </c>
      <c r="O1" t="s">
        <v>22</v>
      </c>
      <c r="P1" t="s">
        <v>26</v>
      </c>
      <c r="Q1" t="s">
        <v>4</v>
      </c>
      <c r="R1" t="s">
        <v>11</v>
      </c>
      <c r="S1" t="s">
        <v>18</v>
      </c>
      <c r="T1" t="s">
        <v>30</v>
      </c>
      <c r="U1" t="s">
        <v>28</v>
      </c>
      <c r="V1" t="s">
        <v>116</v>
      </c>
      <c r="W1" t="s">
        <v>34</v>
      </c>
      <c r="X1" t="s">
        <v>35</v>
      </c>
      <c r="Y1" t="s">
        <v>40</v>
      </c>
      <c r="Z1" t="s">
        <v>38</v>
      </c>
      <c r="AA1" t="s">
        <v>39</v>
      </c>
      <c r="AB1" t="s">
        <v>36</v>
      </c>
      <c r="AC1" t="s">
        <v>37</v>
      </c>
      <c r="AD1" t="s">
        <v>41</v>
      </c>
      <c r="AE1" t="s">
        <v>33</v>
      </c>
      <c r="AF1" t="s">
        <v>31</v>
      </c>
      <c r="AG1" t="s">
        <v>32</v>
      </c>
      <c r="AH1" t="s">
        <v>16</v>
      </c>
      <c r="AI1" t="s">
        <v>17</v>
      </c>
      <c r="AJ1" t="s">
        <v>9</v>
      </c>
      <c r="AK1" t="s">
        <v>27</v>
      </c>
      <c r="AL1" t="s">
        <v>42</v>
      </c>
      <c r="AM1" t="s">
        <v>7</v>
      </c>
      <c r="AN1" t="s">
        <v>8</v>
      </c>
      <c r="AO1" t="s">
        <v>3</v>
      </c>
      <c r="AP1" t="s">
        <v>12</v>
      </c>
      <c r="AQ1" t="s">
        <v>10</v>
      </c>
      <c r="AR1" t="s">
        <v>14</v>
      </c>
      <c r="AS1" t="s">
        <v>29</v>
      </c>
    </row>
    <row r="2" spans="1:45" x14ac:dyDescent="0.2">
      <c r="A2" t="s">
        <v>43</v>
      </c>
      <c r="B2" t="s">
        <v>44</v>
      </c>
      <c r="C2" t="s">
        <v>45</v>
      </c>
      <c r="D2">
        <v>25.98</v>
      </c>
      <c r="E2">
        <v>97.58</v>
      </c>
      <c r="F2">
        <v>-3.4010050561692901E-2</v>
      </c>
      <c r="G2">
        <v>71.417015449231599</v>
      </c>
      <c r="H2">
        <v>4.6476269218597002E-2</v>
      </c>
      <c r="I2">
        <v>5.5281944445914899</v>
      </c>
      <c r="J2">
        <v>-1</v>
      </c>
      <c r="K2">
        <v>4.7041402117790696</v>
      </c>
      <c r="L2">
        <v>3.93666666681517</v>
      </c>
      <c r="M2">
        <v>-1</v>
      </c>
      <c r="N2">
        <v>7.13666666681224</v>
      </c>
      <c r="O2">
        <v>-1</v>
      </c>
      <c r="P2">
        <v>5.2674046549305</v>
      </c>
      <c r="Q2">
        <v>3.8675018421119298E-2</v>
      </c>
      <c r="R2">
        <v>-2.9860932869651299E-2</v>
      </c>
      <c r="S2">
        <v>5.6395683288573799E-3</v>
      </c>
      <c r="T2">
        <v>-3.4010050561692901E-2</v>
      </c>
      <c r="U2">
        <v>-28.1010083445459</v>
      </c>
      <c r="V2">
        <v>6.3306950685756203E-2</v>
      </c>
      <c r="W2">
        <v>5.7506944445886097</v>
      </c>
      <c r="X2">
        <v>-1</v>
      </c>
      <c r="Y2">
        <v>4.90243055569319</v>
      </c>
      <c r="Z2">
        <v>4.2500000001453602</v>
      </c>
      <c r="AA2">
        <v>-1</v>
      </c>
      <c r="AB2">
        <v>6.5633333334765798</v>
      </c>
      <c r="AC2">
        <v>-1</v>
      </c>
      <c r="AD2">
        <v>4.9544675927187001</v>
      </c>
      <c r="AE2">
        <v>5.6395683288573903E-3</v>
      </c>
      <c r="AF2">
        <v>5.2478780790165001</v>
      </c>
      <c r="AG2">
        <v>0</v>
      </c>
      <c r="AH2">
        <v>4.9003634520214003</v>
      </c>
      <c r="AI2">
        <v>0</v>
      </c>
      <c r="AJ2">
        <v>1.0311161712265799</v>
      </c>
      <c r="AK2">
        <v>7.5679999999999996</v>
      </c>
      <c r="AL2">
        <v>7.58</v>
      </c>
      <c r="AM2">
        <v>8.6516322243523902E-3</v>
      </c>
      <c r="AN2">
        <v>1.77686166610059E-2</v>
      </c>
      <c r="AO2">
        <v>2.8985799999999999</v>
      </c>
      <c r="AP2">
        <v>238.18783555333999</v>
      </c>
      <c r="AQ2">
        <v>5.8968735303780502E-2</v>
      </c>
      <c r="AR2">
        <v>6.0130736885860701E-2</v>
      </c>
      <c r="AS2">
        <v>7.7047844845890903E-2</v>
      </c>
    </row>
    <row r="3" spans="1:45" x14ac:dyDescent="0.2">
      <c r="A3" t="s">
        <v>46</v>
      </c>
      <c r="B3" t="s">
        <v>44</v>
      </c>
      <c r="C3" t="s">
        <v>45</v>
      </c>
      <c r="D3">
        <v>24.32</v>
      </c>
      <c r="E3">
        <v>75.239999999999995</v>
      </c>
      <c r="F3">
        <v>-9.7148113118276994E-3</v>
      </c>
      <c r="G3">
        <v>62.047027256334403</v>
      </c>
      <c r="H3">
        <v>5.4139044777333202E-2</v>
      </c>
      <c r="I3">
        <v>3.6112777779265999</v>
      </c>
      <c r="J3">
        <v>-1</v>
      </c>
      <c r="K3">
        <v>2.5874080689238301</v>
      </c>
      <c r="L3">
        <v>-0.96499999984701301</v>
      </c>
      <c r="M3">
        <v>-1</v>
      </c>
      <c r="N3">
        <v>6.6216666668127404</v>
      </c>
      <c r="O3">
        <v>-1</v>
      </c>
      <c r="P3">
        <v>3.8046754124068398</v>
      </c>
      <c r="Q3">
        <v>4.7763976608298203E-2</v>
      </c>
      <c r="R3">
        <v>-1.33273045980223E-2</v>
      </c>
      <c r="S3">
        <v>5.7650712728499901E-3</v>
      </c>
      <c r="T3">
        <v>-9.7148113118277601E-3</v>
      </c>
      <c r="U3">
        <v>-31.130997424190699</v>
      </c>
      <c r="V3">
        <v>7.0984341148264296E-2</v>
      </c>
      <c r="W3">
        <v>3.8437777779237101</v>
      </c>
      <c r="X3">
        <v>-1</v>
      </c>
      <c r="Y3">
        <v>2.8786574075473501</v>
      </c>
      <c r="Z3">
        <v>-0.63333333318350404</v>
      </c>
      <c r="AA3">
        <v>-1</v>
      </c>
      <c r="AB3">
        <v>6.1250000001436602</v>
      </c>
      <c r="AC3">
        <v>-1</v>
      </c>
      <c r="AD3">
        <v>3.4886574074836698</v>
      </c>
      <c r="AE3">
        <v>5.7650712728499996E-3</v>
      </c>
      <c r="AF3">
        <v>4.9881462850346798</v>
      </c>
      <c r="AG3">
        <v>0</v>
      </c>
      <c r="AH3">
        <v>5.9248678265399199</v>
      </c>
      <c r="AI3">
        <v>0</v>
      </c>
      <c r="AJ3">
        <v>0.80247023940996898</v>
      </c>
      <c r="AK3">
        <v>10.561999999999999</v>
      </c>
      <c r="AL3">
        <v>10.811999999999999</v>
      </c>
      <c r="AM3">
        <v>6.4298488272633201E-4</v>
      </c>
      <c r="AN3">
        <v>5.1331553761453296E-3</v>
      </c>
      <c r="AO3">
        <v>5.6612199999999904</v>
      </c>
      <c r="AP3">
        <v>185.37062530370201</v>
      </c>
      <c r="AQ3">
        <v>6.5011771569141993E-2</v>
      </c>
      <c r="AR3">
        <v>5.7825813706596799E-2</v>
      </c>
      <c r="AS3">
        <v>7.5105443072677094E-2</v>
      </c>
    </row>
    <row r="4" spans="1:45" x14ac:dyDescent="0.2">
      <c r="A4" t="s">
        <v>67</v>
      </c>
      <c r="B4" t="s">
        <v>44</v>
      </c>
      <c r="C4" t="s">
        <v>45</v>
      </c>
      <c r="D4">
        <v>127.04</v>
      </c>
      <c r="E4">
        <v>189.14</v>
      </c>
      <c r="F4">
        <v>7.0652674502796498E-2</v>
      </c>
      <c r="G4">
        <v>-141.80947275572299</v>
      </c>
      <c r="H4">
        <v>0.10094765775745</v>
      </c>
      <c r="I4">
        <v>-4.2383333331774002</v>
      </c>
      <c r="J4">
        <v>-1</v>
      </c>
      <c r="K4">
        <v>-3.1003544972097901</v>
      </c>
      <c r="L4">
        <v>-4.3149999998439998</v>
      </c>
      <c r="M4">
        <v>-1</v>
      </c>
      <c r="N4">
        <v>-4.3149999998439998</v>
      </c>
      <c r="O4">
        <v>-1</v>
      </c>
      <c r="P4">
        <v>5.0475019200153604</v>
      </c>
      <c r="Q4">
        <v>3.7443796197439802E-2</v>
      </c>
      <c r="R4">
        <v>7.6804219917349897E-2</v>
      </c>
      <c r="S4">
        <v>0.11512772989273</v>
      </c>
      <c r="T4">
        <v>7.0652674502796498E-2</v>
      </c>
      <c r="U4">
        <v>-216.92825890518799</v>
      </c>
      <c r="V4">
        <v>0.107301184940588</v>
      </c>
      <c r="W4">
        <v>-3.72833333317796</v>
      </c>
      <c r="X4">
        <v>-1</v>
      </c>
      <c r="Y4">
        <v>-3.5484259257792199</v>
      </c>
      <c r="Z4">
        <v>-3.8049999998445498</v>
      </c>
      <c r="AA4">
        <v>-1</v>
      </c>
      <c r="AB4">
        <v>-3.7349999998446202</v>
      </c>
      <c r="AC4">
        <v>-1</v>
      </c>
      <c r="AD4">
        <v>4.1553703702518003</v>
      </c>
      <c r="AE4">
        <v>0.11512772989273</v>
      </c>
      <c r="AF4">
        <v>4.2997589865265304</v>
      </c>
      <c r="AG4">
        <v>0</v>
      </c>
      <c r="AH4">
        <v>5.0149542724279099</v>
      </c>
      <c r="AI4">
        <v>0</v>
      </c>
      <c r="AJ4">
        <v>-1.45050032350558</v>
      </c>
      <c r="AK4">
        <v>6.5279999999999996</v>
      </c>
      <c r="AL4">
        <v>6.6679999999999904</v>
      </c>
      <c r="AM4" s="1">
        <v>1.3697827625005299E-6</v>
      </c>
      <c r="AN4" s="1">
        <v>5.8065816385359399E-6</v>
      </c>
      <c r="AO4">
        <v>2.6264999999999898</v>
      </c>
      <c r="AP4">
        <v>-335.06557472979</v>
      </c>
      <c r="AQ4">
        <v>9.30103193956274E-2</v>
      </c>
      <c r="AR4">
        <v>8.8229760265648702E-2</v>
      </c>
      <c r="AS4">
        <v>0.10003790594303</v>
      </c>
    </row>
    <row r="5" spans="1:45" x14ac:dyDescent="0.2">
      <c r="A5" t="s">
        <v>47</v>
      </c>
      <c r="B5" t="s">
        <v>44</v>
      </c>
      <c r="C5" t="s">
        <v>45</v>
      </c>
      <c r="D5">
        <v>0.04</v>
      </c>
      <c r="E5">
        <v>0.68</v>
      </c>
      <c r="F5">
        <v>6.3711571825874596E-3</v>
      </c>
      <c r="G5">
        <v>64.821846966262498</v>
      </c>
      <c r="H5">
        <v>0.11610983978795</v>
      </c>
      <c r="I5">
        <v>3.3243148149638699</v>
      </c>
      <c r="J5">
        <v>-1</v>
      </c>
      <c r="K5">
        <v>1.0225472475596999</v>
      </c>
      <c r="L5">
        <v>-9.7233333331723699</v>
      </c>
      <c r="M5">
        <v>-1</v>
      </c>
      <c r="N5">
        <v>12.135000000141</v>
      </c>
      <c r="O5">
        <v>-1</v>
      </c>
      <c r="P5">
        <v>3.3697366235765398</v>
      </c>
      <c r="Q5">
        <v>0.12803787132590699</v>
      </c>
      <c r="R5">
        <v>-2.6166940324030401E-4</v>
      </c>
      <c r="S5">
        <v>2.7164812088012499E-3</v>
      </c>
      <c r="T5">
        <v>6.3711571825875004E-3</v>
      </c>
      <c r="U5">
        <v>57.537473534574602</v>
      </c>
      <c r="V5">
        <v>0.125800869339457</v>
      </c>
      <c r="W5">
        <v>3.77993518533374</v>
      </c>
      <c r="X5">
        <v>-1</v>
      </c>
      <c r="Y5">
        <v>1.0340868608127201</v>
      </c>
      <c r="Z5">
        <v>-9.2133333331729297</v>
      </c>
      <c r="AA5">
        <v>-1</v>
      </c>
      <c r="AB5">
        <v>14.170000000139099</v>
      </c>
      <c r="AC5">
        <v>-1</v>
      </c>
      <c r="AD5">
        <v>2.5110249118602002</v>
      </c>
      <c r="AE5">
        <v>2.7164812088012399E-3</v>
      </c>
      <c r="AF5">
        <v>2.3580099028999499</v>
      </c>
      <c r="AG5">
        <v>0</v>
      </c>
      <c r="AH5">
        <v>2.2811302719689799</v>
      </c>
      <c r="AI5">
        <v>0</v>
      </c>
      <c r="AJ5">
        <v>0.69741762350030001</v>
      </c>
      <c r="AK5">
        <v>28.571999999999999</v>
      </c>
      <c r="AL5">
        <v>29.608000000000001</v>
      </c>
      <c r="AM5">
        <v>0.64924814362110495</v>
      </c>
      <c r="AN5">
        <v>0.86565754770320602</v>
      </c>
      <c r="AO5">
        <v>28.952680000000001</v>
      </c>
      <c r="AP5">
        <v>161.103471028569</v>
      </c>
      <c r="AQ5">
        <v>0.11944902180379401</v>
      </c>
      <c r="AR5">
        <v>0.118100371124347</v>
      </c>
      <c r="AS5">
        <v>0.12754143408796201</v>
      </c>
    </row>
    <row r="6" spans="1:45" x14ac:dyDescent="0.2">
      <c r="A6" t="s">
        <v>48</v>
      </c>
      <c r="B6" t="s">
        <v>49</v>
      </c>
      <c r="C6" t="s">
        <v>45</v>
      </c>
      <c r="D6">
        <v>74</v>
      </c>
      <c r="E6">
        <v>122.8</v>
      </c>
      <c r="F6">
        <v>3.6978423504202003E-2</v>
      </c>
      <c r="G6">
        <v>-33.7366232011044</v>
      </c>
      <c r="H6">
        <v>8.0324161332352206E-2</v>
      </c>
      <c r="I6">
        <v>-2.0249999998460702</v>
      </c>
      <c r="J6">
        <v>-1</v>
      </c>
      <c r="K6">
        <v>-1.33550925911498</v>
      </c>
      <c r="L6">
        <v>-3.0399999998451501</v>
      </c>
      <c r="M6">
        <v>-1</v>
      </c>
      <c r="N6">
        <v>-1.7033333331797</v>
      </c>
      <c r="O6">
        <v>-1</v>
      </c>
      <c r="P6">
        <v>4.0891372002814999</v>
      </c>
      <c r="Q6">
        <v>3.3354072673267197E-2</v>
      </c>
      <c r="R6">
        <v>-3.8869490829291798E-3</v>
      </c>
      <c r="S6">
        <v>7.8477585334777694E-2</v>
      </c>
      <c r="T6">
        <v>3.6978423504202003E-2</v>
      </c>
      <c r="U6">
        <v>-133.29177463093799</v>
      </c>
      <c r="V6">
        <v>9.0256905683669897E-2</v>
      </c>
      <c r="W6">
        <v>-1.7674999998464</v>
      </c>
      <c r="X6">
        <v>-1</v>
      </c>
      <c r="Y6">
        <v>-1.2939351850405401</v>
      </c>
      <c r="Z6">
        <v>-2.5299999998457099</v>
      </c>
      <c r="AA6">
        <v>-1</v>
      </c>
      <c r="AB6">
        <v>-1.2249999998468899</v>
      </c>
      <c r="AC6">
        <v>-1</v>
      </c>
      <c r="AD6">
        <v>3.3082870369823798</v>
      </c>
      <c r="AE6">
        <v>7.8477585334777805E-2</v>
      </c>
      <c r="AF6">
        <v>4.4214040218160804</v>
      </c>
      <c r="AG6">
        <v>0</v>
      </c>
      <c r="AH6">
        <v>5.3629124524261798</v>
      </c>
      <c r="AI6">
        <v>0</v>
      </c>
      <c r="AJ6">
        <v>-1.0426048340549501</v>
      </c>
      <c r="AK6">
        <v>6.5439999999999996</v>
      </c>
      <c r="AL6">
        <v>6.76</v>
      </c>
      <c r="AM6" s="1">
        <v>8.6671144070985208E-6</v>
      </c>
      <c r="AN6" s="1">
        <v>1.9159150275955E-5</v>
      </c>
      <c r="AO6">
        <v>2.5196999999999998</v>
      </c>
      <c r="AP6">
        <v>-200.18012813855</v>
      </c>
      <c r="AQ6">
        <v>7.6146427820352205E-2</v>
      </c>
      <c r="AR6">
        <v>7.4148856845918001E-2</v>
      </c>
      <c r="AS6">
        <v>8.8843731055329805E-2</v>
      </c>
    </row>
    <row r="7" spans="1:45" x14ac:dyDescent="0.2">
      <c r="A7" t="s">
        <v>50</v>
      </c>
      <c r="B7" t="s">
        <v>49</v>
      </c>
      <c r="C7" t="s">
        <v>45</v>
      </c>
      <c r="D7">
        <v>0.88</v>
      </c>
      <c r="E7">
        <v>1.56</v>
      </c>
      <c r="F7">
        <v>-1.13899471943307E-2</v>
      </c>
      <c r="G7">
        <v>94.037109498478102</v>
      </c>
      <c r="H7">
        <v>5.1133026545011499E-2</v>
      </c>
      <c r="I7">
        <v>2.3696111112610501</v>
      </c>
      <c r="J7">
        <v>-1</v>
      </c>
      <c r="K7">
        <v>1.64663492077655</v>
      </c>
      <c r="L7">
        <v>-2.6133333331788502</v>
      </c>
      <c r="M7">
        <v>-1</v>
      </c>
      <c r="N7">
        <v>5.7583333334801896</v>
      </c>
      <c r="O7">
        <v>-1</v>
      </c>
      <c r="P7">
        <v>3.1699473372854299</v>
      </c>
      <c r="Q7">
        <v>0.13135761726068201</v>
      </c>
      <c r="R7">
        <v>-1.8319566230965201E-2</v>
      </c>
      <c r="S7">
        <v>-2.7805052205690899E-3</v>
      </c>
      <c r="T7">
        <v>-1.13899471943307E-2</v>
      </c>
      <c r="U7">
        <v>74.357618680584395</v>
      </c>
      <c r="V7">
        <v>7.0901570118795901E-2</v>
      </c>
      <c r="W7">
        <v>2.27419444459438</v>
      </c>
      <c r="X7">
        <v>-1</v>
      </c>
      <c r="Y7">
        <v>1.71395370384514</v>
      </c>
      <c r="Z7">
        <v>-2.1033333331794002</v>
      </c>
      <c r="AA7">
        <v>-1</v>
      </c>
      <c r="AB7">
        <v>4.6066666668144904</v>
      </c>
      <c r="AC7">
        <v>-1</v>
      </c>
      <c r="AD7">
        <v>2.9267314815299899</v>
      </c>
      <c r="AE7">
        <v>-2.7805052205690998E-3</v>
      </c>
      <c r="AF7">
        <v>2.8813949070569098</v>
      </c>
      <c r="AG7">
        <v>0</v>
      </c>
      <c r="AH7">
        <v>3.1768844756024399</v>
      </c>
      <c r="AI7">
        <v>0</v>
      </c>
      <c r="AJ7">
        <v>0.97177758746050402</v>
      </c>
      <c r="AK7">
        <v>12.745999999999899</v>
      </c>
      <c r="AL7">
        <v>13.075999999999899</v>
      </c>
      <c r="AM7">
        <v>0.370327589815999</v>
      </c>
      <c r="AN7">
        <v>0.92358471999330205</v>
      </c>
      <c r="AO7">
        <v>8.8232400000000002</v>
      </c>
      <c r="AP7">
        <v>137.99241741939099</v>
      </c>
      <c r="AQ7">
        <v>6.20608483589037E-2</v>
      </c>
      <c r="AR7">
        <v>5.5075583690438502E-2</v>
      </c>
      <c r="AS7">
        <v>7.4812808887078794E-2</v>
      </c>
    </row>
    <row r="8" spans="1:45" x14ac:dyDescent="0.2">
      <c r="A8" t="s">
        <v>51</v>
      </c>
      <c r="B8" t="s">
        <v>49</v>
      </c>
      <c r="C8" t="s">
        <v>45</v>
      </c>
      <c r="D8">
        <v>50.34</v>
      </c>
      <c r="E8">
        <v>74.959999999999994</v>
      </c>
      <c r="F8">
        <v>0.154542424547151</v>
      </c>
      <c r="G8">
        <v>-375.08664710322898</v>
      </c>
      <c r="H8">
        <v>0.25471477565015999</v>
      </c>
      <c r="I8">
        <v>-5.3499999998430399</v>
      </c>
      <c r="J8">
        <v>-1</v>
      </c>
      <c r="K8">
        <v>-3.8740634919175601</v>
      </c>
      <c r="L8">
        <v>-5.3499999998430399</v>
      </c>
      <c r="M8">
        <v>-1</v>
      </c>
      <c r="N8">
        <v>-5.3499999998430399</v>
      </c>
      <c r="O8">
        <v>-1</v>
      </c>
      <c r="P8">
        <v>6.2833379662629296</v>
      </c>
      <c r="Q8">
        <v>6.6111897245183904E-2</v>
      </c>
      <c r="R8">
        <v>9.03283948856618E-2</v>
      </c>
      <c r="S8">
        <v>0.30027985682772801</v>
      </c>
      <c r="T8">
        <v>0.154542424547151</v>
      </c>
      <c r="U8">
        <v>-392.484834672489</v>
      </c>
      <c r="V8">
        <v>0.25494592581671</v>
      </c>
      <c r="W8">
        <v>-4.8399999998435996</v>
      </c>
      <c r="X8">
        <v>-1</v>
      </c>
      <c r="Y8">
        <v>-4.2680555554082096</v>
      </c>
      <c r="Z8">
        <v>-4.8399999998435996</v>
      </c>
      <c r="AA8">
        <v>-1</v>
      </c>
      <c r="AB8">
        <v>-4.8399999998435996</v>
      </c>
      <c r="AC8">
        <v>-1</v>
      </c>
      <c r="AD8">
        <v>4.4941666665535402</v>
      </c>
      <c r="AE8">
        <v>0.30027985682772801</v>
      </c>
      <c r="AF8">
        <v>2.9859622494780198</v>
      </c>
      <c r="AG8">
        <v>0</v>
      </c>
      <c r="AH8">
        <v>2.9621524243808799</v>
      </c>
      <c r="AI8">
        <v>0</v>
      </c>
      <c r="AJ8">
        <v>-1.9111685571424899</v>
      </c>
      <c r="AK8">
        <v>5.88</v>
      </c>
      <c r="AL8">
        <v>6</v>
      </c>
      <c r="AM8" s="1">
        <v>3.8112199276750299E-8</v>
      </c>
      <c r="AN8" s="1">
        <v>8.9933926503535702E-8</v>
      </c>
      <c r="AO8">
        <v>1.69648</v>
      </c>
      <c r="AP8">
        <v>-298.14229491422901</v>
      </c>
      <c r="AQ8">
        <v>0.170385999529511</v>
      </c>
      <c r="AR8">
        <v>0.21840900531728399</v>
      </c>
      <c r="AS8">
        <v>0.221511573793989</v>
      </c>
    </row>
    <row r="9" spans="1:45" x14ac:dyDescent="0.2">
      <c r="A9" t="s">
        <v>52</v>
      </c>
      <c r="B9" t="s">
        <v>49</v>
      </c>
      <c r="C9" t="s">
        <v>45</v>
      </c>
      <c r="D9">
        <v>59.94</v>
      </c>
      <c r="E9">
        <v>99.7</v>
      </c>
      <c r="F9">
        <v>0.11282942628817801</v>
      </c>
      <c r="G9">
        <v>-989.12245954984701</v>
      </c>
      <c r="H9">
        <v>0.19467106291530001</v>
      </c>
      <c r="I9">
        <v>-4.01333333317758</v>
      </c>
      <c r="J9">
        <v>-1</v>
      </c>
      <c r="K9">
        <v>-2.7450714284264999</v>
      </c>
      <c r="L9">
        <v>-4.01333333317758</v>
      </c>
      <c r="M9">
        <v>-1</v>
      </c>
      <c r="N9">
        <v>-4.01333333317758</v>
      </c>
      <c r="O9">
        <v>-1</v>
      </c>
      <c r="P9">
        <v>5.2695910962917196</v>
      </c>
      <c r="Q9">
        <v>3.8055601309112098E-2</v>
      </c>
      <c r="R9">
        <v>6.0938062368948699E-2</v>
      </c>
      <c r="S9">
        <v>0.22978881943184301</v>
      </c>
      <c r="T9">
        <v>0.11282942628817801</v>
      </c>
      <c r="U9">
        <v>-1053.66443808496</v>
      </c>
      <c r="V9">
        <v>0.19578563598815299</v>
      </c>
      <c r="W9">
        <v>-3.5033333331781402</v>
      </c>
      <c r="X9">
        <v>-1</v>
      </c>
      <c r="Y9">
        <v>-3.1172222220759198</v>
      </c>
      <c r="Z9">
        <v>-3.5033333331781402</v>
      </c>
      <c r="AA9">
        <v>-1</v>
      </c>
      <c r="AB9">
        <v>-3.5033333331781402</v>
      </c>
      <c r="AC9">
        <v>-1</v>
      </c>
      <c r="AD9">
        <v>3.7199999998990601</v>
      </c>
      <c r="AE9">
        <v>0.22978881943184301</v>
      </c>
      <c r="AF9">
        <v>3.50699127424088</v>
      </c>
      <c r="AG9">
        <v>0</v>
      </c>
      <c r="AH9">
        <v>3.72760931868455</v>
      </c>
      <c r="AI9">
        <v>0</v>
      </c>
      <c r="AJ9">
        <v>-6.1874545118042503</v>
      </c>
      <c r="AK9">
        <v>5.88</v>
      </c>
      <c r="AL9">
        <v>6</v>
      </c>
      <c r="AM9" s="1">
        <v>5.6596064512588303E-17</v>
      </c>
      <c r="AN9" s="1">
        <v>8.5939631896869403E-16</v>
      </c>
      <c r="AO9">
        <v>2.0554600000000001</v>
      </c>
      <c r="AP9">
        <v>-965.24290384146298</v>
      </c>
      <c r="AQ9">
        <v>0.13428300795234499</v>
      </c>
      <c r="AR9">
        <v>0.16804090516572001</v>
      </c>
      <c r="AS9">
        <v>0.17210906538708501</v>
      </c>
    </row>
    <row r="10" spans="1:45" x14ac:dyDescent="0.2">
      <c r="A10" t="s">
        <v>53</v>
      </c>
      <c r="B10" t="s">
        <v>49</v>
      </c>
      <c r="C10" t="s">
        <v>45</v>
      </c>
      <c r="D10">
        <v>108.74</v>
      </c>
      <c r="E10">
        <v>126.72</v>
      </c>
      <c r="F10">
        <v>-9.1608002694599094E-2</v>
      </c>
      <c r="G10">
        <v>-1616.42403724006</v>
      </c>
      <c r="H10">
        <v>0.171497312257018</v>
      </c>
      <c r="I10">
        <v>12.743333333473799</v>
      </c>
      <c r="J10">
        <v>-1</v>
      </c>
      <c r="K10">
        <v>12.8007777779092</v>
      </c>
      <c r="L10">
        <v>12.743333333473799</v>
      </c>
      <c r="M10">
        <v>-1</v>
      </c>
      <c r="N10">
        <v>12.743333333473799</v>
      </c>
      <c r="O10">
        <v>-1</v>
      </c>
      <c r="P10">
        <v>13.346531578222001</v>
      </c>
      <c r="Q10">
        <v>2.9751833495789502E-2</v>
      </c>
      <c r="R10">
        <v>-6.8471539939359796E-2</v>
      </c>
      <c r="S10">
        <v>6.8994970746734496E-2</v>
      </c>
      <c r="T10">
        <v>-9.1608002694599205E-2</v>
      </c>
      <c r="U10">
        <v>-1687.16864005057</v>
      </c>
      <c r="V10">
        <v>0.17336478976879499</v>
      </c>
      <c r="W10">
        <v>13.253333333473201</v>
      </c>
      <c r="X10">
        <v>-1</v>
      </c>
      <c r="Y10">
        <v>12.6713888890208</v>
      </c>
      <c r="Z10">
        <v>13.253333333473201</v>
      </c>
      <c r="AA10">
        <v>-1</v>
      </c>
      <c r="AB10">
        <v>13.253333333473201</v>
      </c>
      <c r="AC10">
        <v>-1</v>
      </c>
      <c r="AD10">
        <v>12.6713888890208</v>
      </c>
      <c r="AE10">
        <v>6.8994970746734399E-2</v>
      </c>
      <c r="AF10">
        <v>1.4743574117838699E-3</v>
      </c>
      <c r="AG10">
        <v>0</v>
      </c>
      <c r="AH10">
        <v>0.10978853026792</v>
      </c>
      <c r="AI10">
        <v>0</v>
      </c>
      <c r="AJ10">
        <v>-12.563827823855</v>
      </c>
      <c r="AK10">
        <v>5.9</v>
      </c>
      <c r="AL10">
        <v>6</v>
      </c>
      <c r="AM10" s="1">
        <v>3.3503900312488399E-16</v>
      </c>
      <c r="AN10" s="1">
        <v>1.20292711401911E-14</v>
      </c>
      <c r="AO10">
        <v>0.76103999999999905</v>
      </c>
      <c r="AP10">
        <v>-1771.49972316355</v>
      </c>
      <c r="AQ10">
        <v>0.16503284185490699</v>
      </c>
      <c r="AR10">
        <v>0.19371930019438699</v>
      </c>
      <c r="AS10">
        <v>0.195158354102349</v>
      </c>
    </row>
    <row r="11" spans="1:45" x14ac:dyDescent="0.2">
      <c r="A11" t="s">
        <v>54</v>
      </c>
      <c r="B11" t="s">
        <v>49</v>
      </c>
      <c r="C11" t="s">
        <v>45</v>
      </c>
      <c r="D11">
        <v>33.36</v>
      </c>
      <c r="E11">
        <v>90.02</v>
      </c>
      <c r="F11">
        <v>7.687224149638E-2</v>
      </c>
      <c r="G11">
        <v>3.2981056329786398</v>
      </c>
      <c r="H11">
        <v>0.100958322122963</v>
      </c>
      <c r="I11">
        <v>-9.22916666650619</v>
      </c>
      <c r="J11">
        <v>-1</v>
      </c>
      <c r="K11">
        <v>-7.1887447088466399</v>
      </c>
      <c r="L11">
        <v>-9.3933333331727091</v>
      </c>
      <c r="M11">
        <v>-1</v>
      </c>
      <c r="N11">
        <v>-9.3933333331727091</v>
      </c>
      <c r="O11">
        <v>-1</v>
      </c>
      <c r="P11">
        <v>8.9793476301338</v>
      </c>
      <c r="Q11">
        <v>5.1222182570427398E-2</v>
      </c>
      <c r="R11">
        <v>3.3631701675350199E-2</v>
      </c>
      <c r="S11">
        <v>5.6870041126300903E-2</v>
      </c>
      <c r="T11">
        <v>7.687224149638E-2</v>
      </c>
      <c r="U11">
        <v>-47.213588176606102</v>
      </c>
      <c r="V11">
        <v>0.10805955509180699</v>
      </c>
      <c r="W11">
        <v>-8.7191666665067409</v>
      </c>
      <c r="X11">
        <v>-1</v>
      </c>
      <c r="Y11">
        <v>-7.3450925924438604</v>
      </c>
      <c r="Z11">
        <v>-8.88333333317326</v>
      </c>
      <c r="AA11">
        <v>-1</v>
      </c>
      <c r="AB11">
        <v>-8.88333333317326</v>
      </c>
      <c r="AC11">
        <v>-1</v>
      </c>
      <c r="AD11">
        <v>7.6839814813496599</v>
      </c>
      <c r="AE11">
        <v>5.6870041126300903E-2</v>
      </c>
      <c r="AF11">
        <v>1.68394505923085</v>
      </c>
      <c r="AG11">
        <v>0</v>
      </c>
      <c r="AH11">
        <v>1.7228225052552699</v>
      </c>
      <c r="AI11">
        <v>0</v>
      </c>
      <c r="AJ11">
        <v>0.36834861831590199</v>
      </c>
      <c r="AK11">
        <v>6.3159999999999998</v>
      </c>
      <c r="AL11">
        <v>6.556</v>
      </c>
      <c r="AM11">
        <v>1.2165960273857799E-2</v>
      </c>
      <c r="AN11">
        <v>3.10408287872419E-2</v>
      </c>
      <c r="AO11">
        <v>3.0356999999999998</v>
      </c>
      <c r="AP11">
        <v>51.937155182542199</v>
      </c>
      <c r="AQ11">
        <v>9.2381196613550695E-2</v>
      </c>
      <c r="AR11">
        <v>9.8956259280139305E-2</v>
      </c>
      <c r="AS11">
        <v>0.111829663220694</v>
      </c>
    </row>
    <row r="12" spans="1:45" x14ac:dyDescent="0.2">
      <c r="A12" t="s">
        <v>55</v>
      </c>
      <c r="B12" t="s">
        <v>49</v>
      </c>
      <c r="C12" t="s">
        <v>45</v>
      </c>
      <c r="D12">
        <v>71.62</v>
      </c>
      <c r="E12">
        <v>107.2</v>
      </c>
      <c r="F12">
        <v>0.145377310331163</v>
      </c>
      <c r="G12">
        <v>-2101.1868227958598</v>
      </c>
      <c r="H12">
        <v>0.275103111781413</v>
      </c>
      <c r="I12">
        <v>-4.6499999998436499</v>
      </c>
      <c r="J12">
        <v>-1</v>
      </c>
      <c r="K12">
        <v>-2.3432936506496</v>
      </c>
      <c r="L12">
        <v>-4.6499999998436499</v>
      </c>
      <c r="M12">
        <v>-1</v>
      </c>
      <c r="N12">
        <v>-4.6499999998436499</v>
      </c>
      <c r="O12">
        <v>-1</v>
      </c>
      <c r="P12">
        <v>6.4475273681607002</v>
      </c>
      <c r="Q12">
        <v>3.8914040370314297E-2</v>
      </c>
      <c r="R12">
        <v>7.7480719803173698E-2</v>
      </c>
      <c r="S12">
        <v>0.31958925311283698</v>
      </c>
      <c r="T12">
        <v>0.145377310331163</v>
      </c>
      <c r="U12">
        <v>-2167.7839099178</v>
      </c>
      <c r="V12">
        <v>0.275429191545768</v>
      </c>
      <c r="W12">
        <v>-4.1399999998442096</v>
      </c>
      <c r="X12">
        <v>-1</v>
      </c>
      <c r="Y12">
        <v>-2.9036111109649898</v>
      </c>
      <c r="Z12">
        <v>-4.1399999998442096</v>
      </c>
      <c r="AA12">
        <v>-1</v>
      </c>
      <c r="AB12">
        <v>-4.1399999998442096</v>
      </c>
      <c r="AC12">
        <v>-1</v>
      </c>
      <c r="AD12">
        <v>3.67472222215001</v>
      </c>
      <c r="AE12">
        <v>0.31958925311283698</v>
      </c>
      <c r="AF12">
        <v>3.4342557397864302</v>
      </c>
      <c r="AG12">
        <v>0</v>
      </c>
      <c r="AH12">
        <v>2.5638725161961302</v>
      </c>
      <c r="AI12">
        <v>0</v>
      </c>
      <c r="AJ12">
        <v>-12.9182546504837</v>
      </c>
      <c r="AK12">
        <v>5.86</v>
      </c>
      <c r="AL12">
        <v>6</v>
      </c>
      <c r="AM12" s="1">
        <v>5.9611332459979397E-33</v>
      </c>
      <c r="AN12" s="1">
        <v>6.40121186624665E-26</v>
      </c>
      <c r="AO12">
        <v>2.03348</v>
      </c>
      <c r="AP12">
        <v>-2015.2477254754699</v>
      </c>
      <c r="AQ12">
        <v>0.186229377894188</v>
      </c>
      <c r="AR12">
        <v>0.239485053199058</v>
      </c>
      <c r="AS12">
        <v>0.24186392506821</v>
      </c>
    </row>
    <row r="13" spans="1:45" x14ac:dyDescent="0.2">
      <c r="A13" t="s">
        <v>56</v>
      </c>
      <c r="B13" t="s">
        <v>57</v>
      </c>
      <c r="C13" t="s">
        <v>45</v>
      </c>
      <c r="D13">
        <v>5.46</v>
      </c>
      <c r="E13">
        <v>31.34</v>
      </c>
      <c r="F13">
        <v>1.2146369240018899E-2</v>
      </c>
      <c r="G13">
        <v>123.81763367776701</v>
      </c>
      <c r="H13">
        <v>5.4213208896503599E-2</v>
      </c>
      <c r="I13">
        <v>1.39208333348415</v>
      </c>
      <c r="J13">
        <v>-1</v>
      </c>
      <c r="K13">
        <v>5.9099867867903499E-2</v>
      </c>
      <c r="L13">
        <v>-3.6566666665112701</v>
      </c>
      <c r="M13">
        <v>-1</v>
      </c>
      <c r="N13">
        <v>3.9166666668151899</v>
      </c>
      <c r="O13">
        <v>-1</v>
      </c>
      <c r="P13">
        <v>3.09870703972779</v>
      </c>
      <c r="Q13">
        <v>5.8801633224649402E-2</v>
      </c>
      <c r="R13">
        <v>3.1823378592658999E-4</v>
      </c>
      <c r="S13">
        <v>9.6860303759574908E-3</v>
      </c>
      <c r="T13">
        <v>1.2146369240019E-2</v>
      </c>
      <c r="U13">
        <v>80.908513684839406</v>
      </c>
      <c r="V13">
        <v>7.5367576701695693E-2</v>
      </c>
      <c r="W13">
        <v>1.3323611112618901</v>
      </c>
      <c r="X13">
        <v>-1</v>
      </c>
      <c r="Y13">
        <v>0.28420833347654401</v>
      </c>
      <c r="Z13">
        <v>-3.1466666665118201</v>
      </c>
      <c r="AA13">
        <v>-1</v>
      </c>
      <c r="AB13">
        <v>2.67500000014955</v>
      </c>
      <c r="AC13">
        <v>-1</v>
      </c>
      <c r="AD13">
        <v>2.9270231481569602</v>
      </c>
      <c r="AE13">
        <v>9.6860303759574995E-3</v>
      </c>
      <c r="AF13">
        <v>4.2229298632313901</v>
      </c>
      <c r="AG13">
        <v>0</v>
      </c>
      <c r="AH13">
        <v>5.2251694517204603</v>
      </c>
      <c r="AI13">
        <v>0</v>
      </c>
      <c r="AJ13">
        <v>1.1671167635705599</v>
      </c>
      <c r="AK13">
        <v>10.587999999999999</v>
      </c>
      <c r="AL13">
        <v>10.857999999999899</v>
      </c>
      <c r="AM13">
        <v>0.13390210588544299</v>
      </c>
      <c r="AN13">
        <v>0.21580287053027</v>
      </c>
      <c r="AO13">
        <v>5.6942599999999999</v>
      </c>
      <c r="AP13">
        <v>264.935505330517</v>
      </c>
      <c r="AQ13">
        <v>6.7006275715076696E-2</v>
      </c>
      <c r="AR13">
        <v>5.8138081509772101E-2</v>
      </c>
      <c r="AS13">
        <v>7.9415072836270903E-2</v>
      </c>
    </row>
    <row r="14" spans="1:45" x14ac:dyDescent="0.2">
      <c r="A14" t="s">
        <v>58</v>
      </c>
      <c r="B14" t="s">
        <v>57</v>
      </c>
      <c r="C14" t="s">
        <v>45</v>
      </c>
      <c r="D14">
        <v>5.26</v>
      </c>
      <c r="E14">
        <v>37.82</v>
      </c>
      <c r="F14">
        <v>2.2007761631216899E-2</v>
      </c>
      <c r="G14">
        <v>140.37192641624901</v>
      </c>
      <c r="H14">
        <v>4.8864915762967698E-2</v>
      </c>
      <c r="I14">
        <v>-1.9202777776239499</v>
      </c>
      <c r="J14">
        <v>-1</v>
      </c>
      <c r="K14">
        <v>-1.42781613742174</v>
      </c>
      <c r="L14">
        <v>-2.67999999984547</v>
      </c>
      <c r="M14">
        <v>-1</v>
      </c>
      <c r="N14">
        <v>-2.1683333331792798</v>
      </c>
      <c r="O14">
        <v>-1</v>
      </c>
      <c r="P14">
        <v>3.0552171632726499</v>
      </c>
      <c r="Q14">
        <v>4.4317707093517497E-2</v>
      </c>
      <c r="R14">
        <v>1.56444608186851E-3</v>
      </c>
      <c r="S14">
        <v>3.2173752283665397E-2</v>
      </c>
      <c r="T14">
        <v>2.2007761631216899E-2</v>
      </c>
      <c r="U14">
        <v>83.875712570197393</v>
      </c>
      <c r="V14">
        <v>6.6304044919479194E-2</v>
      </c>
      <c r="W14">
        <v>-1.65694444429095</v>
      </c>
      <c r="X14">
        <v>-1</v>
      </c>
      <c r="Y14">
        <v>-1.34821296281873</v>
      </c>
      <c r="Z14">
        <v>-2.1699999998460302</v>
      </c>
      <c r="AA14">
        <v>-1</v>
      </c>
      <c r="AB14">
        <v>-1.35833333318011</v>
      </c>
      <c r="AC14">
        <v>-1</v>
      </c>
      <c r="AD14">
        <v>3.12048148143798</v>
      </c>
      <c r="AE14">
        <v>3.2173752283665397E-2</v>
      </c>
      <c r="AF14">
        <v>4.3901275998816196</v>
      </c>
      <c r="AG14">
        <v>0</v>
      </c>
      <c r="AH14">
        <v>6.3123706399288304</v>
      </c>
      <c r="AI14">
        <v>0</v>
      </c>
      <c r="AJ14">
        <v>1.3952579707170201</v>
      </c>
      <c r="AK14">
        <v>7.4160000000000004</v>
      </c>
      <c r="AL14">
        <v>7.6120000000000001</v>
      </c>
      <c r="AM14">
        <v>0.13991995515925401</v>
      </c>
      <c r="AN14">
        <v>0.17627084878337301</v>
      </c>
      <c r="AO14">
        <v>2.9706000000000001</v>
      </c>
      <c r="AP14">
        <v>295.794689792008</v>
      </c>
      <c r="AQ14">
        <v>5.5157589900404903E-2</v>
      </c>
      <c r="AR14">
        <v>4.8955131712324899E-2</v>
      </c>
      <c r="AS14">
        <v>6.9427494558884695E-2</v>
      </c>
    </row>
    <row r="15" spans="1:45" x14ac:dyDescent="0.2">
      <c r="A15" t="s">
        <v>59</v>
      </c>
      <c r="B15" t="s">
        <v>57</v>
      </c>
      <c r="C15" t="s">
        <v>45</v>
      </c>
      <c r="D15">
        <v>13.64</v>
      </c>
      <c r="E15">
        <v>62.38</v>
      </c>
      <c r="F15">
        <v>-1.0930642838119101E-3</v>
      </c>
      <c r="G15">
        <v>96.104831565888901</v>
      </c>
      <c r="H15">
        <v>4.8864915762967698E-2</v>
      </c>
      <c r="I15">
        <v>-1.9202777776239499</v>
      </c>
      <c r="J15">
        <v>-1</v>
      </c>
      <c r="K15">
        <v>-0.429961640068171</v>
      </c>
      <c r="L15">
        <v>-2.67999999984547</v>
      </c>
      <c r="M15">
        <v>-1</v>
      </c>
      <c r="N15">
        <v>-2.1683333331792798</v>
      </c>
      <c r="O15">
        <v>-1</v>
      </c>
      <c r="P15">
        <v>3.0863072541980698</v>
      </c>
      <c r="Q15">
        <v>4.4317707093517497E-2</v>
      </c>
      <c r="R15">
        <v>-8.4181967853149096E-3</v>
      </c>
      <c r="S15">
        <v>3.2173752283665397E-2</v>
      </c>
      <c r="T15">
        <v>-1.09306428381193E-3</v>
      </c>
      <c r="U15">
        <v>61.0476013648708</v>
      </c>
      <c r="V15">
        <v>6.6304044919479194E-2</v>
      </c>
      <c r="W15">
        <v>-1.65694444429095</v>
      </c>
      <c r="X15">
        <v>-1</v>
      </c>
      <c r="Y15">
        <v>-0.35200925911595399</v>
      </c>
      <c r="Z15">
        <v>-2.1699999998460302</v>
      </c>
      <c r="AA15">
        <v>-1</v>
      </c>
      <c r="AB15">
        <v>-1.35833333318011</v>
      </c>
      <c r="AC15">
        <v>-1</v>
      </c>
      <c r="AD15">
        <v>2.44325925923359</v>
      </c>
      <c r="AE15">
        <v>3.2173752283665397E-2</v>
      </c>
      <c r="AF15">
        <v>4.3901275998816196</v>
      </c>
      <c r="AG15">
        <v>0</v>
      </c>
      <c r="AH15">
        <v>6.3123706399288304</v>
      </c>
      <c r="AI15">
        <v>0</v>
      </c>
      <c r="AJ15">
        <v>1.1794416640341401</v>
      </c>
      <c r="AK15">
        <v>7.4359999999999999</v>
      </c>
      <c r="AL15">
        <v>7.6319999999999997</v>
      </c>
      <c r="AM15">
        <v>5.4108477999962698E-2</v>
      </c>
      <c r="AN15">
        <v>7.8540078494472601E-2</v>
      </c>
      <c r="AO15">
        <v>3.1564800000000002</v>
      </c>
      <c r="AP15">
        <v>250.04163277523901</v>
      </c>
      <c r="AQ15">
        <v>6.3937745835882506E-2</v>
      </c>
      <c r="AR15">
        <v>6.9213763464280806E-2</v>
      </c>
      <c r="AS15">
        <v>7.7655184982157496E-2</v>
      </c>
    </row>
    <row r="16" spans="1:45" x14ac:dyDescent="0.2">
      <c r="A16" t="s">
        <v>60</v>
      </c>
      <c r="B16" t="s">
        <v>57</v>
      </c>
      <c r="C16" t="s">
        <v>45</v>
      </c>
      <c r="D16">
        <v>117.86</v>
      </c>
      <c r="E16">
        <v>176.06</v>
      </c>
      <c r="F16">
        <v>2.9473519298765301E-2</v>
      </c>
      <c r="G16">
        <v>-470.97511245606398</v>
      </c>
      <c r="H16">
        <v>6.0790718375661398E-2</v>
      </c>
      <c r="I16">
        <v>-2.83833333317865</v>
      </c>
      <c r="J16">
        <v>-1</v>
      </c>
      <c r="K16">
        <v>-1.73194444430031</v>
      </c>
      <c r="L16">
        <v>-2.9849999998451802</v>
      </c>
      <c r="M16">
        <v>-1</v>
      </c>
      <c r="N16">
        <v>-2.9099999998452399</v>
      </c>
      <c r="O16">
        <v>-1</v>
      </c>
      <c r="P16">
        <v>3.7604899696527898</v>
      </c>
      <c r="Q16">
        <v>2.2152566964167199E-2</v>
      </c>
      <c r="R16" s="1">
        <v>9.4877465495191201E-5</v>
      </c>
      <c r="S16">
        <v>5.9978499531745798E-2</v>
      </c>
      <c r="T16">
        <v>2.9473519298765301E-2</v>
      </c>
      <c r="U16">
        <v>-920.238692654837</v>
      </c>
      <c r="V16">
        <v>7.1459230602995499E-2</v>
      </c>
      <c r="W16">
        <v>-2.3283333331792</v>
      </c>
      <c r="X16">
        <v>-1</v>
      </c>
      <c r="Y16">
        <v>-1.8020277776331299</v>
      </c>
      <c r="Z16">
        <v>-2.4749999998457399</v>
      </c>
      <c r="AA16">
        <v>-1</v>
      </c>
      <c r="AB16">
        <v>-2.3133333331792101</v>
      </c>
      <c r="AC16">
        <v>-1</v>
      </c>
      <c r="AD16">
        <v>3.2086944443664498</v>
      </c>
      <c r="AE16">
        <v>5.9978499531745798E-2</v>
      </c>
      <c r="AF16">
        <v>5.7610319808746704</v>
      </c>
      <c r="AG16">
        <v>0</v>
      </c>
      <c r="AH16">
        <v>6.5844578311230997</v>
      </c>
      <c r="AI16">
        <v>0</v>
      </c>
      <c r="AJ16">
        <v>-2.5694105580284301</v>
      </c>
      <c r="AK16">
        <v>6.2359999999999998</v>
      </c>
      <c r="AL16">
        <v>6.3959999999999999</v>
      </c>
      <c r="AM16" s="1">
        <v>2.1029251110076101E-12</v>
      </c>
      <c r="AN16" s="1">
        <v>1.30696399633964E-9</v>
      </c>
      <c r="AO16">
        <v>2.5173399999999999</v>
      </c>
      <c r="AP16">
        <v>-593.53383890456803</v>
      </c>
      <c r="AQ16">
        <v>5.7657318800768402E-2</v>
      </c>
      <c r="AR16">
        <v>5.7725676627540301E-2</v>
      </c>
      <c r="AS16">
        <v>7.3713214838786997E-2</v>
      </c>
    </row>
    <row r="17" spans="1:45" x14ac:dyDescent="0.2">
      <c r="A17" t="s">
        <v>61</v>
      </c>
      <c r="B17" t="s">
        <v>57</v>
      </c>
      <c r="C17" t="s">
        <v>45</v>
      </c>
      <c r="D17">
        <v>175.72</v>
      </c>
      <c r="E17">
        <v>206.32</v>
      </c>
      <c r="F17">
        <v>7.9981325732336496E-3</v>
      </c>
      <c r="G17">
        <v>-3450.1336605132501</v>
      </c>
      <c r="H17">
        <v>8.3824034358137303E-2</v>
      </c>
      <c r="I17">
        <v>2.1184305557057099</v>
      </c>
      <c r="J17">
        <v>-1</v>
      </c>
      <c r="K17">
        <v>0.52732936522195895</v>
      </c>
      <c r="L17">
        <v>-6.3683333331754701</v>
      </c>
      <c r="M17">
        <v>-1</v>
      </c>
      <c r="N17">
        <v>6.2766666668130702</v>
      </c>
      <c r="O17">
        <v>-1</v>
      </c>
      <c r="P17">
        <v>3.56078445222643</v>
      </c>
      <c r="Q17">
        <v>1.72059454295348E-2</v>
      </c>
      <c r="R17">
        <v>-1.7437832034031801E-4</v>
      </c>
      <c r="S17">
        <v>4.42662936449048E-3</v>
      </c>
      <c r="T17">
        <v>7.9981325732336895E-3</v>
      </c>
      <c r="U17">
        <v>-4600.4793114860504</v>
      </c>
      <c r="V17">
        <v>9.6478140274591895E-2</v>
      </c>
      <c r="W17">
        <v>2.88030555570493</v>
      </c>
      <c r="X17">
        <v>-1</v>
      </c>
      <c r="Y17">
        <v>0.85704100543370498</v>
      </c>
      <c r="Z17">
        <v>-5.8583333331760299</v>
      </c>
      <c r="AA17">
        <v>-1</v>
      </c>
      <c r="AB17">
        <v>9.4850000001433994</v>
      </c>
      <c r="AC17">
        <v>-1</v>
      </c>
      <c r="AD17">
        <v>2.6942791005553399</v>
      </c>
      <c r="AE17">
        <v>4.42662936449048E-3</v>
      </c>
      <c r="AF17">
        <v>7.4107516847791599</v>
      </c>
      <c r="AG17">
        <v>0</v>
      </c>
      <c r="AH17">
        <v>4.4235160495042702</v>
      </c>
      <c r="AI17">
        <v>0</v>
      </c>
      <c r="AJ17">
        <v>-26.2110722314358</v>
      </c>
      <c r="AK17">
        <v>15.495999999999899</v>
      </c>
      <c r="AL17">
        <v>16.175999999999998</v>
      </c>
      <c r="AM17" s="1">
        <v>6.2080642075652299E-80</v>
      </c>
      <c r="AN17" s="1">
        <v>1.63633422748731E-52</v>
      </c>
      <c r="AO17">
        <v>10.368359999999999</v>
      </c>
      <c r="AP17">
        <v>-6054.75768546167</v>
      </c>
      <c r="AQ17">
        <v>9.4254731798927197E-2</v>
      </c>
      <c r="AR17">
        <v>8.77853343448943E-2</v>
      </c>
      <c r="AS17">
        <v>0.10001140167924</v>
      </c>
    </row>
    <row r="18" spans="1:45" x14ac:dyDescent="0.2">
      <c r="A18" t="s">
        <v>62</v>
      </c>
      <c r="B18" t="s">
        <v>57</v>
      </c>
      <c r="C18" t="s">
        <v>45</v>
      </c>
      <c r="D18">
        <v>168.76</v>
      </c>
      <c r="E18">
        <v>203.96</v>
      </c>
      <c r="F18">
        <v>1.2130963895055901E-2</v>
      </c>
      <c r="G18">
        <v>-1866.4379633937399</v>
      </c>
      <c r="H18">
        <v>5.32525281709589E-2</v>
      </c>
      <c r="I18">
        <v>1.0419444445955801</v>
      </c>
      <c r="J18">
        <v>-1</v>
      </c>
      <c r="K18">
        <v>9.4082672100678694E-2</v>
      </c>
      <c r="L18">
        <v>-3.7533333331778298</v>
      </c>
      <c r="M18">
        <v>-1</v>
      </c>
      <c r="N18">
        <v>3.4316666668156399</v>
      </c>
      <c r="O18">
        <v>-1</v>
      </c>
      <c r="P18">
        <v>3.0771256821392998</v>
      </c>
      <c r="Q18">
        <v>1.45362873065578E-2</v>
      </c>
      <c r="R18" s="1">
        <v>7.3250986482322294E-5</v>
      </c>
      <c r="S18">
        <v>9.7109801173209699E-3</v>
      </c>
      <c r="T18">
        <v>1.2130963895055901E-2</v>
      </c>
      <c r="U18">
        <v>-3857.7393488451098</v>
      </c>
      <c r="V18">
        <v>7.3817975203303104E-2</v>
      </c>
      <c r="W18">
        <v>0.99138888903998101</v>
      </c>
      <c r="X18">
        <v>-1</v>
      </c>
      <c r="Y18">
        <v>0.32610648162465899</v>
      </c>
      <c r="Z18">
        <v>-3.2433333331783798</v>
      </c>
      <c r="AA18">
        <v>-1</v>
      </c>
      <c r="AB18">
        <v>2.56500000014967</v>
      </c>
      <c r="AC18">
        <v>-1</v>
      </c>
      <c r="AD18">
        <v>2.90054166667549</v>
      </c>
      <c r="AE18">
        <v>9.7109801173209803E-3</v>
      </c>
      <c r="AF18">
        <v>3.4203819767972998</v>
      </c>
      <c r="AG18">
        <v>0</v>
      </c>
      <c r="AH18">
        <v>10.0096717648814</v>
      </c>
      <c r="AI18">
        <v>0</v>
      </c>
      <c r="AJ18">
        <v>-15.8287320628916</v>
      </c>
      <c r="AK18">
        <v>10.522</v>
      </c>
      <c r="AL18">
        <v>10.891999999999999</v>
      </c>
      <c r="AM18" s="1">
        <v>2.2216051668625998E-42</v>
      </c>
      <c r="AN18" s="1">
        <v>5.5920009538106496E-32</v>
      </c>
      <c r="AO18">
        <v>5.5424199999999999</v>
      </c>
      <c r="AP18">
        <v>-3656.4371065279602</v>
      </c>
      <c r="AQ18">
        <v>6.5678611138972595E-2</v>
      </c>
      <c r="AR18">
        <v>5.6718495456632503E-2</v>
      </c>
      <c r="AS18">
        <v>7.7579798311171497E-2</v>
      </c>
    </row>
    <row r="19" spans="1:45" x14ac:dyDescent="0.2">
      <c r="A19" t="s">
        <v>63</v>
      </c>
      <c r="B19" t="s">
        <v>57</v>
      </c>
      <c r="C19" t="s">
        <v>45</v>
      </c>
      <c r="D19">
        <v>155.72</v>
      </c>
      <c r="E19">
        <v>189.66</v>
      </c>
      <c r="F19">
        <v>1.2130963895055901E-2</v>
      </c>
      <c r="G19">
        <v>-1399.84767770756</v>
      </c>
      <c r="H19">
        <v>5.32525281709589E-2</v>
      </c>
      <c r="I19">
        <v>1.03708333348447</v>
      </c>
      <c r="J19">
        <v>-1</v>
      </c>
      <c r="K19">
        <v>9.3136904904904505E-2</v>
      </c>
      <c r="L19">
        <v>-3.7549999998444901</v>
      </c>
      <c r="M19">
        <v>-1</v>
      </c>
      <c r="N19">
        <v>3.4233333334823102</v>
      </c>
      <c r="O19">
        <v>-1</v>
      </c>
      <c r="P19">
        <v>3.0773137017942598</v>
      </c>
      <c r="Q19">
        <v>1.31185781571146E-2</v>
      </c>
      <c r="R19">
        <v>9.6132624038493004E-4</v>
      </c>
      <c r="S19">
        <v>9.7109801173209699E-3</v>
      </c>
      <c r="T19">
        <v>1.2130963895055901E-2</v>
      </c>
      <c r="U19">
        <v>-2950.8997757982302</v>
      </c>
      <c r="V19">
        <v>7.3817975203303104E-2</v>
      </c>
      <c r="W19">
        <v>0.98680555570665396</v>
      </c>
      <c r="X19">
        <v>-1</v>
      </c>
      <c r="Y19">
        <v>0.32525000014317101</v>
      </c>
      <c r="Z19">
        <v>-3.2449999998450401</v>
      </c>
      <c r="AA19">
        <v>-1</v>
      </c>
      <c r="AB19">
        <v>2.5583333334830098</v>
      </c>
      <c r="AC19">
        <v>-1</v>
      </c>
      <c r="AD19">
        <v>2.9011851851940098</v>
      </c>
      <c r="AE19">
        <v>9.7109801173209803E-3</v>
      </c>
      <c r="AF19">
        <v>3.8162093053117401</v>
      </c>
      <c r="AG19">
        <v>0</v>
      </c>
      <c r="AH19">
        <v>9.9425497699621808</v>
      </c>
      <c r="AI19">
        <v>0</v>
      </c>
      <c r="AJ19">
        <v>-12.6027635237706</v>
      </c>
      <c r="AK19">
        <v>10.522</v>
      </c>
      <c r="AL19">
        <v>10.891999999999999</v>
      </c>
      <c r="AM19" s="1">
        <v>1.860152046186E-35</v>
      </c>
      <c r="AN19" s="1">
        <v>4.7237139711089398E-27</v>
      </c>
      <c r="AO19">
        <v>5.4875400000000001</v>
      </c>
      <c r="AP19">
        <v>-2721.6238790043699</v>
      </c>
      <c r="AQ19">
        <v>6.6049510652895896E-2</v>
      </c>
      <c r="AR19">
        <v>5.6718495456632503E-2</v>
      </c>
      <c r="AS19">
        <v>7.7579798311171497E-2</v>
      </c>
    </row>
    <row r="20" spans="1:45" x14ac:dyDescent="0.2">
      <c r="A20" t="s">
        <v>64</v>
      </c>
      <c r="B20" t="s">
        <v>57</v>
      </c>
      <c r="C20" t="s">
        <v>45</v>
      </c>
      <c r="D20">
        <v>131.84</v>
      </c>
      <c r="E20">
        <v>185.04</v>
      </c>
      <c r="F20">
        <v>1.2130963895055901E-2</v>
      </c>
      <c r="G20">
        <v>-553.970835908146</v>
      </c>
      <c r="H20">
        <v>5.32525281709589E-2</v>
      </c>
      <c r="I20">
        <v>1.0402777779289301</v>
      </c>
      <c r="J20">
        <v>-1</v>
      </c>
      <c r="K20">
        <v>9.3749338767337806E-2</v>
      </c>
      <c r="L20">
        <v>-3.75333333317782</v>
      </c>
      <c r="M20">
        <v>-1</v>
      </c>
      <c r="N20">
        <v>3.43500000014898</v>
      </c>
      <c r="O20">
        <v>-1</v>
      </c>
      <c r="P20">
        <v>3.0752917639711601</v>
      </c>
      <c r="Q20">
        <v>2.0909838483428402E-2</v>
      </c>
      <c r="R20" s="1">
        <v>7.3250986482322294E-5</v>
      </c>
      <c r="S20">
        <v>9.7109801173209699E-3</v>
      </c>
      <c r="T20">
        <v>1.2130963895055901E-2</v>
      </c>
      <c r="U20">
        <v>-1319.3579088937199</v>
      </c>
      <c r="V20">
        <v>7.3817975203303104E-2</v>
      </c>
      <c r="W20">
        <v>0.99013888903999803</v>
      </c>
      <c r="X20">
        <v>-1</v>
      </c>
      <c r="Y20">
        <v>0.32643981495798502</v>
      </c>
      <c r="Z20">
        <v>-3.2433333331783798</v>
      </c>
      <c r="AA20">
        <v>-1</v>
      </c>
      <c r="AB20">
        <v>2.5683333334829999</v>
      </c>
      <c r="AC20">
        <v>-1</v>
      </c>
      <c r="AD20">
        <v>2.90513425926809</v>
      </c>
      <c r="AE20">
        <v>9.7109801173209803E-3</v>
      </c>
      <c r="AF20">
        <v>4.84722189422369</v>
      </c>
      <c r="AG20">
        <v>0</v>
      </c>
      <c r="AH20">
        <v>9.0715838469591592</v>
      </c>
      <c r="AI20">
        <v>0</v>
      </c>
      <c r="AJ20">
        <v>-4.3920310972109</v>
      </c>
      <c r="AK20">
        <v>10.522</v>
      </c>
      <c r="AL20">
        <v>10.891999999999999</v>
      </c>
      <c r="AM20" s="1">
        <v>1.73686560281016E-17</v>
      </c>
      <c r="AN20" s="1">
        <v>2.7061984186084098E-13</v>
      </c>
      <c r="AO20">
        <v>5.5424199999999999</v>
      </c>
      <c r="AP20">
        <v>-1014.55918345571</v>
      </c>
      <c r="AQ20">
        <v>6.5678611138972595E-2</v>
      </c>
      <c r="AR20">
        <v>5.6718495456632503E-2</v>
      </c>
      <c r="AS20">
        <v>7.7579798311171497E-2</v>
      </c>
    </row>
    <row r="21" spans="1:45" x14ac:dyDescent="0.2">
      <c r="A21" t="s">
        <v>110</v>
      </c>
      <c r="B21" t="s">
        <v>57</v>
      </c>
      <c r="C21" t="s">
        <v>45</v>
      </c>
      <c r="D21">
        <v>112.96</v>
      </c>
      <c r="E21">
        <v>171.12</v>
      </c>
      <c r="F21">
        <v>1.4463701367378101E-2</v>
      </c>
      <c r="G21">
        <v>-262.722232582456</v>
      </c>
      <c r="H21">
        <v>4.6685152837157497E-2</v>
      </c>
      <c r="I21">
        <v>0.25805555570741201</v>
      </c>
      <c r="J21">
        <v>-1</v>
      </c>
      <c r="K21">
        <v>-0.32317261890426402</v>
      </c>
      <c r="L21">
        <v>-3.0399999998451399</v>
      </c>
      <c r="M21">
        <v>-1</v>
      </c>
      <c r="N21">
        <v>1.4550000001507599</v>
      </c>
      <c r="O21">
        <v>-1</v>
      </c>
      <c r="P21">
        <v>3.1386957254419499</v>
      </c>
      <c r="Q21">
        <v>2.1839070037915999E-2</v>
      </c>
      <c r="R21">
        <v>1.6449091036634201E-4</v>
      </c>
      <c r="S21">
        <v>1.45846424102782E-2</v>
      </c>
      <c r="T21">
        <v>1.44637013673782E-2</v>
      </c>
      <c r="U21">
        <v>-926.34589935983695</v>
      </c>
      <c r="V21">
        <v>6.8849580010767603E-2</v>
      </c>
      <c r="W21">
        <v>0.63861111126253001</v>
      </c>
      <c r="X21">
        <v>-1</v>
      </c>
      <c r="Y21">
        <v>-4.3231481338455599E-2</v>
      </c>
      <c r="Z21">
        <v>-2.5299999998456899</v>
      </c>
      <c r="AA21">
        <v>-1</v>
      </c>
      <c r="AB21">
        <v>2.0750000001501099</v>
      </c>
      <c r="AC21">
        <v>-1</v>
      </c>
      <c r="AD21">
        <v>2.8288240740538</v>
      </c>
      <c r="AE21">
        <v>1.45846424102782E-2</v>
      </c>
      <c r="AF21">
        <v>5.2085390346455904</v>
      </c>
      <c r="AG21">
        <v>0</v>
      </c>
      <c r="AH21">
        <v>9.1192688812268194</v>
      </c>
      <c r="AI21">
        <v>0</v>
      </c>
      <c r="AJ21">
        <v>-2.15349132595599</v>
      </c>
      <c r="AK21">
        <v>8.9779999999999998</v>
      </c>
      <c r="AL21">
        <v>9.3360000000000003</v>
      </c>
      <c r="AM21" s="1">
        <v>2.8263847309832E-11</v>
      </c>
      <c r="AN21" s="1">
        <v>1.1777565139432399E-9</v>
      </c>
      <c r="AO21">
        <v>4.4163999999999897</v>
      </c>
      <c r="AP21">
        <v>-497.456496295835</v>
      </c>
      <c r="AQ21">
        <v>5.83045282874863E-2</v>
      </c>
      <c r="AR21">
        <v>4.8464893030703199E-2</v>
      </c>
      <c r="AS21">
        <v>7.1788037788675096E-2</v>
      </c>
    </row>
    <row r="22" spans="1:45" x14ac:dyDescent="0.2">
      <c r="A22" t="s">
        <v>65</v>
      </c>
      <c r="B22" t="s">
        <v>57</v>
      </c>
      <c r="C22" t="s">
        <v>45</v>
      </c>
      <c r="D22">
        <v>102.82</v>
      </c>
      <c r="E22">
        <v>164.88</v>
      </c>
      <c r="F22">
        <v>1.6207917677031499E-2</v>
      </c>
      <c r="G22">
        <v>-184.85008111725699</v>
      </c>
      <c r="H22">
        <v>4.4981667350281002E-2</v>
      </c>
      <c r="I22">
        <v>-0.39249999984754302</v>
      </c>
      <c r="J22">
        <v>-1</v>
      </c>
      <c r="K22">
        <v>-0.57613425911566396</v>
      </c>
      <c r="L22">
        <v>-2.76333333317872</v>
      </c>
      <c r="M22">
        <v>-1</v>
      </c>
      <c r="N22">
        <v>0.56333333348492398</v>
      </c>
      <c r="O22">
        <v>-1</v>
      </c>
      <c r="P22">
        <v>3.03366726865513</v>
      </c>
      <c r="Q22">
        <v>2.2290689262501301E-2</v>
      </c>
      <c r="R22">
        <v>2.4434534171462402E-4</v>
      </c>
      <c r="S22">
        <v>1.8617557525634699E-2</v>
      </c>
      <c r="T22">
        <v>1.62079176770316E-2</v>
      </c>
      <c r="U22">
        <v>-789.59295677702505</v>
      </c>
      <c r="V22">
        <v>6.6854438812208497E-2</v>
      </c>
      <c r="W22">
        <v>-0.15388888873673701</v>
      </c>
      <c r="X22">
        <v>-1</v>
      </c>
      <c r="Y22">
        <v>-0.45139351837510699</v>
      </c>
      <c r="Z22">
        <v>-2.2533333331792802</v>
      </c>
      <c r="AA22">
        <v>-1</v>
      </c>
      <c r="AB22">
        <v>1.11166666681768</v>
      </c>
      <c r="AC22">
        <v>-1</v>
      </c>
      <c r="AD22">
        <v>2.9530601851590599</v>
      </c>
      <c r="AE22">
        <v>1.8617557525634699E-2</v>
      </c>
      <c r="AF22">
        <v>4.96339179531381</v>
      </c>
      <c r="AG22">
        <v>0</v>
      </c>
      <c r="AH22">
        <v>8.6117758253032601</v>
      </c>
      <c r="AI22">
        <v>0</v>
      </c>
      <c r="AJ22">
        <v>-1.4423347731298599</v>
      </c>
      <c r="AK22">
        <v>8.3239999999999998</v>
      </c>
      <c r="AL22">
        <v>8.56</v>
      </c>
      <c r="AM22" s="1">
        <v>5.1313349333990799E-10</v>
      </c>
      <c r="AN22" s="1">
        <v>3.4713188704534202E-7</v>
      </c>
      <c r="AO22">
        <v>3.9070399999999998</v>
      </c>
      <c r="AP22">
        <v>-333.179332592999</v>
      </c>
      <c r="AQ22">
        <v>5.5289798937192998E-2</v>
      </c>
      <c r="AR22">
        <v>4.5847238066095503E-2</v>
      </c>
      <c r="AS22">
        <v>6.9520332260278303E-2</v>
      </c>
    </row>
    <row r="23" spans="1:45" x14ac:dyDescent="0.2">
      <c r="A23" t="s">
        <v>111</v>
      </c>
      <c r="B23" t="s">
        <v>57</v>
      </c>
      <c r="C23" t="s">
        <v>45</v>
      </c>
      <c r="D23">
        <v>94.22</v>
      </c>
      <c r="E23">
        <v>163.44</v>
      </c>
      <c r="F23">
        <v>1.9172883192698099E-2</v>
      </c>
      <c r="G23">
        <v>-144.12306704097199</v>
      </c>
      <c r="H23">
        <v>4.49420582842434E-2</v>
      </c>
      <c r="I23">
        <v>-1.1663888887357401</v>
      </c>
      <c r="J23">
        <v>-1</v>
      </c>
      <c r="K23">
        <v>-1.0155873014433101</v>
      </c>
      <c r="L23">
        <v>-2.5566666665122502</v>
      </c>
      <c r="M23">
        <v>-1</v>
      </c>
      <c r="N23">
        <v>-0.90333333318042597</v>
      </c>
      <c r="O23">
        <v>-1</v>
      </c>
      <c r="P23">
        <v>2.7905456280090601</v>
      </c>
      <c r="Q23">
        <v>2.28070227393594E-2</v>
      </c>
      <c r="R23">
        <v>3.99678487917306E-4</v>
      </c>
      <c r="S23">
        <v>2.56172891259192E-2</v>
      </c>
      <c r="T23">
        <v>1.9172883192698099E-2</v>
      </c>
      <c r="U23">
        <v>-671.64224355142005</v>
      </c>
      <c r="V23">
        <v>6.5115041583214198E-2</v>
      </c>
      <c r="W23">
        <v>-0.92041666651383203</v>
      </c>
      <c r="X23">
        <v>-1</v>
      </c>
      <c r="Y23">
        <v>-0.96868055541168296</v>
      </c>
      <c r="Z23">
        <v>-2.0466666665128099</v>
      </c>
      <c r="AA23">
        <v>-1</v>
      </c>
      <c r="AB23">
        <v>5.1666666818618902E-2</v>
      </c>
      <c r="AC23">
        <v>-1</v>
      </c>
      <c r="AD23">
        <v>3.0529861110791701</v>
      </c>
      <c r="AE23">
        <v>2.56172891259192E-2</v>
      </c>
      <c r="AF23">
        <v>5.0186898805244597</v>
      </c>
      <c r="AG23">
        <v>0</v>
      </c>
      <c r="AH23">
        <v>7.4746129337887703</v>
      </c>
      <c r="AI23">
        <v>0</v>
      </c>
      <c r="AJ23">
        <v>-0.92725766941739896</v>
      </c>
      <c r="AK23">
        <v>7.8579999999999997</v>
      </c>
      <c r="AL23">
        <v>8.0739999999999998</v>
      </c>
      <c r="AM23" s="1">
        <v>1.8495887230220501E-9</v>
      </c>
      <c r="AN23" s="1">
        <v>7.7079117396910697E-7</v>
      </c>
      <c r="AO23">
        <v>3.3547199999999999</v>
      </c>
      <c r="AP23">
        <v>-214.196521635419</v>
      </c>
      <c r="AQ23">
        <v>5.2754825926758599E-2</v>
      </c>
      <c r="AR23">
        <v>4.4751851828652697E-2</v>
      </c>
      <c r="AS23">
        <v>6.7686221360778995E-2</v>
      </c>
    </row>
    <row r="24" spans="1:45" x14ac:dyDescent="0.2">
      <c r="A24" t="s">
        <v>66</v>
      </c>
      <c r="B24" t="s">
        <v>57</v>
      </c>
      <c r="C24" t="s">
        <v>45</v>
      </c>
      <c r="D24">
        <v>144.44</v>
      </c>
      <c r="E24">
        <v>191.74</v>
      </c>
      <c r="F24">
        <v>7.8988534079657193E-3</v>
      </c>
      <c r="G24">
        <v>-1075.92956008954</v>
      </c>
      <c r="H24">
        <v>8.3560309423024406E-2</v>
      </c>
      <c r="I24">
        <v>2.13738888903903</v>
      </c>
      <c r="J24">
        <v>-1</v>
      </c>
      <c r="K24">
        <v>0.39091613770890099</v>
      </c>
      <c r="L24">
        <v>-6.2983333331755196</v>
      </c>
      <c r="M24">
        <v>-1</v>
      </c>
      <c r="N24">
        <v>6.6766666668126797</v>
      </c>
      <c r="O24">
        <v>-1</v>
      </c>
      <c r="P24">
        <v>3.71443198645526</v>
      </c>
      <c r="Q24">
        <v>2.6207363591359702E-2</v>
      </c>
      <c r="R24">
        <v>-2.9683663636485299E-4</v>
      </c>
      <c r="S24">
        <v>3.1052086353301799E-3</v>
      </c>
      <c r="T24">
        <v>7.8988534079657505E-3</v>
      </c>
      <c r="U24">
        <v>-1475.35915982552</v>
      </c>
      <c r="V24">
        <v>9.6094780385364606E-2</v>
      </c>
      <c r="W24">
        <v>2.4169444445942498</v>
      </c>
      <c r="X24">
        <v>-1</v>
      </c>
      <c r="Y24">
        <v>0.51266798956100301</v>
      </c>
      <c r="Z24">
        <v>-5.7883333331760696</v>
      </c>
      <c r="AA24">
        <v>-1</v>
      </c>
      <c r="AB24">
        <v>9.4066666668101107</v>
      </c>
      <c r="AC24">
        <v>-1</v>
      </c>
      <c r="AD24">
        <v>2.57993518519431</v>
      </c>
      <c r="AE24">
        <v>3.1052086353301799E-3</v>
      </c>
      <c r="AF24">
        <v>5.4066523986341704</v>
      </c>
      <c r="AG24">
        <v>0</v>
      </c>
      <c r="AH24">
        <v>4.6776584740366802</v>
      </c>
      <c r="AI24">
        <v>0</v>
      </c>
      <c r="AJ24">
        <v>-7.6858058731808203</v>
      </c>
      <c r="AK24">
        <v>15.651999999999999</v>
      </c>
      <c r="AL24">
        <v>16.224</v>
      </c>
      <c r="AM24" s="1">
        <v>5.0075714249099801E-24</v>
      </c>
      <c r="AN24" s="1">
        <v>1.43136875469391E-15</v>
      </c>
      <c r="AO24">
        <v>10.61594</v>
      </c>
      <c r="AP24">
        <v>-1775.4211567047601</v>
      </c>
      <c r="AQ24">
        <v>9.5919513831278197E-2</v>
      </c>
      <c r="AR24">
        <v>9.0026848433077497E-2</v>
      </c>
      <c r="AS24">
        <v>0.101935799495604</v>
      </c>
    </row>
    <row r="25" spans="1:45" x14ac:dyDescent="0.2">
      <c r="A25" t="s">
        <v>112</v>
      </c>
      <c r="B25" t="s">
        <v>57</v>
      </c>
      <c r="C25" t="s">
        <v>45</v>
      </c>
      <c r="D25">
        <v>116.24</v>
      </c>
      <c r="E25">
        <v>174</v>
      </c>
      <c r="F25">
        <v>8.9578553570640804E-3</v>
      </c>
      <c r="G25">
        <v>-347.315779503116</v>
      </c>
      <c r="H25">
        <v>6.4548792893427104E-2</v>
      </c>
      <c r="I25">
        <v>1.5008055557062701</v>
      </c>
      <c r="J25">
        <v>-1</v>
      </c>
      <c r="K25">
        <v>0.303101587444423</v>
      </c>
      <c r="L25">
        <v>-4.9349999998434297</v>
      </c>
      <c r="M25">
        <v>-1</v>
      </c>
      <c r="N25">
        <v>3.5900000001487999</v>
      </c>
      <c r="O25">
        <v>-1</v>
      </c>
      <c r="P25">
        <v>3.4108538050166302</v>
      </c>
      <c r="Q25">
        <v>2.8978167000888899E-2</v>
      </c>
      <c r="R25" s="1">
        <v>-8.31676907113225E-5</v>
      </c>
      <c r="S25">
        <v>3.1385490298271E-3</v>
      </c>
      <c r="T25">
        <v>8.9578553570641099E-3</v>
      </c>
      <c r="U25">
        <v>-714.57427897727803</v>
      </c>
      <c r="V25">
        <v>8.2685240476029195E-2</v>
      </c>
      <c r="W25">
        <v>1.7213888890393101</v>
      </c>
      <c r="X25">
        <v>-1</v>
      </c>
      <c r="Y25">
        <v>0.58116798956092697</v>
      </c>
      <c r="Z25">
        <v>-4.4249999998439797</v>
      </c>
      <c r="AA25">
        <v>-1</v>
      </c>
      <c r="AB25">
        <v>5.0183333334807703</v>
      </c>
      <c r="AC25">
        <v>-1</v>
      </c>
      <c r="AD25">
        <v>2.4296124338774399</v>
      </c>
      <c r="AE25">
        <v>3.1385490298271E-3</v>
      </c>
      <c r="AF25">
        <v>5.4796144404001303</v>
      </c>
      <c r="AG25">
        <v>0</v>
      </c>
      <c r="AH25">
        <v>6.6081976559633002</v>
      </c>
      <c r="AI25">
        <v>0</v>
      </c>
      <c r="AJ25">
        <v>-2.6532584767099499</v>
      </c>
      <c r="AK25">
        <v>12.39</v>
      </c>
      <c r="AL25">
        <v>12.923999999999999</v>
      </c>
      <c r="AM25" s="1">
        <v>3.2428763324262202E-13</v>
      </c>
      <c r="AN25" s="1">
        <v>8.1756381113738103E-10</v>
      </c>
      <c r="AO25">
        <v>7.6597</v>
      </c>
      <c r="AP25">
        <v>-612.90270812000006</v>
      </c>
      <c r="AQ25">
        <v>8.0370561760680595E-2</v>
      </c>
      <c r="AR25">
        <v>7.0089669640307301E-2</v>
      </c>
      <c r="AS25">
        <v>8.7764713316843795E-2</v>
      </c>
    </row>
    <row r="26" spans="1:45" x14ac:dyDescent="0.2">
      <c r="A26" t="s">
        <v>113</v>
      </c>
      <c r="B26" t="s">
        <v>57</v>
      </c>
      <c r="C26" t="s">
        <v>45</v>
      </c>
      <c r="D26">
        <v>1.52</v>
      </c>
      <c r="E26">
        <v>8.16</v>
      </c>
      <c r="F26">
        <v>5.3237277856343398E-2</v>
      </c>
      <c r="G26">
        <v>72.577820631814603</v>
      </c>
      <c r="H26">
        <v>9.8882262848646901E-2</v>
      </c>
      <c r="I26">
        <v>-0.61805555540290602</v>
      </c>
      <c r="J26">
        <v>-1</v>
      </c>
      <c r="K26">
        <v>-2.0134748675799399</v>
      </c>
      <c r="L26">
        <v>-7.1133333331747597</v>
      </c>
      <c r="M26">
        <v>-1</v>
      </c>
      <c r="N26">
        <v>5.6666666818691799E-2</v>
      </c>
      <c r="O26">
        <v>-1</v>
      </c>
      <c r="P26">
        <v>4.6156825440804399</v>
      </c>
      <c r="Q26">
        <v>0.14172000207853999</v>
      </c>
      <c r="R26">
        <v>4.5695440706425797E-2</v>
      </c>
      <c r="S26">
        <v>4.1059095262385603E-2</v>
      </c>
      <c r="T26">
        <v>5.3237277856343398E-2</v>
      </c>
      <c r="U26">
        <v>55.203450020709802</v>
      </c>
      <c r="V26">
        <v>0.112432972687305</v>
      </c>
      <c r="W26">
        <v>-0.77033333318063302</v>
      </c>
      <c r="X26">
        <v>-1</v>
      </c>
      <c r="Y26">
        <v>-2.0318749998546699</v>
      </c>
      <c r="Z26">
        <v>-6.6033333331753203</v>
      </c>
      <c r="AA26">
        <v>-1</v>
      </c>
      <c r="AB26">
        <v>0.65166666681808205</v>
      </c>
      <c r="AC26">
        <v>-1</v>
      </c>
      <c r="AD26">
        <v>3.3925694443782302</v>
      </c>
      <c r="AE26">
        <v>4.1059095262385603E-2</v>
      </c>
      <c r="AF26">
        <v>2.73262185631115</v>
      </c>
      <c r="AG26">
        <v>0</v>
      </c>
      <c r="AH26">
        <v>3.1294571609833399</v>
      </c>
      <c r="AI26">
        <v>0</v>
      </c>
      <c r="AJ26">
        <v>0.68142707572054895</v>
      </c>
      <c r="AK26">
        <v>10.958</v>
      </c>
      <c r="AL26">
        <v>11.286</v>
      </c>
      <c r="AM26">
        <v>0.41246732645044298</v>
      </c>
      <c r="AN26">
        <v>0.50645207447986096</v>
      </c>
      <c r="AO26">
        <v>10.517480000000001</v>
      </c>
      <c r="AP26">
        <v>151.276810809962</v>
      </c>
      <c r="AQ26">
        <v>0.109250866598933</v>
      </c>
      <c r="AR26">
        <v>0.108707107136117</v>
      </c>
      <c r="AS26">
        <v>0.122017335466821</v>
      </c>
    </row>
    <row r="27" spans="1:45" x14ac:dyDescent="0.2">
      <c r="A27" t="s">
        <v>68</v>
      </c>
      <c r="B27" t="s">
        <v>57</v>
      </c>
      <c r="C27" t="s">
        <v>45</v>
      </c>
      <c r="D27">
        <v>40.799999999999997</v>
      </c>
      <c r="E27">
        <v>84.82</v>
      </c>
      <c r="F27">
        <v>-1.18528595289096E-2</v>
      </c>
      <c r="G27">
        <v>-3518.7672144840299</v>
      </c>
      <c r="H27">
        <v>7.1404594454720693E-2</v>
      </c>
      <c r="I27">
        <v>1.5870277779284201</v>
      </c>
      <c r="J27">
        <v>-1</v>
      </c>
      <c r="K27">
        <v>1.4209666668066201</v>
      </c>
      <c r="L27">
        <v>-2.81833333317867</v>
      </c>
      <c r="M27">
        <v>-1</v>
      </c>
      <c r="N27">
        <v>2.6000000001497399</v>
      </c>
      <c r="O27">
        <v>-1</v>
      </c>
      <c r="P27">
        <v>4.7399007592444402</v>
      </c>
      <c r="Q27">
        <v>4.9600979203145198E-2</v>
      </c>
      <c r="R27">
        <v>-1.46717059649616E-2</v>
      </c>
      <c r="S27">
        <v>4.2679974436759796E-3</v>
      </c>
      <c r="T27">
        <v>-1.20164000222021E-2</v>
      </c>
      <c r="U27">
        <v>-2368.0449156587702</v>
      </c>
      <c r="V27">
        <v>8.2503589334260496E-2</v>
      </c>
      <c r="W27">
        <v>2.26188888903883</v>
      </c>
      <c r="X27">
        <v>-1</v>
      </c>
      <c r="Y27">
        <v>1.24468088638429</v>
      </c>
      <c r="Z27">
        <v>-2.30833333317922</v>
      </c>
      <c r="AA27">
        <v>-1</v>
      </c>
      <c r="AB27">
        <v>3.1133333334825202</v>
      </c>
      <c r="AC27">
        <v>-1</v>
      </c>
      <c r="AD27">
        <v>3.4205552248976199</v>
      </c>
      <c r="AE27">
        <v>3.6091170283158399E-3</v>
      </c>
      <c r="AF27">
        <v>4.3693179009167897</v>
      </c>
      <c r="AG27">
        <v>0</v>
      </c>
      <c r="AH27">
        <v>4.6784264456935896</v>
      </c>
      <c r="AI27">
        <v>0</v>
      </c>
      <c r="AJ27">
        <v>-1513.43733928606</v>
      </c>
      <c r="AK27">
        <v>14.515999999999901</v>
      </c>
      <c r="AL27">
        <v>14.874000000000001</v>
      </c>
      <c r="AM27" s="1">
        <v>1.7911023796502201E-10</v>
      </c>
      <c r="AN27">
        <v>2.18714679184533E-4</v>
      </c>
      <c r="AO27">
        <v>12.0504</v>
      </c>
      <c r="AP27">
        <v>-349575.681251114</v>
      </c>
      <c r="AQ27">
        <v>8.3838363574684993E-2</v>
      </c>
      <c r="AR27">
        <v>8.8928542088782495E-2</v>
      </c>
      <c r="AS27">
        <v>0.10069985222861</v>
      </c>
    </row>
    <row r="28" spans="1:45" x14ac:dyDescent="0.2">
      <c r="A28" t="s">
        <v>69</v>
      </c>
      <c r="B28" t="s">
        <v>70</v>
      </c>
      <c r="C28" t="s">
        <v>45</v>
      </c>
      <c r="D28">
        <v>1.8</v>
      </c>
      <c r="E28">
        <v>8.36</v>
      </c>
      <c r="F28">
        <v>3.9173129052579598E-3</v>
      </c>
      <c r="G28">
        <v>117.394986961744</v>
      </c>
      <c r="H28">
        <v>5.7567737116391897E-2</v>
      </c>
      <c r="I28">
        <v>1.7409166668171501</v>
      </c>
      <c r="J28">
        <v>-1</v>
      </c>
      <c r="K28">
        <v>1.31197367739048</v>
      </c>
      <c r="L28">
        <v>-1.26499999984677</v>
      </c>
      <c r="M28">
        <v>-1</v>
      </c>
      <c r="N28">
        <v>3.3366666668157001</v>
      </c>
      <c r="O28">
        <v>-1</v>
      </c>
      <c r="P28">
        <v>3.8253818332148</v>
      </c>
      <c r="Q28">
        <v>8.6375263950416503E-2</v>
      </c>
      <c r="R28">
        <v>-1.7334109151284499E-3</v>
      </c>
      <c r="S28">
        <v>1.9393336169160402E-2</v>
      </c>
      <c r="T28">
        <v>3.9173129052579598E-3</v>
      </c>
      <c r="U28">
        <v>95.267208675165307</v>
      </c>
      <c r="V28">
        <v>7.8362051517803705E-2</v>
      </c>
      <c r="W28">
        <v>2.09013888903897</v>
      </c>
      <c r="X28">
        <v>-1</v>
      </c>
      <c r="Y28">
        <v>1.4953055556971799</v>
      </c>
      <c r="Z28">
        <v>-0.75499999984733202</v>
      </c>
      <c r="AA28">
        <v>-1</v>
      </c>
      <c r="AB28">
        <v>3.4250000001488599</v>
      </c>
      <c r="AC28">
        <v>-1</v>
      </c>
      <c r="AD28">
        <v>3.1311851852048198</v>
      </c>
      <c r="AE28">
        <v>1.9393336169160402E-2</v>
      </c>
      <c r="AF28">
        <v>3.7137288741980701</v>
      </c>
      <c r="AG28">
        <v>0</v>
      </c>
      <c r="AH28">
        <v>4.1634638995342899</v>
      </c>
      <c r="AI28">
        <v>0</v>
      </c>
      <c r="AJ28">
        <v>0.99345215719959701</v>
      </c>
      <c r="AK28">
        <v>9.86</v>
      </c>
      <c r="AL28">
        <v>10.236000000000001</v>
      </c>
      <c r="AM28">
        <v>0.19099543116839901</v>
      </c>
      <c r="AN28">
        <v>0.48878708311951402</v>
      </c>
      <c r="AO28">
        <v>8.4968199999999996</v>
      </c>
      <c r="AP28">
        <v>209.61840516911499</v>
      </c>
      <c r="AQ28">
        <v>9.1650707701382894E-2</v>
      </c>
      <c r="AR28">
        <v>6.2689193695310202E-2</v>
      </c>
      <c r="AS28">
        <v>8.3341766607347101E-2</v>
      </c>
    </row>
    <row r="29" spans="1:45" x14ac:dyDescent="0.2">
      <c r="A29" t="s">
        <v>71</v>
      </c>
      <c r="B29" t="s">
        <v>70</v>
      </c>
      <c r="C29" t="s">
        <v>45</v>
      </c>
      <c r="D29">
        <v>8.94</v>
      </c>
      <c r="E29">
        <v>44.82</v>
      </c>
      <c r="F29">
        <v>2.16112028795745E-2</v>
      </c>
      <c r="G29">
        <v>143.44709990459501</v>
      </c>
      <c r="H29">
        <v>4.8876941259344303E-2</v>
      </c>
      <c r="I29">
        <v>-1.47277777762435</v>
      </c>
      <c r="J29">
        <v>-1</v>
      </c>
      <c r="K29">
        <v>-1.2349629628188199</v>
      </c>
      <c r="L29">
        <v>-2.6116666665122099</v>
      </c>
      <c r="M29">
        <v>-1</v>
      </c>
      <c r="N29">
        <v>-0.87833333318045304</v>
      </c>
      <c r="O29">
        <v>-1</v>
      </c>
      <c r="P29">
        <v>3.2078125635624901</v>
      </c>
      <c r="Q29">
        <v>5.0085617837695502E-2</v>
      </c>
      <c r="R29">
        <v>2.2126717243942202E-3</v>
      </c>
      <c r="S29">
        <v>3.0530893438032499E-2</v>
      </c>
      <c r="T29">
        <v>2.16112028795745E-2</v>
      </c>
      <c r="U29">
        <v>89.396826150496906</v>
      </c>
      <c r="V29">
        <v>6.72140606263191E-2</v>
      </c>
      <c r="W29">
        <v>-1.08111111095813</v>
      </c>
      <c r="X29">
        <v>-1</v>
      </c>
      <c r="Y29">
        <v>-1.1145277776337601</v>
      </c>
      <c r="Z29">
        <v>-2.1016666665127599</v>
      </c>
      <c r="AA29">
        <v>-1</v>
      </c>
      <c r="AB29">
        <v>-0.48999999984755899</v>
      </c>
      <c r="AC29">
        <v>-1</v>
      </c>
      <c r="AD29">
        <v>3.0355648147828802</v>
      </c>
      <c r="AE29">
        <v>3.0530893438032499E-2</v>
      </c>
      <c r="AF29">
        <v>4.5839929910755304</v>
      </c>
      <c r="AG29">
        <v>0</v>
      </c>
      <c r="AH29">
        <v>6.0239405836553797</v>
      </c>
      <c r="AI29">
        <v>0</v>
      </c>
      <c r="AJ29">
        <v>1.16280354250402</v>
      </c>
      <c r="AK29">
        <v>7.7720000000000002</v>
      </c>
      <c r="AL29">
        <v>7.99</v>
      </c>
      <c r="AM29">
        <v>3.9308961959099602E-2</v>
      </c>
      <c r="AN29">
        <v>0.108514392912616</v>
      </c>
      <c r="AO29">
        <v>5.39452</v>
      </c>
      <c r="AP29">
        <v>246.51435101085301</v>
      </c>
      <c r="AQ29">
        <v>6.8973480983603896E-2</v>
      </c>
      <c r="AR29">
        <v>4.8398341166059601E-2</v>
      </c>
      <c r="AS29">
        <v>7.0089573721288503E-2</v>
      </c>
    </row>
    <row r="30" spans="1:45" x14ac:dyDescent="0.2">
      <c r="A30" t="s">
        <v>72</v>
      </c>
      <c r="B30" t="s">
        <v>70</v>
      </c>
      <c r="C30" t="s">
        <v>45</v>
      </c>
      <c r="D30">
        <v>11.16</v>
      </c>
      <c r="E30">
        <v>39.28</v>
      </c>
      <c r="F30">
        <v>2.3087833507056801E-2</v>
      </c>
      <c r="G30">
        <v>127.51229899017299</v>
      </c>
      <c r="H30">
        <v>5.7188117633802597E-2</v>
      </c>
      <c r="I30">
        <v>-2.2716666665124898</v>
      </c>
      <c r="J30">
        <v>-1</v>
      </c>
      <c r="K30">
        <v>-1.16816005276584</v>
      </c>
      <c r="L30">
        <v>-3.4666666665113999</v>
      </c>
      <c r="M30">
        <v>-1</v>
      </c>
      <c r="N30">
        <v>-2.0949999998459701</v>
      </c>
      <c r="O30">
        <v>-1</v>
      </c>
      <c r="P30">
        <v>2.7824820991474599</v>
      </c>
      <c r="Q30">
        <v>5.3571451716742803E-2</v>
      </c>
      <c r="R30">
        <v>-6.1290237888545901E-3</v>
      </c>
      <c r="S30">
        <v>4.6461406988488801E-2</v>
      </c>
      <c r="T30">
        <v>2.3087833507056801E-2</v>
      </c>
      <c r="U30">
        <v>97.409305541430498</v>
      </c>
      <c r="V30">
        <v>7.0468996792774394E-2</v>
      </c>
      <c r="W30">
        <v>-2.1183333331793901</v>
      </c>
      <c r="X30">
        <v>-1</v>
      </c>
      <c r="Y30">
        <v>-1.1064652776332899</v>
      </c>
      <c r="Z30">
        <v>-2.9566666665119499</v>
      </c>
      <c r="AA30">
        <v>-1</v>
      </c>
      <c r="AB30">
        <v>-2.0349999998461299</v>
      </c>
      <c r="AC30">
        <v>-1</v>
      </c>
      <c r="AD30">
        <v>2.8658541666353701</v>
      </c>
      <c r="AE30">
        <v>4.6461406988488801E-2</v>
      </c>
      <c r="AF30">
        <v>4.3532322163310599</v>
      </c>
      <c r="AG30">
        <v>0</v>
      </c>
      <c r="AH30">
        <v>5.1174363364793303</v>
      </c>
      <c r="AI30">
        <v>0</v>
      </c>
      <c r="AJ30">
        <v>1.08560812128331</v>
      </c>
      <c r="AK30">
        <v>8.9719999999999995</v>
      </c>
      <c r="AL30">
        <v>9.2880000000000003</v>
      </c>
      <c r="AM30">
        <v>5.8123027707289603E-2</v>
      </c>
      <c r="AN30">
        <v>0.10425524011666</v>
      </c>
      <c r="AO30">
        <v>6.1826599999999896</v>
      </c>
      <c r="AP30">
        <v>230.14892171206199</v>
      </c>
      <c r="AQ30">
        <v>6.5993620919160695E-2</v>
      </c>
      <c r="AR30">
        <v>5.7839437113426803E-2</v>
      </c>
      <c r="AS30">
        <v>7.5755730518935305E-2</v>
      </c>
    </row>
    <row r="31" spans="1:45" x14ac:dyDescent="0.2">
      <c r="A31" t="s">
        <v>73</v>
      </c>
      <c r="B31" t="s">
        <v>74</v>
      </c>
      <c r="C31" t="s">
        <v>45</v>
      </c>
      <c r="D31">
        <v>0.8</v>
      </c>
      <c r="E31">
        <v>9.5399999999999991</v>
      </c>
      <c r="F31">
        <v>1.7274233846406799E-2</v>
      </c>
      <c r="G31">
        <v>149.29655490022401</v>
      </c>
      <c r="H31">
        <v>4.61626064215419E-2</v>
      </c>
      <c r="I31">
        <v>-0.87938888873601995</v>
      </c>
      <c r="J31">
        <v>-1</v>
      </c>
      <c r="K31">
        <v>-0.52151600514741703</v>
      </c>
      <c r="L31">
        <v>-3.21333333317834</v>
      </c>
      <c r="M31">
        <v>-1</v>
      </c>
      <c r="N31">
        <v>-0.38333333318090801</v>
      </c>
      <c r="O31">
        <v>-1</v>
      </c>
      <c r="P31">
        <v>2.5684829588600802</v>
      </c>
      <c r="Q31">
        <v>5.1925582581174697E-2</v>
      </c>
      <c r="R31">
        <v>8.8264280146327595E-4</v>
      </c>
      <c r="S31">
        <v>2.1606020331403498E-2</v>
      </c>
      <c r="T31">
        <v>1.7274233846406799E-2</v>
      </c>
      <c r="U31">
        <v>101.26527352182499</v>
      </c>
      <c r="V31">
        <v>6.6299470696834603E-2</v>
      </c>
      <c r="W31">
        <v>-0.58777777762526495</v>
      </c>
      <c r="X31">
        <v>-1</v>
      </c>
      <c r="Y31">
        <v>-0.36933796281963399</v>
      </c>
      <c r="Z31">
        <v>-2.70333333317889</v>
      </c>
      <c r="AA31">
        <v>-1</v>
      </c>
      <c r="AB31">
        <v>9.6666666818546201E-2</v>
      </c>
      <c r="AC31">
        <v>-1</v>
      </c>
      <c r="AD31">
        <v>2.9099953703557699</v>
      </c>
      <c r="AE31">
        <v>2.1606020331403498E-2</v>
      </c>
      <c r="AF31">
        <v>4.8292293377160602</v>
      </c>
      <c r="AG31">
        <v>0</v>
      </c>
      <c r="AH31">
        <v>6.0257809160664397</v>
      </c>
      <c r="AI31">
        <v>0</v>
      </c>
      <c r="AJ31">
        <v>1.52114041684052</v>
      </c>
      <c r="AK31">
        <v>9.1240000000000006</v>
      </c>
      <c r="AL31">
        <v>9.34</v>
      </c>
      <c r="AM31">
        <v>0.36239195917150302</v>
      </c>
      <c r="AN31">
        <v>0.54019200956125901</v>
      </c>
      <c r="AO31">
        <v>4.6320399999999999</v>
      </c>
      <c r="AP31">
        <v>351.38343629016202</v>
      </c>
      <c r="AQ31">
        <v>5.25594901092876E-2</v>
      </c>
      <c r="AR31">
        <v>4.5863126207637397E-2</v>
      </c>
      <c r="AS31">
        <v>6.8343779688994993E-2</v>
      </c>
    </row>
    <row r="32" spans="1:45" x14ac:dyDescent="0.2">
      <c r="A32" t="s">
        <v>75</v>
      </c>
      <c r="B32" t="s">
        <v>74</v>
      </c>
      <c r="C32" t="s">
        <v>45</v>
      </c>
      <c r="D32">
        <v>8.74</v>
      </c>
      <c r="E32">
        <v>78.319999999999993</v>
      </c>
      <c r="F32">
        <v>5.4551786761522301E-2</v>
      </c>
      <c r="G32">
        <v>83.309924847174102</v>
      </c>
      <c r="H32">
        <v>7.5957865173663097E-2</v>
      </c>
      <c r="I32">
        <v>-4.4916666665104898</v>
      </c>
      <c r="J32">
        <v>-1</v>
      </c>
      <c r="K32">
        <v>-3.5915138887425599</v>
      </c>
      <c r="L32">
        <v>-5.4649999998429397</v>
      </c>
      <c r="M32">
        <v>-1</v>
      </c>
      <c r="N32">
        <v>-5.0216666665100096</v>
      </c>
      <c r="O32">
        <v>-1</v>
      </c>
      <c r="P32">
        <v>4.8333847024792096</v>
      </c>
      <c r="Q32">
        <v>4.7839523002126898E-2</v>
      </c>
      <c r="R32">
        <v>1.9166146465816401E-2</v>
      </c>
      <c r="S32">
        <v>6.6754193996265407E-2</v>
      </c>
      <c r="T32">
        <v>5.4551786761522301E-2</v>
      </c>
      <c r="U32">
        <v>30.647785469767101</v>
      </c>
      <c r="V32">
        <v>8.6955298917319096E-2</v>
      </c>
      <c r="W32">
        <v>-3.9816666665110398</v>
      </c>
      <c r="X32">
        <v>-1</v>
      </c>
      <c r="Y32">
        <v>-3.3617777776312399</v>
      </c>
      <c r="Z32">
        <v>-4.9549999998434897</v>
      </c>
      <c r="AA32">
        <v>-1</v>
      </c>
      <c r="AB32">
        <v>-4.2183333331775001</v>
      </c>
      <c r="AC32">
        <v>-1</v>
      </c>
      <c r="AD32">
        <v>4.0657592591522604</v>
      </c>
      <c r="AE32">
        <v>6.6754193996265407E-2</v>
      </c>
      <c r="AF32">
        <v>3.3749808626718498</v>
      </c>
      <c r="AG32">
        <v>0</v>
      </c>
      <c r="AH32">
        <v>4.1837321366599198</v>
      </c>
      <c r="AI32">
        <v>0</v>
      </c>
      <c r="AJ32">
        <v>1.20901616475047</v>
      </c>
      <c r="AK32">
        <v>8.3260000000000005</v>
      </c>
      <c r="AL32">
        <v>8.6660000000000004</v>
      </c>
      <c r="AM32">
        <v>5.21100641897825E-2</v>
      </c>
      <c r="AN32">
        <v>0.104681220443318</v>
      </c>
      <c r="AO32">
        <v>4.87174</v>
      </c>
      <c r="AP32">
        <v>279.28273405735803</v>
      </c>
      <c r="AQ32">
        <v>6.2680310574728698E-2</v>
      </c>
      <c r="AR32">
        <v>7.1187842596645901E-2</v>
      </c>
      <c r="AS32">
        <v>8.6146650500335306E-2</v>
      </c>
    </row>
    <row r="33" spans="1:45" x14ac:dyDescent="0.2">
      <c r="A33" t="s">
        <v>76</v>
      </c>
      <c r="B33" t="s">
        <v>74</v>
      </c>
      <c r="C33" t="s">
        <v>45</v>
      </c>
      <c r="D33">
        <v>1.2</v>
      </c>
      <c r="E33">
        <v>10.3</v>
      </c>
      <c r="F33">
        <v>-1.41183250715922E-2</v>
      </c>
      <c r="G33">
        <v>136.06320720372</v>
      </c>
      <c r="H33">
        <v>4.8613095766480298E-2</v>
      </c>
      <c r="I33">
        <v>2.7800000001495602</v>
      </c>
      <c r="J33">
        <v>-1</v>
      </c>
      <c r="K33">
        <v>2.65265939167509</v>
      </c>
      <c r="L33">
        <v>-0.70333333318058899</v>
      </c>
      <c r="M33">
        <v>-1</v>
      </c>
      <c r="N33">
        <v>5.4916666668137601</v>
      </c>
      <c r="O33">
        <v>-1</v>
      </c>
      <c r="P33">
        <v>3.4722253089419999</v>
      </c>
      <c r="Q33">
        <v>5.3934803694378697E-2</v>
      </c>
      <c r="R33">
        <v>-1.7270521507027198E-2</v>
      </c>
      <c r="S33">
        <v>9.2789112807378192E-3</v>
      </c>
      <c r="T33">
        <v>-1.4118325071592301E-2</v>
      </c>
      <c r="U33">
        <v>100.163641943645</v>
      </c>
      <c r="V33">
        <v>6.5941390109610601E-2</v>
      </c>
      <c r="W33">
        <v>3.0002777779270402</v>
      </c>
      <c r="X33">
        <v>-1</v>
      </c>
      <c r="Y33">
        <v>2.8342824075482902</v>
      </c>
      <c r="Z33">
        <v>-0.19333333318114401</v>
      </c>
      <c r="AA33">
        <v>-1</v>
      </c>
      <c r="AB33">
        <v>4.6150000001477904</v>
      </c>
      <c r="AC33">
        <v>-1</v>
      </c>
      <c r="AD33">
        <v>3.3212731482197202</v>
      </c>
      <c r="AE33">
        <v>9.2789112807378296E-3</v>
      </c>
      <c r="AF33">
        <v>5.0304667212030303</v>
      </c>
      <c r="AG33">
        <v>0</v>
      </c>
      <c r="AH33">
        <v>5.4498368621369799</v>
      </c>
      <c r="AI33">
        <v>0</v>
      </c>
      <c r="AJ33">
        <v>1.42719800535637</v>
      </c>
      <c r="AK33">
        <v>10.795999999999999</v>
      </c>
      <c r="AL33">
        <v>11.05</v>
      </c>
      <c r="AM33">
        <v>0.286222375551133</v>
      </c>
      <c r="AN33">
        <v>0.48250617979481197</v>
      </c>
      <c r="AO33">
        <v>6.1009599999999997</v>
      </c>
      <c r="AP33">
        <v>329.68273923732198</v>
      </c>
      <c r="AQ33">
        <v>5.7629343590388203E-2</v>
      </c>
      <c r="AR33">
        <v>5.33538868172522E-2</v>
      </c>
      <c r="AS33">
        <v>7.1300718302718794E-2</v>
      </c>
    </row>
    <row r="34" spans="1:45" x14ac:dyDescent="0.2">
      <c r="A34" t="s">
        <v>77</v>
      </c>
      <c r="B34" t="s">
        <v>74</v>
      </c>
      <c r="C34" t="s">
        <v>45</v>
      </c>
      <c r="D34">
        <v>24.56</v>
      </c>
      <c r="E34">
        <v>91.14</v>
      </c>
      <c r="F34">
        <v>6.82673029625772E-2</v>
      </c>
      <c r="G34">
        <v>24.713386322500899</v>
      </c>
      <c r="H34">
        <v>0.106661429949577</v>
      </c>
      <c r="I34">
        <v>-4.4877777776215897</v>
      </c>
      <c r="J34">
        <v>-1</v>
      </c>
      <c r="K34">
        <v>-3.12711111096512</v>
      </c>
      <c r="L34">
        <v>-5.9999999998424398</v>
      </c>
      <c r="M34">
        <v>-1</v>
      </c>
      <c r="N34">
        <v>-5.3949999998429901</v>
      </c>
      <c r="O34">
        <v>-1</v>
      </c>
      <c r="P34">
        <v>4.9345094339205904</v>
      </c>
      <c r="Q34">
        <v>5.1085138775808198E-2</v>
      </c>
      <c r="R34">
        <v>1.50526132449123E-2</v>
      </c>
      <c r="S34">
        <v>0.11089323446325999</v>
      </c>
      <c r="T34">
        <v>6.82673029625772E-2</v>
      </c>
      <c r="U34">
        <v>-14.5980393849878</v>
      </c>
      <c r="V34">
        <v>0.11335994930995601</v>
      </c>
      <c r="W34">
        <v>-3.9777777776221499</v>
      </c>
      <c r="X34">
        <v>-1</v>
      </c>
      <c r="Y34">
        <v>-3.3010740739275901</v>
      </c>
      <c r="Z34">
        <v>-5.4899999998429996</v>
      </c>
      <c r="AA34">
        <v>-1</v>
      </c>
      <c r="AB34">
        <v>-4.4699999998439299</v>
      </c>
      <c r="AC34">
        <v>-1</v>
      </c>
      <c r="AD34">
        <v>4.0042962961950899</v>
      </c>
      <c r="AE34">
        <v>0.11089323446325999</v>
      </c>
      <c r="AF34">
        <v>3.2671320658592999</v>
      </c>
      <c r="AG34">
        <v>0</v>
      </c>
      <c r="AH34">
        <v>3.6440678066710301</v>
      </c>
      <c r="AI34">
        <v>0</v>
      </c>
      <c r="AJ34">
        <v>0.89461345715302498</v>
      </c>
      <c r="AK34">
        <v>9.26799999999999</v>
      </c>
      <c r="AL34">
        <v>9.5879999999999992</v>
      </c>
      <c r="AM34">
        <v>9.7658867293985395E-3</v>
      </c>
      <c r="AN34">
        <v>2.21749125147492E-2</v>
      </c>
      <c r="AO34">
        <v>6.8068399999999896</v>
      </c>
      <c r="AP34">
        <v>206.655708602348</v>
      </c>
      <c r="AQ34">
        <v>7.6942743175230005E-2</v>
      </c>
      <c r="AR34">
        <v>9.5020014817798995E-2</v>
      </c>
      <c r="AS34">
        <v>0.10591857812616801</v>
      </c>
    </row>
    <row r="35" spans="1:45" x14ac:dyDescent="0.2">
      <c r="A35" t="s">
        <v>78</v>
      </c>
      <c r="B35" t="s">
        <v>79</v>
      </c>
      <c r="C35" t="s">
        <v>45</v>
      </c>
      <c r="D35">
        <v>2.82</v>
      </c>
      <c r="E35">
        <v>30.48</v>
      </c>
      <c r="F35">
        <v>-9.6946381860308593E-3</v>
      </c>
      <c r="G35">
        <v>115.014962931958</v>
      </c>
      <c r="H35">
        <v>6.4159185316547601E-2</v>
      </c>
      <c r="I35">
        <v>3.7637777779264501</v>
      </c>
      <c r="J35">
        <v>-1</v>
      </c>
      <c r="K35">
        <v>2.62281408744232</v>
      </c>
      <c r="L35">
        <v>-2.3483333331791099</v>
      </c>
      <c r="M35">
        <v>-1</v>
      </c>
      <c r="N35">
        <v>8.81333333347742</v>
      </c>
      <c r="O35">
        <v>-1</v>
      </c>
      <c r="P35">
        <v>3.7881592866484901</v>
      </c>
      <c r="Q35">
        <v>0.06</v>
      </c>
      <c r="R35">
        <v>-1.33026450580363E-2</v>
      </c>
      <c r="S35">
        <v>5.5163892507552699E-3</v>
      </c>
      <c r="T35">
        <v>-9.69463818603092E-3</v>
      </c>
      <c r="U35">
        <v>86.500304435091707</v>
      </c>
      <c r="V35">
        <v>7.8993874263218897E-2</v>
      </c>
      <c r="W35">
        <v>4.11072222237049</v>
      </c>
      <c r="X35">
        <v>-1</v>
      </c>
      <c r="Y35">
        <v>2.7444024472309199</v>
      </c>
      <c r="Z35">
        <v>-1.8383333331796701</v>
      </c>
      <c r="AA35">
        <v>-1</v>
      </c>
      <c r="AB35">
        <v>9.23000000014361</v>
      </c>
      <c r="AC35">
        <v>-1</v>
      </c>
      <c r="AD35">
        <v>3.4404778439983001</v>
      </c>
      <c r="AE35">
        <v>5.5163892507552803E-3</v>
      </c>
      <c r="AF35">
        <v>4.3463533988564897</v>
      </c>
      <c r="AG35">
        <v>0</v>
      </c>
      <c r="AH35">
        <v>4.2162326600336</v>
      </c>
      <c r="AI35">
        <v>0</v>
      </c>
      <c r="AJ35">
        <v>1.15366622585985</v>
      </c>
      <c r="AK35">
        <v>15.735999999999899</v>
      </c>
      <c r="AL35">
        <v>16.21</v>
      </c>
      <c r="AM35">
        <v>9.6928736579310407E-2</v>
      </c>
      <c r="AN35">
        <v>0.222662655564278</v>
      </c>
      <c r="AO35">
        <v>14.268319999999999</v>
      </c>
      <c r="AP35">
        <v>266.49689817362503</v>
      </c>
      <c r="AQ35">
        <v>7.3032889135016904E-2</v>
      </c>
      <c r="AR35">
        <v>6.6625840985625906E-2</v>
      </c>
      <c r="AS35">
        <v>8.1976675748600999E-2</v>
      </c>
    </row>
    <row r="36" spans="1:45" x14ac:dyDescent="0.2">
      <c r="A36" t="s">
        <v>80</v>
      </c>
      <c r="B36" t="s">
        <v>79</v>
      </c>
      <c r="C36" t="s">
        <v>45</v>
      </c>
      <c r="D36">
        <v>28.28</v>
      </c>
      <c r="E36">
        <v>59.88</v>
      </c>
      <c r="F36">
        <v>-5.6131989626945399E-2</v>
      </c>
      <c r="G36">
        <v>-78.541110014630306</v>
      </c>
      <c r="H36">
        <v>9.8637252925818805E-2</v>
      </c>
      <c r="I36">
        <v>8.5376785715729095</v>
      </c>
      <c r="J36">
        <v>-1</v>
      </c>
      <c r="K36">
        <v>5.1375726002896096</v>
      </c>
      <c r="L36">
        <v>-0.638333333180644</v>
      </c>
      <c r="M36">
        <v>-1</v>
      </c>
      <c r="N36">
        <v>16.9550000001367</v>
      </c>
      <c r="O36">
        <v>-1</v>
      </c>
      <c r="P36">
        <v>6.3919773733175402</v>
      </c>
      <c r="Q36">
        <v>9.2819875579481306E-2</v>
      </c>
      <c r="R36">
        <v>8.7613334708581405E-4</v>
      </c>
      <c r="S36">
        <v>-8.0197161952360096E-2</v>
      </c>
      <c r="T36">
        <v>-5.6131989626945399E-2</v>
      </c>
      <c r="U36">
        <v>-136.587492550946</v>
      </c>
      <c r="V36">
        <v>0.10676432201277999</v>
      </c>
      <c r="W36">
        <v>9.1451779101965993</v>
      </c>
      <c r="X36">
        <v>-1</v>
      </c>
      <c r="Y36">
        <v>5.3666549824990604</v>
      </c>
      <c r="Z36">
        <v>-0.12833333318119899</v>
      </c>
      <c r="AA36">
        <v>-1</v>
      </c>
      <c r="AB36">
        <v>18.306666666801998</v>
      </c>
      <c r="AC36">
        <v>-1</v>
      </c>
      <c r="AD36">
        <v>5.5447594798304403</v>
      </c>
      <c r="AE36">
        <v>-8.0197161952360096E-2</v>
      </c>
      <c r="AF36">
        <v>2.2865082649805899</v>
      </c>
      <c r="AG36">
        <v>0</v>
      </c>
      <c r="AH36">
        <v>2.6694409173622899</v>
      </c>
      <c r="AI36">
        <v>0</v>
      </c>
      <c r="AJ36">
        <v>-0.15461523093160601</v>
      </c>
      <c r="AK36">
        <v>20.234000000000002</v>
      </c>
      <c r="AL36">
        <v>20.148</v>
      </c>
      <c r="AM36" s="1">
        <v>5.3299800432715405E-10</v>
      </c>
      <c r="AN36" s="1">
        <v>7.6160283961323696E-5</v>
      </c>
      <c r="AO36">
        <v>21.276419999999899</v>
      </c>
      <c r="AP36">
        <v>-35.716118345201103</v>
      </c>
      <c r="AQ36">
        <v>9.3695022488218205E-2</v>
      </c>
      <c r="AR36">
        <v>9.3310895725264797E-2</v>
      </c>
      <c r="AS36">
        <v>0.104624108705011</v>
      </c>
    </row>
    <row r="37" spans="1:45" x14ac:dyDescent="0.2">
      <c r="A37" t="s">
        <v>81</v>
      </c>
      <c r="B37" t="s">
        <v>79</v>
      </c>
      <c r="C37" t="s">
        <v>45</v>
      </c>
      <c r="D37">
        <v>7.44</v>
      </c>
      <c r="E37">
        <v>32.26</v>
      </c>
      <c r="F37">
        <v>-3.3167008578490899E-2</v>
      </c>
      <c r="G37">
        <v>90.083556698918798</v>
      </c>
      <c r="H37">
        <v>9.1303051819392994E-2</v>
      </c>
      <c r="I37">
        <v>8.1424589948536799</v>
      </c>
      <c r="J37">
        <v>-1</v>
      </c>
      <c r="K37">
        <v>2.8127030519168299</v>
      </c>
      <c r="L37">
        <v>-2.0433333331794001</v>
      </c>
      <c r="M37">
        <v>-1</v>
      </c>
      <c r="N37">
        <v>18.535000000135199</v>
      </c>
      <c r="O37">
        <v>-1</v>
      </c>
      <c r="P37">
        <v>5.8790565693249901</v>
      </c>
      <c r="Q37">
        <v>7.9604151222519404E-2</v>
      </c>
      <c r="R37">
        <v>8.04323214325426E-3</v>
      </c>
      <c r="S37">
        <v>-6.9714232775147697E-2</v>
      </c>
      <c r="T37">
        <v>-3.3167008578490899E-2</v>
      </c>
      <c r="U37">
        <v>74.0695382198071</v>
      </c>
      <c r="V37">
        <v>0.10038226378151401</v>
      </c>
      <c r="W37">
        <v>8.5083148149590695</v>
      </c>
      <c r="X37">
        <v>-1</v>
      </c>
      <c r="Y37">
        <v>3.06097396598775</v>
      </c>
      <c r="Z37">
        <v>-1.5333333331799599</v>
      </c>
      <c r="AA37">
        <v>-1</v>
      </c>
      <c r="AB37">
        <v>18.696666666801601</v>
      </c>
      <c r="AC37">
        <v>-1</v>
      </c>
      <c r="AD37">
        <v>3.7654043010095002</v>
      </c>
      <c r="AE37">
        <v>-6.9714232775147697E-2</v>
      </c>
      <c r="AF37">
        <v>3.19002592170364</v>
      </c>
      <c r="AG37">
        <v>0</v>
      </c>
      <c r="AH37">
        <v>3.3057978245301798</v>
      </c>
      <c r="AI37">
        <v>0</v>
      </c>
      <c r="AJ37">
        <v>0.66682636555641495</v>
      </c>
      <c r="AK37">
        <v>23.855999999999899</v>
      </c>
      <c r="AL37">
        <v>24.123999999999999</v>
      </c>
      <c r="AM37">
        <v>1.9669186730614099E-2</v>
      </c>
      <c r="AN37">
        <v>0.107530882567097</v>
      </c>
      <c r="AO37">
        <v>25.23556</v>
      </c>
      <c r="AP37">
        <v>80.019163866769802</v>
      </c>
      <c r="AQ37">
        <v>0.115546138658657</v>
      </c>
      <c r="AR37">
        <v>8.8669051255271206E-2</v>
      </c>
      <c r="AS37">
        <v>0.100269682987689</v>
      </c>
    </row>
    <row r="38" spans="1:45" x14ac:dyDescent="0.2">
      <c r="A38" t="s">
        <v>114</v>
      </c>
      <c r="B38" t="s">
        <v>79</v>
      </c>
      <c r="C38" t="s">
        <v>45</v>
      </c>
      <c r="D38">
        <v>5.66</v>
      </c>
      <c r="E38">
        <v>24.8</v>
      </c>
      <c r="F38">
        <v>-8.37230479077236E-2</v>
      </c>
      <c r="G38">
        <v>19.245454755508899</v>
      </c>
      <c r="H38">
        <v>0.17656699344836099</v>
      </c>
      <c r="I38">
        <v>8.0681762266959893</v>
      </c>
      <c r="J38">
        <v>-1</v>
      </c>
      <c r="K38">
        <v>6.2532739416500203</v>
      </c>
      <c r="L38">
        <v>-5.6033333331761002</v>
      </c>
      <c r="M38">
        <v>-1</v>
      </c>
      <c r="N38">
        <v>20.638333333466601</v>
      </c>
      <c r="O38">
        <v>-1</v>
      </c>
      <c r="P38">
        <v>7.0286305817817798</v>
      </c>
      <c r="Q38">
        <v>0.12957749793706</v>
      </c>
      <c r="R38">
        <v>-7.6693583309468197E-2</v>
      </c>
      <c r="S38">
        <v>-0.107514049759868</v>
      </c>
      <c r="T38">
        <v>-8.37230479077236E-2</v>
      </c>
      <c r="U38">
        <v>13.899467926694699</v>
      </c>
      <c r="V38">
        <v>0.181414333881976</v>
      </c>
      <c r="W38">
        <v>8.7199857505048293</v>
      </c>
      <c r="X38">
        <v>-1</v>
      </c>
      <c r="Y38">
        <v>6.23036215341663</v>
      </c>
      <c r="Z38">
        <v>-5.0933333331766599</v>
      </c>
      <c r="AA38">
        <v>-1</v>
      </c>
      <c r="AB38">
        <v>20.846666666799699</v>
      </c>
      <c r="AC38">
        <v>-1</v>
      </c>
      <c r="AD38">
        <v>6.23036215341663</v>
      </c>
      <c r="AE38">
        <v>-0.107514049759868</v>
      </c>
      <c r="AF38">
        <v>1.96067482861275</v>
      </c>
      <c r="AG38">
        <v>0</v>
      </c>
      <c r="AH38">
        <v>1.94686579869413</v>
      </c>
      <c r="AI38">
        <v>0</v>
      </c>
      <c r="AJ38">
        <v>0.23062961109166699</v>
      </c>
      <c r="AK38">
        <v>36.65</v>
      </c>
      <c r="AL38">
        <v>37.158000000000001</v>
      </c>
      <c r="AM38">
        <v>0.11093875426694499</v>
      </c>
      <c r="AN38">
        <v>0.21681797617951901</v>
      </c>
      <c r="AO38">
        <v>48.386139999999997</v>
      </c>
      <c r="AP38">
        <v>23.754849942441702</v>
      </c>
      <c r="AQ38">
        <v>0.17053280173243901</v>
      </c>
      <c r="AR38">
        <v>0.170573828175974</v>
      </c>
      <c r="AS38">
        <v>0.176560154325238</v>
      </c>
    </row>
    <row r="39" spans="1:45" x14ac:dyDescent="0.2">
      <c r="A39" t="s">
        <v>82</v>
      </c>
      <c r="B39" t="s">
        <v>83</v>
      </c>
      <c r="C39" t="s">
        <v>45</v>
      </c>
      <c r="D39">
        <v>39.92</v>
      </c>
      <c r="E39">
        <v>49.8</v>
      </c>
      <c r="F39">
        <v>0.164542610126901</v>
      </c>
      <c r="G39">
        <v>-10.8394855507199</v>
      </c>
      <c r="H39">
        <v>0.213873340860225</v>
      </c>
      <c r="I39">
        <v>-12.019999999839801</v>
      </c>
      <c r="J39">
        <v>-1</v>
      </c>
      <c r="K39">
        <v>-6.4815238093820904</v>
      </c>
      <c r="L39">
        <v>-12.2199999998398</v>
      </c>
      <c r="M39">
        <v>-1</v>
      </c>
      <c r="N39">
        <v>-12.2199999998398</v>
      </c>
      <c r="O39">
        <v>-1</v>
      </c>
      <c r="P39">
        <v>10.9921850132272</v>
      </c>
      <c r="Q39">
        <v>0.20958072871962599</v>
      </c>
      <c r="R39">
        <v>9.6973424310871206E-2</v>
      </c>
      <c r="S39">
        <v>0.21338796198396401</v>
      </c>
      <c r="T39">
        <v>0.164542610126901</v>
      </c>
      <c r="U39">
        <v>-10.2214058045786</v>
      </c>
      <c r="V39">
        <v>0.211549787233867</v>
      </c>
      <c r="W39">
        <v>-12.5933333331699</v>
      </c>
      <c r="X39">
        <v>-1</v>
      </c>
      <c r="Y39">
        <v>-9.2880555554041102</v>
      </c>
      <c r="Z39">
        <v>-12.5933333331699</v>
      </c>
      <c r="AA39">
        <v>-1</v>
      </c>
      <c r="AB39">
        <v>-12.5933333331699</v>
      </c>
      <c r="AC39">
        <v>-1</v>
      </c>
      <c r="AD39">
        <v>9.2880555554041102</v>
      </c>
      <c r="AE39">
        <v>0.21338796198396401</v>
      </c>
      <c r="AF39">
        <v>0.76525250847391602</v>
      </c>
      <c r="AG39">
        <v>0</v>
      </c>
      <c r="AH39">
        <v>0.76657987289038498</v>
      </c>
      <c r="AI39">
        <v>0</v>
      </c>
      <c r="AJ39">
        <v>-2.1746322016985999</v>
      </c>
      <c r="AK39">
        <v>5.62</v>
      </c>
      <c r="AL39">
        <v>5.98</v>
      </c>
      <c r="AM39" s="1">
        <v>7.02056841734777E-7</v>
      </c>
      <c r="AN39">
        <v>1.9380323350720201E-4</v>
      </c>
      <c r="AO39">
        <v>0.22333999999999901</v>
      </c>
      <c r="AP39">
        <v>-502.34003859237799</v>
      </c>
      <c r="AQ39">
        <v>0.13469730017300799</v>
      </c>
      <c r="AR39">
        <v>0.18982729020436301</v>
      </c>
      <c r="AS39">
        <v>0.18440125079063399</v>
      </c>
    </row>
    <row r="40" spans="1:45" x14ac:dyDescent="0.2">
      <c r="A40" t="s">
        <v>84</v>
      </c>
      <c r="B40" t="s">
        <v>83</v>
      </c>
      <c r="C40" t="s">
        <v>45</v>
      </c>
      <c r="D40">
        <v>114.46</v>
      </c>
      <c r="E40">
        <v>174.1</v>
      </c>
      <c r="F40">
        <v>3.7650744807947799E-2</v>
      </c>
      <c r="G40">
        <v>-82.046304951458794</v>
      </c>
      <c r="H40">
        <v>7.0247333782983701E-2</v>
      </c>
      <c r="I40">
        <v>-7.5516666665077201</v>
      </c>
      <c r="J40">
        <v>-1</v>
      </c>
      <c r="K40">
        <v>-4.7452883596431601</v>
      </c>
      <c r="L40">
        <v>-7.5516666665077201</v>
      </c>
      <c r="M40">
        <v>-1</v>
      </c>
      <c r="N40">
        <v>-7.5516666665077201</v>
      </c>
      <c r="O40">
        <v>-1</v>
      </c>
      <c r="P40">
        <v>7.2447105944175396</v>
      </c>
      <c r="Q40">
        <v>2.4150595475887202E-2</v>
      </c>
      <c r="R40">
        <v>1.8340029582759699E-2</v>
      </c>
      <c r="S40">
        <v>2.9565180704547101E-2</v>
      </c>
      <c r="T40">
        <v>3.7650744807947903E-2</v>
      </c>
      <c r="U40">
        <v>-182.82332051898399</v>
      </c>
      <c r="V40">
        <v>7.2846131440380393E-2</v>
      </c>
      <c r="W40">
        <v>-7.0416666665082799</v>
      </c>
      <c r="X40">
        <v>-1</v>
      </c>
      <c r="Y40">
        <v>-4.98601851837289</v>
      </c>
      <c r="Z40">
        <v>-7.0416666665082799</v>
      </c>
      <c r="AA40">
        <v>-1</v>
      </c>
      <c r="AB40">
        <v>-7.0416666665082799</v>
      </c>
      <c r="AC40">
        <v>-1</v>
      </c>
      <c r="AD40">
        <v>6.0943518517291499</v>
      </c>
      <c r="AE40">
        <v>2.9565180704547001E-2</v>
      </c>
      <c r="AF40">
        <v>1.98856464847855</v>
      </c>
      <c r="AG40">
        <v>0</v>
      </c>
      <c r="AH40">
        <v>1.7799987357981499</v>
      </c>
      <c r="AI40">
        <v>0</v>
      </c>
      <c r="AJ40">
        <v>-2.4786315110417498</v>
      </c>
      <c r="AK40">
        <v>5.86</v>
      </c>
      <c r="AL40">
        <v>5.94</v>
      </c>
      <c r="AM40" s="1">
        <v>4.7590072221875297E-7</v>
      </c>
      <c r="AN40" s="1">
        <v>4.6231898840701498E-6</v>
      </c>
      <c r="AO40">
        <v>0.99412</v>
      </c>
      <c r="AP40">
        <v>-572.56387905064503</v>
      </c>
      <c r="AQ40">
        <v>6.8487009794177905E-2</v>
      </c>
      <c r="AR40">
        <v>6.8570898571183994E-2</v>
      </c>
      <c r="AS40">
        <v>7.8571612953307696E-2</v>
      </c>
    </row>
    <row r="41" spans="1:45" x14ac:dyDescent="0.2">
      <c r="A41" t="s">
        <v>85</v>
      </c>
      <c r="B41" t="s">
        <v>86</v>
      </c>
      <c r="C41" t="s">
        <v>45</v>
      </c>
      <c r="D41">
        <v>137.16</v>
      </c>
      <c r="E41">
        <v>151.52000000000001</v>
      </c>
      <c r="F41">
        <v>4.7294849717699303E-2</v>
      </c>
      <c r="G41">
        <v>-174888.19671267</v>
      </c>
      <c r="H41">
        <v>6.1258329583498798E-2</v>
      </c>
      <c r="I41">
        <v>-6.8202777776194896</v>
      </c>
      <c r="J41">
        <v>-1</v>
      </c>
      <c r="K41">
        <v>-5.3016005289531503</v>
      </c>
      <c r="L41">
        <v>-7.46333333317446</v>
      </c>
      <c r="M41">
        <v>-1</v>
      </c>
      <c r="N41">
        <v>-6.5733333331752704</v>
      </c>
      <c r="O41">
        <v>-1</v>
      </c>
      <c r="P41">
        <v>7.0537333212867397</v>
      </c>
      <c r="Q41">
        <v>5.59017619702487E-3</v>
      </c>
      <c r="R41">
        <v>2.2236955463030599E-2</v>
      </c>
      <c r="S41">
        <v>6.0780158935275098E-3</v>
      </c>
      <c r="T41">
        <v>4.7294849717699303E-2</v>
      </c>
      <c r="U41">
        <v>-227420.288082188</v>
      </c>
      <c r="V41">
        <v>6.6864890723991002E-2</v>
      </c>
      <c r="W41">
        <v>-6.4749999998421197</v>
      </c>
      <c r="X41">
        <v>-1</v>
      </c>
      <c r="Y41">
        <v>-4.9227314813359202</v>
      </c>
      <c r="Z41">
        <v>-6.9533333331750198</v>
      </c>
      <c r="AA41">
        <v>-1</v>
      </c>
      <c r="AB41">
        <v>-6.3333333331755801</v>
      </c>
      <c r="AC41">
        <v>-1</v>
      </c>
      <c r="AD41">
        <v>5.6995833332234298</v>
      </c>
      <c r="AE41">
        <v>6.0780158935275098E-3</v>
      </c>
      <c r="AF41">
        <v>1.87069713103809</v>
      </c>
      <c r="AG41">
        <v>0</v>
      </c>
      <c r="AH41">
        <v>4.5701157614053001</v>
      </c>
      <c r="AI41">
        <v>0</v>
      </c>
      <c r="AJ41">
        <v>-1689.9455670826901</v>
      </c>
      <c r="AK41">
        <v>6.9859999999999998</v>
      </c>
      <c r="AL41">
        <v>7.024</v>
      </c>
      <c r="AM41" s="1">
        <v>7.53692874330895E-36</v>
      </c>
      <c r="AN41" s="1">
        <v>5.2068620634657697E-26</v>
      </c>
      <c r="AO41">
        <v>3.19896</v>
      </c>
      <c r="AP41">
        <v>-272081.23630031402</v>
      </c>
      <c r="AQ41">
        <v>7.2336454671432099E-2</v>
      </c>
      <c r="AR41">
        <v>7.1280388243814594E-2</v>
      </c>
      <c r="AS41">
        <v>7.9741283106698105E-2</v>
      </c>
    </row>
    <row r="42" spans="1:45" x14ac:dyDescent="0.2">
      <c r="A42" t="s">
        <v>87</v>
      </c>
      <c r="B42" t="s">
        <v>86</v>
      </c>
      <c r="C42" t="s">
        <v>45</v>
      </c>
      <c r="D42">
        <v>0</v>
      </c>
      <c r="E42">
        <v>0.06</v>
      </c>
      <c r="F42">
        <v>-1.2950114861495E-3</v>
      </c>
      <c r="G42">
        <v>123.308573265205</v>
      </c>
      <c r="H42">
        <v>4.8547476179058802E-2</v>
      </c>
      <c r="I42">
        <v>1.90055555570302</v>
      </c>
      <c r="J42">
        <v>-1</v>
      </c>
      <c r="K42">
        <v>1.1286997355794599</v>
      </c>
      <c r="L42">
        <v>0.93500000014816498</v>
      </c>
      <c r="M42">
        <v>-1</v>
      </c>
      <c r="N42">
        <v>2.0783333334804501</v>
      </c>
      <c r="O42">
        <v>-1</v>
      </c>
      <c r="P42">
        <v>7.8811343874594799</v>
      </c>
      <c r="Q42">
        <v>8.2229854034279098E-2</v>
      </c>
      <c r="R42">
        <v>-2.8768644301663299E-3</v>
      </c>
      <c r="S42">
        <v>-3.45782427586264E-2</v>
      </c>
      <c r="T42">
        <v>-1.2950114861495199E-3</v>
      </c>
      <c r="U42">
        <v>114.948379597032</v>
      </c>
      <c r="V42">
        <v>5.7992807861382098E-2</v>
      </c>
      <c r="W42">
        <v>1.8863888890365601</v>
      </c>
      <c r="X42">
        <v>-1</v>
      </c>
      <c r="Y42">
        <v>0.91467592605529802</v>
      </c>
      <c r="Z42">
        <v>1.1216666668148501</v>
      </c>
      <c r="AA42">
        <v>-1</v>
      </c>
      <c r="AB42">
        <v>1.39833333348127</v>
      </c>
      <c r="AC42">
        <v>-1</v>
      </c>
      <c r="AD42">
        <v>3.6674537037243802</v>
      </c>
      <c r="AE42">
        <v>-3.45782427586264E-2</v>
      </c>
      <c r="AF42">
        <v>3.7543249290958101</v>
      </c>
      <c r="AG42">
        <v>0</v>
      </c>
      <c r="AH42">
        <v>4.1569479034005603</v>
      </c>
      <c r="AI42">
        <v>0</v>
      </c>
      <c r="AJ42">
        <v>1.28892101378311</v>
      </c>
      <c r="AK42">
        <v>6.21</v>
      </c>
      <c r="AL42">
        <v>6.282</v>
      </c>
      <c r="AM42">
        <v>0.953576293440624</v>
      </c>
      <c r="AN42">
        <v>0.98601326500710695</v>
      </c>
      <c r="AO42">
        <v>3.3949400000000001</v>
      </c>
      <c r="AP42">
        <v>207.51628321908001</v>
      </c>
      <c r="AQ42">
        <v>5.9508669996820897E-2</v>
      </c>
      <c r="AR42">
        <v>4.9162054546204197E-2</v>
      </c>
      <c r="AS42">
        <v>6.0997100957485402E-2</v>
      </c>
    </row>
    <row r="43" spans="1:45" x14ac:dyDescent="0.2">
      <c r="A43" t="s">
        <v>88</v>
      </c>
      <c r="B43" t="s">
        <v>86</v>
      </c>
      <c r="C43" t="s">
        <v>45</v>
      </c>
      <c r="D43">
        <v>0</v>
      </c>
      <c r="E43">
        <v>8.2200000000000006</v>
      </c>
      <c r="F43">
        <v>1.5330520562957301E-2</v>
      </c>
      <c r="G43">
        <v>124.722231577899</v>
      </c>
      <c r="H43">
        <v>4.8826119322445703E-2</v>
      </c>
      <c r="I43">
        <v>-2.5761111109566901</v>
      </c>
      <c r="J43">
        <v>-1</v>
      </c>
      <c r="K43">
        <v>-1.1779675924554001</v>
      </c>
      <c r="L43">
        <v>-3.3266666665115698</v>
      </c>
      <c r="M43">
        <v>-1</v>
      </c>
      <c r="N43">
        <v>-2.4416666665123699</v>
      </c>
      <c r="O43">
        <v>-1</v>
      </c>
      <c r="P43">
        <v>6.5146976774095204</v>
      </c>
      <c r="Q43">
        <v>8.0730543224544801E-2</v>
      </c>
      <c r="R43">
        <v>-2.2897816724711001E-2</v>
      </c>
      <c r="S43">
        <v>-1.068515592994E-2</v>
      </c>
      <c r="T43">
        <v>1.5330520562957301E-2</v>
      </c>
      <c r="U43">
        <v>119.902302959411</v>
      </c>
      <c r="V43">
        <v>5.3754866588218701E-2</v>
      </c>
      <c r="W43">
        <v>-2.2849999998459398</v>
      </c>
      <c r="X43">
        <v>-1</v>
      </c>
      <c r="Y43">
        <v>-1.07328703690115</v>
      </c>
      <c r="Z43">
        <v>-2.8166666665121198</v>
      </c>
      <c r="AA43">
        <v>-1</v>
      </c>
      <c r="AB43">
        <v>-2.32833333317922</v>
      </c>
      <c r="AC43">
        <v>-1</v>
      </c>
      <c r="AD43">
        <v>3.6268981481018598</v>
      </c>
      <c r="AE43">
        <v>-1.0685155929940101E-2</v>
      </c>
      <c r="AF43">
        <v>3.8689423195113601</v>
      </c>
      <c r="AG43">
        <v>0</v>
      </c>
      <c r="AH43">
        <v>4.0993092633461199</v>
      </c>
      <c r="AI43">
        <v>0</v>
      </c>
      <c r="AJ43">
        <v>1.1318835063408501</v>
      </c>
      <c r="AK43">
        <v>6.3360000000000003</v>
      </c>
      <c r="AL43">
        <v>6.4119999999999999</v>
      </c>
      <c r="AM43">
        <v>0.70264330140556996</v>
      </c>
      <c r="AN43">
        <v>0.70315380477457501</v>
      </c>
      <c r="AO43">
        <v>1.5732999999999999</v>
      </c>
      <c r="AP43">
        <v>182.233244520878</v>
      </c>
      <c r="AQ43">
        <v>7.0294741105308894E-2</v>
      </c>
      <c r="AR43">
        <v>4.9097732222313499E-2</v>
      </c>
      <c r="AS43">
        <v>5.5791083197019101E-2</v>
      </c>
    </row>
    <row r="44" spans="1:45" x14ac:dyDescent="0.2">
      <c r="A44" t="s">
        <v>89</v>
      </c>
      <c r="B44" t="s">
        <v>86</v>
      </c>
      <c r="C44" t="s">
        <v>45</v>
      </c>
      <c r="D44">
        <v>0</v>
      </c>
      <c r="E44">
        <v>9.16</v>
      </c>
      <c r="F44">
        <v>2.4054366179380201E-3</v>
      </c>
      <c r="G44">
        <v>119.146600348642</v>
      </c>
      <c r="H44">
        <v>5.5559366260644699E-2</v>
      </c>
      <c r="I44">
        <v>-0.47333333318369802</v>
      </c>
      <c r="J44">
        <v>-1</v>
      </c>
      <c r="K44">
        <v>0.40876984139787997</v>
      </c>
      <c r="L44">
        <v>-1.60666666651617</v>
      </c>
      <c r="M44">
        <v>-1</v>
      </c>
      <c r="N44">
        <v>-0.50999999985050604</v>
      </c>
      <c r="O44">
        <v>-1</v>
      </c>
      <c r="P44">
        <v>8.5808215541032506</v>
      </c>
      <c r="Q44">
        <v>8.0735974004758695E-2</v>
      </c>
      <c r="R44">
        <v>-3.0069727085738698E-2</v>
      </c>
      <c r="S44">
        <v>-3.8326162391944203E-2</v>
      </c>
      <c r="T44">
        <v>2.4054366179380201E-3</v>
      </c>
      <c r="U44">
        <v>114.135351836019</v>
      </c>
      <c r="V44">
        <v>6.0554304244830201E-2</v>
      </c>
      <c r="W44">
        <v>-0.407499999850228</v>
      </c>
      <c r="X44">
        <v>-1</v>
      </c>
      <c r="Y44">
        <v>0.25967592605351802</v>
      </c>
      <c r="Z44">
        <v>-1.4199999998494801</v>
      </c>
      <c r="AA44">
        <v>-1</v>
      </c>
      <c r="AB44">
        <v>-0.46833333318368597</v>
      </c>
      <c r="AC44">
        <v>-1</v>
      </c>
      <c r="AD44">
        <v>3.3356018518666199</v>
      </c>
      <c r="AE44">
        <v>-3.83261623919443E-2</v>
      </c>
      <c r="AF44">
        <v>3.8702107489742601</v>
      </c>
      <c r="AG44">
        <v>0</v>
      </c>
      <c r="AH44">
        <v>4.0478471009521302</v>
      </c>
      <c r="AI44">
        <v>0</v>
      </c>
      <c r="AJ44">
        <v>1.0973495629048999</v>
      </c>
      <c r="AK44">
        <v>5.9939999999999998</v>
      </c>
      <c r="AL44">
        <v>6.0919999999999996</v>
      </c>
      <c r="AM44">
        <v>0.69227934550589099</v>
      </c>
      <c r="AN44">
        <v>0.69227934550589099</v>
      </c>
      <c r="AO44">
        <v>1.6024799999999999</v>
      </c>
      <c r="AP44">
        <v>176.673279627689</v>
      </c>
      <c r="AQ44">
        <v>7.2703819692782806E-2</v>
      </c>
      <c r="AR44">
        <v>5.4968530910484897E-2</v>
      </c>
      <c r="AS44">
        <v>6.1949873752044401E-2</v>
      </c>
    </row>
    <row r="45" spans="1:45" x14ac:dyDescent="0.2">
      <c r="A45" t="s">
        <v>90</v>
      </c>
      <c r="B45" t="s">
        <v>86</v>
      </c>
      <c r="C45" t="s">
        <v>45</v>
      </c>
      <c r="D45">
        <v>0</v>
      </c>
      <c r="E45">
        <v>0</v>
      </c>
      <c r="F45">
        <v>-3.7236734757003999E-3</v>
      </c>
      <c r="G45">
        <v>135.797959024851</v>
      </c>
      <c r="H45">
        <v>4.81908222035397E-2</v>
      </c>
      <c r="I45">
        <v>0.68638888903748596</v>
      </c>
      <c r="J45">
        <v>-1</v>
      </c>
      <c r="K45">
        <v>0.99451785727174102</v>
      </c>
      <c r="L45">
        <v>0.15666666681556299</v>
      </c>
      <c r="M45">
        <v>-1</v>
      </c>
      <c r="N45">
        <v>0.64166666681511697</v>
      </c>
      <c r="O45">
        <v>-1</v>
      </c>
      <c r="P45">
        <v>7.9026277237339198</v>
      </c>
      <c r="Q45">
        <v>7.0114390502036994E-2</v>
      </c>
      <c r="R45">
        <v>-1.3762438989949201E-2</v>
      </c>
      <c r="S45">
        <v>-3.4672105781025302E-2</v>
      </c>
      <c r="T45">
        <v>-3.7236734757004398E-3</v>
      </c>
      <c r="U45">
        <v>125.280542508332</v>
      </c>
      <c r="V45">
        <v>5.6790948970756497E-2</v>
      </c>
      <c r="W45">
        <v>0.70722222236841104</v>
      </c>
      <c r="X45">
        <v>-1</v>
      </c>
      <c r="Y45">
        <v>0.77858796309106804</v>
      </c>
      <c r="Z45">
        <v>3.0000000146437701E-2</v>
      </c>
      <c r="AA45">
        <v>-1</v>
      </c>
      <c r="AB45">
        <v>0.59000000014592802</v>
      </c>
      <c r="AC45">
        <v>-1</v>
      </c>
      <c r="AD45">
        <v>3.6936342592785301</v>
      </c>
      <c r="AE45">
        <v>-3.4672105781025302E-2</v>
      </c>
      <c r="AF45">
        <v>4.5364171663927504</v>
      </c>
      <c r="AG45">
        <v>0</v>
      </c>
      <c r="AH45">
        <v>4.9009276032685696</v>
      </c>
      <c r="AI45">
        <v>0</v>
      </c>
      <c r="AJ45">
        <v>1.50229061299252</v>
      </c>
      <c r="AK45">
        <v>5.8719999999999999</v>
      </c>
      <c r="AL45">
        <v>5.9279999999999999</v>
      </c>
      <c r="AM45">
        <v>0.97450683316433995</v>
      </c>
      <c r="AN45">
        <v>0.97450683316433995</v>
      </c>
      <c r="AO45">
        <v>2.0211199999999998</v>
      </c>
      <c r="AP45">
        <v>235.85962623982499</v>
      </c>
      <c r="AQ45">
        <v>4.8145994516652697E-2</v>
      </c>
      <c r="AR45">
        <v>4.7338100904162898E-2</v>
      </c>
      <c r="AS45">
        <v>5.8575551246583701E-2</v>
      </c>
    </row>
    <row r="46" spans="1:45" x14ac:dyDescent="0.2">
      <c r="A46" t="s">
        <v>91</v>
      </c>
      <c r="B46" t="s">
        <v>86</v>
      </c>
      <c r="C46" t="s">
        <v>45</v>
      </c>
      <c r="D46">
        <v>0</v>
      </c>
      <c r="E46">
        <v>0</v>
      </c>
      <c r="F46">
        <v>1.13018599659223E-2</v>
      </c>
      <c r="G46">
        <v>113.512444992138</v>
      </c>
      <c r="H46">
        <v>4.5636018312604699E-2</v>
      </c>
      <c r="I46">
        <v>-1.8694444442906699</v>
      </c>
      <c r="J46">
        <v>-1</v>
      </c>
      <c r="K46">
        <v>-0.92130555541763604</v>
      </c>
      <c r="L46">
        <v>-2.7933333331787198</v>
      </c>
      <c r="M46">
        <v>-1</v>
      </c>
      <c r="N46">
        <v>-1.5199999998465501</v>
      </c>
      <c r="O46">
        <v>-1</v>
      </c>
      <c r="P46">
        <v>6.4441064278474602</v>
      </c>
      <c r="Q46">
        <v>9.9408833603743793E-2</v>
      </c>
      <c r="R46">
        <v>-1.05108299226772E-2</v>
      </c>
      <c r="S46">
        <v>-1.4461586819564E-2</v>
      </c>
      <c r="T46">
        <v>1.13018599659223E-2</v>
      </c>
      <c r="U46">
        <v>108.278913758255</v>
      </c>
      <c r="V46">
        <v>5.4018760535526303E-2</v>
      </c>
      <c r="W46">
        <v>-1.5447222220688299</v>
      </c>
      <c r="X46">
        <v>-1</v>
      </c>
      <c r="Y46">
        <v>-0.84874999986336996</v>
      </c>
      <c r="Z46">
        <v>-2.28333333317928</v>
      </c>
      <c r="AA46">
        <v>-1</v>
      </c>
      <c r="AB46">
        <v>-1.0933333331803601</v>
      </c>
      <c r="AC46">
        <v>-1</v>
      </c>
      <c r="AD46">
        <v>3.70319444441051</v>
      </c>
      <c r="AE46">
        <v>-1.4461586819564E-2</v>
      </c>
      <c r="AF46">
        <v>3.2302698811278399</v>
      </c>
      <c r="AG46">
        <v>0</v>
      </c>
      <c r="AH46">
        <v>3.6170951199831398</v>
      </c>
      <c r="AI46">
        <v>0</v>
      </c>
      <c r="AJ46">
        <v>1.2198030760990899</v>
      </c>
      <c r="AK46">
        <v>6.47</v>
      </c>
      <c r="AL46">
        <v>6.4859999999999998</v>
      </c>
      <c r="AM46">
        <v>0.99288475597686199</v>
      </c>
      <c r="AN46">
        <v>0.99288475597686199</v>
      </c>
      <c r="AO46">
        <v>1.8916999999999999</v>
      </c>
      <c r="AP46">
        <v>196.38829525195399</v>
      </c>
      <c r="AQ46">
        <v>5.1890692323800301E-2</v>
      </c>
      <c r="AR46">
        <v>4.6344687439014098E-2</v>
      </c>
      <c r="AS46">
        <v>5.7411059947090802E-2</v>
      </c>
    </row>
    <row r="47" spans="1:45" x14ac:dyDescent="0.2">
      <c r="A47" t="s">
        <v>92</v>
      </c>
      <c r="B47" t="s">
        <v>86</v>
      </c>
      <c r="C47" t="s">
        <v>45</v>
      </c>
      <c r="D47">
        <v>0</v>
      </c>
      <c r="E47">
        <v>0</v>
      </c>
      <c r="F47">
        <v>1.9081860461900499E-3</v>
      </c>
      <c r="G47">
        <v>123.77711079788899</v>
      </c>
      <c r="H47">
        <v>5.19149738803951E-2</v>
      </c>
      <c r="I47">
        <v>-0.57597222207245602</v>
      </c>
      <c r="J47">
        <v>-1</v>
      </c>
      <c r="K47">
        <v>0.29335515885968799</v>
      </c>
      <c r="L47">
        <v>-1.67333333318274</v>
      </c>
      <c r="M47">
        <v>-1</v>
      </c>
      <c r="N47">
        <v>-0.49999999985048799</v>
      </c>
      <c r="O47">
        <v>-1</v>
      </c>
      <c r="P47">
        <v>8.0860607286272792</v>
      </c>
      <c r="Q47">
        <v>7.9637205894610097E-2</v>
      </c>
      <c r="R47">
        <v>-1.29688602790898E-2</v>
      </c>
      <c r="S47">
        <v>-3.5513596437269597E-2</v>
      </c>
      <c r="T47">
        <v>1.9081860461900601E-3</v>
      </c>
      <c r="U47">
        <v>115.470975468082</v>
      </c>
      <c r="V47">
        <v>6.0219217413823398E-2</v>
      </c>
      <c r="W47">
        <v>-0.52569444429452505</v>
      </c>
      <c r="X47">
        <v>-1</v>
      </c>
      <c r="Y47">
        <v>0.25818981494335702</v>
      </c>
      <c r="Z47">
        <v>-1.48666666651605</v>
      </c>
      <c r="AA47">
        <v>-1</v>
      </c>
      <c r="AB47">
        <v>-0.46999999985030999</v>
      </c>
      <c r="AC47">
        <v>-1</v>
      </c>
      <c r="AD47">
        <v>3.4332453703735499</v>
      </c>
      <c r="AE47">
        <v>-3.5513596437269597E-2</v>
      </c>
      <c r="AF47">
        <v>3.9199175277628</v>
      </c>
      <c r="AG47">
        <v>0</v>
      </c>
      <c r="AH47">
        <v>4.3948491553336302</v>
      </c>
      <c r="AI47">
        <v>0</v>
      </c>
      <c r="AJ47">
        <v>1.3596201013359499</v>
      </c>
      <c r="AK47">
        <v>6.3439999999999896</v>
      </c>
      <c r="AL47">
        <v>6.3779999999999903</v>
      </c>
      <c r="AM47">
        <v>0.97496336352574997</v>
      </c>
      <c r="AN47">
        <v>0.97496336352574997</v>
      </c>
      <c r="AO47">
        <v>1.87954</v>
      </c>
      <c r="AP47">
        <v>218.898836315088</v>
      </c>
      <c r="AQ47">
        <v>5.2685332923404403E-2</v>
      </c>
      <c r="AR47">
        <v>5.1790205942268401E-2</v>
      </c>
      <c r="AS47">
        <v>6.2285929345011599E-2</v>
      </c>
    </row>
    <row r="48" spans="1:45" x14ac:dyDescent="0.2">
      <c r="A48" t="s">
        <v>93</v>
      </c>
      <c r="B48" t="s">
        <v>94</v>
      </c>
      <c r="C48" t="s">
        <v>45</v>
      </c>
      <c r="D48">
        <v>144.72</v>
      </c>
      <c r="E48">
        <v>189.06</v>
      </c>
      <c r="F48">
        <v>0.195275084528785</v>
      </c>
      <c r="G48">
        <v>-2124.9839128250601</v>
      </c>
      <c r="H48">
        <v>0.261164071296343</v>
      </c>
      <c r="I48">
        <v>-12.599999999842201</v>
      </c>
      <c r="J48">
        <v>-1</v>
      </c>
      <c r="K48">
        <v>-6.5485238093843803</v>
      </c>
      <c r="L48">
        <v>-12.999999999842199</v>
      </c>
      <c r="M48">
        <v>-1</v>
      </c>
      <c r="N48">
        <v>-12.999999999842199</v>
      </c>
      <c r="O48">
        <v>-1</v>
      </c>
      <c r="P48">
        <v>11.8748688274237</v>
      </c>
      <c r="Q48">
        <v>3.6926549131348803E-2</v>
      </c>
      <c r="R48">
        <v>4.8793121770120497E-2</v>
      </c>
      <c r="S48">
        <v>0.27210360723566501</v>
      </c>
      <c r="T48">
        <v>0.195275084528785</v>
      </c>
      <c r="U48">
        <v>-2023.86575754771</v>
      </c>
      <c r="V48">
        <v>0.25931713448766203</v>
      </c>
      <c r="W48">
        <v>-14.249999999835101</v>
      </c>
      <c r="X48">
        <v>-1</v>
      </c>
      <c r="Y48">
        <v>-10.458333333180301</v>
      </c>
      <c r="Z48">
        <v>-14.249999999835101</v>
      </c>
      <c r="AA48">
        <v>-1</v>
      </c>
      <c r="AB48">
        <v>-14.249999999835101</v>
      </c>
      <c r="AC48">
        <v>-1</v>
      </c>
      <c r="AD48">
        <v>10.458333333180301</v>
      </c>
      <c r="AE48">
        <v>0.27210360723566501</v>
      </c>
      <c r="AF48" s="1">
        <v>6.3817722048698096E-13</v>
      </c>
      <c r="AG48">
        <v>0</v>
      </c>
      <c r="AH48">
        <v>1.69981949479315E-3</v>
      </c>
      <c r="AI48">
        <v>0</v>
      </c>
      <c r="AJ48">
        <v>-9.4591534962234203</v>
      </c>
      <c r="AK48">
        <v>5.52</v>
      </c>
      <c r="AL48">
        <v>6</v>
      </c>
      <c r="AM48" s="1">
        <v>2.1313347510852899E-13</v>
      </c>
      <c r="AN48" s="1">
        <v>6.50514821560065E-13</v>
      </c>
      <c r="AO48">
        <v>0.26779999999999998</v>
      </c>
      <c r="AP48">
        <v>-2185.06445762761</v>
      </c>
      <c r="AQ48">
        <v>0.15580817528743199</v>
      </c>
      <c r="AR48">
        <v>0.22950740575821599</v>
      </c>
      <c r="AS48">
        <v>0.224581858440491</v>
      </c>
    </row>
    <row r="49" spans="1:45" x14ac:dyDescent="0.2">
      <c r="A49" t="s">
        <v>95</v>
      </c>
      <c r="B49" t="s">
        <v>94</v>
      </c>
      <c r="C49" t="s">
        <v>45</v>
      </c>
      <c r="D49">
        <v>159.63999999999999</v>
      </c>
      <c r="E49">
        <v>200.4</v>
      </c>
      <c r="F49">
        <v>-9.0404979585882395E-2</v>
      </c>
      <c r="G49">
        <v>-518.02658560619295</v>
      </c>
      <c r="H49">
        <v>0.10270770967427501</v>
      </c>
      <c r="I49">
        <v>19.9475000000897</v>
      </c>
      <c r="J49">
        <v>-1</v>
      </c>
      <c r="K49">
        <v>9.1190515874074105</v>
      </c>
      <c r="L49">
        <v>15.488333333424</v>
      </c>
      <c r="M49">
        <v>-1</v>
      </c>
      <c r="N49">
        <v>17.575000000088799</v>
      </c>
      <c r="O49">
        <v>-1</v>
      </c>
      <c r="P49">
        <v>13.155107508467299</v>
      </c>
      <c r="Q49">
        <v>3.0172543429662E-2</v>
      </c>
      <c r="R49">
        <v>-6.7831638666434796E-2</v>
      </c>
      <c r="S49">
        <v>-0.115529038920257</v>
      </c>
      <c r="T49">
        <v>-9.0404979585882395E-2</v>
      </c>
      <c r="U49">
        <v>-416.39424828982101</v>
      </c>
      <c r="V49">
        <v>9.8983149918633398E-2</v>
      </c>
      <c r="W49">
        <v>19.5433333334236</v>
      </c>
      <c r="X49">
        <v>-1</v>
      </c>
      <c r="Y49">
        <v>9.4395833334371098</v>
      </c>
      <c r="Z49">
        <v>15.2066666667577</v>
      </c>
      <c r="AA49">
        <v>-1</v>
      </c>
      <c r="AB49">
        <v>17.051666666756098</v>
      </c>
      <c r="AC49">
        <v>-1</v>
      </c>
      <c r="AD49">
        <v>9.4395833334371098</v>
      </c>
      <c r="AE49">
        <v>-0.115529038920257</v>
      </c>
      <c r="AF49">
        <v>0.30193370516027601</v>
      </c>
      <c r="AG49">
        <v>0</v>
      </c>
      <c r="AH49">
        <v>0.93674330255090399</v>
      </c>
      <c r="AI49">
        <v>0</v>
      </c>
      <c r="AJ49">
        <v>-3.6309945481288901</v>
      </c>
      <c r="AK49">
        <v>5.1219999999999999</v>
      </c>
      <c r="AL49">
        <v>5.1159999999999997</v>
      </c>
      <c r="AM49">
        <v>7.1297284295627095E-4</v>
      </c>
      <c r="AN49">
        <v>1.0353964656769599E-3</v>
      </c>
      <c r="AO49">
        <v>1.4295800000000001</v>
      </c>
      <c r="AP49">
        <v>-838.75974061777299</v>
      </c>
      <c r="AQ49">
        <v>9.0671594222102497E-2</v>
      </c>
      <c r="AR49">
        <v>0.10442933593595601</v>
      </c>
      <c r="AS49">
        <v>9.7258835345637895E-2</v>
      </c>
    </row>
    <row r="50" spans="1:45" x14ac:dyDescent="0.2">
      <c r="A50" t="s">
        <v>96</v>
      </c>
      <c r="B50" t="s">
        <v>94</v>
      </c>
      <c r="C50" t="s">
        <v>45</v>
      </c>
      <c r="D50">
        <v>51.22</v>
      </c>
      <c r="E50">
        <v>102.76</v>
      </c>
      <c r="F50">
        <v>2.8556136431823E-2</v>
      </c>
      <c r="G50">
        <v>-48.266841677994002</v>
      </c>
      <c r="H50">
        <v>3.8343279175250197E-2</v>
      </c>
      <c r="I50">
        <v>-2.0544444442904601</v>
      </c>
      <c r="J50">
        <v>-1</v>
      </c>
      <c r="K50">
        <v>-2.45219841255309</v>
      </c>
      <c r="L50">
        <v>-3.5283333331780198</v>
      </c>
      <c r="M50">
        <v>-1</v>
      </c>
      <c r="N50">
        <v>-1.6049999998464499</v>
      </c>
      <c r="O50">
        <v>-1</v>
      </c>
      <c r="P50">
        <v>3.8629354817511601</v>
      </c>
      <c r="Q50">
        <v>3.6322326427520202E-2</v>
      </c>
      <c r="R50">
        <v>1.2740265532749699E-2</v>
      </c>
      <c r="S50">
        <v>1.16225113934585E-2</v>
      </c>
      <c r="T50">
        <v>2.8556136431823E-2</v>
      </c>
      <c r="U50">
        <v>-238.397753435494</v>
      </c>
      <c r="V50">
        <v>5.0973037971332E-2</v>
      </c>
      <c r="W50">
        <v>-1.7546666665130499</v>
      </c>
      <c r="X50">
        <v>-1</v>
      </c>
      <c r="Y50">
        <v>-2.12770833318887</v>
      </c>
      <c r="Z50">
        <v>-3.01833333317858</v>
      </c>
      <c r="AA50">
        <v>-1</v>
      </c>
      <c r="AB50">
        <v>-1.61999999984652</v>
      </c>
      <c r="AC50">
        <v>-1</v>
      </c>
      <c r="AD50">
        <v>3.35481944437156</v>
      </c>
      <c r="AE50">
        <v>1.16225113934585E-2</v>
      </c>
      <c r="AF50">
        <v>6.5836002981092498</v>
      </c>
      <c r="AG50">
        <v>0</v>
      </c>
      <c r="AH50">
        <v>9.8031218639965392</v>
      </c>
      <c r="AI50">
        <v>0</v>
      </c>
      <c r="AJ50">
        <v>0.48942381014658898</v>
      </c>
      <c r="AK50">
        <v>7.9979999999999896</v>
      </c>
      <c r="AL50">
        <v>8.1539999999999999</v>
      </c>
      <c r="AM50">
        <v>2.76494352337328E-2</v>
      </c>
      <c r="AN50">
        <v>6.9058766362437796E-2</v>
      </c>
      <c r="AO50">
        <v>2.4099400000000002</v>
      </c>
      <c r="AP50">
        <v>113.05690014386199</v>
      </c>
      <c r="AQ50">
        <v>4.4602360587705503E-2</v>
      </c>
      <c r="AR50">
        <v>4.5089237418113902E-2</v>
      </c>
      <c r="AS50">
        <v>5.8446597484854E-2</v>
      </c>
    </row>
    <row r="51" spans="1:45" x14ac:dyDescent="0.2">
      <c r="A51" t="s">
        <v>97</v>
      </c>
      <c r="B51" t="s">
        <v>98</v>
      </c>
      <c r="C51" t="s">
        <v>45</v>
      </c>
      <c r="D51">
        <v>1.96</v>
      </c>
      <c r="E51">
        <v>17.2</v>
      </c>
      <c r="F51">
        <v>6.0892298127546898E-3</v>
      </c>
      <c r="G51">
        <v>146.236465083849</v>
      </c>
      <c r="H51">
        <v>3.9761737402344698E-2</v>
      </c>
      <c r="I51">
        <v>1.6341666668172601</v>
      </c>
      <c r="J51">
        <v>-1</v>
      </c>
      <c r="K51">
        <v>1.15739947103268</v>
      </c>
      <c r="L51">
        <v>1.6233333334839399</v>
      </c>
      <c r="M51">
        <v>-1</v>
      </c>
      <c r="N51">
        <v>1.64500000015058</v>
      </c>
      <c r="O51">
        <v>-1</v>
      </c>
      <c r="P51">
        <v>6.6907119273635596</v>
      </c>
      <c r="Q51">
        <v>5.5211843554085302E-2</v>
      </c>
      <c r="R51">
        <v>1.2915105368009499E-2</v>
      </c>
      <c r="S51">
        <v>-6.1226793417262504E-3</v>
      </c>
      <c r="T51">
        <v>6.0892298127546898E-3</v>
      </c>
      <c r="U51">
        <v>141.97524944341501</v>
      </c>
      <c r="V51">
        <v>3.6764981966280502E-2</v>
      </c>
      <c r="W51">
        <v>2.1441666668166999</v>
      </c>
      <c r="X51">
        <v>-1</v>
      </c>
      <c r="Y51">
        <v>1.1621296297625301</v>
      </c>
      <c r="Z51">
        <v>2.1333333334833799</v>
      </c>
      <c r="AA51">
        <v>-1</v>
      </c>
      <c r="AB51">
        <v>2.1333333334833799</v>
      </c>
      <c r="AC51">
        <v>-1</v>
      </c>
      <c r="AD51">
        <v>4.1207407407513896</v>
      </c>
      <c r="AE51">
        <v>-6.1226793417262599E-3</v>
      </c>
      <c r="AF51">
        <v>6.5041288951719398</v>
      </c>
      <c r="AG51">
        <v>0</v>
      </c>
      <c r="AH51">
        <v>6.6615405424859802</v>
      </c>
      <c r="AI51">
        <v>0</v>
      </c>
      <c r="AJ51">
        <v>1.4610213652997901</v>
      </c>
      <c r="AK51">
        <v>5.7639999999999896</v>
      </c>
      <c r="AL51">
        <v>5.8239999999999998</v>
      </c>
      <c r="AM51">
        <v>0.45394515146084402</v>
      </c>
      <c r="AN51">
        <v>0.56248485852215102</v>
      </c>
      <c r="AO51">
        <v>1.5384599999999999</v>
      </c>
      <c r="AP51">
        <v>206.00401250727001</v>
      </c>
      <c r="AQ51">
        <v>5.56851408481348E-2</v>
      </c>
      <c r="AR51">
        <v>4.7115180109726797E-2</v>
      </c>
      <c r="AS51">
        <v>5.0445497716776602E-2</v>
      </c>
    </row>
    <row r="52" spans="1:45" x14ac:dyDescent="0.2">
      <c r="A52" t="s">
        <v>99</v>
      </c>
      <c r="B52" t="s">
        <v>98</v>
      </c>
      <c r="C52" t="s">
        <v>45</v>
      </c>
      <c r="D52">
        <v>0.4</v>
      </c>
      <c r="E52">
        <v>8.92</v>
      </c>
      <c r="F52">
        <v>-1.1529218873781E-2</v>
      </c>
      <c r="G52">
        <v>140.34957405236801</v>
      </c>
      <c r="H52">
        <v>4.5853262194582002E-2</v>
      </c>
      <c r="I52">
        <v>3.2800000001490699</v>
      </c>
      <c r="J52">
        <v>-1</v>
      </c>
      <c r="K52">
        <v>3.2139880953742401</v>
      </c>
      <c r="L52">
        <v>3.2800000001490699</v>
      </c>
      <c r="M52">
        <v>-1</v>
      </c>
      <c r="N52">
        <v>3.2800000001490699</v>
      </c>
      <c r="O52">
        <v>-1</v>
      </c>
      <c r="P52">
        <v>5.3223851568370097</v>
      </c>
      <c r="Q52">
        <v>4.7729645021717101E-2</v>
      </c>
      <c r="R52">
        <v>-8.4944781062515403E-3</v>
      </c>
      <c r="S52">
        <v>1.1516393911768801E-2</v>
      </c>
      <c r="T52">
        <v>-1.1529218873781E-2</v>
      </c>
      <c r="U52">
        <v>135.876137449944</v>
      </c>
      <c r="V52">
        <v>4.3206551114223397E-2</v>
      </c>
      <c r="W52">
        <v>3.7900000001485199</v>
      </c>
      <c r="X52">
        <v>-1</v>
      </c>
      <c r="Y52">
        <v>3.1351388890252201</v>
      </c>
      <c r="Z52">
        <v>3.7900000001485199</v>
      </c>
      <c r="AA52">
        <v>-1</v>
      </c>
      <c r="AB52">
        <v>3.7900000001485199</v>
      </c>
      <c r="AC52">
        <v>-1</v>
      </c>
      <c r="AD52">
        <v>3.97902777782152</v>
      </c>
      <c r="AE52">
        <v>1.1516393911768801E-2</v>
      </c>
      <c r="AF52">
        <v>5.8866486258979203</v>
      </c>
      <c r="AG52">
        <v>0</v>
      </c>
      <c r="AH52">
        <v>5.5778329636876602</v>
      </c>
      <c r="AI52">
        <v>0</v>
      </c>
      <c r="AJ52">
        <v>1.5893878411517399</v>
      </c>
      <c r="AK52">
        <v>5.8</v>
      </c>
      <c r="AL52">
        <v>5.88</v>
      </c>
      <c r="AM52">
        <v>0.59408991411882595</v>
      </c>
      <c r="AN52">
        <v>0.62437938363590695</v>
      </c>
      <c r="AO52">
        <v>1.1518999999999999</v>
      </c>
      <c r="AP52">
        <v>224.10368560239601</v>
      </c>
      <c r="AQ52">
        <v>4.8076839103844297E-2</v>
      </c>
      <c r="AR52">
        <v>4.9330540970460503E-2</v>
      </c>
      <c r="AS52">
        <v>5.1640839512186398E-2</v>
      </c>
    </row>
    <row r="53" spans="1:45" x14ac:dyDescent="0.2">
      <c r="A53" t="s">
        <v>100</v>
      </c>
      <c r="B53" t="s">
        <v>98</v>
      </c>
      <c r="C53" t="s">
        <v>45</v>
      </c>
      <c r="D53">
        <v>2.14</v>
      </c>
      <c r="E53">
        <v>20.66</v>
      </c>
      <c r="F53">
        <v>7.6789299826810096E-3</v>
      </c>
      <c r="G53">
        <v>144.28951651422</v>
      </c>
      <c r="H53">
        <v>3.9823568739647E-2</v>
      </c>
      <c r="I53">
        <v>1.8016666668171399</v>
      </c>
      <c r="J53">
        <v>-1</v>
      </c>
      <c r="K53">
        <v>1.1998214287055899</v>
      </c>
      <c r="L53">
        <v>1.8016666668171399</v>
      </c>
      <c r="M53">
        <v>-1</v>
      </c>
      <c r="N53">
        <v>1.8016666668171399</v>
      </c>
      <c r="O53">
        <v>-1</v>
      </c>
      <c r="P53">
        <v>6.7608394820747799</v>
      </c>
      <c r="Q53">
        <v>5.6685811854951897E-2</v>
      </c>
      <c r="R53">
        <v>1.7365171614612498E-2</v>
      </c>
      <c r="S53">
        <v>-7.6915678045705697E-3</v>
      </c>
      <c r="T53">
        <v>7.6789299826810001E-3</v>
      </c>
      <c r="U53">
        <v>140.28405712037099</v>
      </c>
      <c r="V53">
        <v>3.67952137164234E-2</v>
      </c>
      <c r="W53">
        <v>2.3116666668165902</v>
      </c>
      <c r="X53">
        <v>-1</v>
      </c>
      <c r="Y53">
        <v>1.2116203705022699</v>
      </c>
      <c r="Z53">
        <v>2.3116666668165902</v>
      </c>
      <c r="AA53">
        <v>-1</v>
      </c>
      <c r="AB53">
        <v>2.3116666668165902</v>
      </c>
      <c r="AC53">
        <v>-1</v>
      </c>
      <c r="AD53">
        <v>4.28717592593547</v>
      </c>
      <c r="AE53">
        <v>-7.6915678045705897E-3</v>
      </c>
      <c r="AF53">
        <v>6.4207566951744699</v>
      </c>
      <c r="AG53">
        <v>0</v>
      </c>
      <c r="AH53">
        <v>6.6082217616436001</v>
      </c>
      <c r="AI53">
        <v>0</v>
      </c>
      <c r="AJ53">
        <v>1.39747552401431</v>
      </c>
      <c r="AK53">
        <v>5.78</v>
      </c>
      <c r="AL53">
        <v>5.74</v>
      </c>
      <c r="AM53">
        <v>0.44890464919256101</v>
      </c>
      <c r="AN53">
        <v>0.55424837980407604</v>
      </c>
      <c r="AO53">
        <v>1.6811</v>
      </c>
      <c r="AP53">
        <v>197.044048886018</v>
      </c>
      <c r="AQ53">
        <v>6.0376623003950997E-2</v>
      </c>
      <c r="AR53">
        <v>4.8976339705191801E-2</v>
      </c>
      <c r="AS53">
        <v>5.2189959372975402E-2</v>
      </c>
    </row>
    <row r="54" spans="1:45" x14ac:dyDescent="0.2">
      <c r="A54" t="s">
        <v>101</v>
      </c>
      <c r="B54" t="s">
        <v>98</v>
      </c>
      <c r="C54" t="s">
        <v>45</v>
      </c>
      <c r="D54">
        <v>1.74</v>
      </c>
      <c r="E54">
        <v>15.4</v>
      </c>
      <c r="F54">
        <v>6.1351603582650502E-3</v>
      </c>
      <c r="G54">
        <v>146.52699964229799</v>
      </c>
      <c r="H54">
        <v>4.0109386714553302E-2</v>
      </c>
      <c r="I54">
        <v>1.2950000001508699</v>
      </c>
      <c r="J54">
        <v>-1</v>
      </c>
      <c r="K54">
        <v>1.10707010595291</v>
      </c>
      <c r="L54">
        <v>1.2950000001508699</v>
      </c>
      <c r="M54">
        <v>-1</v>
      </c>
      <c r="N54">
        <v>1.2950000001508699</v>
      </c>
      <c r="O54">
        <v>-1</v>
      </c>
      <c r="P54">
        <v>6.70785716136412</v>
      </c>
      <c r="Q54">
        <v>5.4436844224938198E-2</v>
      </c>
      <c r="R54">
        <v>1.03954777252394E-2</v>
      </c>
      <c r="S54">
        <v>-6.1205995122786804E-3</v>
      </c>
      <c r="T54">
        <v>6.1351603582650198E-3</v>
      </c>
      <c r="U54">
        <v>141.567985121259</v>
      </c>
      <c r="V54">
        <v>3.7380867630587997E-2</v>
      </c>
      <c r="W54">
        <v>1.8050000001503199</v>
      </c>
      <c r="X54">
        <v>-1</v>
      </c>
      <c r="Y54">
        <v>1.1388425927250401</v>
      </c>
      <c r="Z54">
        <v>1.8050000001503199</v>
      </c>
      <c r="AA54">
        <v>-1</v>
      </c>
      <c r="AB54">
        <v>1.8050000001503199</v>
      </c>
      <c r="AC54">
        <v>-1</v>
      </c>
      <c r="AD54">
        <v>4.1426388888990298</v>
      </c>
      <c r="AE54">
        <v>-6.1205995122787004E-3</v>
      </c>
      <c r="AF54">
        <v>6.5319207570214601</v>
      </c>
      <c r="AG54">
        <v>0</v>
      </c>
      <c r="AH54">
        <v>6.7595949083357398</v>
      </c>
      <c r="AI54">
        <v>0</v>
      </c>
      <c r="AJ54">
        <v>1.4989056655033099</v>
      </c>
      <c r="AK54">
        <v>5.72</v>
      </c>
      <c r="AL54">
        <v>5.78</v>
      </c>
      <c r="AM54">
        <v>0.48519344825014199</v>
      </c>
      <c r="AN54">
        <v>0.57039547071461905</v>
      </c>
      <c r="AO54">
        <v>1.4594</v>
      </c>
      <c r="AP54">
        <v>211.345698835967</v>
      </c>
      <c r="AQ54">
        <v>5.3395525961823599E-2</v>
      </c>
      <c r="AR54">
        <v>4.6585622289585599E-2</v>
      </c>
      <c r="AS54">
        <v>5.0057886432767103E-2</v>
      </c>
    </row>
    <row r="55" spans="1:45" x14ac:dyDescent="0.2">
      <c r="A55" t="s">
        <v>102</v>
      </c>
      <c r="B55" t="s">
        <v>98</v>
      </c>
      <c r="C55" t="s">
        <v>45</v>
      </c>
      <c r="D55">
        <v>3.16</v>
      </c>
      <c r="E55">
        <v>15.08</v>
      </c>
      <c r="F55">
        <v>8.7871117801204702E-3</v>
      </c>
      <c r="G55">
        <v>146.191135288309</v>
      </c>
      <c r="H55">
        <v>3.7554585582580097E-2</v>
      </c>
      <c r="I55">
        <v>2.0233333334835999</v>
      </c>
      <c r="J55">
        <v>-1</v>
      </c>
      <c r="K55">
        <v>0.73035317473816797</v>
      </c>
      <c r="L55">
        <v>1.84000000015043</v>
      </c>
      <c r="M55">
        <v>-1</v>
      </c>
      <c r="N55">
        <v>2.0966666668168701</v>
      </c>
      <c r="O55">
        <v>-1</v>
      </c>
      <c r="P55">
        <v>6.6317966582401198</v>
      </c>
      <c r="Q55">
        <v>5.4479999362536197E-2</v>
      </c>
      <c r="R55">
        <v>9.1272458946360605E-3</v>
      </c>
      <c r="S55">
        <v>-8.7900008408171807E-3</v>
      </c>
      <c r="T55">
        <v>8.7871117801204702E-3</v>
      </c>
      <c r="U55">
        <v>127.977638702852</v>
      </c>
      <c r="V55">
        <v>4.1139697472425997E-2</v>
      </c>
      <c r="W55">
        <v>2.5333333334830401</v>
      </c>
      <c r="X55">
        <v>-1</v>
      </c>
      <c r="Y55">
        <v>0.84250000013366899</v>
      </c>
      <c r="Z55">
        <v>2.35000000014987</v>
      </c>
      <c r="AA55">
        <v>-1</v>
      </c>
      <c r="AB55">
        <v>2.5866666668163201</v>
      </c>
      <c r="AC55">
        <v>-1</v>
      </c>
      <c r="AD55">
        <v>4.2452777777897399</v>
      </c>
      <c r="AE55">
        <v>-8.7900008408171894E-3</v>
      </c>
      <c r="AF55">
        <v>6.1578582429924102</v>
      </c>
      <c r="AG55">
        <v>0</v>
      </c>
      <c r="AH55">
        <v>6.6995494385011503</v>
      </c>
      <c r="AI55">
        <v>0</v>
      </c>
      <c r="AJ55">
        <v>1.3668990950975899</v>
      </c>
      <c r="AK55">
        <v>5.98</v>
      </c>
      <c r="AL55">
        <v>6.02</v>
      </c>
      <c r="AM55">
        <v>7.4862352921648306E-2</v>
      </c>
      <c r="AN55">
        <v>0.384688835359635</v>
      </c>
      <c r="AO55">
        <v>2.5628600000000001</v>
      </c>
      <c r="AP55">
        <v>192.73277240876001</v>
      </c>
      <c r="AQ55">
        <v>6.1153479298059497E-2</v>
      </c>
      <c r="AR55">
        <v>4.8704584679637897E-2</v>
      </c>
      <c r="AS55">
        <v>5.8215481103431999E-2</v>
      </c>
    </row>
    <row r="56" spans="1:45" x14ac:dyDescent="0.2">
      <c r="A56" t="s">
        <v>103</v>
      </c>
      <c r="B56" t="s">
        <v>98</v>
      </c>
      <c r="C56" t="s">
        <v>45</v>
      </c>
      <c r="D56">
        <v>3.34</v>
      </c>
      <c r="E56">
        <v>18.98</v>
      </c>
      <c r="F56">
        <v>-1.0747458091248699E-2</v>
      </c>
      <c r="G56">
        <v>148.02719380377999</v>
      </c>
      <c r="H56">
        <v>4.2527386338606303E-2</v>
      </c>
      <c r="I56">
        <v>3.1116666668159398</v>
      </c>
      <c r="J56">
        <v>-1</v>
      </c>
      <c r="K56">
        <v>2.5648134922006598</v>
      </c>
      <c r="L56">
        <v>3.1116666668159398</v>
      </c>
      <c r="M56">
        <v>-1</v>
      </c>
      <c r="N56">
        <v>3.1116666668159398</v>
      </c>
      <c r="O56">
        <v>-1</v>
      </c>
      <c r="P56">
        <v>4.8022518290725698</v>
      </c>
      <c r="Q56">
        <v>4.6045086191215799E-2</v>
      </c>
      <c r="R56">
        <v>-9.0917982128161101E-3</v>
      </c>
      <c r="S56">
        <v>1.07418366328614E-2</v>
      </c>
      <c r="T56">
        <v>-1.07474580912488E-2</v>
      </c>
      <c r="U56">
        <v>128.29916066698499</v>
      </c>
      <c r="V56">
        <v>4.5594199798843701E-2</v>
      </c>
      <c r="W56">
        <v>3.6216666668153898</v>
      </c>
      <c r="X56">
        <v>-1</v>
      </c>
      <c r="Y56">
        <v>2.58393518532203</v>
      </c>
      <c r="Z56">
        <v>3.6216666668153898</v>
      </c>
      <c r="AA56">
        <v>-1</v>
      </c>
      <c r="AB56">
        <v>3.6216666668153898</v>
      </c>
      <c r="AC56">
        <v>-1</v>
      </c>
      <c r="AD56">
        <v>4.1672685185678304</v>
      </c>
      <c r="AE56">
        <v>1.07418366328614E-2</v>
      </c>
      <c r="AF56">
        <v>5.9365099960802201</v>
      </c>
      <c r="AG56">
        <v>0</v>
      </c>
      <c r="AH56">
        <v>6.2706097197312296</v>
      </c>
      <c r="AI56">
        <v>0</v>
      </c>
      <c r="AJ56">
        <v>1.43816603271926</v>
      </c>
      <c r="AK56">
        <v>5.94</v>
      </c>
      <c r="AL56">
        <v>6.08</v>
      </c>
      <c r="AM56">
        <v>0.19300664517206101</v>
      </c>
      <c r="AN56">
        <v>0.33007641953487898</v>
      </c>
      <c r="AO56">
        <v>1.2498</v>
      </c>
      <c r="AP56">
        <v>202.781410613416</v>
      </c>
      <c r="AQ56">
        <v>5.1367334541710399E-2</v>
      </c>
      <c r="AR56">
        <v>4.54685082249238E-2</v>
      </c>
      <c r="AS56">
        <v>5.47257734406872E-2</v>
      </c>
    </row>
    <row r="57" spans="1:45" x14ac:dyDescent="0.2">
      <c r="A57" t="s">
        <v>104</v>
      </c>
      <c r="B57" t="s">
        <v>98</v>
      </c>
      <c r="C57" t="s">
        <v>45</v>
      </c>
      <c r="D57">
        <v>0.7</v>
      </c>
      <c r="E57">
        <v>9.1</v>
      </c>
      <c r="F57">
        <v>8.9217466838941994E-3</v>
      </c>
      <c r="G57">
        <v>147.392455038549</v>
      </c>
      <c r="H57">
        <v>3.7108828418821099E-2</v>
      </c>
      <c r="I57">
        <v>1.8083333334837699</v>
      </c>
      <c r="J57">
        <v>-1</v>
      </c>
      <c r="K57">
        <v>0.63391269854832899</v>
      </c>
      <c r="L57">
        <v>1.8083333334837699</v>
      </c>
      <c r="M57">
        <v>-1</v>
      </c>
      <c r="N57">
        <v>1.8083333334837699</v>
      </c>
      <c r="O57">
        <v>-1</v>
      </c>
      <c r="P57">
        <v>6.6717949553724303</v>
      </c>
      <c r="Q57">
        <v>5.5331652015993799E-2</v>
      </c>
      <c r="R57">
        <v>1.39551786546241E-2</v>
      </c>
      <c r="S57">
        <v>-8.9292481044410902E-3</v>
      </c>
      <c r="T57">
        <v>8.9217466838942099E-3</v>
      </c>
      <c r="U57">
        <v>129.47177670781599</v>
      </c>
      <c r="V57">
        <v>4.0621188017927697E-2</v>
      </c>
      <c r="W57">
        <v>2.3183333334832201</v>
      </c>
      <c r="X57">
        <v>-1</v>
      </c>
      <c r="Y57">
        <v>0.73791666679854395</v>
      </c>
      <c r="Z57">
        <v>2.3183333334832201</v>
      </c>
      <c r="AA57">
        <v>-1</v>
      </c>
      <c r="AB57">
        <v>2.3183333334832201</v>
      </c>
      <c r="AC57">
        <v>-1</v>
      </c>
      <c r="AD57">
        <v>4.3659722222273798</v>
      </c>
      <c r="AE57">
        <v>-8.9292481044411006E-3</v>
      </c>
      <c r="AF57">
        <v>6.25690126111538</v>
      </c>
      <c r="AG57">
        <v>0</v>
      </c>
      <c r="AH57">
        <v>6.7957355808375803</v>
      </c>
      <c r="AI57">
        <v>0</v>
      </c>
      <c r="AJ57">
        <v>1.5254186922657</v>
      </c>
      <c r="AK57">
        <v>5.76</v>
      </c>
      <c r="AL57">
        <v>5.68</v>
      </c>
      <c r="AM57">
        <v>0.67446508604295496</v>
      </c>
      <c r="AN57">
        <v>0.71027503292447902</v>
      </c>
      <c r="AO57">
        <v>1.7247399999999999</v>
      </c>
      <c r="AP57">
        <v>215.084035609463</v>
      </c>
      <c r="AQ57">
        <v>5.29452735849111E-2</v>
      </c>
      <c r="AR57">
        <v>4.7717413229259098E-2</v>
      </c>
      <c r="AS57">
        <v>5.7394568373779799E-2</v>
      </c>
    </row>
    <row r="58" spans="1:45" x14ac:dyDescent="0.2">
      <c r="A58" t="s">
        <v>105</v>
      </c>
      <c r="B58" t="s">
        <v>98</v>
      </c>
      <c r="C58" t="s">
        <v>45</v>
      </c>
      <c r="D58">
        <v>2.48</v>
      </c>
      <c r="E58">
        <v>11.04</v>
      </c>
      <c r="F58">
        <v>9.1574195210393297E-3</v>
      </c>
      <c r="G58">
        <v>147.21199750869701</v>
      </c>
      <c r="H58">
        <v>3.7467883335178698E-2</v>
      </c>
      <c r="I58">
        <v>1.70000000015054</v>
      </c>
      <c r="J58">
        <v>-1</v>
      </c>
      <c r="K58">
        <v>0.66384920648237999</v>
      </c>
      <c r="L58">
        <v>1.70000000015054</v>
      </c>
      <c r="M58">
        <v>-1</v>
      </c>
      <c r="N58">
        <v>1.70000000015054</v>
      </c>
      <c r="O58">
        <v>-1</v>
      </c>
      <c r="P58">
        <v>7.1425011835887497</v>
      </c>
      <c r="Q58">
        <v>5.3153613061433701E-2</v>
      </c>
      <c r="R58">
        <v>6.1190930238646402E-3</v>
      </c>
      <c r="S58">
        <v>-9.1567525474708904E-3</v>
      </c>
      <c r="T58">
        <v>9.1574195210393193E-3</v>
      </c>
      <c r="U58">
        <v>127.596718731259</v>
      </c>
      <c r="V58">
        <v>4.1150842813519502E-2</v>
      </c>
      <c r="W58">
        <v>2.2100000001499902</v>
      </c>
      <c r="X58">
        <v>-1</v>
      </c>
      <c r="Y58">
        <v>0.75569444457630497</v>
      </c>
      <c r="Z58">
        <v>2.2100000001499902</v>
      </c>
      <c r="AA58">
        <v>-1</v>
      </c>
      <c r="AB58">
        <v>2.2100000001499902</v>
      </c>
      <c r="AC58">
        <v>-1</v>
      </c>
      <c r="AD58">
        <v>4.4587500000050797</v>
      </c>
      <c r="AE58">
        <v>-9.1567525474709095E-3</v>
      </c>
      <c r="AF58">
        <v>6.2375823185937396</v>
      </c>
      <c r="AG58">
        <v>0</v>
      </c>
      <c r="AH58">
        <v>6.8273524027264001</v>
      </c>
      <c r="AI58">
        <v>0</v>
      </c>
      <c r="AJ58">
        <v>1.4530395393359199</v>
      </c>
      <c r="AK58">
        <v>5.78</v>
      </c>
      <c r="AL58">
        <v>5.8</v>
      </c>
      <c r="AM58">
        <v>0.34951757156325702</v>
      </c>
      <c r="AN58">
        <v>0.48651642587288801</v>
      </c>
      <c r="AO58">
        <v>1.6581999999999999</v>
      </c>
      <c r="AP58">
        <v>204.87857504636401</v>
      </c>
      <c r="AQ58">
        <v>5.3958887596351902E-2</v>
      </c>
      <c r="AR58">
        <v>4.8013071311924803E-2</v>
      </c>
      <c r="AS58">
        <v>5.7774880275936899E-2</v>
      </c>
    </row>
    <row r="59" spans="1:45" x14ac:dyDescent="0.2">
      <c r="A59" t="s">
        <v>106</v>
      </c>
      <c r="B59" t="s">
        <v>107</v>
      </c>
      <c r="C59" t="s">
        <v>45</v>
      </c>
      <c r="D59">
        <v>0</v>
      </c>
      <c r="E59">
        <v>1.68</v>
      </c>
      <c r="F59">
        <v>5.6037901125170902E-2</v>
      </c>
      <c r="G59">
        <v>53.578798526572399</v>
      </c>
      <c r="H59">
        <v>9.7437677505916906E-2</v>
      </c>
      <c r="I59">
        <v>-3.6008333331779401</v>
      </c>
      <c r="J59">
        <v>-1</v>
      </c>
      <c r="K59">
        <v>-2.4027341268390101</v>
      </c>
      <c r="L59">
        <v>-3.6349999998445699</v>
      </c>
      <c r="M59">
        <v>-1</v>
      </c>
      <c r="N59">
        <v>-3.6349999998445699</v>
      </c>
      <c r="O59">
        <v>-1</v>
      </c>
      <c r="P59">
        <v>4.0773128603674902</v>
      </c>
      <c r="Q59">
        <v>0.12821124074575599</v>
      </c>
      <c r="R59">
        <v>1.1669053967009201E-2</v>
      </c>
      <c r="S59">
        <v>0.108758793316389</v>
      </c>
      <c r="T59">
        <v>5.6037901125170902E-2</v>
      </c>
      <c r="U59">
        <v>53.506737663199097</v>
      </c>
      <c r="V59">
        <v>9.7782724412712602E-2</v>
      </c>
      <c r="W59">
        <v>-3.0908333331784901</v>
      </c>
      <c r="X59">
        <v>-1</v>
      </c>
      <c r="Y59">
        <v>-2.51486111096535</v>
      </c>
      <c r="Z59">
        <v>-3.1249999998451301</v>
      </c>
      <c r="AA59">
        <v>-1</v>
      </c>
      <c r="AB59">
        <v>-3.1249999998451301</v>
      </c>
      <c r="AC59">
        <v>-1</v>
      </c>
      <c r="AD59">
        <v>2.6765277776605698</v>
      </c>
      <c r="AE59">
        <v>0.108758793316389</v>
      </c>
      <c r="AF59">
        <v>1.7563441315422801</v>
      </c>
      <c r="AG59">
        <v>0</v>
      </c>
      <c r="AH59">
        <v>1.7739886012849799</v>
      </c>
      <c r="AI59">
        <v>0</v>
      </c>
      <c r="AJ59">
        <v>1.0471070871613899</v>
      </c>
      <c r="AK59">
        <v>6.0039999999999996</v>
      </c>
      <c r="AL59">
        <v>6.1440000000000001</v>
      </c>
      <c r="AM59">
        <v>0.85804837403615497</v>
      </c>
      <c r="AN59">
        <v>0.867997151813933</v>
      </c>
      <c r="AO59">
        <v>1.4762</v>
      </c>
      <c r="AP59">
        <v>239.78752295995901</v>
      </c>
      <c r="AQ59">
        <v>6.4920275235026095E-2</v>
      </c>
      <c r="AR59">
        <v>8.53540207888078E-2</v>
      </c>
      <c r="AS59">
        <v>8.5586253989127004E-2</v>
      </c>
    </row>
    <row r="60" spans="1:45" x14ac:dyDescent="0.2">
      <c r="A60" t="s">
        <v>108</v>
      </c>
      <c r="B60" t="s">
        <v>107</v>
      </c>
      <c r="C60" t="s">
        <v>45</v>
      </c>
      <c r="D60">
        <v>0</v>
      </c>
      <c r="E60">
        <v>0.02</v>
      </c>
      <c r="F60">
        <v>2.6092081503434499E-2</v>
      </c>
      <c r="G60">
        <v>140.86471726100399</v>
      </c>
      <c r="H60">
        <v>4.4156821590458202E-2</v>
      </c>
      <c r="I60">
        <v>-0.66208333318063906</v>
      </c>
      <c r="J60">
        <v>-1</v>
      </c>
      <c r="K60">
        <v>-0.99117129615226796</v>
      </c>
      <c r="L60">
        <v>-3.4349999998447598</v>
      </c>
      <c r="M60">
        <v>-1</v>
      </c>
      <c r="N60">
        <v>-0.76666666651386495</v>
      </c>
      <c r="O60">
        <v>-1</v>
      </c>
      <c r="P60">
        <v>2.9788862044792501</v>
      </c>
      <c r="Q60">
        <v>5.2446139030666403E-2</v>
      </c>
      <c r="R60">
        <v>8.7232083058450798E-3</v>
      </c>
      <c r="S60">
        <v>2.9452223526803999E-2</v>
      </c>
      <c r="T60">
        <v>2.6092081503434499E-2</v>
      </c>
      <c r="U60">
        <v>111.407553932987</v>
      </c>
      <c r="V60">
        <v>6.2901592453827607E-2</v>
      </c>
      <c r="W60">
        <v>-0.40736111095874</v>
      </c>
      <c r="X60">
        <v>-1</v>
      </c>
      <c r="Y60">
        <v>-0.85331481467104398</v>
      </c>
      <c r="Z60">
        <v>-2.92499999984532</v>
      </c>
      <c r="AA60">
        <v>-1</v>
      </c>
      <c r="AB60">
        <v>-5.1666666514611201E-2</v>
      </c>
      <c r="AC60">
        <v>-1</v>
      </c>
      <c r="AD60">
        <v>3.1292870370050201</v>
      </c>
      <c r="AE60">
        <v>2.9452223526803999E-2</v>
      </c>
      <c r="AF60">
        <v>4.2484282507739302</v>
      </c>
      <c r="AG60">
        <v>0</v>
      </c>
      <c r="AH60">
        <v>5.3960283415320998</v>
      </c>
      <c r="AI60">
        <v>0</v>
      </c>
      <c r="AJ60">
        <v>1.63326130478973</v>
      </c>
      <c r="AK60">
        <v>10.244</v>
      </c>
      <c r="AL60">
        <v>10.357999999999899</v>
      </c>
      <c r="AM60">
        <v>0.96116282704762002</v>
      </c>
      <c r="AN60">
        <v>0.97241478473270004</v>
      </c>
      <c r="AO60">
        <v>5.8141600000000002</v>
      </c>
      <c r="AP60">
        <v>359.31748705374201</v>
      </c>
      <c r="AQ60">
        <v>4.3800537705338601E-2</v>
      </c>
      <c r="AR60">
        <v>4.51918797680732E-2</v>
      </c>
      <c r="AS60">
        <v>6.6301694088171603E-2</v>
      </c>
    </row>
    <row r="61" spans="1:45" x14ac:dyDescent="0.2">
      <c r="A61" t="s">
        <v>109</v>
      </c>
      <c r="B61" t="s">
        <v>107</v>
      </c>
      <c r="C61" t="s">
        <v>45</v>
      </c>
      <c r="D61">
        <v>0</v>
      </c>
      <c r="E61">
        <v>0</v>
      </c>
      <c r="F61">
        <v>2.8408686748959699E-2</v>
      </c>
      <c r="G61">
        <v>141.153019345361</v>
      </c>
      <c r="H61">
        <v>4.3087819169317802E-2</v>
      </c>
      <c r="I61">
        <v>-0.48124999984750799</v>
      </c>
      <c r="J61">
        <v>-1</v>
      </c>
      <c r="K61">
        <v>-1.08609060832154</v>
      </c>
      <c r="L61">
        <v>-1.89666666651287</v>
      </c>
      <c r="M61">
        <v>-1</v>
      </c>
      <c r="N61">
        <v>-0.58666666651407395</v>
      </c>
      <c r="O61">
        <v>-1</v>
      </c>
      <c r="P61">
        <v>3.1663477678921899</v>
      </c>
      <c r="Q61">
        <v>5.3819166699085597E-2</v>
      </c>
      <c r="R61">
        <v>9.2253538521218804E-3</v>
      </c>
      <c r="S61">
        <v>3.2671797777477002E-2</v>
      </c>
      <c r="T61">
        <v>2.8408686748959699E-2</v>
      </c>
      <c r="U61">
        <v>112.219429878802</v>
      </c>
      <c r="V61">
        <v>6.1815841676599897E-2</v>
      </c>
      <c r="W61">
        <v>-9.87499998479483E-2</v>
      </c>
      <c r="X61">
        <v>-1</v>
      </c>
      <c r="Y61">
        <v>-1.1022222220782301</v>
      </c>
      <c r="Z61">
        <v>-1.38666666651342</v>
      </c>
      <c r="AA61">
        <v>-1</v>
      </c>
      <c r="AB61">
        <v>0.53333333348480605</v>
      </c>
      <c r="AC61">
        <v>-1</v>
      </c>
      <c r="AD61">
        <v>3.3702314814492502</v>
      </c>
      <c r="AE61">
        <v>3.2671797777477002E-2</v>
      </c>
      <c r="AF61">
        <v>3.99407333184383</v>
      </c>
      <c r="AG61">
        <v>0</v>
      </c>
      <c r="AH61">
        <v>5.2838371399634303</v>
      </c>
      <c r="AI61">
        <v>0</v>
      </c>
      <c r="AJ61">
        <v>1.61226073707571</v>
      </c>
      <c r="AK61">
        <v>8.1620000000000008</v>
      </c>
      <c r="AL61">
        <v>8.2200000000000006</v>
      </c>
      <c r="AM61">
        <v>0.96644384147047402</v>
      </c>
      <c r="AN61">
        <v>0.96700373327254197</v>
      </c>
      <c r="AO61">
        <v>3.18711999999999</v>
      </c>
      <c r="AP61">
        <v>354.69736215665802</v>
      </c>
      <c r="AQ61">
        <v>4.4294225781524497E-2</v>
      </c>
      <c r="AR61">
        <v>4.4135233413952597E-2</v>
      </c>
      <c r="AS61">
        <v>6.6040290572480398E-2</v>
      </c>
    </row>
  </sheetData>
  <sortState xmlns:xlrd2="http://schemas.microsoft.com/office/spreadsheetml/2017/richdata2" ref="A2:AT59">
    <sortCondition ref="B2:B59"/>
    <sortCondition ref="A2:A59"/>
  </sortState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011B1-42B9-1D42-B5F5-1A04FB10AC06}">
  <dimension ref="A1:BC64"/>
  <sheetViews>
    <sheetView tabSelected="1" workbookViewId="0">
      <pane ySplit="1" topLeftCell="A23" activePane="bottomLeft" state="frozen"/>
      <selection pane="bottomLeft" activeCell="G53" sqref="G53:I53"/>
    </sheetView>
  </sheetViews>
  <sheetFormatPr baseColWidth="10" defaultRowHeight="16" x14ac:dyDescent="0.2"/>
  <cols>
    <col min="1" max="1" width="21.33203125" customWidth="1"/>
    <col min="2" max="2" width="19.33203125" customWidth="1"/>
    <col min="3" max="3" width="5.83203125" customWidth="1"/>
    <col min="4" max="4" width="6.83203125" customWidth="1"/>
    <col min="5" max="5" width="6.33203125" customWidth="1"/>
    <col min="6" max="9" width="7.1640625" customWidth="1"/>
    <col min="10" max="10" width="7.5" customWidth="1"/>
  </cols>
  <sheetData>
    <row r="1" spans="1:55" x14ac:dyDescent="0.2">
      <c r="A1" t="s">
        <v>0</v>
      </c>
      <c r="B1" t="s">
        <v>1</v>
      </c>
      <c r="C1">
        <v>0.06</v>
      </c>
      <c r="J1" t="s">
        <v>2</v>
      </c>
      <c r="K1" t="s">
        <v>6</v>
      </c>
      <c r="L1" t="s">
        <v>5</v>
      </c>
      <c r="M1" t="s">
        <v>15</v>
      </c>
      <c r="N1" t="s">
        <v>13</v>
      </c>
      <c r="O1" t="s">
        <v>115</v>
      </c>
      <c r="P1" t="s">
        <v>19</v>
      </c>
      <c r="Q1" t="s">
        <v>20</v>
      </c>
      <c r="R1" t="s">
        <v>25</v>
      </c>
      <c r="S1" t="s">
        <v>23</v>
      </c>
      <c r="T1" t="s">
        <v>24</v>
      </c>
      <c r="U1" t="s">
        <v>21</v>
      </c>
      <c r="V1" t="s">
        <v>22</v>
      </c>
      <c r="W1" t="s">
        <v>26</v>
      </c>
      <c r="X1" t="s">
        <v>4</v>
      </c>
      <c r="Y1" t="s">
        <v>11</v>
      </c>
      <c r="Z1" t="s">
        <v>18</v>
      </c>
      <c r="AA1" t="s">
        <v>30</v>
      </c>
      <c r="AB1" t="s">
        <v>28</v>
      </c>
      <c r="AC1" t="s">
        <v>116</v>
      </c>
      <c r="AD1" t="s">
        <v>34</v>
      </c>
      <c r="AE1" t="s">
        <v>35</v>
      </c>
      <c r="AF1" t="s">
        <v>40</v>
      </c>
      <c r="AG1" t="s">
        <v>38</v>
      </c>
      <c r="AH1" t="s">
        <v>39</v>
      </c>
      <c r="AI1" t="s">
        <v>36</v>
      </c>
      <c r="AJ1" t="s">
        <v>37</v>
      </c>
      <c r="AK1" t="s">
        <v>41</v>
      </c>
      <c r="AL1" t="s">
        <v>33</v>
      </c>
      <c r="AM1" t="s">
        <v>31</v>
      </c>
      <c r="AN1" t="s">
        <v>32</v>
      </c>
      <c r="AO1" t="s">
        <v>16</v>
      </c>
      <c r="AP1" t="s">
        <v>17</v>
      </c>
      <c r="AQ1" t="s">
        <v>9</v>
      </c>
      <c r="AR1" t="s">
        <v>27</v>
      </c>
      <c r="AS1" t="s">
        <v>42</v>
      </c>
      <c r="AT1" t="s">
        <v>7</v>
      </c>
      <c r="AU1" t="s">
        <v>8</v>
      </c>
      <c r="AV1" t="s">
        <v>3</v>
      </c>
      <c r="AW1" t="s">
        <v>12</v>
      </c>
      <c r="AX1" t="s">
        <v>10</v>
      </c>
      <c r="AY1" t="s">
        <v>14</v>
      </c>
      <c r="AZ1" t="s">
        <v>29</v>
      </c>
      <c r="BA1" t="s">
        <v>40</v>
      </c>
      <c r="BB1" t="s">
        <v>41</v>
      </c>
      <c r="BC1" t="s">
        <v>42</v>
      </c>
    </row>
    <row r="2" spans="1:55" x14ac:dyDescent="0.2">
      <c r="A2" t="s">
        <v>43</v>
      </c>
      <c r="B2" t="s">
        <v>44</v>
      </c>
      <c r="C2">
        <f ca="1">IF(ISNUMBER(D2),SUM(INDIRECT(_xlfn.CONCAT("e",ROW(),":e",ROW()+D2-1))),"")</f>
        <v>0</v>
      </c>
      <c r="D2">
        <v>4</v>
      </c>
      <c r="E2">
        <f>AND(O2&lt;$C$1,averaged_runs370!H2&lt;$C$1,averaged_runs126!H2&lt;$C$1)*1</f>
        <v>0</v>
      </c>
      <c r="F2" s="2">
        <f>IF(TRUE,SQRT(averaged_runs126!H2^2/2+averaged_runs370!H2^2/2+O2^2*0),"")</f>
        <v>0.11110803666391093</v>
      </c>
      <c r="G2" s="2"/>
      <c r="H2" s="2"/>
      <c r="I2" s="2"/>
      <c r="J2" t="s">
        <v>45</v>
      </c>
      <c r="K2">
        <v>56.36</v>
      </c>
      <c r="L2">
        <v>146.24</v>
      </c>
      <c r="M2">
        <v>-7.85376110076903E-2</v>
      </c>
      <c r="N2">
        <v>-71.690670946937203</v>
      </c>
      <c r="O2">
        <v>8.4423729131145306E-2</v>
      </c>
      <c r="P2">
        <v>4.7475000001412404</v>
      </c>
      <c r="Q2">
        <v>4.0108333334971098</v>
      </c>
      <c r="R2">
        <v>4.4035149574291497</v>
      </c>
      <c r="S2">
        <v>4.7216666668079403</v>
      </c>
      <c r="T2">
        <v>3.9050000001638701</v>
      </c>
      <c r="U2">
        <v>4.7733333334745502</v>
      </c>
      <c r="V2">
        <v>4.1166666668303504</v>
      </c>
      <c r="W2">
        <v>4.6448561980571696</v>
      </c>
      <c r="X2">
        <v>3.9112734590564198E-2</v>
      </c>
      <c r="Y2">
        <v>-4.7209333043416499E-2</v>
      </c>
      <c r="Z2">
        <v>-6.5017191529273904E-2</v>
      </c>
      <c r="AA2">
        <v>-7.85376110076903E-2</v>
      </c>
      <c r="AB2">
        <v>-144.32728505704799</v>
      </c>
      <c r="AC2">
        <v>9.0068844080146301E-2</v>
      </c>
      <c r="AD2">
        <v>4.7775000001412904</v>
      </c>
      <c r="AE2">
        <v>4.0475000001635699</v>
      </c>
      <c r="AF2">
        <v>4.5188888890513796</v>
      </c>
      <c r="AG2">
        <v>4.7516666668079797</v>
      </c>
      <c r="AH2">
        <v>3.9416666668303302</v>
      </c>
      <c r="AI2">
        <v>4.8033333334746002</v>
      </c>
      <c r="AJ2">
        <v>4.1533333334968097</v>
      </c>
      <c r="AK2">
        <v>4.5188888890513796</v>
      </c>
      <c r="AL2">
        <v>-6.5017191529273904E-2</v>
      </c>
      <c r="AM2">
        <v>2.1132038226023599</v>
      </c>
      <c r="AN2">
        <v>3.04396234208996</v>
      </c>
      <c r="AO2">
        <v>0.93529634497087399</v>
      </c>
      <c r="AP2">
        <v>1.8720752612514</v>
      </c>
      <c r="AQ2">
        <v>0.41160237730377502</v>
      </c>
      <c r="AR2">
        <v>14.603999999999999</v>
      </c>
      <c r="AS2">
        <v>14.904</v>
      </c>
      <c r="AT2">
        <v>3.16248883301823E-4</v>
      </c>
      <c r="AU2">
        <v>1.79769066977791E-3</v>
      </c>
      <c r="AV2">
        <v>2.9049800000000001</v>
      </c>
      <c r="AW2">
        <v>95.080149157172102</v>
      </c>
      <c r="AX2">
        <v>7.0229371366615806E-2</v>
      </c>
      <c r="AY2">
        <v>8.5731137033800198E-2</v>
      </c>
      <c r="AZ2">
        <v>9.5670575967374993E-2</v>
      </c>
      <c r="BA2">
        <v>6.7734523811090597</v>
      </c>
      <c r="BB2">
        <v>6.7734523811090597</v>
      </c>
      <c r="BC2">
        <v>13.58</v>
      </c>
    </row>
    <row r="3" spans="1:55" x14ac:dyDescent="0.2">
      <c r="A3" t="s">
        <v>46</v>
      </c>
      <c r="B3" t="s">
        <v>44</v>
      </c>
      <c r="C3" t="str">
        <f t="shared" ref="C3:C61" ca="1" si="0">IF(ISNUMBER(D3),SUM(INDIRECT(_xlfn.CONCAT("e",ROW(),":e",ROW()+D3-1))),"")</f>
        <v/>
      </c>
      <c r="E3">
        <f>AND(O3&lt;$C$1,averaged_runs370!H3&lt;$C$1,averaged_runs126!H3&lt;$C$1)*1</f>
        <v>0</v>
      </c>
      <c r="F3" s="2">
        <f>IF(TRUE,SQRT(averaged_runs126!H3^2/2+averaged_runs370!H3^2/2+O3^2*0),"")</f>
        <v>7.0494435747814763E-2</v>
      </c>
      <c r="G3" s="2">
        <f>IF(TRUE,averaged_runs126!H3,"")</f>
        <v>5.4139044777333202E-2</v>
      </c>
      <c r="H3" s="2">
        <f>IF(TRUE,O3,"")</f>
        <v>6.0877187352356199E-2</v>
      </c>
      <c r="I3" s="2">
        <f>IF(TRUE,averaged_runs370!H3,"")</f>
        <v>8.3713169653307704E-2</v>
      </c>
      <c r="J3" t="s">
        <v>45</v>
      </c>
      <c r="K3">
        <v>26.36</v>
      </c>
      <c r="L3">
        <v>80.12</v>
      </c>
      <c r="M3">
        <v>-3.14830199082691E-2</v>
      </c>
      <c r="N3">
        <v>45.944634210212797</v>
      </c>
      <c r="O3">
        <v>6.0877187352356199E-2</v>
      </c>
      <c r="P3">
        <v>2.34416666681012</v>
      </c>
      <c r="Q3">
        <v>1.88000000016568</v>
      </c>
      <c r="R3">
        <v>2.0305341881996299</v>
      </c>
      <c r="S3">
        <v>1.8800000001438799</v>
      </c>
      <c r="T3">
        <v>0.79833333350000402</v>
      </c>
      <c r="U3">
        <v>2.7250000001431101</v>
      </c>
      <c r="V3">
        <v>3.0033333334979901</v>
      </c>
      <c r="W3">
        <v>2.68386897438966</v>
      </c>
      <c r="X3">
        <v>4.7655882809651003E-2</v>
      </c>
      <c r="Y3">
        <v>-2.1808424830402101E-2</v>
      </c>
      <c r="Z3">
        <v>-2.5380273222923199E-2</v>
      </c>
      <c r="AA3">
        <v>-3.1483019908269197E-2</v>
      </c>
      <c r="AB3">
        <v>-22.171714145489499</v>
      </c>
      <c r="AC3">
        <v>7.1126258246590995E-2</v>
      </c>
      <c r="AD3">
        <v>2.37416666681017</v>
      </c>
      <c r="AE3">
        <v>1.9166666668321399</v>
      </c>
      <c r="AF3">
        <v>2.0015376985784301</v>
      </c>
      <c r="AG3">
        <v>1.9100000001439199</v>
      </c>
      <c r="AH3">
        <v>0.83500000016646403</v>
      </c>
      <c r="AI3">
        <v>2.8383333334764198</v>
      </c>
      <c r="AJ3">
        <v>2.7550000001647099</v>
      </c>
      <c r="AK3">
        <v>2.1730853175791398</v>
      </c>
      <c r="AL3">
        <v>-2.5380273222923199E-2</v>
      </c>
      <c r="AM3">
        <v>4.3375363218688596</v>
      </c>
      <c r="AN3">
        <v>4.1206300633631496</v>
      </c>
      <c r="AO3">
        <v>4.1252922440630204</v>
      </c>
      <c r="AP3">
        <v>5.7312457874890299</v>
      </c>
      <c r="AQ3">
        <v>0.73276291020597895</v>
      </c>
      <c r="AR3">
        <v>18.248000000000001</v>
      </c>
      <c r="AS3">
        <v>18.788</v>
      </c>
      <c r="AT3" s="1">
        <v>1.8491638040616299E-5</v>
      </c>
      <c r="AU3">
        <v>2.6641236646024898E-3</v>
      </c>
      <c r="AV3">
        <v>5.6479999999999997</v>
      </c>
      <c r="AW3">
        <v>169.26823225758099</v>
      </c>
      <c r="AX3">
        <v>6.6737622434884999E-2</v>
      </c>
      <c r="AY3">
        <v>6.2669234069046995E-2</v>
      </c>
      <c r="AZ3">
        <v>7.4981706793123507E-2</v>
      </c>
      <c r="BA3">
        <v>3.0001785715948901</v>
      </c>
      <c r="BB3">
        <v>3.0001785715948901</v>
      </c>
      <c r="BC3">
        <v>14.02</v>
      </c>
    </row>
    <row r="4" spans="1:55" x14ac:dyDescent="0.2">
      <c r="A4" t="s">
        <v>67</v>
      </c>
      <c r="B4" t="s">
        <v>44</v>
      </c>
      <c r="E4">
        <f>AND(O4&lt;$C$1,averaged_runs370!H4&lt;$C$1,averaged_runs126!H4&lt;$C$1)*1</f>
        <v>0</v>
      </c>
      <c r="F4" s="2">
        <f>IF(TRUE,SQRT(averaged_runs126!H4^2/2+averaged_runs370!H4^2/2+O4^2*0),"")</f>
        <v>8.3742846216279185E-2</v>
      </c>
      <c r="G4" s="2"/>
      <c r="H4" s="2"/>
      <c r="I4" s="2"/>
      <c r="K4">
        <v>81.96</v>
      </c>
      <c r="L4">
        <v>150.28</v>
      </c>
      <c r="M4">
        <v>2.17270485295189E-2</v>
      </c>
      <c r="N4">
        <v>149.221364741732</v>
      </c>
      <c r="O4">
        <v>4.1710691773102201E-2</v>
      </c>
      <c r="P4">
        <v>-0.20416666652090401</v>
      </c>
      <c r="Q4">
        <v>-0.85916666649846696</v>
      </c>
      <c r="R4">
        <v>-1.1924816848155699</v>
      </c>
      <c r="S4">
        <v>-0.26999999985418</v>
      </c>
      <c r="T4">
        <v>-0.94166666649839503</v>
      </c>
      <c r="U4">
        <v>-0.20666666652090401</v>
      </c>
      <c r="V4">
        <v>-0.94166666649839503</v>
      </c>
      <c r="W4">
        <v>2.4059104539931999</v>
      </c>
      <c r="X4">
        <v>3.8004065816966602E-2</v>
      </c>
      <c r="Y4">
        <v>5.7742287719968997E-2</v>
      </c>
      <c r="Z4">
        <v>3.6628983438014899E-2</v>
      </c>
      <c r="AA4">
        <v>2.17270485295189E-2</v>
      </c>
      <c r="AB4">
        <v>86.617709013995594</v>
      </c>
      <c r="AC4">
        <v>5.5658928407087797E-2</v>
      </c>
      <c r="AD4">
        <v>-0.17416666652085899</v>
      </c>
      <c r="AE4">
        <v>-0.82249999983200694</v>
      </c>
      <c r="AF4">
        <v>-1.37059523792798</v>
      </c>
      <c r="AG4">
        <v>-0.239999999854135</v>
      </c>
      <c r="AH4">
        <v>-0.90499999983193402</v>
      </c>
      <c r="AI4">
        <v>-0.17666666652085899</v>
      </c>
      <c r="AJ4">
        <v>-0.90499999983193402</v>
      </c>
      <c r="AK4">
        <v>1.7746428570153401</v>
      </c>
      <c r="AL4">
        <v>3.6628983438014899E-2</v>
      </c>
      <c r="AM4">
        <v>6.8400180350255804</v>
      </c>
      <c r="AN4">
        <v>5.8816435340626896</v>
      </c>
      <c r="AO4">
        <v>8.6823250213711791</v>
      </c>
      <c r="AP4">
        <v>8.0488892029906296</v>
      </c>
      <c r="AQ4">
        <v>-0.19062656810534401</v>
      </c>
      <c r="AR4">
        <v>14.228</v>
      </c>
      <c r="AS4">
        <v>14.788</v>
      </c>
      <c r="AT4" s="1">
        <v>1.2653197732232E-5</v>
      </c>
      <c r="AU4" s="1">
        <v>6.1371359504868196E-5</v>
      </c>
      <c r="AV4">
        <v>2.6505200000000002</v>
      </c>
      <c r="AW4">
        <v>-44.0347372323345</v>
      </c>
      <c r="AX4">
        <v>7.90721056430706E-2</v>
      </c>
      <c r="AY4">
        <v>4.03520147807356E-2</v>
      </c>
      <c r="AZ4">
        <v>5.7953937318114997E-2</v>
      </c>
    </row>
    <row r="5" spans="1:55" x14ac:dyDescent="0.2">
      <c r="A5" t="s">
        <v>47</v>
      </c>
      <c r="B5" t="s">
        <v>44</v>
      </c>
      <c r="C5" t="str">
        <f t="shared" ca="1" si="0"/>
        <v/>
      </c>
      <c r="E5">
        <f>AND(O5&lt;$C$1,averaged_runs370!H5&lt;$C$1,averaged_runs126!H5&lt;$C$1)*1</f>
        <v>0</v>
      </c>
      <c r="F5" s="2">
        <f>IF(TRUE,SQRT(averaged_runs126!H5^2/2+averaged_runs370!H5^2/2+O5^2*0),"")</f>
        <v>0.1140564069115486</v>
      </c>
      <c r="G5" s="2"/>
      <c r="H5" s="2"/>
      <c r="I5" s="2"/>
      <c r="J5" t="s">
        <v>45</v>
      </c>
      <c r="K5">
        <v>0.04</v>
      </c>
      <c r="L5">
        <v>0.9</v>
      </c>
      <c r="M5">
        <v>4.0442058907614398E-3</v>
      </c>
      <c r="N5">
        <v>66.442762927780805</v>
      </c>
      <c r="O5">
        <v>0.11319311841120901</v>
      </c>
      <c r="P5">
        <v>-0.23044444429868399</v>
      </c>
      <c r="Q5">
        <v>1.2215000001662899</v>
      </c>
      <c r="R5">
        <v>-0.181421485094271</v>
      </c>
      <c r="S5">
        <v>-5.1183333331831102</v>
      </c>
      <c r="T5">
        <v>-5.2933333331611196</v>
      </c>
      <c r="U5">
        <v>-1.4233333331864799</v>
      </c>
      <c r="V5">
        <v>5.0100000001628402</v>
      </c>
      <c r="W5">
        <v>2.5213582641380698</v>
      </c>
      <c r="X5">
        <v>0.12719177191939601</v>
      </c>
      <c r="Y5">
        <v>-1.1682738026530201E-3</v>
      </c>
      <c r="Z5">
        <v>4.6354122161864804E-3</v>
      </c>
      <c r="AA5">
        <v>4.0442058907614901E-3</v>
      </c>
      <c r="AB5">
        <v>61.0639550145954</v>
      </c>
      <c r="AC5">
        <v>0.12034081897870599</v>
      </c>
      <c r="AD5">
        <v>-0.200444444298639</v>
      </c>
      <c r="AE5">
        <v>1.25816666683275</v>
      </c>
      <c r="AF5">
        <v>-0.36270181389153899</v>
      </c>
      <c r="AG5">
        <v>-5.08833333318307</v>
      </c>
      <c r="AH5">
        <v>-5.2566666664946604</v>
      </c>
      <c r="AI5">
        <v>-0.85499999985360697</v>
      </c>
      <c r="AJ5">
        <v>5.5066666668288704</v>
      </c>
      <c r="AK5">
        <v>1.35797789110226</v>
      </c>
      <c r="AL5">
        <v>4.6354122161865099E-3</v>
      </c>
      <c r="AM5">
        <v>2.29448885044226</v>
      </c>
      <c r="AN5">
        <v>2.3055705226512102</v>
      </c>
      <c r="AO5">
        <v>2.5264418351578701</v>
      </c>
      <c r="AP5">
        <v>2.2546285066980398</v>
      </c>
      <c r="AQ5">
        <v>0.70481869537039499</v>
      </c>
      <c r="AR5">
        <v>47.488</v>
      </c>
      <c r="AS5">
        <v>49.287999999999997</v>
      </c>
      <c r="AT5">
        <v>0.62227743348933595</v>
      </c>
      <c r="AU5">
        <v>0.879302106931795</v>
      </c>
      <c r="AV5">
        <v>29.131920000000001</v>
      </c>
      <c r="AW5">
        <v>162.81311863056101</v>
      </c>
      <c r="AX5">
        <v>0.118533651196634</v>
      </c>
      <c r="AY5">
        <v>0.11570898399471199</v>
      </c>
      <c r="AZ5">
        <v>0.122839311671974</v>
      </c>
      <c r="BA5">
        <v>2.2346130954043599</v>
      </c>
      <c r="BB5">
        <v>2.3697519842530199</v>
      </c>
      <c r="BC5">
        <v>18.648</v>
      </c>
    </row>
    <row r="6" spans="1:55" x14ac:dyDescent="0.2">
      <c r="A6" t="s">
        <v>48</v>
      </c>
      <c r="B6" t="s">
        <v>49</v>
      </c>
      <c r="C6">
        <f t="shared" ca="1" si="0"/>
        <v>0</v>
      </c>
      <c r="D6">
        <v>7</v>
      </c>
      <c r="E6">
        <f>AND(O6&lt;$C$1,averaged_runs370!H6&lt;$C$1,averaged_runs126!H6&lt;$C$1)*1</f>
        <v>0</v>
      </c>
      <c r="F6" s="2">
        <f>IF(TRUE,SQRT(averaged_runs126!H6^2/2+averaged_runs370!H6^2/2+O6^2*0),"")</f>
        <v>8.9992968878420704E-2</v>
      </c>
      <c r="G6" s="2"/>
      <c r="H6" s="2"/>
      <c r="I6" s="2"/>
      <c r="J6" t="s">
        <v>45</v>
      </c>
      <c r="K6">
        <v>65.3</v>
      </c>
      <c r="L6">
        <v>119.4</v>
      </c>
      <c r="M6">
        <v>-3.6200883735614201E-3</v>
      </c>
      <c r="N6">
        <v>52.137796374580198</v>
      </c>
      <c r="O6">
        <v>5.4872409003468403E-2</v>
      </c>
      <c r="P6">
        <v>1.3766666668109699</v>
      </c>
      <c r="Q6">
        <v>0.68000000016677398</v>
      </c>
      <c r="R6">
        <v>0.21592338233799799</v>
      </c>
      <c r="S6">
        <v>1.3766666668109699</v>
      </c>
      <c r="T6">
        <v>0.68000000016677398</v>
      </c>
      <c r="U6">
        <v>1.3766666668109699</v>
      </c>
      <c r="V6">
        <v>0.68000000016677398</v>
      </c>
      <c r="W6">
        <v>2.5733033174767601</v>
      </c>
      <c r="X6">
        <v>3.0850559306930599E-2</v>
      </c>
      <c r="Y6">
        <v>-2.2917501525630799E-2</v>
      </c>
      <c r="Z6">
        <v>2.77680602630614E-2</v>
      </c>
      <c r="AA6">
        <v>-3.6200883735614101E-3</v>
      </c>
      <c r="AB6">
        <v>-6.8637646467261098</v>
      </c>
      <c r="AC6">
        <v>6.0126086827167302E-2</v>
      </c>
      <c r="AD6">
        <v>1.4066666668110199</v>
      </c>
      <c r="AE6">
        <v>0.71666666683323399</v>
      </c>
      <c r="AF6">
        <v>-7.0158729993073599E-2</v>
      </c>
      <c r="AG6">
        <v>1.4066666668110199</v>
      </c>
      <c r="AH6">
        <v>0.71666666683323399</v>
      </c>
      <c r="AI6">
        <v>1.4066666668110199</v>
      </c>
      <c r="AJ6">
        <v>0.71666666683323399</v>
      </c>
      <c r="AK6">
        <v>1.3548015872745001</v>
      </c>
      <c r="AL6">
        <v>2.77680602630615E-2</v>
      </c>
      <c r="AM6">
        <v>6.8996275297944596</v>
      </c>
      <c r="AN6">
        <v>8.4338494109825302</v>
      </c>
      <c r="AO6">
        <v>6.8206613289762803</v>
      </c>
      <c r="AP6">
        <v>9.2740340688078096</v>
      </c>
      <c r="AQ6">
        <v>-0.59534223209825998</v>
      </c>
      <c r="AR6">
        <v>13.72</v>
      </c>
      <c r="AS6">
        <v>14.18</v>
      </c>
      <c r="AT6" s="1">
        <v>4.28524074418778E-7</v>
      </c>
      <c r="AU6" s="1">
        <v>5.4452897255206204E-6</v>
      </c>
      <c r="AV6">
        <v>2.1726399999999999</v>
      </c>
      <c r="AW6">
        <v>-114.30570856286499</v>
      </c>
      <c r="AX6">
        <v>6.8089157262028202E-2</v>
      </c>
      <c r="AY6">
        <v>5.4943698645459497E-2</v>
      </c>
      <c r="AZ6">
        <v>6.5405709898507303E-2</v>
      </c>
      <c r="BA6">
        <v>-0.31183333316589401</v>
      </c>
      <c r="BB6">
        <v>1.30980555554156</v>
      </c>
      <c r="BC6">
        <v>30.065999999999999</v>
      </c>
    </row>
    <row r="7" spans="1:55" x14ac:dyDescent="0.2">
      <c r="A7" t="s">
        <v>50</v>
      </c>
      <c r="B7" t="s">
        <v>49</v>
      </c>
      <c r="C7" t="str">
        <f t="shared" ca="1" si="0"/>
        <v/>
      </c>
      <c r="E7">
        <f>AND(O7&lt;$C$1,averaged_runs370!H7&lt;$C$1,averaged_runs126!H7&lt;$C$1)*1</f>
        <v>0</v>
      </c>
      <c r="F7" s="2">
        <f>IF(TRUE,SQRT(averaged_runs126!H7^2/2+averaged_runs370!H7^2/2+O7^2*0),"")</f>
        <v>6.7436180463509909E-2</v>
      </c>
      <c r="G7" s="2"/>
      <c r="H7" s="2"/>
      <c r="I7" s="2"/>
      <c r="J7" t="s">
        <v>45</v>
      </c>
      <c r="K7">
        <v>0.72</v>
      </c>
      <c r="L7">
        <v>1.38</v>
      </c>
      <c r="M7">
        <v>-2.5997920408490201E-2</v>
      </c>
      <c r="N7">
        <v>74.241808512444095</v>
      </c>
      <c r="O7">
        <v>5.93116763611393E-2</v>
      </c>
      <c r="P7">
        <v>1.9308333334771299</v>
      </c>
      <c r="Q7">
        <v>0.70416666683343898</v>
      </c>
      <c r="R7">
        <v>1.35347451176532</v>
      </c>
      <c r="S7">
        <v>0.81666666681147904</v>
      </c>
      <c r="T7">
        <v>-0.55166666649873997</v>
      </c>
      <c r="U7">
        <v>2.71333333347643</v>
      </c>
      <c r="V7">
        <v>0.83000000016664599</v>
      </c>
      <c r="W7">
        <v>2.1655170591439798</v>
      </c>
      <c r="X7">
        <v>0.14636477580398399</v>
      </c>
      <c r="Y7">
        <v>-2.7578140803319801E-2</v>
      </c>
      <c r="Z7">
        <v>-2.0863499437785898E-2</v>
      </c>
      <c r="AA7">
        <v>-2.5997920408490201E-2</v>
      </c>
      <c r="AB7">
        <v>67.238792938648402</v>
      </c>
      <c r="AC7">
        <v>7.1541617086070097E-2</v>
      </c>
      <c r="AD7">
        <v>1.9608333334771799</v>
      </c>
      <c r="AE7">
        <v>0.74083333349989899</v>
      </c>
      <c r="AF7">
        <v>1.3130853176272701</v>
      </c>
      <c r="AG7">
        <v>0.84666666681152403</v>
      </c>
      <c r="AH7">
        <v>-0.51499999983227995</v>
      </c>
      <c r="AI7">
        <v>2.5100000001433602</v>
      </c>
      <c r="AJ7">
        <v>0.750000000166546</v>
      </c>
      <c r="AK7">
        <v>1.7701686508799901</v>
      </c>
      <c r="AL7">
        <v>-2.0863499437785898E-2</v>
      </c>
      <c r="AM7">
        <v>2.1827705490699101</v>
      </c>
      <c r="AN7">
        <v>2.09666630760145</v>
      </c>
      <c r="AO7">
        <v>2.2786430508953801</v>
      </c>
      <c r="AP7">
        <v>2.1033824056492398</v>
      </c>
      <c r="AQ7">
        <v>0.83237405938984199</v>
      </c>
      <c r="AR7">
        <v>23.55</v>
      </c>
      <c r="AS7">
        <v>24.33</v>
      </c>
      <c r="AT7">
        <v>0.41185022256824</v>
      </c>
      <c r="AU7">
        <v>0.91143554199827803</v>
      </c>
      <c r="AV7">
        <v>10.132099999999999</v>
      </c>
      <c r="AW7">
        <v>118.197116433357</v>
      </c>
      <c r="AX7">
        <v>6.5223975328643796E-2</v>
      </c>
      <c r="AY7">
        <v>6.0568653152469197E-2</v>
      </c>
      <c r="AZ7">
        <v>7.4222514594937797E-2</v>
      </c>
      <c r="BA7">
        <v>5.4431726192045904</v>
      </c>
      <c r="BB7">
        <v>5.4431726192045904</v>
      </c>
      <c r="BC7">
        <v>34.357999999999997</v>
      </c>
    </row>
    <row r="8" spans="1:55" x14ac:dyDescent="0.2">
      <c r="A8" t="s">
        <v>51</v>
      </c>
      <c r="B8" t="s">
        <v>49</v>
      </c>
      <c r="C8" t="str">
        <f t="shared" ca="1" si="0"/>
        <v/>
      </c>
      <c r="E8">
        <f>AND(O8&lt;$C$1,averaged_runs370!H8&lt;$C$1,averaged_runs126!H8&lt;$C$1)*1</f>
        <v>0</v>
      </c>
      <c r="F8" s="2">
        <f>IF(TRUE,SQRT(averaged_runs126!H8^2/2+averaged_runs370!H8^2/2+O8^2*0),"")</f>
        <v>0.23131850446640007</v>
      </c>
      <c r="G8" s="2"/>
      <c r="H8" s="2"/>
      <c r="I8" s="2"/>
      <c r="J8" t="s">
        <v>45</v>
      </c>
      <c r="K8">
        <v>9.32</v>
      </c>
      <c r="L8">
        <v>24.46</v>
      </c>
      <c r="M8">
        <v>1.6138660374252101E-2</v>
      </c>
      <c r="N8">
        <v>110.774795903699</v>
      </c>
      <c r="O8">
        <v>6.0887274139076901E-2</v>
      </c>
      <c r="P8">
        <v>0.31500000014528201</v>
      </c>
      <c r="Q8">
        <v>0.43000000016701001</v>
      </c>
      <c r="R8">
        <v>-0.64522893756386501</v>
      </c>
      <c r="S8">
        <v>0.31500000014528201</v>
      </c>
      <c r="T8">
        <v>0.43000000016701001</v>
      </c>
      <c r="U8">
        <v>0.31500000014528201</v>
      </c>
      <c r="V8">
        <v>0.43000000016701001</v>
      </c>
      <c r="W8">
        <v>2.7317445323190199</v>
      </c>
      <c r="X8">
        <v>6.0235763358432302E-2</v>
      </c>
      <c r="Y8">
        <v>1.0480069401296799E-2</v>
      </c>
      <c r="Z8">
        <v>4.0835027596657802E-2</v>
      </c>
      <c r="AA8">
        <v>1.6138660374252101E-2</v>
      </c>
      <c r="AB8">
        <v>97.16901134567</v>
      </c>
      <c r="AC8">
        <v>6.5117359825508994E-2</v>
      </c>
      <c r="AD8">
        <v>0.345000000145328</v>
      </c>
      <c r="AE8">
        <v>0.46666666683347102</v>
      </c>
      <c r="AF8">
        <v>-0.96833333316730497</v>
      </c>
      <c r="AG8">
        <v>0.345000000145328</v>
      </c>
      <c r="AH8">
        <v>0.46666666683347102</v>
      </c>
      <c r="AI8">
        <v>0.345000000145328</v>
      </c>
      <c r="AJ8">
        <v>0.46666666683347102</v>
      </c>
      <c r="AK8">
        <v>1.9340476189935301</v>
      </c>
      <c r="AL8">
        <v>4.0835027596657802E-2</v>
      </c>
      <c r="AM8">
        <v>5.3977786651777198</v>
      </c>
      <c r="AN8">
        <v>6.2053783755490199</v>
      </c>
      <c r="AO8">
        <v>6.1416524690731098</v>
      </c>
      <c r="AP8">
        <v>6.5542457338229596</v>
      </c>
      <c r="AQ8">
        <v>1.2033278723891001</v>
      </c>
      <c r="AR8">
        <v>13.56</v>
      </c>
      <c r="AS8">
        <v>14</v>
      </c>
      <c r="AT8">
        <v>5.9934119268161501E-2</v>
      </c>
      <c r="AU8">
        <v>0.146061163505674</v>
      </c>
      <c r="AV8">
        <v>1.70804</v>
      </c>
      <c r="AW8">
        <v>187.71914809270001</v>
      </c>
      <c r="AX8">
        <v>5.8141163438072699E-2</v>
      </c>
      <c r="AY8">
        <v>5.6927767894702802E-2</v>
      </c>
      <c r="AZ8">
        <v>6.5906169198809095E-2</v>
      </c>
      <c r="BA8">
        <v>-0.35240079348326397</v>
      </c>
      <c r="BB8">
        <v>1.35432936505181</v>
      </c>
      <c r="BC8">
        <v>28.884</v>
      </c>
    </row>
    <row r="9" spans="1:55" x14ac:dyDescent="0.2">
      <c r="A9" t="s">
        <v>52</v>
      </c>
      <c r="B9" t="s">
        <v>49</v>
      </c>
      <c r="C9" t="str">
        <f t="shared" ca="1" si="0"/>
        <v/>
      </c>
      <c r="E9">
        <f>AND(O9&lt;$C$1,averaged_runs370!H9&lt;$C$1,averaged_runs126!H9&lt;$C$1)*1</f>
        <v>0</v>
      </c>
      <c r="F9" s="2">
        <f>IF(TRUE,SQRT(averaged_runs126!H9^2/2+averaged_runs370!H9^2/2+O9^2*0),"")</f>
        <v>0.18106931653566888</v>
      </c>
      <c r="G9" s="2"/>
      <c r="H9" s="2"/>
      <c r="I9" s="2"/>
      <c r="J9" t="s">
        <v>45</v>
      </c>
      <c r="K9">
        <v>24.86</v>
      </c>
      <c r="L9">
        <v>65.599999999999994</v>
      </c>
      <c r="M9">
        <v>5.4645110444037203E-3</v>
      </c>
      <c r="N9">
        <v>56.683047695368202</v>
      </c>
      <c r="O9">
        <v>5.6066698044502601E-2</v>
      </c>
      <c r="P9">
        <v>0.94666666681134304</v>
      </c>
      <c r="Q9">
        <v>0.60166666683355197</v>
      </c>
      <c r="R9">
        <v>-0.18165750899271699</v>
      </c>
      <c r="S9">
        <v>0.94666666681134304</v>
      </c>
      <c r="T9">
        <v>0.60166666683355197</v>
      </c>
      <c r="U9">
        <v>0.94666666681134304</v>
      </c>
      <c r="V9">
        <v>0.60166666683355197</v>
      </c>
      <c r="W9">
        <v>2.6074644984032398</v>
      </c>
      <c r="X9">
        <v>3.5928333381716297E-2</v>
      </c>
      <c r="Y9">
        <v>-1.0032348870751299E-3</v>
      </c>
      <c r="Z9">
        <v>3.4039933833463702E-2</v>
      </c>
      <c r="AA9">
        <v>5.4645110444037403E-3</v>
      </c>
      <c r="AB9">
        <v>18.884619005376798</v>
      </c>
      <c r="AC9">
        <v>5.9738000348379998E-2</v>
      </c>
      <c r="AD9">
        <v>0.97666666681138803</v>
      </c>
      <c r="AE9">
        <v>0.63833333350001298</v>
      </c>
      <c r="AF9">
        <v>-0.49833333316755202</v>
      </c>
      <c r="AG9">
        <v>0.97666666681138803</v>
      </c>
      <c r="AH9">
        <v>0.63833333350001298</v>
      </c>
      <c r="AI9">
        <v>0.97666666681138803</v>
      </c>
      <c r="AJ9">
        <v>0.63833333350001298</v>
      </c>
      <c r="AK9">
        <v>1.4514285713813999</v>
      </c>
      <c r="AL9">
        <v>3.4039933833463702E-2</v>
      </c>
      <c r="AM9">
        <v>7.60514720532995</v>
      </c>
      <c r="AN9">
        <v>8.7446504495097397</v>
      </c>
      <c r="AO9">
        <v>8.16041850786449</v>
      </c>
      <c r="AP9">
        <v>9.6588589956106201</v>
      </c>
      <c r="AQ9">
        <v>0.51642694489584495</v>
      </c>
      <c r="AR9">
        <v>13.56</v>
      </c>
      <c r="AS9">
        <v>14</v>
      </c>
      <c r="AT9">
        <v>2.6220635992576499E-4</v>
      </c>
      <c r="AU9">
        <v>5.5938011686916802E-3</v>
      </c>
      <c r="AV9">
        <v>2.07002</v>
      </c>
      <c r="AW9">
        <v>80.562603403751794</v>
      </c>
      <c r="AX9">
        <v>5.83326574910943E-2</v>
      </c>
      <c r="AY9">
        <v>5.3669530443295102E-2</v>
      </c>
      <c r="AZ9">
        <v>6.2275309228924103E-2</v>
      </c>
      <c r="BA9">
        <v>-3.0497103172925302</v>
      </c>
      <c r="BB9">
        <v>3.1042341268296298</v>
      </c>
      <c r="BC9">
        <v>16.579999999999998</v>
      </c>
    </row>
    <row r="10" spans="1:55" x14ac:dyDescent="0.2">
      <c r="A10" t="s">
        <v>53</v>
      </c>
      <c r="B10" t="s">
        <v>49</v>
      </c>
      <c r="C10" t="str">
        <f t="shared" ca="1" si="0"/>
        <v/>
      </c>
      <c r="E10">
        <f>AND(O10&lt;$C$1,averaged_runs370!H10&lt;$C$1,averaged_runs126!H10&lt;$C$1)*1</f>
        <v>0</v>
      </c>
      <c r="F10" s="2">
        <f>IF(TRUE,SQRT(averaged_runs126!H10^2/2+averaged_runs370!H10^2/2+O10^2*0),"")</f>
        <v>0.38795407699700857</v>
      </c>
      <c r="G10" s="2"/>
      <c r="H10" s="2"/>
      <c r="I10" s="2"/>
      <c r="J10" t="s">
        <v>45</v>
      </c>
      <c r="K10">
        <v>119.68</v>
      </c>
      <c r="L10">
        <v>131.52000000000001</v>
      </c>
      <c r="M10">
        <v>-0.26210838405440101</v>
      </c>
      <c r="N10">
        <v>-2740.57531119848</v>
      </c>
      <c r="O10">
        <v>0.27579305682132099</v>
      </c>
      <c r="P10">
        <v>14.7733333334654</v>
      </c>
      <c r="Q10">
        <v>15.791666666819699</v>
      </c>
      <c r="R10">
        <v>14.6051556778123</v>
      </c>
      <c r="S10">
        <v>14.7733333334654</v>
      </c>
      <c r="T10">
        <v>15.791666666819699</v>
      </c>
      <c r="U10">
        <v>14.7733333334654</v>
      </c>
      <c r="V10">
        <v>15.791666666819699</v>
      </c>
      <c r="W10">
        <v>14.7220334643863</v>
      </c>
      <c r="X10">
        <v>3.17808560134537E-2</v>
      </c>
      <c r="Y10">
        <v>-0.17730157059455201</v>
      </c>
      <c r="Z10">
        <v>-0.25446109365053199</v>
      </c>
      <c r="AA10">
        <v>-0.26210838405440101</v>
      </c>
      <c r="AB10">
        <v>-2789.73744939058</v>
      </c>
      <c r="AC10">
        <v>0.27482359544896801</v>
      </c>
      <c r="AD10">
        <v>14.8033333334654</v>
      </c>
      <c r="AE10">
        <v>15.8283333334861</v>
      </c>
      <c r="AF10">
        <v>14.7509523811022</v>
      </c>
      <c r="AG10">
        <v>14.8033333334654</v>
      </c>
      <c r="AH10">
        <v>15.8283333334861</v>
      </c>
      <c r="AI10">
        <v>14.8033333334654</v>
      </c>
      <c r="AJ10">
        <v>15.8283333334861</v>
      </c>
      <c r="AK10">
        <v>14.7509523811022</v>
      </c>
      <c r="AL10">
        <v>-0.25446109365053199</v>
      </c>
      <c r="AM10" s="1">
        <v>9.7039439588969392E-7</v>
      </c>
      <c r="AN10" s="1">
        <v>6.8004588520990503E-11</v>
      </c>
      <c r="AO10" s="1">
        <v>1.27545340034031E-12</v>
      </c>
      <c r="AP10" s="1">
        <v>4.0067898939066799E-12</v>
      </c>
      <c r="AQ10">
        <v>-20.536531894482099</v>
      </c>
      <c r="AR10">
        <v>13.5</v>
      </c>
      <c r="AS10">
        <v>13.56</v>
      </c>
      <c r="AT10" s="1">
        <v>1.07109266358932E-16</v>
      </c>
      <c r="AU10" s="1">
        <v>1.08021085692783E-16</v>
      </c>
      <c r="AV10">
        <v>0.76527999999999996</v>
      </c>
      <c r="AW10">
        <v>-2895.6509971219698</v>
      </c>
      <c r="AX10">
        <v>0.221574509963023</v>
      </c>
      <c r="AY10">
        <v>0.26790595197086697</v>
      </c>
      <c r="AZ10">
        <v>0.26907572615196601</v>
      </c>
      <c r="BA10">
        <v>-2.1507440474513002</v>
      </c>
      <c r="BB10">
        <v>2.3911011903416899</v>
      </c>
      <c r="BC10">
        <v>18.559999999999999</v>
      </c>
    </row>
    <row r="11" spans="1:55" x14ac:dyDescent="0.2">
      <c r="A11" t="s">
        <v>54</v>
      </c>
      <c r="B11" t="s">
        <v>49</v>
      </c>
      <c r="C11" t="str">
        <f t="shared" ca="1" si="0"/>
        <v/>
      </c>
      <c r="E11">
        <f>AND(O11&lt;$C$1,averaged_runs370!H11&lt;$C$1,averaged_runs126!H11&lt;$C$1)*1</f>
        <v>0</v>
      </c>
      <c r="F11" s="2">
        <f>IF(TRUE,SQRT(averaged_runs126!H11^2/2+averaged_runs370!H11^2/2+O11^2*0),"")</f>
        <v>8.405363142787757E-2</v>
      </c>
      <c r="G11" s="2">
        <f>IF(TRUE,averaged_runs126!H11,"")</f>
        <v>0.100958322122963</v>
      </c>
      <c r="H11" s="2">
        <f>IF(TRUE,O11,"")</f>
        <v>8.5523899894781499E-2</v>
      </c>
      <c r="I11" s="2">
        <f>IF(TRUE,averaged_runs370!H11,"")</f>
        <v>6.2749048650501599E-2</v>
      </c>
      <c r="J11" t="s">
        <v>45</v>
      </c>
      <c r="K11">
        <v>23.8</v>
      </c>
      <c r="L11">
        <v>91.32</v>
      </c>
      <c r="M11">
        <v>7.3398055725072797E-2</v>
      </c>
      <c r="N11">
        <v>33.563535425392097</v>
      </c>
      <c r="O11">
        <v>8.5523899894781499E-2</v>
      </c>
      <c r="P11">
        <v>-4.3916666665170698</v>
      </c>
      <c r="Q11">
        <v>-3.9824999998289599</v>
      </c>
      <c r="R11">
        <v>-4.48326007309179</v>
      </c>
      <c r="S11">
        <v>-4.4766666665169899</v>
      </c>
      <c r="T11">
        <v>-4.0349999998289103</v>
      </c>
      <c r="U11">
        <v>-4.4766666665169899</v>
      </c>
      <c r="V11">
        <v>-4.0349999998289103</v>
      </c>
      <c r="W11">
        <v>5.1608140970592098</v>
      </c>
      <c r="X11">
        <v>5.0127230900367997E-2</v>
      </c>
      <c r="Y11">
        <v>3.1414136289409499E-2</v>
      </c>
      <c r="Z11">
        <v>7.3613094955370398E-2</v>
      </c>
      <c r="AA11">
        <v>7.3398055725072797E-2</v>
      </c>
      <c r="AB11">
        <v>-9.3183382952668108</v>
      </c>
      <c r="AC11">
        <v>9.0500019312751007E-2</v>
      </c>
      <c r="AD11">
        <v>-4.3616666665170198</v>
      </c>
      <c r="AE11">
        <v>-3.9458333331625002</v>
      </c>
      <c r="AF11">
        <v>-4.5186904760212103</v>
      </c>
      <c r="AG11">
        <v>-4.4466666665169399</v>
      </c>
      <c r="AH11">
        <v>-3.9983333331624502</v>
      </c>
      <c r="AI11">
        <v>-4.4233333331836304</v>
      </c>
      <c r="AJ11">
        <v>-3.8933333331625501</v>
      </c>
      <c r="AK11">
        <v>4.5841666665100398</v>
      </c>
      <c r="AL11">
        <v>7.3613094955370398E-2</v>
      </c>
      <c r="AM11">
        <v>2.5516916521892599</v>
      </c>
      <c r="AN11">
        <v>3.0833669101784702</v>
      </c>
      <c r="AO11">
        <v>2.7022597026344801</v>
      </c>
      <c r="AP11">
        <v>2.3752616269126898</v>
      </c>
      <c r="AQ11">
        <v>0.58245117916059796</v>
      </c>
      <c r="AR11">
        <v>14.112</v>
      </c>
      <c r="AS11">
        <v>14.632</v>
      </c>
      <c r="AT11">
        <v>3.4689385955943397E-2</v>
      </c>
      <c r="AU11">
        <v>7.0498763137485307E-2</v>
      </c>
      <c r="AV11">
        <v>3.0484599999999999</v>
      </c>
      <c r="AW11">
        <v>82.125616261644396</v>
      </c>
      <c r="AX11">
        <v>8.3762639676407499E-2</v>
      </c>
      <c r="AY11">
        <v>8.61044463541282E-2</v>
      </c>
      <c r="AZ11">
        <v>9.6970180297350106E-2</v>
      </c>
      <c r="BA11">
        <v>5.4310912699915503</v>
      </c>
      <c r="BB11">
        <v>5.4310912699915503</v>
      </c>
      <c r="BC11">
        <v>13.52</v>
      </c>
    </row>
    <row r="12" spans="1:55" x14ac:dyDescent="0.2">
      <c r="A12" t="s">
        <v>55</v>
      </c>
      <c r="B12" t="s">
        <v>49</v>
      </c>
      <c r="C12" t="str">
        <f t="shared" ca="1" si="0"/>
        <v/>
      </c>
      <c r="E12">
        <f>AND(O12&lt;$C$1,averaged_runs370!H12&lt;$C$1,averaged_runs126!H12&lt;$C$1)*1</f>
        <v>0</v>
      </c>
      <c r="F12" s="2">
        <f>IF(TRUE,SQRT(averaged_runs126!H12^2/2+averaged_runs370!H12^2/2+O12^2*0),"")</f>
        <v>0.27023534320341491</v>
      </c>
      <c r="G12" s="2" t="str">
        <f>IF(E12,averaged_runs126!AP11,"")</f>
        <v/>
      </c>
      <c r="H12" s="2" t="str">
        <f t="shared" ref="H12" si="1">IF(E12,AW12,"")</f>
        <v/>
      </c>
      <c r="I12" s="2" t="str">
        <f>IF(E12,averaged_runs370!AP11,"")</f>
        <v/>
      </c>
      <c r="J12" t="s">
        <v>45</v>
      </c>
      <c r="K12">
        <v>33.020000000000003</v>
      </c>
      <c r="L12">
        <v>81.180000000000007</v>
      </c>
      <c r="M12">
        <v>-1.6583799986395299E-2</v>
      </c>
      <c r="N12">
        <v>-10.766155352990699</v>
      </c>
      <c r="O12">
        <v>6.3832014863433095E-2</v>
      </c>
      <c r="P12">
        <v>1.1316666668111801</v>
      </c>
      <c r="Q12">
        <v>1.90833333349901</v>
      </c>
      <c r="R12">
        <v>0.79717032983490299</v>
      </c>
      <c r="S12">
        <v>1.1316666668111801</v>
      </c>
      <c r="T12">
        <v>1.90833333349901</v>
      </c>
      <c r="U12">
        <v>1.1316666668111801</v>
      </c>
      <c r="V12">
        <v>1.90833333349901</v>
      </c>
      <c r="W12">
        <v>3.1506196786115801</v>
      </c>
      <c r="X12">
        <v>3.6615848964981899E-2</v>
      </c>
      <c r="Y12">
        <v>-1.5958382303109999E-2</v>
      </c>
      <c r="Z12">
        <v>1.03482774731391E-2</v>
      </c>
      <c r="AA12">
        <v>-1.6583799986395299E-2</v>
      </c>
      <c r="AB12">
        <v>-36.876589140958401</v>
      </c>
      <c r="AC12">
        <v>6.5987157306023905E-2</v>
      </c>
      <c r="AD12">
        <v>1.1616666668112301</v>
      </c>
      <c r="AE12">
        <v>1.9450000001654699</v>
      </c>
      <c r="AF12">
        <v>0.486785714451202</v>
      </c>
      <c r="AG12">
        <v>1.1616666668112301</v>
      </c>
      <c r="AH12">
        <v>1.9450000001654699</v>
      </c>
      <c r="AI12">
        <v>1.1616666668112301</v>
      </c>
      <c r="AJ12">
        <v>1.9450000001654699</v>
      </c>
      <c r="AK12">
        <v>1.8220238095755901</v>
      </c>
      <c r="AL12">
        <v>1.03482774731391E-2</v>
      </c>
      <c r="AM12">
        <v>5.4229342567051999</v>
      </c>
      <c r="AN12">
        <v>5.6121797354530401</v>
      </c>
      <c r="AO12">
        <v>5.70116228446763</v>
      </c>
      <c r="AP12">
        <v>5.4487195613708197</v>
      </c>
      <c r="AQ12">
        <v>0.48187783312436699</v>
      </c>
      <c r="AR12">
        <v>13.56</v>
      </c>
      <c r="AS12">
        <v>14</v>
      </c>
      <c r="AT12">
        <v>4.34333475244837E-3</v>
      </c>
      <c r="AU12">
        <v>2.7364613299456601E-2</v>
      </c>
      <c r="AV12">
        <v>2.1061999999999999</v>
      </c>
      <c r="AW12">
        <v>75.172941967401201</v>
      </c>
      <c r="AX12">
        <v>6.7066301508137E-2</v>
      </c>
      <c r="AY12">
        <v>7.0957996200362305E-2</v>
      </c>
      <c r="AZ12">
        <v>7.6228966574070703E-2</v>
      </c>
      <c r="BA12">
        <v>-0.96833333316730497</v>
      </c>
      <c r="BB12">
        <v>1.9340476189935301</v>
      </c>
      <c r="BC12">
        <v>14</v>
      </c>
    </row>
    <row r="13" spans="1:55" x14ac:dyDescent="0.2">
      <c r="A13" t="s">
        <v>56</v>
      </c>
      <c r="B13" t="s">
        <v>57</v>
      </c>
      <c r="C13">
        <f t="shared" ca="1" si="0"/>
        <v>9</v>
      </c>
      <c r="D13">
        <v>15</v>
      </c>
      <c r="E13">
        <f>AND(O13&lt;$C$1,averaged_runs370!H13&lt;$C$1,averaged_runs126!H13&lt;$C$1)*1</f>
        <v>1</v>
      </c>
      <c r="F13" s="2">
        <f>IF(TRUE,SQRT(averaged_runs126!H13^2/2+averaged_runs370!H13^2/2+O13^2*0),"")</f>
        <v>5.2857161157867753E-2</v>
      </c>
      <c r="G13" s="2">
        <f>IF(E13,averaged_runs126!H13,"")</f>
        <v>5.4213208896503599E-2</v>
      </c>
      <c r="H13" s="2">
        <f>IF(E13,O13,"")</f>
        <v>5.30540761837223E-2</v>
      </c>
      <c r="I13" s="2">
        <f>IF(E13,averaged_runs370!H13,"")</f>
        <v>5.1465395679832E-2</v>
      </c>
      <c r="J13" t="s">
        <v>45</v>
      </c>
      <c r="K13">
        <v>5.74</v>
      </c>
      <c r="L13">
        <v>31.54</v>
      </c>
      <c r="M13">
        <v>6.7749275419446099E-3</v>
      </c>
      <c r="N13">
        <v>125.367508382868</v>
      </c>
      <c r="O13">
        <v>5.30540761837223E-2</v>
      </c>
      <c r="P13">
        <v>0.190833333478691</v>
      </c>
      <c r="Q13">
        <v>-0.66944444427642102</v>
      </c>
      <c r="R13">
        <v>-0.24086920007781501</v>
      </c>
      <c r="S13">
        <v>-0.546666666520641</v>
      </c>
      <c r="T13">
        <v>-1.4549999998312599</v>
      </c>
      <c r="U13">
        <v>0.22166666681199701</v>
      </c>
      <c r="V13">
        <v>-0.86999999983178899</v>
      </c>
      <c r="W13">
        <v>1.99239103081875</v>
      </c>
      <c r="X13">
        <v>5.8315207148338703E-2</v>
      </c>
      <c r="Y13">
        <v>-1.8114127022966699E-3</v>
      </c>
      <c r="Z13">
        <v>8.8992033243178708E-3</v>
      </c>
      <c r="AA13">
        <v>6.7749275419446697E-3</v>
      </c>
      <c r="AB13">
        <v>92.390240522212295</v>
      </c>
      <c r="AC13">
        <v>6.9695000602963894E-2</v>
      </c>
      <c r="AD13">
        <v>0.22083333347873699</v>
      </c>
      <c r="AE13">
        <v>-0.63277777760996101</v>
      </c>
      <c r="AF13">
        <v>-0.330347222054722</v>
      </c>
      <c r="AG13">
        <v>-0.51666666652059501</v>
      </c>
      <c r="AH13">
        <v>-1.4183333331648</v>
      </c>
      <c r="AI13">
        <v>0.37000000014527301</v>
      </c>
      <c r="AJ13">
        <v>-1.1549999998317</v>
      </c>
      <c r="AK13">
        <v>1.3585615079091999</v>
      </c>
      <c r="AL13">
        <v>8.8992033243178899E-3</v>
      </c>
      <c r="AM13">
        <v>4.4774012637422196</v>
      </c>
      <c r="AN13">
        <v>3.9537691989014201</v>
      </c>
      <c r="AO13">
        <v>5.0718088657729101</v>
      </c>
      <c r="AP13">
        <v>5.1720804376383596</v>
      </c>
      <c r="AQ13">
        <v>1.17394440544325</v>
      </c>
      <c r="AR13">
        <v>18.350000000000001</v>
      </c>
      <c r="AS13">
        <v>19.09</v>
      </c>
      <c r="AT13">
        <v>0.12771396914616001</v>
      </c>
      <c r="AU13">
        <v>0.227927350748101</v>
      </c>
      <c r="AV13">
        <v>5.7125599999999999</v>
      </c>
      <c r="AW13">
        <v>266.48538003561799</v>
      </c>
      <c r="AX13">
        <v>6.6750262658773707E-2</v>
      </c>
      <c r="AY13">
        <v>5.7390478358955999E-2</v>
      </c>
      <c r="AZ13">
        <v>7.4184430392541301E-2</v>
      </c>
      <c r="BA13">
        <v>-0.28373412681694299</v>
      </c>
      <c r="BB13">
        <v>1.5628134920563399</v>
      </c>
      <c r="BC13">
        <v>17.547999999999998</v>
      </c>
    </row>
    <row r="14" spans="1:55" x14ac:dyDescent="0.2">
      <c r="A14" t="s">
        <v>58</v>
      </c>
      <c r="B14" t="s">
        <v>57</v>
      </c>
      <c r="C14" t="str">
        <f t="shared" ca="1" si="0"/>
        <v/>
      </c>
      <c r="E14">
        <f>AND(O14&lt;$C$1,averaged_runs370!H14&lt;$C$1,averaged_runs126!H14&lt;$C$1)*1</f>
        <v>1</v>
      </c>
      <c r="F14" s="2">
        <f>IF(TRUE,SQRT(averaged_runs126!H14^2/2+averaged_runs370!H14^2/2+O14^2*0),"")</f>
        <v>4.7291150127291001E-2</v>
      </c>
      <c r="G14" s="2">
        <f>IF(E14,averaged_runs126!H14,"")</f>
        <v>4.8864915762967698E-2</v>
      </c>
      <c r="H14" s="2">
        <f t="shared" ref="H14:H61" si="2">IF(E14,O14,"")</f>
        <v>4.1370659170593703E-2</v>
      </c>
      <c r="I14" s="2">
        <f>IF(E14,averaged_runs370!H14,"")</f>
        <v>4.56631773774233E-2</v>
      </c>
      <c r="J14" t="s">
        <v>45</v>
      </c>
      <c r="K14">
        <v>4.3600000000000003</v>
      </c>
      <c r="L14">
        <v>30.12</v>
      </c>
      <c r="M14">
        <v>6.8505613280024904E-3</v>
      </c>
      <c r="N14">
        <v>154.58630613877199</v>
      </c>
      <c r="O14">
        <v>4.1370659170593703E-2</v>
      </c>
      <c r="P14">
        <v>0.80916666681146499</v>
      </c>
      <c r="Q14">
        <v>-0.82749999983183398</v>
      </c>
      <c r="R14">
        <v>-0.54364926723287799</v>
      </c>
      <c r="S14">
        <v>0.71000000014489095</v>
      </c>
      <c r="T14">
        <v>-0.86833333316512795</v>
      </c>
      <c r="U14">
        <v>0.90833333347804002</v>
      </c>
      <c r="V14">
        <v>-0.78666666649854</v>
      </c>
      <c r="W14">
        <v>2.3076840153060401</v>
      </c>
      <c r="X14">
        <v>4.4016722793026701E-2</v>
      </c>
      <c r="Y14">
        <v>-4.8702144242130201E-3</v>
      </c>
      <c r="Z14">
        <v>2.0527255219797699E-2</v>
      </c>
      <c r="AA14">
        <v>6.8505613280025503E-3</v>
      </c>
      <c r="AB14">
        <v>109.58942653198299</v>
      </c>
      <c r="AC14">
        <v>5.6215794751644302E-2</v>
      </c>
      <c r="AD14">
        <v>0.83916666681151098</v>
      </c>
      <c r="AE14">
        <v>-0.79083333316537396</v>
      </c>
      <c r="AF14">
        <v>-0.60904761887998604</v>
      </c>
      <c r="AG14">
        <v>0.74000000014493705</v>
      </c>
      <c r="AH14">
        <v>-0.83166666649866705</v>
      </c>
      <c r="AI14">
        <v>0.85333333347816698</v>
      </c>
      <c r="AJ14">
        <v>-0.74999999983207999</v>
      </c>
      <c r="AK14">
        <v>1.41031746027021</v>
      </c>
      <c r="AL14">
        <v>2.0527255219797799E-2</v>
      </c>
      <c r="AM14">
        <v>5.6050676443612604</v>
      </c>
      <c r="AN14">
        <v>4.7312608437837103</v>
      </c>
      <c r="AO14">
        <v>6.3213684794460701</v>
      </c>
      <c r="AP14">
        <v>6.58879933462637</v>
      </c>
      <c r="AQ14">
        <v>1.4623069316723101</v>
      </c>
      <c r="AR14">
        <v>14.632</v>
      </c>
      <c r="AS14">
        <v>15.252000000000001</v>
      </c>
      <c r="AT14">
        <v>0.15992458134231599</v>
      </c>
      <c r="AU14">
        <v>0.20983237224646101</v>
      </c>
      <c r="AV14">
        <v>2.97912</v>
      </c>
      <c r="AW14">
        <v>310.00906951453101</v>
      </c>
      <c r="AX14">
        <v>5.29254635473086E-2</v>
      </c>
      <c r="AY14">
        <v>4.2758803657461701E-2</v>
      </c>
      <c r="AZ14">
        <v>6.0213673153505599E-2</v>
      </c>
      <c r="BA14">
        <v>-0.36270181389153899</v>
      </c>
      <c r="BB14">
        <v>1.35797789110226</v>
      </c>
      <c r="BC14">
        <v>49.287999999999997</v>
      </c>
    </row>
    <row r="15" spans="1:55" x14ac:dyDescent="0.2">
      <c r="A15" t="s">
        <v>59</v>
      </c>
      <c r="B15" t="s">
        <v>57</v>
      </c>
      <c r="C15" t="str">
        <f t="shared" ca="1" si="0"/>
        <v/>
      </c>
      <c r="E15">
        <f>AND(O15&lt;$C$1,averaged_runs370!H15&lt;$C$1,averaged_runs126!H15&lt;$C$1)*1</f>
        <v>1</v>
      </c>
      <c r="F15" s="2">
        <f>IF(TRUE,SQRT(averaged_runs126!H15^2/2+averaged_runs370!H15^2/2+O15^2*0),"")</f>
        <v>4.7291150127291001E-2</v>
      </c>
      <c r="G15" s="2">
        <f>IF(E15,averaged_runs126!H15,"")</f>
        <v>4.8864915762967698E-2</v>
      </c>
      <c r="H15" s="2">
        <f t="shared" si="2"/>
        <v>4.1370659170593703E-2</v>
      </c>
      <c r="I15" s="2">
        <f>IF(E15,averaged_runs370!H15,"")</f>
        <v>4.56631773774233E-2</v>
      </c>
      <c r="J15" t="s">
        <v>45</v>
      </c>
      <c r="K15">
        <v>12.24</v>
      </c>
      <c r="L15">
        <v>55.8</v>
      </c>
      <c r="M15">
        <v>-1.6345250733522498E-2</v>
      </c>
      <c r="N15">
        <v>110.076317774377</v>
      </c>
      <c r="O15">
        <v>4.1370659170593703E-2</v>
      </c>
      <c r="P15">
        <v>0.80916666681146499</v>
      </c>
      <c r="Q15">
        <v>-0.82749999983183398</v>
      </c>
      <c r="R15">
        <v>-9.0062576146606704E-2</v>
      </c>
      <c r="S15">
        <v>0.71000000014489095</v>
      </c>
      <c r="T15">
        <v>-0.86833333316512795</v>
      </c>
      <c r="U15">
        <v>0.90833333347804002</v>
      </c>
      <c r="V15">
        <v>-0.78666666649854</v>
      </c>
      <c r="W15">
        <v>2.3562480206311198</v>
      </c>
      <c r="X15">
        <v>4.4016722793026701E-2</v>
      </c>
      <c r="Y15">
        <v>-1.48931815988713E-2</v>
      </c>
      <c r="Z15">
        <v>2.0527255219797699E-2</v>
      </c>
      <c r="AA15">
        <v>-1.6345250733522498E-2</v>
      </c>
      <c r="AB15">
        <v>83.615344385411504</v>
      </c>
      <c r="AC15">
        <v>5.6215794751644302E-2</v>
      </c>
      <c r="AD15">
        <v>0.83916666681151098</v>
      </c>
      <c r="AE15">
        <v>-0.79083333316537396</v>
      </c>
      <c r="AF15">
        <v>-0.16460317443595199</v>
      </c>
      <c r="AG15">
        <v>0.74000000014493705</v>
      </c>
      <c r="AH15">
        <v>-0.83166666649866705</v>
      </c>
      <c r="AI15">
        <v>0.85333333347816698</v>
      </c>
      <c r="AJ15">
        <v>-0.74999999983207999</v>
      </c>
      <c r="AK15">
        <v>1.17634920632896</v>
      </c>
      <c r="AL15">
        <v>2.0527255219797799E-2</v>
      </c>
      <c r="AM15">
        <v>5.6050676443612604</v>
      </c>
      <c r="AN15">
        <v>4.7312608437837103</v>
      </c>
      <c r="AO15">
        <v>6.3213684794460701</v>
      </c>
      <c r="AP15">
        <v>6.58879933462637</v>
      </c>
      <c r="AQ15">
        <v>1.24534490086664</v>
      </c>
      <c r="AR15">
        <v>14.632</v>
      </c>
      <c r="AS15">
        <v>15.252000000000001</v>
      </c>
      <c r="AT15">
        <v>6.4912604946277097E-2</v>
      </c>
      <c r="AU15">
        <v>9.5806568074965695E-2</v>
      </c>
      <c r="AV15">
        <v>3.1491199999999999</v>
      </c>
      <c r="AW15">
        <v>264.01311898372802</v>
      </c>
      <c r="AX15">
        <v>6.1937156396525098E-2</v>
      </c>
      <c r="AY15">
        <v>6.4787032888255505E-2</v>
      </c>
      <c r="AZ15">
        <v>7.0742633403551594E-2</v>
      </c>
      <c r="BA15">
        <v>3.6354563493611498</v>
      </c>
      <c r="BB15">
        <v>3.77438492076275</v>
      </c>
      <c r="BC15">
        <v>13.54</v>
      </c>
    </row>
    <row r="16" spans="1:55" x14ac:dyDescent="0.2">
      <c r="A16" t="s">
        <v>60</v>
      </c>
      <c r="B16" t="s">
        <v>57</v>
      </c>
      <c r="C16" t="str">
        <f t="shared" ca="1" si="0"/>
        <v/>
      </c>
      <c r="E16">
        <f>AND(O16&lt;$C$1,averaged_runs370!H16&lt;$C$1,averaged_runs126!H16&lt;$C$1)*1</f>
        <v>0</v>
      </c>
      <c r="F16" s="2">
        <f>IF(TRUE,SQRT(averaged_runs126!H16^2/2+averaged_runs370!H16^2/2+O16^2*0),"")</f>
        <v>5.614078935749052E-2</v>
      </c>
      <c r="G16" s="2" t="str">
        <f>IF(E16,averaged_runs126!H16,"")</f>
        <v/>
      </c>
      <c r="H16" s="2" t="str">
        <f t="shared" si="2"/>
        <v/>
      </c>
      <c r="I16" s="2" t="str">
        <f>IF(E16,averaged_runs370!H16,"")</f>
        <v/>
      </c>
      <c r="J16" t="s">
        <v>45</v>
      </c>
      <c r="K16">
        <v>100.92</v>
      </c>
      <c r="L16">
        <v>166.84</v>
      </c>
      <c r="M16">
        <v>1.87080521053735E-3</v>
      </c>
      <c r="N16">
        <v>-108.71956857481</v>
      </c>
      <c r="O16">
        <v>3.9472781009061597E-2</v>
      </c>
      <c r="P16">
        <v>0.73666666681156101</v>
      </c>
      <c r="Q16">
        <v>-0.59222222205427899</v>
      </c>
      <c r="R16">
        <v>-0.45912698396132501</v>
      </c>
      <c r="S16">
        <v>0.73666666681156101</v>
      </c>
      <c r="T16">
        <v>-0.66499999983198899</v>
      </c>
      <c r="U16">
        <v>0.73666666681156101</v>
      </c>
      <c r="V16">
        <v>-0.66499999983198899</v>
      </c>
      <c r="W16">
        <v>2.1950312751238199</v>
      </c>
      <c r="X16">
        <v>2.1981251637241E-2</v>
      </c>
      <c r="Y16">
        <v>-1.0659426724723401E-2</v>
      </c>
      <c r="Z16">
        <v>2.7772774040698899E-2</v>
      </c>
      <c r="AA16">
        <v>1.8708052105373899E-3</v>
      </c>
      <c r="AB16">
        <v>-456.75236530822298</v>
      </c>
      <c r="AC16">
        <v>5.1355976136654699E-2</v>
      </c>
      <c r="AD16">
        <v>0.766666666811606</v>
      </c>
      <c r="AE16">
        <v>-0.55555555538781798</v>
      </c>
      <c r="AF16">
        <v>-0.61478174586485301</v>
      </c>
      <c r="AG16">
        <v>0.766666666811606</v>
      </c>
      <c r="AH16">
        <v>-0.62833333316552797</v>
      </c>
      <c r="AI16">
        <v>0.766666666811606</v>
      </c>
      <c r="AJ16">
        <v>-0.62833333316552797</v>
      </c>
      <c r="AK16">
        <v>1.3629960317055601</v>
      </c>
      <c r="AL16">
        <v>2.7772774040698899E-2</v>
      </c>
      <c r="AM16">
        <v>7.3020383748193396</v>
      </c>
      <c r="AN16">
        <v>5.8793550330074398</v>
      </c>
      <c r="AO16">
        <v>8.7179056634084997</v>
      </c>
      <c r="AP16">
        <v>11.5996000377248</v>
      </c>
      <c r="AQ16">
        <v>-1.0012047403606601</v>
      </c>
      <c r="AR16">
        <v>13.86</v>
      </c>
      <c r="AS16">
        <v>14.42</v>
      </c>
      <c r="AT16" s="1">
        <v>1.74474935504925E-9</v>
      </c>
      <c r="AU16" s="1">
        <v>3.3217206580610602E-7</v>
      </c>
      <c r="AV16">
        <v>2.5260799999999999</v>
      </c>
      <c r="AW16">
        <v>-231.278295023314</v>
      </c>
      <c r="AX16">
        <v>5.2121950811603701E-2</v>
      </c>
      <c r="AY16">
        <v>4.2101910422601599E-2</v>
      </c>
      <c r="AZ16">
        <v>5.7599593433355502E-2</v>
      </c>
      <c r="BA16">
        <v>-3.3813194442774699</v>
      </c>
      <c r="BB16">
        <v>3.4091765871478201</v>
      </c>
      <c r="BC16">
        <v>18.847999999999999</v>
      </c>
    </row>
    <row r="17" spans="1:55" x14ac:dyDescent="0.2">
      <c r="A17" t="s">
        <v>61</v>
      </c>
      <c r="B17" t="s">
        <v>57</v>
      </c>
      <c r="C17" t="str">
        <f t="shared" ca="1" si="0"/>
        <v/>
      </c>
      <c r="E17">
        <f>AND(O17&lt;$C$1,averaged_runs370!H17&lt;$C$1,averaged_runs126!H17&lt;$C$1)*1</f>
        <v>0</v>
      </c>
      <c r="F17" s="2">
        <f>IF(TRUE,SQRT(averaged_runs126!H17^2/2+averaged_runs370!H17^2/2+O17^2*0),"")</f>
        <v>8.0901059908226408E-2</v>
      </c>
      <c r="G17" s="2" t="str">
        <f>IF(E17,averaged_runs126!H17,"")</f>
        <v/>
      </c>
      <c r="H17" s="2" t="str">
        <f t="shared" si="2"/>
        <v/>
      </c>
      <c r="I17" s="2" t="str">
        <f>IF(E17,averaged_runs370!H17,"")</f>
        <v/>
      </c>
      <c r="J17" t="s">
        <v>45</v>
      </c>
      <c r="K17">
        <v>176.06</v>
      </c>
      <c r="L17">
        <v>206.74</v>
      </c>
      <c r="M17">
        <v>4.8721778922610299E-3</v>
      </c>
      <c r="N17">
        <v>-3121.14464798877</v>
      </c>
      <c r="O17">
        <v>8.0220432036205394E-2</v>
      </c>
      <c r="P17">
        <v>8.5277777923236806E-2</v>
      </c>
      <c r="Q17">
        <v>-0.37305555538782698</v>
      </c>
      <c r="R17">
        <v>-0.144465353923873</v>
      </c>
      <c r="S17">
        <v>-1.7933333331861701</v>
      </c>
      <c r="T17">
        <v>-2.9566666664965799</v>
      </c>
      <c r="U17">
        <v>-0.38999999985410699</v>
      </c>
      <c r="V17">
        <v>-0.27499999983234302</v>
      </c>
      <c r="W17">
        <v>2.1579642678628899</v>
      </c>
      <c r="X17">
        <v>1.71268914258783E-2</v>
      </c>
      <c r="Y17">
        <v>-1.39228274149844E-3</v>
      </c>
      <c r="Z17">
        <v>5.0643845200538298E-3</v>
      </c>
      <c r="AA17">
        <v>4.8721778922610898E-3</v>
      </c>
      <c r="AB17">
        <v>-3971.65162220709</v>
      </c>
      <c r="AC17">
        <v>8.96969048669045E-2</v>
      </c>
      <c r="AD17">
        <v>0.115277777923282</v>
      </c>
      <c r="AE17">
        <v>-0.33638888872136702</v>
      </c>
      <c r="AF17">
        <v>-0.32183333316590601</v>
      </c>
      <c r="AG17">
        <v>-1.7633333331861201</v>
      </c>
      <c r="AH17">
        <v>-2.9199999998301198</v>
      </c>
      <c r="AI17">
        <v>-0.23666666652084101</v>
      </c>
      <c r="AJ17">
        <v>-0.65499999983216195</v>
      </c>
      <c r="AK17">
        <v>1.37034523806119</v>
      </c>
      <c r="AL17">
        <v>5.0643845200538497E-3</v>
      </c>
      <c r="AM17">
        <v>5.2562543646969804</v>
      </c>
      <c r="AN17">
        <v>3.2344931497761902</v>
      </c>
      <c r="AO17">
        <v>6.4095795642206097</v>
      </c>
      <c r="AP17">
        <v>4.6091224785233997</v>
      </c>
      <c r="AQ17">
        <v>-24.786877372022499</v>
      </c>
      <c r="AR17">
        <v>25.75</v>
      </c>
      <c r="AS17">
        <v>26.71</v>
      </c>
      <c r="AT17" s="1">
        <v>4.9893052532709598E-69</v>
      </c>
      <c r="AU17" s="1">
        <v>3.07934232327688E-45</v>
      </c>
      <c r="AV17">
        <v>10.37252</v>
      </c>
      <c r="AW17">
        <v>-5725.7686729371999</v>
      </c>
      <c r="AX17">
        <v>9.3159245967377499E-2</v>
      </c>
      <c r="AY17">
        <v>8.4730775060578301E-2</v>
      </c>
      <c r="AZ17">
        <v>9.3977878344529198E-2</v>
      </c>
      <c r="BA17">
        <v>7.5074404763338496</v>
      </c>
      <c r="BB17">
        <v>7.5074404763338496</v>
      </c>
      <c r="BC17">
        <v>13.06</v>
      </c>
    </row>
    <row r="18" spans="1:55" x14ac:dyDescent="0.2">
      <c r="A18" t="s">
        <v>62</v>
      </c>
      <c r="B18" t="s">
        <v>57</v>
      </c>
      <c r="C18" t="str">
        <f t="shared" ca="1" si="0"/>
        <v/>
      </c>
      <c r="E18">
        <f>AND(O18&lt;$C$1,averaged_runs370!H18&lt;$C$1,averaged_runs126!H18&lt;$C$1)*1</f>
        <v>1</v>
      </c>
      <c r="F18" s="2">
        <f>IF(TRUE,SQRT(averaged_runs126!H18^2/2+averaged_runs370!H18^2/2+O18^2*0),"")</f>
        <v>5.1817216643387974E-2</v>
      </c>
      <c r="G18" s="2">
        <f>IF(E18,averaged_runs126!H18,"")</f>
        <v>5.32525281709589E-2</v>
      </c>
      <c r="H18" s="2">
        <f t="shared" si="2"/>
        <v>5.2016536016882997E-2</v>
      </c>
      <c r="I18" s="2">
        <f>IF(E18,averaged_runs370!H18,"")</f>
        <v>5.0340998447953297E-2</v>
      </c>
      <c r="J18" t="s">
        <v>45</v>
      </c>
      <c r="K18">
        <v>169.22</v>
      </c>
      <c r="L18">
        <v>204.62</v>
      </c>
      <c r="M18">
        <v>6.7911037868923002E-3</v>
      </c>
      <c r="N18">
        <v>-1841.54210306455</v>
      </c>
      <c r="O18">
        <v>5.2016536016882997E-2</v>
      </c>
      <c r="P18">
        <v>0.37972222236743403</v>
      </c>
      <c r="Q18">
        <v>-0.81527777760960796</v>
      </c>
      <c r="R18">
        <v>-0.21834554317913499</v>
      </c>
      <c r="S18">
        <v>-0.13999999985431699</v>
      </c>
      <c r="T18">
        <v>-1.58666666649779</v>
      </c>
      <c r="U18">
        <v>0.30833333347862202</v>
      </c>
      <c r="V18">
        <v>-1.3383333331646901</v>
      </c>
      <c r="W18">
        <v>1.91180489397821</v>
      </c>
      <c r="X18">
        <v>1.44953801847856E-2</v>
      </c>
      <c r="Y18">
        <v>-2.0072139907242399E-3</v>
      </c>
      <c r="Z18">
        <v>8.9164271354674803E-3</v>
      </c>
      <c r="AA18">
        <v>6.79110378689236E-3</v>
      </c>
      <c r="AB18">
        <v>-3405.25098174402</v>
      </c>
      <c r="AC18">
        <v>6.8134458008586293E-2</v>
      </c>
      <c r="AD18">
        <v>0.40972222236748002</v>
      </c>
      <c r="AE18">
        <v>-0.77861111094314694</v>
      </c>
      <c r="AF18">
        <v>-0.29760912681656998</v>
      </c>
      <c r="AG18">
        <v>-0.109999999854271</v>
      </c>
      <c r="AH18">
        <v>-1.5499999998313301</v>
      </c>
      <c r="AI18">
        <v>0.52166666681181595</v>
      </c>
      <c r="AJ18">
        <v>-1.3016666664982299</v>
      </c>
      <c r="AK18">
        <v>1.4031448412359599</v>
      </c>
      <c r="AL18">
        <v>8.9164271354675098E-3</v>
      </c>
      <c r="AM18">
        <v>5.9833487800902301</v>
      </c>
      <c r="AN18">
        <v>3.33499969377886</v>
      </c>
      <c r="AO18">
        <v>10.003221149676399</v>
      </c>
      <c r="AP18">
        <v>5.3111188275846297</v>
      </c>
      <c r="AQ18">
        <v>-15.720957775752201</v>
      </c>
      <c r="AR18">
        <v>18.358000000000001</v>
      </c>
      <c r="AS18">
        <v>19.018000000000001</v>
      </c>
      <c r="AT18" s="1">
        <v>4.5540452180415401E-37</v>
      </c>
      <c r="AU18" s="1">
        <v>6.8105738793832599E-25</v>
      </c>
      <c r="AV18">
        <v>5.5590799999999998</v>
      </c>
      <c r="AW18">
        <v>-3631.5412461987698</v>
      </c>
      <c r="AX18">
        <v>6.5329564550725402E-2</v>
      </c>
      <c r="AY18">
        <v>5.5674224777010797E-2</v>
      </c>
      <c r="AZ18">
        <v>7.2132837197097302E-2</v>
      </c>
      <c r="BA18">
        <v>0.63170634936989301</v>
      </c>
      <c r="BB18">
        <v>1.7214682540103601</v>
      </c>
      <c r="BC18">
        <v>14.28</v>
      </c>
    </row>
    <row r="19" spans="1:55" x14ac:dyDescent="0.2">
      <c r="A19" t="s">
        <v>63</v>
      </c>
      <c r="B19" t="s">
        <v>57</v>
      </c>
      <c r="C19" t="str">
        <f t="shared" ca="1" si="0"/>
        <v/>
      </c>
      <c r="E19">
        <f>AND(O19&lt;$C$1,averaged_runs370!H19&lt;$C$1,averaged_runs126!H19&lt;$C$1)*1</f>
        <v>1</v>
      </c>
      <c r="F19" s="2">
        <f>IF(TRUE,SQRT(averaged_runs126!H19^2/2+averaged_runs370!H19^2/2+O19^2*0),"")</f>
        <v>5.1817216643387974E-2</v>
      </c>
      <c r="G19" s="2">
        <f>IF(E19,averaged_runs126!H19,"")</f>
        <v>5.32525281709589E-2</v>
      </c>
      <c r="H19" s="2">
        <f t="shared" si="2"/>
        <v>5.2016536016882997E-2</v>
      </c>
      <c r="I19" s="2">
        <f>IF(E19,averaged_runs370!H19,"")</f>
        <v>5.0340998447953297E-2</v>
      </c>
      <c r="J19" t="s">
        <v>45</v>
      </c>
      <c r="K19">
        <v>155.82</v>
      </c>
      <c r="L19">
        <v>190.3</v>
      </c>
      <c r="M19">
        <v>6.7911037868923002E-3</v>
      </c>
      <c r="N19">
        <v>-1372.3547476577501</v>
      </c>
      <c r="O19">
        <v>5.2016536016882997E-2</v>
      </c>
      <c r="P19">
        <v>0.38055555570074201</v>
      </c>
      <c r="Q19">
        <v>-0.81444444427627705</v>
      </c>
      <c r="R19">
        <v>-0.22043498151857399</v>
      </c>
      <c r="S19">
        <v>-0.13833333318767399</v>
      </c>
      <c r="T19">
        <v>-1.58666666649779</v>
      </c>
      <c r="U19">
        <v>0.30833333347859398</v>
      </c>
      <c r="V19">
        <v>-1.33666666649803</v>
      </c>
      <c r="W19">
        <v>1.9109644849898</v>
      </c>
      <c r="X19">
        <v>1.30619985572323E-2</v>
      </c>
      <c r="Y19">
        <v>-1.26361547134985E-3</v>
      </c>
      <c r="Z19">
        <v>8.9164271354674803E-3</v>
      </c>
      <c r="AA19">
        <v>6.79110378689236E-3</v>
      </c>
      <c r="AB19">
        <v>-2573.8444264719601</v>
      </c>
      <c r="AC19">
        <v>6.8134458008586293E-2</v>
      </c>
      <c r="AD19">
        <v>0.410555555700787</v>
      </c>
      <c r="AE19">
        <v>-0.77777777760981703</v>
      </c>
      <c r="AF19">
        <v>-0.29973214268958798</v>
      </c>
      <c r="AG19">
        <v>-0.108333333187629</v>
      </c>
      <c r="AH19">
        <v>-1.5499999998313301</v>
      </c>
      <c r="AI19">
        <v>0.52333333347845801</v>
      </c>
      <c r="AJ19">
        <v>-1.2999999998315701</v>
      </c>
      <c r="AK19">
        <v>1.4026488094899301</v>
      </c>
      <c r="AL19">
        <v>8.9164271354675098E-3</v>
      </c>
      <c r="AM19">
        <v>6.1246447572855303</v>
      </c>
      <c r="AN19">
        <v>3.6052583155333999</v>
      </c>
      <c r="AO19">
        <v>9.8444910327019493</v>
      </c>
      <c r="AP19">
        <v>5.3645909951105999</v>
      </c>
      <c r="AQ19">
        <v>-12.4749223493539</v>
      </c>
      <c r="AR19">
        <v>18.358000000000001</v>
      </c>
      <c r="AS19">
        <v>19.018000000000001</v>
      </c>
      <c r="AT19" s="1">
        <v>2.02778857051313E-28</v>
      </c>
      <c r="AU19" s="1">
        <v>1.6110743552145699E-20</v>
      </c>
      <c r="AV19">
        <v>5.5027200000000001</v>
      </c>
      <c r="AW19">
        <v>-2694.1309489545602</v>
      </c>
      <c r="AX19">
        <v>6.5678263894362002E-2</v>
      </c>
      <c r="AY19">
        <v>5.5674224777010797E-2</v>
      </c>
      <c r="AZ19">
        <v>7.2132837197097302E-2</v>
      </c>
      <c r="BA19">
        <v>0.62386904778096697</v>
      </c>
      <c r="BB19">
        <v>1.7387500000410001</v>
      </c>
      <c r="BC19">
        <v>13.84</v>
      </c>
    </row>
    <row r="20" spans="1:55" x14ac:dyDescent="0.2">
      <c r="A20" t="s">
        <v>64</v>
      </c>
      <c r="B20" t="s">
        <v>57</v>
      </c>
      <c r="C20" t="str">
        <f t="shared" ca="1" si="0"/>
        <v/>
      </c>
      <c r="E20">
        <f>AND(O20&lt;$C$1,averaged_runs370!H20&lt;$C$1,averaged_runs126!H20&lt;$C$1)*1</f>
        <v>1</v>
      </c>
      <c r="F20" s="2">
        <f>IF(TRUE,SQRT(averaged_runs126!H20^2/2+averaged_runs370!H20^2/2+O20^2*0),"")</f>
        <v>5.1817216643387974E-2</v>
      </c>
      <c r="G20" s="2">
        <f>IF(E20,averaged_runs126!H20,"")</f>
        <v>5.32525281709589E-2</v>
      </c>
      <c r="H20" s="2">
        <f t="shared" si="2"/>
        <v>5.2016536016882997E-2</v>
      </c>
      <c r="I20" s="2">
        <f>IF(E20,averaged_runs370!H20,"")</f>
        <v>5.0340998447953297E-2</v>
      </c>
      <c r="J20" t="s">
        <v>45</v>
      </c>
      <c r="K20">
        <v>131.47999999999999</v>
      </c>
      <c r="L20">
        <v>185.92</v>
      </c>
      <c r="M20">
        <v>6.7911037868923002E-3</v>
      </c>
      <c r="N20">
        <v>-540.89431867897702</v>
      </c>
      <c r="O20">
        <v>5.2016536016882997E-2</v>
      </c>
      <c r="P20">
        <v>0.37694444458965098</v>
      </c>
      <c r="Q20">
        <v>-0.81527777760962605</v>
      </c>
      <c r="R20">
        <v>-0.22000610483968899</v>
      </c>
      <c r="S20">
        <v>-0.138333333187665</v>
      </c>
      <c r="T20">
        <v>-1.58666666649781</v>
      </c>
      <c r="U20">
        <v>0.54166666681172504</v>
      </c>
      <c r="V20">
        <v>-1.33833333316471</v>
      </c>
      <c r="W20">
        <v>1.90615146934011</v>
      </c>
      <c r="X20">
        <v>2.08063597856614E-2</v>
      </c>
      <c r="Y20">
        <v>-2.0072139907242399E-3</v>
      </c>
      <c r="Z20">
        <v>8.9164271354674803E-3</v>
      </c>
      <c r="AA20">
        <v>6.79110378689236E-3</v>
      </c>
      <c r="AB20">
        <v>-1142.0769282121901</v>
      </c>
      <c r="AC20">
        <v>6.8134458008586293E-2</v>
      </c>
      <c r="AD20">
        <v>0.40694444458969697</v>
      </c>
      <c r="AE20">
        <v>-0.77861111094316504</v>
      </c>
      <c r="AF20">
        <v>-0.29923611094354902</v>
      </c>
      <c r="AG20">
        <v>-0.10833333318762001</v>
      </c>
      <c r="AH20">
        <v>-1.5499999998313501</v>
      </c>
      <c r="AI20">
        <v>0.52166666681181595</v>
      </c>
      <c r="AJ20">
        <v>-1.3016666664982399</v>
      </c>
      <c r="AK20">
        <v>1.4001289682200799</v>
      </c>
      <c r="AL20">
        <v>8.9164271354675098E-3</v>
      </c>
      <c r="AM20">
        <v>6.1409245187807802</v>
      </c>
      <c r="AN20">
        <v>4.11472992173218</v>
      </c>
      <c r="AO20">
        <v>9.1046225984586204</v>
      </c>
      <c r="AP20">
        <v>5.67595608255463</v>
      </c>
      <c r="AQ20">
        <v>-4.3354227975175297</v>
      </c>
      <c r="AR20">
        <v>18.358000000000001</v>
      </c>
      <c r="AS20">
        <v>19.018000000000001</v>
      </c>
      <c r="AT20" s="1">
        <v>2.2485241814729799E-14</v>
      </c>
      <c r="AU20" s="1">
        <v>3.7900334337739898E-11</v>
      </c>
      <c r="AV20">
        <v>5.5590799999999998</v>
      </c>
      <c r="AW20">
        <v>-1001.48266622654</v>
      </c>
      <c r="AX20">
        <v>6.5329564550725402E-2</v>
      </c>
      <c r="AY20">
        <v>5.5674224777010797E-2</v>
      </c>
      <c r="AZ20">
        <v>7.2132837197097302E-2</v>
      </c>
      <c r="BA20">
        <v>0.589761904923645</v>
      </c>
      <c r="BB20">
        <v>1.7517857143129101</v>
      </c>
      <c r="BC20">
        <v>13.94</v>
      </c>
    </row>
    <row r="21" spans="1:55" x14ac:dyDescent="0.2">
      <c r="A21" t="s">
        <v>110</v>
      </c>
      <c r="B21" t="s">
        <v>57</v>
      </c>
      <c r="C21" t="str">
        <f t="shared" ca="1" si="0"/>
        <v/>
      </c>
      <c r="E21">
        <f>AND(O21&lt;$C$1,averaged_runs370!H21&lt;$C$1,averaged_runs126!H21&lt;$C$1)*1</f>
        <v>1</v>
      </c>
      <c r="F21" s="2">
        <f>IF(TRUE,SQRT(averaged_runs126!H21^2/2+averaged_runs370!H21^2/2+O21^2*0),"")</f>
        <v>4.5326820110953882E-2</v>
      </c>
      <c r="G21" s="2">
        <f>IF(E21,averaged_runs126!H21,"")</f>
        <v>4.6685152837157497E-2</v>
      </c>
      <c r="H21" s="2">
        <f t="shared" si="2"/>
        <v>4.4029440070667399E-2</v>
      </c>
      <c r="I21" s="2">
        <f>IF(E21,averaged_runs370!H21,"")</f>
        <v>4.3926503927729003E-2</v>
      </c>
      <c r="J21" t="s">
        <v>45</v>
      </c>
      <c r="K21">
        <v>112.78</v>
      </c>
      <c r="L21">
        <v>172</v>
      </c>
      <c r="M21">
        <v>6.8800659577051299E-3</v>
      </c>
      <c r="N21">
        <v>-231.121197406671</v>
      </c>
      <c r="O21">
        <v>4.4029440070667399E-2</v>
      </c>
      <c r="P21">
        <v>0.49583333347845798</v>
      </c>
      <c r="Q21">
        <v>-0.92666666649843499</v>
      </c>
      <c r="R21">
        <v>-0.27997939543795197</v>
      </c>
      <c r="S21">
        <v>0.310000000145291</v>
      </c>
      <c r="T21">
        <v>-1.38499999983135</v>
      </c>
      <c r="U21">
        <v>0.51166666681177897</v>
      </c>
      <c r="V21">
        <v>-1.38499999983135</v>
      </c>
      <c r="W21">
        <v>1.9534987464354501</v>
      </c>
      <c r="X21">
        <v>2.1744022732412702E-2</v>
      </c>
      <c r="Y21">
        <v>-2.7901722362594799E-3</v>
      </c>
      <c r="Z21">
        <v>1.16396174430846E-2</v>
      </c>
      <c r="AA21">
        <v>6.8800659577051802E-3</v>
      </c>
      <c r="AB21">
        <v>-760.34913188569203</v>
      </c>
      <c r="AC21">
        <v>6.2027882254514097E-2</v>
      </c>
      <c r="AD21">
        <v>0.52583333347850303</v>
      </c>
      <c r="AE21">
        <v>-0.88999999983197497</v>
      </c>
      <c r="AF21">
        <v>-0.32968253951493498</v>
      </c>
      <c r="AG21">
        <v>0.34000000014533699</v>
      </c>
      <c r="AH21">
        <v>-1.3483333331648899</v>
      </c>
      <c r="AI21">
        <v>0.63833333347840304</v>
      </c>
      <c r="AJ21">
        <v>-1.3483333331648899</v>
      </c>
      <c r="AK21">
        <v>1.4254365079361</v>
      </c>
      <c r="AL21">
        <v>1.1639617443084701E-2</v>
      </c>
      <c r="AM21">
        <v>6.9742139614676502</v>
      </c>
      <c r="AN21">
        <v>4.3269532033887197</v>
      </c>
      <c r="AO21">
        <v>11.757697826448901</v>
      </c>
      <c r="AP21">
        <v>8.2260072513622706</v>
      </c>
      <c r="AQ21">
        <v>-2.0166903078790002</v>
      </c>
      <c r="AR21">
        <v>16.875999999999902</v>
      </c>
      <c r="AS21">
        <v>17.515999999999998</v>
      </c>
      <c r="AT21" s="1">
        <v>8.7934364251578504E-11</v>
      </c>
      <c r="AU21" s="1">
        <v>5.2521286464743504E-9</v>
      </c>
      <c r="AV21">
        <v>4.4302200000000003</v>
      </c>
      <c r="AW21">
        <v>-465.85546112004999</v>
      </c>
      <c r="AX21">
        <v>5.76595365075626E-2</v>
      </c>
      <c r="AY21">
        <v>4.6442112288760599E-2</v>
      </c>
      <c r="AZ21">
        <v>6.5450430430749301E-2</v>
      </c>
      <c r="BA21">
        <v>5.1411904763410297</v>
      </c>
      <c r="BB21">
        <v>5.1411904763410297</v>
      </c>
      <c r="BC21">
        <v>13.3</v>
      </c>
    </row>
    <row r="22" spans="1:55" x14ac:dyDescent="0.2">
      <c r="A22" t="s">
        <v>65</v>
      </c>
      <c r="B22" t="s">
        <v>57</v>
      </c>
      <c r="C22" t="str">
        <f t="shared" ca="1" si="0"/>
        <v/>
      </c>
      <c r="E22">
        <f>AND(O22&lt;$C$1,averaged_runs370!H22&lt;$C$1,averaged_runs126!H22&lt;$C$1)*1</f>
        <v>1</v>
      </c>
      <c r="F22" s="2">
        <f>IF(TRUE,SQRT(averaged_runs126!H22^2/2+averaged_runs370!H22^2/2+O22^2*0),"")</f>
        <v>4.3550181302863429E-2</v>
      </c>
      <c r="G22" s="2">
        <f>IF(E22,averaged_runs126!H22,"")</f>
        <v>4.4981667350281002E-2</v>
      </c>
      <c r="H22" s="2">
        <f t="shared" si="2"/>
        <v>4.11927501640834E-2</v>
      </c>
      <c r="I22" s="2">
        <f>IF(E22,averaged_runs370!H22,"")</f>
        <v>4.20700152770737E-2</v>
      </c>
      <c r="J22" t="s">
        <v>45</v>
      </c>
      <c r="K22">
        <v>102.6</v>
      </c>
      <c r="L22">
        <v>165.06</v>
      </c>
      <c r="M22">
        <v>6.8919272952609103E-3</v>
      </c>
      <c r="N22">
        <v>-136.45372271899899</v>
      </c>
      <c r="O22">
        <v>4.11927501640834E-2</v>
      </c>
      <c r="P22">
        <v>0.47583333347848999</v>
      </c>
      <c r="Q22">
        <v>-0.93749999983175503</v>
      </c>
      <c r="R22">
        <v>-0.37039377272734297</v>
      </c>
      <c r="S22">
        <v>0.36833333347858499</v>
      </c>
      <c r="T22">
        <v>-1.2183333331648201</v>
      </c>
      <c r="U22">
        <v>0.45833333347850302</v>
      </c>
      <c r="V22">
        <v>-1.2183333331648201</v>
      </c>
      <c r="W22">
        <v>2.0508356069770399</v>
      </c>
      <c r="X22">
        <v>2.21991256386747E-2</v>
      </c>
      <c r="Y22">
        <v>-3.3852613005336202E-3</v>
      </c>
      <c r="Z22">
        <v>1.37807468175887E-2</v>
      </c>
      <c r="AA22">
        <v>6.8919272952609597E-3</v>
      </c>
      <c r="AB22">
        <v>-617.90925389699896</v>
      </c>
      <c r="AC22">
        <v>5.9209877882354899E-2</v>
      </c>
      <c r="AD22">
        <v>0.50583333347853499</v>
      </c>
      <c r="AE22">
        <v>-0.90083333316529501</v>
      </c>
      <c r="AF22">
        <v>-0.41748015856252702</v>
      </c>
      <c r="AG22">
        <v>0.39833333347863098</v>
      </c>
      <c r="AH22">
        <v>-1.1816666664983599</v>
      </c>
      <c r="AI22">
        <v>0.56166666681181598</v>
      </c>
      <c r="AJ22">
        <v>-1.1816666664983599</v>
      </c>
      <c r="AK22">
        <v>1.4260912698409001</v>
      </c>
      <c r="AL22">
        <v>1.37807468175887E-2</v>
      </c>
      <c r="AM22">
        <v>7.0749673359910403</v>
      </c>
      <c r="AN22">
        <v>5.3443074536861399</v>
      </c>
      <c r="AO22">
        <v>11.3373578187219</v>
      </c>
      <c r="AP22">
        <v>9.1705180836612197</v>
      </c>
      <c r="AQ22">
        <v>-1.2328267281157601</v>
      </c>
      <c r="AR22">
        <v>15.752000000000001</v>
      </c>
      <c r="AS22">
        <v>16.312000000000001</v>
      </c>
      <c r="AT22" s="1">
        <v>2.65756562101054E-9</v>
      </c>
      <c r="AU22" s="1">
        <v>1.16821307853807E-7</v>
      </c>
      <c r="AV22">
        <v>3.9188799999999899</v>
      </c>
      <c r="AW22">
        <v>-284.78297419474097</v>
      </c>
      <c r="AX22">
        <v>5.4370313291603099E-2</v>
      </c>
      <c r="AY22">
        <v>4.2932154973046102E-2</v>
      </c>
      <c r="AZ22">
        <v>6.2498695650731802E-2</v>
      </c>
      <c r="BA22">
        <v>-11.0404761903071</v>
      </c>
      <c r="BB22">
        <v>11.0404761903071</v>
      </c>
      <c r="BC22">
        <v>14</v>
      </c>
    </row>
    <row r="23" spans="1:55" x14ac:dyDescent="0.2">
      <c r="A23" t="s">
        <v>111</v>
      </c>
      <c r="B23" t="s">
        <v>57</v>
      </c>
      <c r="E23">
        <f>AND(O23&lt;$C$1,averaged_runs370!H23&lt;$C$1,averaged_runs126!H23&lt;$C$1)*1</f>
        <v>1</v>
      </c>
      <c r="F23" s="2">
        <f>IF(TRUE,SQRT(averaged_runs126!H23^2/2+averaged_runs370!H23^2/2+O23^2*0),"")</f>
        <v>4.3393441431296739E-2</v>
      </c>
      <c r="G23" s="2">
        <f>IF(E23,averaged_runs126!H23,"")</f>
        <v>4.49420582842434E-2</v>
      </c>
      <c r="H23" s="2">
        <f t="shared" si="2"/>
        <v>3.9188005567076897E-2</v>
      </c>
      <c r="I23" s="2">
        <f>IF(E23,averaged_runs370!H23,"")</f>
        <v>4.1787473190878999E-2</v>
      </c>
      <c r="K23">
        <v>91.8</v>
      </c>
      <c r="L23">
        <v>158.80000000000001</v>
      </c>
      <c r="M23">
        <v>6.8576659361520896E-3</v>
      </c>
      <c r="N23">
        <v>-62.234368440042203</v>
      </c>
      <c r="O23">
        <v>3.9188005567076897E-2</v>
      </c>
      <c r="P23">
        <v>0.60333333347832196</v>
      </c>
      <c r="Q23">
        <v>-0.75583333316522305</v>
      </c>
      <c r="R23">
        <v>-0.44821199617059099</v>
      </c>
      <c r="S23">
        <v>0.57000000014501895</v>
      </c>
      <c r="T23">
        <v>-0.76833333316521002</v>
      </c>
      <c r="U23">
        <v>0.63666666681162498</v>
      </c>
      <c r="V23">
        <v>-0.74333333316523698</v>
      </c>
      <c r="W23">
        <v>2.1235925812791301</v>
      </c>
      <c r="X23">
        <v>2.2714805816893498E-2</v>
      </c>
      <c r="Y23">
        <v>-4.3984581055421298E-3</v>
      </c>
      <c r="Z23">
        <v>1.72741682529448E-2</v>
      </c>
      <c r="AA23">
        <v>6.85766593615214E-3</v>
      </c>
      <c r="AB23">
        <v>-478.49967790569002</v>
      </c>
      <c r="AC23">
        <v>5.6202858343164498E-2</v>
      </c>
      <c r="AD23">
        <v>0.63333333347836696</v>
      </c>
      <c r="AE23">
        <v>-0.71916666649876304</v>
      </c>
      <c r="AF23">
        <v>-0.49991071411807098</v>
      </c>
      <c r="AG23">
        <v>0.60000000014506405</v>
      </c>
      <c r="AH23">
        <v>-0.73166666649874901</v>
      </c>
      <c r="AI23">
        <v>0.66666666681166997</v>
      </c>
      <c r="AJ23">
        <v>-0.70666666649877696</v>
      </c>
      <c r="AK23">
        <v>1.41502976188423</v>
      </c>
      <c r="AL23">
        <v>1.7274168252944901E-2</v>
      </c>
      <c r="AM23">
        <v>6.9035574989664399</v>
      </c>
      <c r="AN23">
        <v>5.0328791925458596</v>
      </c>
      <c r="AO23">
        <v>10.0101523359916</v>
      </c>
      <c r="AP23">
        <v>8.3898150359363104</v>
      </c>
      <c r="AQ23">
        <v>-0.57276113867744105</v>
      </c>
      <c r="AR23">
        <v>14.843999999999999</v>
      </c>
      <c r="AS23">
        <v>15.423999999999999</v>
      </c>
      <c r="AT23" s="1">
        <v>5.7685271570160502E-8</v>
      </c>
      <c r="AU23" s="1">
        <v>2.0683066242883199E-6</v>
      </c>
      <c r="AV23">
        <v>3.3650599999999899</v>
      </c>
      <c r="AW23">
        <v>-132.30782303448899</v>
      </c>
      <c r="AX23">
        <v>5.1270553392318903E-2</v>
      </c>
      <c r="AY23">
        <v>4.0080291179246802E-2</v>
      </c>
      <c r="AZ23">
        <v>5.9487263455680103E-2</v>
      </c>
    </row>
    <row r="24" spans="1:55" x14ac:dyDescent="0.2">
      <c r="A24" t="s">
        <v>66</v>
      </c>
      <c r="B24" t="s">
        <v>57</v>
      </c>
      <c r="E24">
        <f>AND(O24&lt;$C$1,averaged_runs370!H24&lt;$C$1,averaged_runs126!H24&lt;$C$1)*1</f>
        <v>0</v>
      </c>
      <c r="F24" s="2">
        <f>IF(TRUE,SQRT(averaged_runs126!H24^2/2+averaged_runs370!H24^2/2+O24^2*0),"")</f>
        <v>8.0921730831035696E-2</v>
      </c>
      <c r="G24" s="2" t="str">
        <f>IF(E24,averaged_runs126!H24,"")</f>
        <v/>
      </c>
      <c r="H24" s="2" t="str">
        <f t="shared" si="2"/>
        <v/>
      </c>
      <c r="I24" s="2" t="str">
        <f>IF(E24,averaged_runs370!H24,"")</f>
        <v/>
      </c>
      <c r="K24">
        <v>143.58000000000001</v>
      </c>
      <c r="L24">
        <v>191.48</v>
      </c>
      <c r="M24">
        <v>5.59979995091752E-3</v>
      </c>
      <c r="N24">
        <v>-996.74477642172701</v>
      </c>
      <c r="O24">
        <v>8.1281767174346597E-2</v>
      </c>
      <c r="P24">
        <v>-3.0833333187771698E-2</v>
      </c>
      <c r="Q24">
        <v>-0.14888888872134701</v>
      </c>
      <c r="R24">
        <v>-0.23927106210451601</v>
      </c>
      <c r="S24">
        <v>-1.6566666665196399</v>
      </c>
      <c r="T24">
        <v>-2.5966666664968998</v>
      </c>
      <c r="U24">
        <v>-0.62666666652057701</v>
      </c>
      <c r="V24">
        <v>0.44833333350033999</v>
      </c>
      <c r="W24">
        <v>2.2426163749600101</v>
      </c>
      <c r="X24">
        <v>2.6079169368401399E-2</v>
      </c>
      <c r="Y24">
        <v>-1.19257174950048E-3</v>
      </c>
      <c r="Z24">
        <v>4.6826349496841098E-3</v>
      </c>
      <c r="AA24">
        <v>5.5997999509175599E-3</v>
      </c>
      <c r="AB24">
        <v>-1302.0245112369</v>
      </c>
      <c r="AC24">
        <v>9.0516150501351506E-2</v>
      </c>
      <c r="AD24">
        <v>-8.3333318772628397E-4</v>
      </c>
      <c r="AE24">
        <v>-0.112222222054886</v>
      </c>
      <c r="AF24">
        <v>-0.39913492046733201</v>
      </c>
      <c r="AG24">
        <v>-1.6266666665195899</v>
      </c>
      <c r="AH24">
        <v>-2.5599999998304401</v>
      </c>
      <c r="AI24">
        <v>-0.32999999985408901</v>
      </c>
      <c r="AJ24">
        <v>-0.43666666649903102</v>
      </c>
      <c r="AK24">
        <v>1.37090079359665</v>
      </c>
      <c r="AL24">
        <v>4.6826349496841401E-3</v>
      </c>
      <c r="AM24">
        <v>3.9725955418396901</v>
      </c>
      <c r="AN24">
        <v>2.6009097548538298</v>
      </c>
      <c r="AO24">
        <v>5.2040704909066804</v>
      </c>
      <c r="AP24">
        <v>4.5389333033008299</v>
      </c>
      <c r="AQ24">
        <v>-7.3430146018915696</v>
      </c>
      <c r="AR24">
        <v>25.597999999999999</v>
      </c>
      <c r="AS24">
        <v>26.597999999999999</v>
      </c>
      <c r="AT24" s="1">
        <v>3.40043870982303E-22</v>
      </c>
      <c r="AU24" s="1">
        <v>1.8626861872744201E-17</v>
      </c>
      <c r="AV24">
        <v>10.645820000000001</v>
      </c>
      <c r="AW24">
        <v>-1696.23637303695</v>
      </c>
      <c r="AX24">
        <v>9.5109685697273794E-2</v>
      </c>
      <c r="AY24">
        <v>8.7793895005819703E-2</v>
      </c>
      <c r="AZ24">
        <v>9.6587030322508496E-2</v>
      </c>
    </row>
    <row r="25" spans="1:55" x14ac:dyDescent="0.2">
      <c r="A25" t="s">
        <v>112</v>
      </c>
      <c r="B25" t="s">
        <v>57</v>
      </c>
      <c r="E25">
        <f>AND(O25&lt;$C$1,averaged_runs370!H25&lt;$C$1,averaged_runs126!H25&lt;$C$1)*1</f>
        <v>0</v>
      </c>
      <c r="F25" s="2">
        <f>IF(TRUE,SQRT(averaged_runs126!H25^2/2+averaged_runs370!H25^2/2+O25^2*0),"")</f>
        <v>6.2966219444367102E-2</v>
      </c>
      <c r="G25" s="2" t="str">
        <f>IF(E25,averaged_runs126!H25,"")</f>
        <v/>
      </c>
      <c r="H25" s="2" t="str">
        <f t="shared" si="2"/>
        <v/>
      </c>
      <c r="I25" s="2" t="str">
        <f>IF(E25,averaged_runs370!H25,"")</f>
        <v/>
      </c>
      <c r="K25">
        <v>116.26</v>
      </c>
      <c r="L25">
        <v>175.72</v>
      </c>
      <c r="M25">
        <v>6.4385819700028598E-3</v>
      </c>
      <c r="N25">
        <v>-337.37176263449498</v>
      </c>
      <c r="O25">
        <v>6.3528769741661495E-2</v>
      </c>
      <c r="P25">
        <v>0.29402777792305601</v>
      </c>
      <c r="Q25">
        <v>-0.77902777760966702</v>
      </c>
      <c r="R25">
        <v>-0.19886446869792901</v>
      </c>
      <c r="S25">
        <v>-0.91833333318695598</v>
      </c>
      <c r="T25">
        <v>-2.3399999998304701</v>
      </c>
      <c r="U25">
        <v>0.43666666681181598</v>
      </c>
      <c r="V25">
        <v>-1.0816666664982799</v>
      </c>
      <c r="W25">
        <v>2.0664671687993601</v>
      </c>
      <c r="X25">
        <v>2.8860754485130698E-2</v>
      </c>
      <c r="Y25">
        <v>-1.0647027765793001E-3</v>
      </c>
      <c r="Z25">
        <v>5.2596353888511296E-3</v>
      </c>
      <c r="AA25">
        <v>6.4385819700029196E-3</v>
      </c>
      <c r="AB25">
        <v>-622.034733863969</v>
      </c>
      <c r="AC25">
        <v>7.75731864063849E-2</v>
      </c>
      <c r="AD25">
        <v>0.324027777923101</v>
      </c>
      <c r="AE25">
        <v>-0.742361110943206</v>
      </c>
      <c r="AF25">
        <v>-0.30450396808635699</v>
      </c>
      <c r="AG25">
        <v>-0.88833333318690999</v>
      </c>
      <c r="AH25">
        <v>-2.3033333331639998</v>
      </c>
      <c r="AI25">
        <v>0.46500000014519099</v>
      </c>
      <c r="AJ25">
        <v>-1.13833333316507</v>
      </c>
      <c r="AK25">
        <v>1.43041666662606</v>
      </c>
      <c r="AL25">
        <v>5.25963538885116E-3</v>
      </c>
      <c r="AM25">
        <v>5.1711980045463601</v>
      </c>
      <c r="AN25">
        <v>3.96801396528247</v>
      </c>
      <c r="AO25">
        <v>6.7166627695405703</v>
      </c>
      <c r="AP25">
        <v>4.9843912535802097</v>
      </c>
      <c r="AQ25">
        <v>-2.6102107846379998</v>
      </c>
      <c r="AR25">
        <v>20.991999999999901</v>
      </c>
      <c r="AS25">
        <v>21.712</v>
      </c>
      <c r="AT25" s="1">
        <v>1.1045797776488001E-10</v>
      </c>
      <c r="AU25" s="1">
        <v>1.57312028962181E-9</v>
      </c>
      <c r="AV25">
        <v>7.6824399999999997</v>
      </c>
      <c r="AW25">
        <v>-602.95869125137995</v>
      </c>
      <c r="AX25">
        <v>8.0047573311330195E-2</v>
      </c>
      <c r="AY25">
        <v>6.9134467271431396E-2</v>
      </c>
      <c r="AZ25">
        <v>8.2893933739661696E-2</v>
      </c>
    </row>
    <row r="26" spans="1:55" x14ac:dyDescent="0.2">
      <c r="A26" t="s">
        <v>113</v>
      </c>
      <c r="B26" t="s">
        <v>57</v>
      </c>
      <c r="C26" t="str">
        <f t="shared" ca="1" si="0"/>
        <v/>
      </c>
      <c r="E26">
        <f>AND(O26&lt;$C$1,averaged_runs370!H26&lt;$C$1,averaged_runs126!H26&lt;$C$1)*1</f>
        <v>0</v>
      </c>
      <c r="F26" s="2">
        <f>IF(TRUE,SQRT(averaged_runs126!H26^2/2+averaged_runs370!H26^2/2+O26^2*0),"")</f>
        <v>9.6364454680406594E-2</v>
      </c>
      <c r="G26" s="2" t="str">
        <f>IF(E26,averaged_runs126!H26,"")</f>
        <v/>
      </c>
      <c r="H26" s="2" t="str">
        <f t="shared" si="2"/>
        <v/>
      </c>
      <c r="I26" s="2" t="str">
        <f>IF(E26,averaged_runs370!H26,"")</f>
        <v/>
      </c>
      <c r="J26" t="s">
        <v>45</v>
      </c>
      <c r="K26">
        <v>0.42</v>
      </c>
      <c r="L26">
        <v>3.4</v>
      </c>
      <c r="M26">
        <v>3.6333867279298701E-2</v>
      </c>
      <c r="N26">
        <v>75.366657812776296</v>
      </c>
      <c r="O26">
        <v>9.3626277203863503E-2</v>
      </c>
      <c r="P26">
        <v>-0.60277777763168905</v>
      </c>
      <c r="Q26">
        <v>2.7500000167375801E-2</v>
      </c>
      <c r="R26">
        <v>-1.00670634903899</v>
      </c>
      <c r="S26">
        <v>-1.8499999998527801</v>
      </c>
      <c r="T26">
        <v>-2.3683333331637701</v>
      </c>
      <c r="U26">
        <v>-1.43499999985315</v>
      </c>
      <c r="V26">
        <v>0.806666666833325</v>
      </c>
      <c r="W26">
        <v>3.4581562486412198</v>
      </c>
      <c r="X26">
        <v>0.14957849817558899</v>
      </c>
      <c r="Y26">
        <v>3.8842706688705E-2</v>
      </c>
      <c r="Z26">
        <v>1.8500237068127499E-2</v>
      </c>
      <c r="AA26">
        <v>3.6333867279298798E-2</v>
      </c>
      <c r="AB26">
        <v>67.060102336625903</v>
      </c>
      <c r="AC26">
        <v>0.103256635980899</v>
      </c>
      <c r="AD26">
        <v>-0.57277777763164295</v>
      </c>
      <c r="AE26">
        <v>6.4166666833836303E-2</v>
      </c>
      <c r="AF26">
        <v>-1.03778769824566</v>
      </c>
      <c r="AG26">
        <v>-1.8199999998527301</v>
      </c>
      <c r="AH26">
        <v>-2.33166666649731</v>
      </c>
      <c r="AI26">
        <v>-1.42499999985308</v>
      </c>
      <c r="AJ26">
        <v>0.96833333349966699</v>
      </c>
      <c r="AK26">
        <v>1.86643849199488</v>
      </c>
      <c r="AL26">
        <v>1.8500237068127499E-2</v>
      </c>
      <c r="AM26">
        <v>2.75407728501402</v>
      </c>
      <c r="AN26">
        <v>2.3569809735288199</v>
      </c>
      <c r="AO26">
        <v>2.9850590128184602</v>
      </c>
      <c r="AP26">
        <v>2.4748473041981001</v>
      </c>
      <c r="AQ26">
        <v>0.69398940536452103</v>
      </c>
      <c r="AR26">
        <v>19.495999999999999</v>
      </c>
      <c r="AS26">
        <v>20.076000000000001</v>
      </c>
      <c r="AT26">
        <v>0.59277702938120902</v>
      </c>
      <c r="AU26">
        <v>0.73681319354036501</v>
      </c>
      <c r="AV26">
        <v>10.688560000000001</v>
      </c>
      <c r="AW26">
        <v>154.065647990923</v>
      </c>
      <c r="AX26">
        <v>0.108064255970329</v>
      </c>
      <c r="AY26">
        <v>0.105741002789285</v>
      </c>
      <c r="AZ26">
        <v>0.114818531738147</v>
      </c>
      <c r="BA26">
        <v>1.3130853176272701</v>
      </c>
      <c r="BB26">
        <v>1.7701686508799901</v>
      </c>
      <c r="BC26">
        <v>24.33</v>
      </c>
    </row>
    <row r="27" spans="1:55" x14ac:dyDescent="0.2">
      <c r="A27" t="s">
        <v>68</v>
      </c>
      <c r="B27" t="s">
        <v>57</v>
      </c>
      <c r="C27" t="str">
        <f t="shared" ca="1" si="0"/>
        <v/>
      </c>
      <c r="E27">
        <f>AND(O27&lt;$C$1,averaged_runs370!H27&lt;$C$1,averaged_runs126!H27&lt;$C$1)*1</f>
        <v>0</v>
      </c>
      <c r="F27" s="2">
        <f>IF(TRUE,SQRT(averaged_runs126!H27^2/2+averaged_runs370!H27^2/2+O27^2*0),"")</f>
        <v>9.2392905074538845E-2</v>
      </c>
      <c r="G27" s="2" t="str">
        <f>IF(E27,averaged_runs126!H27,"")</f>
        <v/>
      </c>
      <c r="H27" s="2" t="str">
        <f t="shared" si="2"/>
        <v/>
      </c>
      <c r="I27" s="2" t="str">
        <f>IF(E27,averaged_runs370!H27,"")</f>
        <v/>
      </c>
      <c r="J27" t="s">
        <v>45</v>
      </c>
      <c r="K27">
        <v>40.380000000000003</v>
      </c>
      <c r="L27">
        <v>87.66</v>
      </c>
      <c r="M27">
        <v>-1.7855784018834302E-2</v>
      </c>
      <c r="N27">
        <v>-151739.83871287599</v>
      </c>
      <c r="O27">
        <v>8.8809068421079801E-2</v>
      </c>
      <c r="P27">
        <v>0.34541666681190702</v>
      </c>
      <c r="Q27">
        <v>0.80150000016668799</v>
      </c>
      <c r="R27">
        <v>0.51756630489324895</v>
      </c>
      <c r="S27">
        <v>-2.8816666665184898</v>
      </c>
      <c r="T27">
        <v>-2.0583333331640201</v>
      </c>
      <c r="U27">
        <v>8.33333347887673E-3</v>
      </c>
      <c r="V27">
        <v>2.0750000001655202</v>
      </c>
      <c r="W27">
        <v>2.9812841298758799</v>
      </c>
      <c r="X27">
        <v>5.3792617656376301E-2</v>
      </c>
      <c r="Y27">
        <v>-1.7364034804056599E-2</v>
      </c>
      <c r="Z27">
        <v>-1.36596634984016E-2</v>
      </c>
      <c r="AA27">
        <v>-1.7855784018834399E-2</v>
      </c>
      <c r="AB27">
        <v>-223915.74003331701</v>
      </c>
      <c r="AC27">
        <v>9.6837397120871305E-2</v>
      </c>
      <c r="AD27">
        <v>0.37541666681195301</v>
      </c>
      <c r="AE27">
        <v>0.838166666833148</v>
      </c>
      <c r="AF27">
        <v>0.34394557839844497</v>
      </c>
      <c r="AG27">
        <v>-2.8516666665184398</v>
      </c>
      <c r="AH27">
        <v>-2.02166666649756</v>
      </c>
      <c r="AI27">
        <v>0.42666666681189702</v>
      </c>
      <c r="AJ27">
        <v>1.1250000001662199</v>
      </c>
      <c r="AK27">
        <v>1.4595566893617899</v>
      </c>
      <c r="AL27">
        <v>-1.36596634984016E-2</v>
      </c>
      <c r="AM27">
        <v>3.96896182657684</v>
      </c>
      <c r="AN27">
        <v>3.6275091808739401</v>
      </c>
      <c r="AO27">
        <v>3.0579469289272101</v>
      </c>
      <c r="AP27">
        <v>3.2187789315297599</v>
      </c>
      <c r="AQ27">
        <v>-2154.9752238444398</v>
      </c>
      <c r="AR27">
        <v>30.934000000000001</v>
      </c>
      <c r="AS27">
        <v>31.734000000000002</v>
      </c>
      <c r="AT27" s="1">
        <v>3.0262920259595202E-12</v>
      </c>
      <c r="AU27">
        <v>7.64728964596818E-4</v>
      </c>
      <c r="AV27">
        <v>14.8872</v>
      </c>
      <c r="AW27">
        <v>-497799.27670806699</v>
      </c>
      <c r="AX27">
        <v>8.8321011686302298E-2</v>
      </c>
      <c r="AY27">
        <v>9.8176095495239799E-2</v>
      </c>
      <c r="AZ27">
        <v>0.106477014261847</v>
      </c>
      <c r="BA27">
        <v>0.21630952397714301</v>
      </c>
      <c r="BB27">
        <v>1.4253571428493099</v>
      </c>
      <c r="BC27">
        <v>14</v>
      </c>
    </row>
    <row r="28" spans="1:55" x14ac:dyDescent="0.2">
      <c r="A28" t="s">
        <v>69</v>
      </c>
      <c r="B28" t="s">
        <v>70</v>
      </c>
      <c r="C28">
        <f t="shared" ca="1" si="0"/>
        <v>2</v>
      </c>
      <c r="D28">
        <v>3</v>
      </c>
      <c r="E28">
        <f>AND(O28&lt;$C$1,averaged_runs370!H28&lt;$C$1,averaged_runs126!H28&lt;$C$1)*1</f>
        <v>0</v>
      </c>
      <c r="F28" s="2">
        <f>IF(TRUE,SQRT(averaged_runs126!H28^2/2+averaged_runs370!H28^2/2+O28^2*0),"")</f>
        <v>5.9904898593695251E-2</v>
      </c>
      <c r="G28" s="2" t="str">
        <f>IF(E28,averaged_runs126!H28,"")</f>
        <v/>
      </c>
      <c r="H28" s="2" t="str">
        <f t="shared" si="2"/>
        <v/>
      </c>
      <c r="I28" s="2" t="str">
        <f>IF(E28,averaged_runs370!H28,"")</f>
        <v/>
      </c>
      <c r="J28" t="s">
        <v>45</v>
      </c>
      <c r="K28">
        <v>1.74</v>
      </c>
      <c r="L28">
        <v>8.44</v>
      </c>
      <c r="M28">
        <v>5.0761110433521304E-3</v>
      </c>
      <c r="N28">
        <v>115.70760162283401</v>
      </c>
      <c r="O28">
        <v>6.02159597367233E-2</v>
      </c>
      <c r="P28">
        <v>1.6100000001440899</v>
      </c>
      <c r="Q28">
        <v>-1.7766666664976301</v>
      </c>
      <c r="R28">
        <v>-0.20256227089644199</v>
      </c>
      <c r="S28">
        <v>1.28666666681106</v>
      </c>
      <c r="T28">
        <v>-1.8916666664975299</v>
      </c>
      <c r="U28">
        <v>1.7283333334773101</v>
      </c>
      <c r="V28">
        <v>-1.8916666664975299</v>
      </c>
      <c r="W28">
        <v>2.98799765249611</v>
      </c>
      <c r="X28">
        <v>8.6301194763806696E-2</v>
      </c>
      <c r="Y28">
        <v>-1.2391368277896999E-3</v>
      </c>
      <c r="Z28">
        <v>2.9465260112208298E-2</v>
      </c>
      <c r="AA28">
        <v>5.0761110433521703E-3</v>
      </c>
      <c r="AB28">
        <v>99.550931224113299</v>
      </c>
      <c r="AC28">
        <v>7.5999194769281506E-2</v>
      </c>
      <c r="AD28">
        <v>1.6400000001441399</v>
      </c>
      <c r="AE28">
        <v>-1.7399999998311699</v>
      </c>
      <c r="AF28">
        <v>-0.28373412681694299</v>
      </c>
      <c r="AG28">
        <v>1.3166666668111</v>
      </c>
      <c r="AH28">
        <v>-1.85499999983107</v>
      </c>
      <c r="AI28">
        <v>1.84666666681061</v>
      </c>
      <c r="AJ28">
        <v>-1.85499999983107</v>
      </c>
      <c r="AK28">
        <v>1.5628134920563399</v>
      </c>
      <c r="AL28">
        <v>2.9465260112208298E-2</v>
      </c>
      <c r="AM28">
        <v>3.3288160715361998</v>
      </c>
      <c r="AN28">
        <v>3.4607036679047001</v>
      </c>
      <c r="AO28">
        <v>3.6392056021791799</v>
      </c>
      <c r="AP28">
        <v>3.9348099998077402</v>
      </c>
      <c r="AQ28">
        <v>0.98519145323068502</v>
      </c>
      <c r="AR28">
        <v>16.948</v>
      </c>
      <c r="AS28">
        <v>17.547999999999998</v>
      </c>
      <c r="AT28">
        <v>0.19314120481697999</v>
      </c>
      <c r="AU28">
        <v>0.50414040824557105</v>
      </c>
      <c r="AV28">
        <v>8.5353200000000005</v>
      </c>
      <c r="AW28">
        <v>207.87539663167399</v>
      </c>
      <c r="AX28">
        <v>9.2255884414651407E-2</v>
      </c>
      <c r="AY28">
        <v>6.4736869436957098E-2</v>
      </c>
      <c r="AZ28">
        <v>8.0203905507935394E-2</v>
      </c>
      <c r="BA28">
        <v>-0.42480158713407301</v>
      </c>
      <c r="BB28">
        <v>1.39099206347159</v>
      </c>
      <c r="BC28">
        <v>17.096</v>
      </c>
    </row>
    <row r="29" spans="1:55" x14ac:dyDescent="0.2">
      <c r="A29" t="s">
        <v>71</v>
      </c>
      <c r="B29" t="s">
        <v>70</v>
      </c>
      <c r="C29" t="str">
        <f t="shared" ca="1" si="0"/>
        <v/>
      </c>
      <c r="E29">
        <f>AND(O29&lt;$C$1,averaged_runs370!H29&lt;$C$1,averaged_runs126!H29&lt;$C$1)*1</f>
        <v>1</v>
      </c>
      <c r="F29" s="2">
        <f>IF(TRUE,SQRT(averaged_runs126!H29^2/2+averaged_runs370!H29^2/2+O29^2*0),"")</f>
        <v>4.6975157416460162E-2</v>
      </c>
      <c r="G29" s="2">
        <f>IF(E29,averaged_runs126!H29,"")</f>
        <v>4.8876941259344303E-2</v>
      </c>
      <c r="H29" s="2">
        <f t="shared" si="2"/>
        <v>4.1814745159613899E-2</v>
      </c>
      <c r="I29" s="2">
        <f>IF(E29,averaged_runs370!H29,"")</f>
        <v>4.49930599285382E-2</v>
      </c>
      <c r="J29" t="s">
        <v>45</v>
      </c>
      <c r="K29">
        <v>8.1</v>
      </c>
      <c r="L29">
        <v>37</v>
      </c>
      <c r="M29">
        <v>8.8023501769536206E-3</v>
      </c>
      <c r="N29">
        <v>155.02528350367501</v>
      </c>
      <c r="O29">
        <v>4.1814745159613899E-2</v>
      </c>
      <c r="P29">
        <v>0.57750000014504099</v>
      </c>
      <c r="Q29">
        <v>-1.09916666649827</v>
      </c>
      <c r="R29">
        <v>-0.56585317443667005</v>
      </c>
      <c r="S29">
        <v>0.41166666681186098</v>
      </c>
      <c r="T29">
        <v>-1.2366666664981401</v>
      </c>
      <c r="U29">
        <v>0.60333333347834905</v>
      </c>
      <c r="V29">
        <v>-1.2366666664981401</v>
      </c>
      <c r="W29">
        <v>2.2727015341833599</v>
      </c>
      <c r="X29">
        <v>4.9927332974733202E-2</v>
      </c>
      <c r="Y29">
        <v>-3.2250487625674101E-3</v>
      </c>
      <c r="Z29">
        <v>2.0900392814889701E-2</v>
      </c>
      <c r="AA29">
        <v>8.8023501769536605E-3</v>
      </c>
      <c r="AB29">
        <v>114.99354630054999</v>
      </c>
      <c r="AC29">
        <v>5.7566706310454602E-2</v>
      </c>
      <c r="AD29">
        <v>0.60750000014508698</v>
      </c>
      <c r="AE29">
        <v>-1.0624999998318101</v>
      </c>
      <c r="AF29">
        <v>-0.62660714268940698</v>
      </c>
      <c r="AG29">
        <v>0.44166666681190597</v>
      </c>
      <c r="AH29">
        <v>-1.1999999998316799</v>
      </c>
      <c r="AI29">
        <v>0.50500000014518198</v>
      </c>
      <c r="AJ29">
        <v>-1.1999999998316799</v>
      </c>
      <c r="AK29">
        <v>1.4735912697939899</v>
      </c>
      <c r="AL29">
        <v>2.0900392814889701E-2</v>
      </c>
      <c r="AM29">
        <v>5.2652807953590202</v>
      </c>
      <c r="AN29">
        <v>5.1986300917516202</v>
      </c>
      <c r="AO29">
        <v>6.5199674899322897</v>
      </c>
      <c r="AP29">
        <v>6.5098197523038701</v>
      </c>
      <c r="AQ29">
        <v>1.21741761608459</v>
      </c>
      <c r="AR29">
        <v>14.8</v>
      </c>
      <c r="AS29">
        <v>15.32</v>
      </c>
      <c r="AT29">
        <v>5.1039634234019901E-2</v>
      </c>
      <c r="AU29">
        <v>0.13507083736067499</v>
      </c>
      <c r="AV29">
        <v>5.4155199999999999</v>
      </c>
      <c r="AW29">
        <v>258.09253460993301</v>
      </c>
      <c r="AX29">
        <v>6.7433329014812596E-2</v>
      </c>
      <c r="AY29">
        <v>4.2982872362467603E-2</v>
      </c>
      <c r="AZ29">
        <v>6.1283188938514102E-2</v>
      </c>
      <c r="BA29">
        <v>-0.50753968237217595</v>
      </c>
      <c r="BB29">
        <v>1.3817857142518299</v>
      </c>
      <c r="BC29">
        <v>15.224</v>
      </c>
    </row>
    <row r="30" spans="1:55" x14ac:dyDescent="0.2">
      <c r="A30" t="s">
        <v>72</v>
      </c>
      <c r="B30" t="s">
        <v>70</v>
      </c>
      <c r="C30" t="str">
        <f t="shared" ca="1" si="0"/>
        <v/>
      </c>
      <c r="E30">
        <f>AND(O30&lt;$C$1,averaged_runs370!H30&lt;$C$1,averaged_runs126!H30&lt;$C$1)*1</f>
        <v>1</v>
      </c>
      <c r="F30" s="2">
        <f>IF(TRUE,SQRT(averaged_runs126!H30^2/2+averaged_runs370!H30^2/2+O30^2*0),"")</f>
        <v>5.2868351196917018E-2</v>
      </c>
      <c r="G30" s="2">
        <f>IF(E30,averaged_runs126!H30,"")</f>
        <v>5.7188117633802597E-2</v>
      </c>
      <c r="H30" s="2">
        <f t="shared" si="2"/>
        <v>4.1841747170522199E-2</v>
      </c>
      <c r="I30" s="2">
        <f>IF(E30,averaged_runs370!H30,"")</f>
        <v>4.8162685951506801E-2</v>
      </c>
      <c r="J30" t="s">
        <v>45</v>
      </c>
      <c r="K30">
        <v>11.1</v>
      </c>
      <c r="L30">
        <v>32.44</v>
      </c>
      <c r="M30">
        <v>2.5376562244449402E-3</v>
      </c>
      <c r="N30">
        <v>141.887330020929</v>
      </c>
      <c r="O30">
        <v>4.1841747170522199E-2</v>
      </c>
      <c r="P30">
        <v>0.53583333347843498</v>
      </c>
      <c r="Q30">
        <v>-0.79777777760963497</v>
      </c>
      <c r="R30">
        <v>-0.46765415123832699</v>
      </c>
      <c r="S30">
        <v>0.38333333347857601</v>
      </c>
      <c r="T30">
        <v>-1.01833333316499</v>
      </c>
      <c r="U30">
        <v>0.62166666681168803</v>
      </c>
      <c r="V30">
        <v>-0.91166666649843098</v>
      </c>
      <c r="W30">
        <v>2.04902400256994</v>
      </c>
      <c r="X30">
        <v>5.3036516323117802E-2</v>
      </c>
      <c r="Y30">
        <v>-1.4853155654114301E-2</v>
      </c>
      <c r="Z30">
        <v>2.64613340105147E-2</v>
      </c>
      <c r="AA30">
        <v>2.5376562244449701E-3</v>
      </c>
      <c r="AB30">
        <v>120.072597831717</v>
      </c>
      <c r="AC30">
        <v>5.3938164031019399E-2</v>
      </c>
      <c r="AD30">
        <v>0.56583333347848097</v>
      </c>
      <c r="AE30">
        <v>-0.76111111094317496</v>
      </c>
      <c r="AF30">
        <v>-0.60547619030917599</v>
      </c>
      <c r="AG30">
        <v>0.413333333478622</v>
      </c>
      <c r="AH30">
        <v>-0.98166666649853096</v>
      </c>
      <c r="AI30">
        <v>0.56500000014514595</v>
      </c>
      <c r="AJ30">
        <v>-0.92666666649858598</v>
      </c>
      <c r="AK30">
        <v>1.4072619047080399</v>
      </c>
      <c r="AL30">
        <v>2.64613340105147E-2</v>
      </c>
      <c r="AM30">
        <v>4.9695711244167899</v>
      </c>
      <c r="AN30">
        <v>4.9537552283506496</v>
      </c>
      <c r="AO30">
        <v>5.7676964822903098</v>
      </c>
      <c r="AP30">
        <v>5.6957707040702799</v>
      </c>
      <c r="AQ30">
        <v>1.1534148714283801</v>
      </c>
      <c r="AR30">
        <v>16.475999999999999</v>
      </c>
      <c r="AS30">
        <v>17.315999999999999</v>
      </c>
      <c r="AT30">
        <v>6.7105924402217507E-2</v>
      </c>
      <c r="AU30">
        <v>0.11476909254474101</v>
      </c>
      <c r="AV30">
        <v>6.0910000000000002</v>
      </c>
      <c r="AW30">
        <v>244.52395274281801</v>
      </c>
      <c r="AX30">
        <v>6.2320217213374697E-2</v>
      </c>
      <c r="AY30">
        <v>4.7276980029266898E-2</v>
      </c>
      <c r="AZ30">
        <v>6.3013051147104801E-2</v>
      </c>
      <c r="BA30">
        <v>2.0015376985784301</v>
      </c>
      <c r="BB30">
        <v>2.1730853175791398</v>
      </c>
      <c r="BC30">
        <v>18.788</v>
      </c>
    </row>
    <row r="31" spans="1:55" x14ac:dyDescent="0.2">
      <c r="A31" t="s">
        <v>73</v>
      </c>
      <c r="B31" t="s">
        <v>74</v>
      </c>
      <c r="C31">
        <f t="shared" ca="1" si="0"/>
        <v>1</v>
      </c>
      <c r="D31">
        <v>4</v>
      </c>
      <c r="E31">
        <f>AND(O31&lt;$C$1,averaged_runs370!H31&lt;$C$1,averaged_runs126!H31&lt;$C$1)*1</f>
        <v>1</v>
      </c>
      <c r="F31" s="2">
        <f>IF(TRUE,SQRT(averaged_runs126!H31^2/2+averaged_runs370!H31^2/2+O31^2*0),"")</f>
        <v>4.4365705486987671E-2</v>
      </c>
      <c r="G31" s="2">
        <f>IF(E31,averaged_runs126!H31,"")</f>
        <v>4.61626064215419E-2</v>
      </c>
      <c r="H31" s="2">
        <f t="shared" si="2"/>
        <v>4.1778008069688899E-2</v>
      </c>
      <c r="I31" s="2">
        <f>IF(E31,averaged_runs370!H31,"")</f>
        <v>4.2492886641014103E-2</v>
      </c>
      <c r="J31" t="s">
        <v>45</v>
      </c>
      <c r="K31">
        <v>0.74</v>
      </c>
      <c r="L31">
        <v>9.48</v>
      </c>
      <c r="M31">
        <v>6.7564080011713202E-3</v>
      </c>
      <c r="N31">
        <v>155.25423909920301</v>
      </c>
      <c r="O31">
        <v>4.1778008069688899E-2</v>
      </c>
      <c r="P31">
        <v>0.62500000014500001</v>
      </c>
      <c r="Q31">
        <v>-0.71083333316530095</v>
      </c>
      <c r="R31">
        <v>-0.36171398029763102</v>
      </c>
      <c r="S31">
        <v>0.45500000014515501</v>
      </c>
      <c r="T31">
        <v>-0.89166666649846704</v>
      </c>
      <c r="U31">
        <v>0.70000000014492803</v>
      </c>
      <c r="V31">
        <v>-0.89166666649846704</v>
      </c>
      <c r="W31">
        <v>1.8960168707554901</v>
      </c>
      <c r="X31">
        <v>5.1925582581174697E-2</v>
      </c>
      <c r="Y31">
        <v>-3.21521142395308E-3</v>
      </c>
      <c r="Z31">
        <v>1.4920310052554699E-2</v>
      </c>
      <c r="AA31">
        <v>6.7564080011713601E-3</v>
      </c>
      <c r="AB31">
        <v>119.45404323850801</v>
      </c>
      <c r="AC31">
        <v>5.8245979304114001E-2</v>
      </c>
      <c r="AD31">
        <v>0.655000000145046</v>
      </c>
      <c r="AE31">
        <v>-0.67416666649884005</v>
      </c>
      <c r="AF31">
        <v>-0.42480158713407301</v>
      </c>
      <c r="AG31">
        <v>0.48500000014520001</v>
      </c>
      <c r="AH31">
        <v>-0.85499999983200703</v>
      </c>
      <c r="AI31">
        <v>0.72666666681165204</v>
      </c>
      <c r="AJ31">
        <v>-0.85499999983200703</v>
      </c>
      <c r="AK31">
        <v>1.39099206347159</v>
      </c>
      <c r="AL31">
        <v>1.4920310052554699E-2</v>
      </c>
      <c r="AM31">
        <v>5.1113507618238501</v>
      </c>
      <c r="AN31">
        <v>4.67476226248312</v>
      </c>
      <c r="AO31">
        <v>6.2488568897490602</v>
      </c>
      <c r="AP31">
        <v>5.8689420920216797</v>
      </c>
      <c r="AQ31">
        <v>1.5469312575287499</v>
      </c>
      <c r="AR31">
        <v>16.416</v>
      </c>
      <c r="AS31">
        <v>17.096</v>
      </c>
      <c r="AT31">
        <v>0.41489978876132999</v>
      </c>
      <c r="AU31">
        <v>0.58690428577702702</v>
      </c>
      <c r="AV31">
        <v>4.6465399999999999</v>
      </c>
      <c r="AW31">
        <v>357.34112048914102</v>
      </c>
      <c r="AX31">
        <v>5.1365598975368403E-2</v>
      </c>
      <c r="AY31">
        <v>4.2248864559687703E-2</v>
      </c>
      <c r="AZ31">
        <v>6.0816253027269701E-2</v>
      </c>
      <c r="BA31">
        <v>-7.0158729993073599E-2</v>
      </c>
      <c r="BB31">
        <v>1.3548015872745001</v>
      </c>
      <c r="BC31">
        <v>14.18</v>
      </c>
    </row>
    <row r="32" spans="1:55" x14ac:dyDescent="0.2">
      <c r="A32" t="s">
        <v>75</v>
      </c>
      <c r="B32" t="s">
        <v>74</v>
      </c>
      <c r="C32" t="str">
        <f t="shared" ca="1" si="0"/>
        <v/>
      </c>
      <c r="E32">
        <f>AND(O32&lt;$C$1,averaged_runs370!H32&lt;$C$1,averaged_runs126!H32&lt;$C$1)*1</f>
        <v>0</v>
      </c>
      <c r="F32" s="2">
        <f>IF(TRUE,SQRT(averaged_runs126!H32^2/2+averaged_runs370!H32^2/2+O32^2*0),"")</f>
        <v>7.2332101947754232E-2</v>
      </c>
      <c r="G32" s="2" t="str">
        <f>IF(E32,averaged_runs126!H32,"")</f>
        <v/>
      </c>
      <c r="H32" s="2" t="str">
        <f t="shared" si="2"/>
        <v/>
      </c>
      <c r="I32" s="2" t="str">
        <f>IF(E32,averaged_runs370!H32,"")</f>
        <v/>
      </c>
      <c r="J32" t="s">
        <v>45</v>
      </c>
      <c r="K32">
        <v>8.7799999999999994</v>
      </c>
      <c r="L32">
        <v>73.900000000000006</v>
      </c>
      <c r="M32">
        <v>5.0429053021318102E-2</v>
      </c>
      <c r="N32">
        <v>87.993160387519694</v>
      </c>
      <c r="O32">
        <v>7.4751573460809295E-2</v>
      </c>
      <c r="P32">
        <v>-1.24416666651999</v>
      </c>
      <c r="Q32">
        <v>-3.3630555553850998</v>
      </c>
      <c r="R32">
        <v>-2.8318589741924098</v>
      </c>
      <c r="S32">
        <v>-1.40666666651985</v>
      </c>
      <c r="T32">
        <v>-3.7699999998291598</v>
      </c>
      <c r="U32">
        <v>-1.3833333331865301</v>
      </c>
      <c r="V32">
        <v>-3.7699999998291598</v>
      </c>
      <c r="W32">
        <v>3.91274543170901</v>
      </c>
      <c r="X32">
        <v>4.7839523002126898E-2</v>
      </c>
      <c r="Y32">
        <v>1.7559886567035599E-2</v>
      </c>
      <c r="Z32">
        <v>7.5169151298191295E-2</v>
      </c>
      <c r="AA32">
        <v>5.0429053021318102E-2</v>
      </c>
      <c r="AB32">
        <v>48.118574908486103</v>
      </c>
      <c r="AC32">
        <v>8.3030906617636194E-2</v>
      </c>
      <c r="AD32">
        <v>-1.21416666651995</v>
      </c>
      <c r="AE32">
        <v>-3.3263888887186401</v>
      </c>
      <c r="AF32">
        <v>-3.0497103172925302</v>
      </c>
      <c r="AG32">
        <v>-1.3766666665198</v>
      </c>
      <c r="AH32">
        <v>-3.7333333331627001</v>
      </c>
      <c r="AI32">
        <v>-1.2999999998531999</v>
      </c>
      <c r="AJ32">
        <v>-3.6116666664961499</v>
      </c>
      <c r="AK32">
        <v>3.1042341268296298</v>
      </c>
      <c r="AL32">
        <v>7.5169151298191295E-2</v>
      </c>
      <c r="AM32">
        <v>5.0375083149590498</v>
      </c>
      <c r="AN32">
        <v>3.4298084554183599</v>
      </c>
      <c r="AO32">
        <v>6.2483872892159802</v>
      </c>
      <c r="AP32">
        <v>2.84156679821439</v>
      </c>
      <c r="AQ32">
        <v>1.22928991167837</v>
      </c>
      <c r="AR32">
        <v>15.78</v>
      </c>
      <c r="AS32">
        <v>16.579999999999998</v>
      </c>
      <c r="AT32">
        <v>5.3617247616318101E-2</v>
      </c>
      <c r="AU32">
        <v>0.103587345625079</v>
      </c>
      <c r="AV32">
        <v>4.8985199999999898</v>
      </c>
      <c r="AW32">
        <v>283.96596959770397</v>
      </c>
      <c r="AX32">
        <v>6.2026413958183001E-2</v>
      </c>
      <c r="AY32">
        <v>6.9702290613732704E-2</v>
      </c>
      <c r="AZ32">
        <v>8.1488981458781404E-2</v>
      </c>
      <c r="BA32">
        <v>-0.60547619030917599</v>
      </c>
      <c r="BB32">
        <v>1.4072619047080399</v>
      </c>
      <c r="BC32">
        <v>17.315999999999999</v>
      </c>
    </row>
    <row r="33" spans="1:55" x14ac:dyDescent="0.2">
      <c r="A33" t="s">
        <v>76</v>
      </c>
      <c r="B33" t="s">
        <v>74</v>
      </c>
      <c r="C33" t="str">
        <f t="shared" ca="1" si="0"/>
        <v/>
      </c>
      <c r="E33">
        <f>AND(O33&lt;$C$1,averaged_runs370!H33&lt;$C$1,averaged_runs126!H33&lt;$C$1)*1</f>
        <v>0</v>
      </c>
      <c r="F33" s="2">
        <f>IF(TRUE,SQRT(averaged_runs126!H33^2/2+averaged_runs370!H33^2/2+O33^2*0),"")</f>
        <v>7.4954467848754855E-2</v>
      </c>
      <c r="G33" s="2" t="str">
        <f>IF(E33,averaged_runs126!H33,"")</f>
        <v/>
      </c>
      <c r="H33" s="2" t="str">
        <f t="shared" si="2"/>
        <v/>
      </c>
      <c r="I33" s="2" t="str">
        <f>IF(E33,averaged_runs370!H33,"")</f>
        <v/>
      </c>
      <c r="J33" t="s">
        <v>45</v>
      </c>
      <c r="K33">
        <v>1.42</v>
      </c>
      <c r="L33">
        <v>18.48</v>
      </c>
      <c r="M33">
        <v>-4.1327864099540597E-2</v>
      </c>
      <c r="N33">
        <v>119.98712661988399</v>
      </c>
      <c r="O33">
        <v>6.0645380112023903E-2</v>
      </c>
      <c r="P33">
        <v>2.7983333334763199</v>
      </c>
      <c r="Q33">
        <v>1.9383333334989601</v>
      </c>
      <c r="R33">
        <v>2.3104815325216901</v>
      </c>
      <c r="S33">
        <v>2.2866666668101101</v>
      </c>
      <c r="T33">
        <v>1.23666666683294</v>
      </c>
      <c r="U33">
        <v>3.3100000001425198</v>
      </c>
      <c r="V33">
        <v>2.6566666668316401</v>
      </c>
      <c r="W33">
        <v>2.7781652494800899</v>
      </c>
      <c r="X33">
        <v>5.3934803694378697E-2</v>
      </c>
      <c r="Y33">
        <v>-2.7871640608825299E-2</v>
      </c>
      <c r="Z33">
        <v>-3.1459034687914202E-2</v>
      </c>
      <c r="AA33">
        <v>-4.1327864099540597E-2</v>
      </c>
      <c r="AB33">
        <v>93.178485384847804</v>
      </c>
      <c r="AC33">
        <v>6.9953397328849198E-2</v>
      </c>
      <c r="AD33">
        <v>2.8283333334763601</v>
      </c>
      <c r="AE33">
        <v>1.97500000016542</v>
      </c>
      <c r="AF33">
        <v>2.2346130954043599</v>
      </c>
      <c r="AG33">
        <v>2.3166666668101601</v>
      </c>
      <c r="AH33">
        <v>1.2733333334993999</v>
      </c>
      <c r="AI33">
        <v>3.2500000001426499</v>
      </c>
      <c r="AJ33">
        <v>2.53500000016491</v>
      </c>
      <c r="AK33">
        <v>2.3697519842530199</v>
      </c>
      <c r="AL33">
        <v>-3.1459034687914202E-2</v>
      </c>
      <c r="AM33">
        <v>3.9808453937233699</v>
      </c>
      <c r="AN33">
        <v>4.4326525524082996</v>
      </c>
      <c r="AO33">
        <v>3.97925110226342</v>
      </c>
      <c r="AP33">
        <v>5.45738670082509</v>
      </c>
      <c r="AQ33">
        <v>1.3576045829155201</v>
      </c>
      <c r="AR33">
        <v>18.067999999999898</v>
      </c>
      <c r="AS33">
        <v>18.648</v>
      </c>
      <c r="AT33">
        <v>0.234762449729469</v>
      </c>
      <c r="AU33">
        <v>0.37606399669016699</v>
      </c>
      <c r="AV33">
        <v>6.1204999999999998</v>
      </c>
      <c r="AW33">
        <v>313.60665865348602</v>
      </c>
      <c r="AX33">
        <v>6.0921739849675603E-2</v>
      </c>
      <c r="AY33">
        <v>6.2035886715268697E-2</v>
      </c>
      <c r="AZ33">
        <v>7.4290556719743994E-2</v>
      </c>
      <c r="BA33">
        <v>-0.330347222054722</v>
      </c>
      <c r="BB33">
        <v>1.3585615079091999</v>
      </c>
      <c r="BC33">
        <v>19.09</v>
      </c>
    </row>
    <row r="34" spans="1:55" x14ac:dyDescent="0.2">
      <c r="A34" t="s">
        <v>77</v>
      </c>
      <c r="B34" t="s">
        <v>74</v>
      </c>
      <c r="C34" t="str">
        <f t="shared" ca="1" si="0"/>
        <v/>
      </c>
      <c r="E34">
        <f>AND(O34&lt;$C$1,averaged_runs370!H34&lt;$C$1,averaged_runs126!H34&lt;$C$1)*1</f>
        <v>0</v>
      </c>
      <c r="F34" s="2">
        <f>IF(TRUE,SQRT(averaged_runs126!H34^2/2+averaged_runs370!H34^2/2+O34^2*0),"")</f>
        <v>9.704302330081091E-2</v>
      </c>
      <c r="G34" s="2" t="str">
        <f>IF(E34,averaged_runs126!H34,"")</f>
        <v/>
      </c>
      <c r="H34" s="2" t="str">
        <f t="shared" si="2"/>
        <v/>
      </c>
      <c r="I34" s="2" t="str">
        <f>IF(E34,averaged_runs370!H34,"")</f>
        <v/>
      </c>
      <c r="J34" t="s">
        <v>45</v>
      </c>
      <c r="K34">
        <v>19</v>
      </c>
      <c r="L34">
        <v>79.02</v>
      </c>
      <c r="M34">
        <v>5.7961784949535702E-2</v>
      </c>
      <c r="N34">
        <v>43.599852902917803</v>
      </c>
      <c r="O34">
        <v>9.9971530909789205E-2</v>
      </c>
      <c r="P34">
        <v>-1.0922222220756801</v>
      </c>
      <c r="Q34">
        <v>-3.8620833331623898</v>
      </c>
      <c r="R34">
        <v>-3.0570947800539701</v>
      </c>
      <c r="S34">
        <v>-1.62166666651964</v>
      </c>
      <c r="T34">
        <v>-4.4949999998284698</v>
      </c>
      <c r="U34">
        <v>-1.62166666651964</v>
      </c>
      <c r="V34">
        <v>-4.4949999998284698</v>
      </c>
      <c r="W34">
        <v>4.58206555579146</v>
      </c>
      <c r="X34">
        <v>5.1085138775808198E-2</v>
      </c>
      <c r="Y34">
        <v>1.10374763567143E-2</v>
      </c>
      <c r="Z34">
        <v>0.10635181298173101</v>
      </c>
      <c r="AA34">
        <v>5.7961784949535702E-2</v>
      </c>
      <c r="AB34">
        <v>13.609524458700101</v>
      </c>
      <c r="AC34">
        <v>0.10555350966054</v>
      </c>
      <c r="AD34">
        <v>-1.0622222220756301</v>
      </c>
      <c r="AE34">
        <v>-3.8254166664959302</v>
      </c>
      <c r="AF34">
        <v>-3.3813194442774699</v>
      </c>
      <c r="AG34">
        <v>-1.59166666651959</v>
      </c>
      <c r="AH34">
        <v>-4.4583333331620096</v>
      </c>
      <c r="AI34">
        <v>-1.2266666665199399</v>
      </c>
      <c r="AJ34">
        <v>-4.3533333331620998</v>
      </c>
      <c r="AK34">
        <v>3.4091765871478201</v>
      </c>
      <c r="AL34">
        <v>0.10635181298173101</v>
      </c>
      <c r="AM34">
        <v>4.5612068146142901</v>
      </c>
      <c r="AN34">
        <v>2.8088080837262699</v>
      </c>
      <c r="AO34">
        <v>5.7567334376659502</v>
      </c>
      <c r="AP34">
        <v>2.1810753122527902</v>
      </c>
      <c r="AQ34">
        <v>0.97637305273924602</v>
      </c>
      <c r="AR34">
        <v>18.108000000000001</v>
      </c>
      <c r="AS34">
        <v>18.847999999999999</v>
      </c>
      <c r="AT34">
        <v>1.0226167032335901E-2</v>
      </c>
      <c r="AU34">
        <v>2.81562886529289E-2</v>
      </c>
      <c r="AV34">
        <v>6.8468799999999996</v>
      </c>
      <c r="AW34">
        <v>225.54217518276499</v>
      </c>
      <c r="AX34">
        <v>7.4231189876834594E-2</v>
      </c>
      <c r="AY34">
        <v>8.9312289349551405E-2</v>
      </c>
      <c r="AZ34">
        <v>9.8221035458697301E-2</v>
      </c>
      <c r="BA34">
        <v>-6.1023809522378798</v>
      </c>
      <c r="BB34">
        <v>6.1023809522378798</v>
      </c>
      <c r="BC34">
        <v>12.32</v>
      </c>
    </row>
    <row r="35" spans="1:55" x14ac:dyDescent="0.2">
      <c r="A35" t="s">
        <v>78</v>
      </c>
      <c r="B35" t="s">
        <v>79</v>
      </c>
      <c r="C35">
        <f t="shared" ca="1" si="0"/>
        <v>0</v>
      </c>
      <c r="D35">
        <v>4</v>
      </c>
      <c r="E35">
        <f>AND(O35&lt;$C$1,averaged_runs370!H35&lt;$C$1,averaged_runs126!H35&lt;$C$1)*1</f>
        <v>0</v>
      </c>
      <c r="F35" s="2">
        <f>IF(TRUE,SQRT(averaged_runs126!H35^2/2+averaged_runs370!H35^2/2+O35^2*0),"")</f>
        <v>7.7760879465775118E-2</v>
      </c>
      <c r="G35" s="2">
        <f>IF(TRUE,averaged_runs126!H35,"")</f>
        <v>6.4159185316547601E-2</v>
      </c>
      <c r="H35" s="2">
        <f>IF(TRUE,O35,"")</f>
        <v>6.9578322487548097E-2</v>
      </c>
      <c r="I35" s="2">
        <f>IF(TRUE,averaged_runs370!H35,"")</f>
        <v>8.9314655516877603E-2</v>
      </c>
      <c r="J35" t="s">
        <v>45</v>
      </c>
      <c r="K35">
        <v>3.66</v>
      </c>
      <c r="L35">
        <v>38.08</v>
      </c>
      <c r="M35">
        <v>-3.1414781676398301E-2</v>
      </c>
      <c r="N35">
        <v>107.703888533228</v>
      </c>
      <c r="O35">
        <v>6.9578322487548097E-2</v>
      </c>
      <c r="P35">
        <v>2.3901388890322499</v>
      </c>
      <c r="Q35">
        <v>1.73541666683248</v>
      </c>
      <c r="R35">
        <v>2.01036034815071</v>
      </c>
      <c r="S35">
        <v>1.21000000014444</v>
      </c>
      <c r="T35">
        <v>0.145000000167256</v>
      </c>
      <c r="U35">
        <v>3.3866666668091199</v>
      </c>
      <c r="V35">
        <v>3.0400000001646301</v>
      </c>
      <c r="W35">
        <v>2.6630756587458402</v>
      </c>
      <c r="X35">
        <v>0.06</v>
      </c>
      <c r="Y35">
        <v>-2.1751757351044398E-2</v>
      </c>
      <c r="Z35">
        <v>-2.5834234178066202E-2</v>
      </c>
      <c r="AA35">
        <v>-3.1414781676398301E-2</v>
      </c>
      <c r="AB35">
        <v>86.326627676153194</v>
      </c>
      <c r="AC35">
        <v>7.9055457318759098E-2</v>
      </c>
      <c r="AD35">
        <v>2.4201388890322901</v>
      </c>
      <c r="AE35">
        <v>1.7720833334989401</v>
      </c>
      <c r="AF35">
        <v>1.9121369049282899</v>
      </c>
      <c r="AG35">
        <v>1.24000000014449</v>
      </c>
      <c r="AH35">
        <v>0.18166666683371599</v>
      </c>
      <c r="AI35">
        <v>3.2683333334759599</v>
      </c>
      <c r="AJ35">
        <v>2.4366666668316599</v>
      </c>
      <c r="AK35">
        <v>2.12284325408105</v>
      </c>
      <c r="AL35">
        <v>-2.5834234178066202E-2</v>
      </c>
      <c r="AM35">
        <v>3.6903158640073901</v>
      </c>
      <c r="AN35">
        <v>3.7682191292658</v>
      </c>
      <c r="AO35">
        <v>3.38587209676585</v>
      </c>
      <c r="AP35">
        <v>4.2803472776602103</v>
      </c>
      <c r="AQ35">
        <v>1.12207415336782</v>
      </c>
      <c r="AR35">
        <v>25.93</v>
      </c>
      <c r="AS35">
        <v>26.71</v>
      </c>
      <c r="AT35">
        <v>9.1638762860082199E-2</v>
      </c>
      <c r="AU35">
        <v>0.19579521713450301</v>
      </c>
      <c r="AV35">
        <v>14.40884</v>
      </c>
      <c r="AW35">
        <v>259.19912942796799</v>
      </c>
      <c r="AX35">
        <v>7.45738950125997E-2</v>
      </c>
      <c r="AY35">
        <v>7.0879395023802902E-2</v>
      </c>
      <c r="AZ35">
        <v>8.20613764660717E-2</v>
      </c>
      <c r="BA35">
        <v>-0.30823214268962201</v>
      </c>
      <c r="BB35">
        <v>1.4154384920362499</v>
      </c>
      <c r="BC35">
        <v>20.128</v>
      </c>
    </row>
    <row r="36" spans="1:55" x14ac:dyDescent="0.2">
      <c r="A36" t="s">
        <v>80</v>
      </c>
      <c r="B36" t="s">
        <v>79</v>
      </c>
      <c r="C36" t="str">
        <f t="shared" ca="1" si="0"/>
        <v/>
      </c>
      <c r="E36">
        <f>AND(O36&lt;$C$1,averaged_runs370!H36&lt;$C$1,averaged_runs126!H36&lt;$C$1)*1</f>
        <v>0</v>
      </c>
      <c r="F36" s="2">
        <f>IF(TRUE,SQRT(averaged_runs126!H36^2/2+averaged_runs370!H36^2/2+O36^2*0),"")</f>
        <v>0.12093639033011254</v>
      </c>
      <c r="G36" s="2" t="str">
        <f>IF(E36,averaged_runs126!H36,"")</f>
        <v/>
      </c>
      <c r="H36" s="2" t="str">
        <f t="shared" si="2"/>
        <v/>
      </c>
      <c r="I36" s="2" t="str">
        <f>IF(E36,averaged_runs370!H36,"")</f>
        <v/>
      </c>
      <c r="J36" t="s">
        <v>45</v>
      </c>
      <c r="K36">
        <v>28.14</v>
      </c>
      <c r="L36">
        <v>61.82</v>
      </c>
      <c r="M36">
        <v>-6.8026946455221102E-2</v>
      </c>
      <c r="N36">
        <v>-93.200558958609093</v>
      </c>
      <c r="O36">
        <v>0.11558197862101099</v>
      </c>
      <c r="P36">
        <v>2.8801111112540299</v>
      </c>
      <c r="Q36">
        <v>6.9995555557165803</v>
      </c>
      <c r="R36">
        <v>5.1423173078545199</v>
      </c>
      <c r="S36">
        <v>1.01500000014462</v>
      </c>
      <c r="T36">
        <v>2.4583333334984898</v>
      </c>
      <c r="U36">
        <v>4.6000000001413603</v>
      </c>
      <c r="V36">
        <v>11.4300000001569</v>
      </c>
      <c r="W36">
        <v>6.63460152785294</v>
      </c>
      <c r="X36">
        <v>0.100023797227769</v>
      </c>
      <c r="Y36">
        <v>2.2780991709542698E-3</v>
      </c>
      <c r="Z36">
        <v>-0.109435993996765</v>
      </c>
      <c r="AA36">
        <v>-6.8026946455221102E-2</v>
      </c>
      <c r="AB36">
        <v>-135.90263717089601</v>
      </c>
      <c r="AC36">
        <v>0.119951911156468</v>
      </c>
      <c r="AD36">
        <v>2.9101111112540701</v>
      </c>
      <c r="AE36">
        <v>7.0362222223830404</v>
      </c>
      <c r="AF36">
        <v>5.4431726192045904</v>
      </c>
      <c r="AG36">
        <v>1.04500000014467</v>
      </c>
      <c r="AH36">
        <v>2.4950000001649499</v>
      </c>
      <c r="AI36">
        <v>4.3016666668083596</v>
      </c>
      <c r="AJ36">
        <v>11.4666666668234</v>
      </c>
      <c r="AK36">
        <v>5.4431726192045904</v>
      </c>
      <c r="AL36">
        <v>-0.109435993996765</v>
      </c>
      <c r="AM36">
        <v>2.6070469624363199</v>
      </c>
      <c r="AN36">
        <v>2.1316429279987901</v>
      </c>
      <c r="AO36">
        <v>3.50866553452633</v>
      </c>
      <c r="AP36">
        <v>1.9320316656968799</v>
      </c>
      <c r="AQ36">
        <v>-0.26033778930037998</v>
      </c>
      <c r="AR36">
        <v>34.258000000000003</v>
      </c>
      <c r="AS36">
        <v>34.357999999999997</v>
      </c>
      <c r="AT36" s="1">
        <v>1.47463993371708E-8</v>
      </c>
      <c r="AU36" s="1">
        <v>4.1043714173948102E-5</v>
      </c>
      <c r="AV36">
        <v>21.612480000000001</v>
      </c>
      <c r="AW36">
        <v>-60.138029328387702</v>
      </c>
      <c r="AX36">
        <v>0.101480330639209</v>
      </c>
      <c r="AY36">
        <v>0.106307220836879</v>
      </c>
      <c r="AZ36">
        <v>0.11359238900995799</v>
      </c>
      <c r="BA36">
        <v>0.15858134937293999</v>
      </c>
      <c r="BB36">
        <v>1.75552579364968</v>
      </c>
      <c r="BC36">
        <v>16.055999999999901</v>
      </c>
    </row>
    <row r="37" spans="1:55" x14ac:dyDescent="0.2">
      <c r="A37" t="s">
        <v>81</v>
      </c>
      <c r="B37" t="s">
        <v>79</v>
      </c>
      <c r="C37" t="str">
        <f t="shared" ca="1" si="0"/>
        <v/>
      </c>
      <c r="E37">
        <f>AND(O37&lt;$C$1,averaged_runs370!H37&lt;$C$1,averaged_runs126!H37&lt;$C$1)*1</f>
        <v>0</v>
      </c>
      <c r="F37" s="2">
        <f>IF(TRUE,SQRT(averaged_runs126!H37^2/2+averaged_runs370!H37^2/2+O37^2*0),"")</f>
        <v>9.9476957373239361E-2</v>
      </c>
      <c r="G37" s="2" t="str">
        <f>IF(E37,averaged_runs126!H37,"")</f>
        <v/>
      </c>
      <c r="H37" s="2" t="str">
        <f t="shared" si="2"/>
        <v/>
      </c>
      <c r="I37" s="2" t="str">
        <f>IF(E37,averaged_runs370!H37,"")</f>
        <v/>
      </c>
      <c r="J37" t="s">
        <v>45</v>
      </c>
      <c r="K37">
        <v>7.52</v>
      </c>
      <c r="L37">
        <v>42.86</v>
      </c>
      <c r="M37">
        <v>-2.2053220147450099E-2</v>
      </c>
      <c r="N37">
        <v>87.656299095909105</v>
      </c>
      <c r="O37">
        <v>8.6837378378396807E-2</v>
      </c>
      <c r="P37">
        <v>0.33616666681191398</v>
      </c>
      <c r="Q37">
        <v>3.91925000016382</v>
      </c>
      <c r="R37">
        <v>2.3151173907129001</v>
      </c>
      <c r="S37">
        <v>-1.7099999998528801</v>
      </c>
      <c r="T37">
        <v>-0.26499999983237099</v>
      </c>
      <c r="U37">
        <v>0.34166666681191599</v>
      </c>
      <c r="V37">
        <v>8.0033333334934191</v>
      </c>
      <c r="W37">
        <v>4.4801403584630997</v>
      </c>
      <c r="X37">
        <v>6.9854834557939602E-2</v>
      </c>
      <c r="Y37">
        <v>9.7144615223689508E-3</v>
      </c>
      <c r="Z37">
        <v>-6.9123243667357198E-2</v>
      </c>
      <c r="AA37">
        <v>-2.2053220147450099E-2</v>
      </c>
      <c r="AB37">
        <v>72.555469600890504</v>
      </c>
      <c r="AC37">
        <v>9.3876411338655305E-2</v>
      </c>
      <c r="AD37">
        <v>0.36616666681195997</v>
      </c>
      <c r="AE37">
        <v>3.9559166668302801</v>
      </c>
      <c r="AF37">
        <v>2.48916354891742</v>
      </c>
      <c r="AG37">
        <v>-1.6799999998528301</v>
      </c>
      <c r="AH37">
        <v>-0.22833333316591001</v>
      </c>
      <c r="AI37">
        <v>0.63666666681172501</v>
      </c>
      <c r="AJ37">
        <v>7.7950000001601003</v>
      </c>
      <c r="AK37">
        <v>2.6742922336905499</v>
      </c>
      <c r="AL37">
        <v>-6.9123243667357198E-2</v>
      </c>
      <c r="AM37">
        <v>3.5649248984053199</v>
      </c>
      <c r="AN37">
        <v>3.5145575929618702</v>
      </c>
      <c r="AO37">
        <v>4.3945060056580303</v>
      </c>
      <c r="AP37">
        <v>3.4939416739098701</v>
      </c>
      <c r="AQ37">
        <v>0.73001590267193905</v>
      </c>
      <c r="AR37">
        <v>36.436</v>
      </c>
      <c r="AS37">
        <v>36.856000000000002</v>
      </c>
      <c r="AT37">
        <v>5.7854740324327497E-2</v>
      </c>
      <c r="AU37">
        <v>0.14290679175641799</v>
      </c>
      <c r="AV37">
        <v>22.526999999999902</v>
      </c>
      <c r="AW37">
        <v>87.601908320632702</v>
      </c>
      <c r="AX37">
        <v>9.8846162652852704E-2</v>
      </c>
      <c r="AY37">
        <v>8.5847881749374494E-2</v>
      </c>
      <c r="AZ37">
        <v>9.4755275213609394E-2</v>
      </c>
      <c r="BA37">
        <v>1.9121369049282899</v>
      </c>
      <c r="BB37">
        <v>2.12284325408105</v>
      </c>
      <c r="BC37">
        <v>26.71</v>
      </c>
    </row>
    <row r="38" spans="1:55" x14ac:dyDescent="0.2">
      <c r="A38" t="s">
        <v>114</v>
      </c>
      <c r="B38" t="s">
        <v>79</v>
      </c>
      <c r="E38">
        <f>AND(O38&lt;$C$1,averaged_runs370!H38&lt;$C$1,averaged_runs126!H38&lt;$C$1)*1</f>
        <v>0</v>
      </c>
      <c r="F38" s="2">
        <f>IF(TRUE,SQRT(averaged_runs126!H38^2/2+averaged_runs370!H38^2/2+O38^2*0),"")</f>
        <v>0.20780403502689462</v>
      </c>
      <c r="G38" s="2" t="str">
        <f>IF(E38,averaged_runs126!H38,"")</f>
        <v/>
      </c>
      <c r="H38" s="2" t="str">
        <f t="shared" si="2"/>
        <v/>
      </c>
      <c r="I38" s="2" t="str">
        <f>IF(E38,averaged_runs370!H38,"")</f>
        <v/>
      </c>
      <c r="K38">
        <v>9.06</v>
      </c>
      <c r="L38">
        <v>34.14</v>
      </c>
      <c r="M38">
        <v>-0.111163685926556</v>
      </c>
      <c r="N38">
        <v>-9.6214847734167899E-2</v>
      </c>
      <c r="O38">
        <v>0.20063408988918999</v>
      </c>
      <c r="P38">
        <v>5.0661944445853901</v>
      </c>
      <c r="Q38">
        <v>9.6461792329628508</v>
      </c>
      <c r="R38">
        <v>6.7474366280187903</v>
      </c>
      <c r="S38">
        <v>-2.5449999998521098</v>
      </c>
      <c r="T38">
        <v>2.83333335006863E-2</v>
      </c>
      <c r="U38">
        <v>12.621666666800699</v>
      </c>
      <c r="V38">
        <v>19.213333333483199</v>
      </c>
      <c r="W38">
        <v>7.7081513471984398</v>
      </c>
      <c r="X38">
        <v>0.12974781764161</v>
      </c>
      <c r="Y38">
        <v>-0.100670839830778</v>
      </c>
      <c r="Z38">
        <v>-0.15806554770398701</v>
      </c>
      <c r="AA38">
        <v>-0.111163685926556</v>
      </c>
      <c r="AB38">
        <v>-4.1893958568526601</v>
      </c>
      <c r="AC38">
        <v>0.20334298293847</v>
      </c>
      <c r="AD38">
        <v>5.0961944445854401</v>
      </c>
      <c r="AE38">
        <v>9.7288895504229203</v>
      </c>
      <c r="AF38">
        <v>6.7642704083230996</v>
      </c>
      <c r="AG38">
        <v>-2.51499999985207</v>
      </c>
      <c r="AH38">
        <v>6.5000000167146896E-2</v>
      </c>
      <c r="AI38">
        <v>12.353333333467701</v>
      </c>
      <c r="AJ38">
        <v>19.1583333334831</v>
      </c>
      <c r="AK38">
        <v>6.7642704083230996</v>
      </c>
      <c r="AL38">
        <v>-0.15806554770398701</v>
      </c>
      <c r="AM38">
        <v>1.5950886870049501</v>
      </c>
      <c r="AN38">
        <v>1.6508008138130299</v>
      </c>
      <c r="AO38">
        <v>2.0605329938154102</v>
      </c>
      <c r="AP38">
        <v>1.8225307636922301</v>
      </c>
      <c r="AQ38">
        <v>4.2846411060180903E-2</v>
      </c>
      <c r="AR38">
        <v>64.906000000000006</v>
      </c>
      <c r="AS38">
        <v>65.486000000000004</v>
      </c>
      <c r="AT38">
        <v>5.3998702715713602E-2</v>
      </c>
      <c r="AU38">
        <v>0.131875182606218</v>
      </c>
      <c r="AV38">
        <v>48.996600000000001</v>
      </c>
      <c r="AW38">
        <v>4.4131803391986297</v>
      </c>
      <c r="AX38">
        <v>0.187143873608238</v>
      </c>
      <c r="AY38">
        <v>0.189459824307595</v>
      </c>
      <c r="AZ38">
        <v>0.193544441640668</v>
      </c>
    </row>
    <row r="39" spans="1:55" x14ac:dyDescent="0.2">
      <c r="A39" t="s">
        <v>82</v>
      </c>
      <c r="B39" t="s">
        <v>83</v>
      </c>
      <c r="C39">
        <f t="shared" ca="1" si="0"/>
        <v>0</v>
      </c>
      <c r="D39">
        <v>2</v>
      </c>
      <c r="E39">
        <f>AND(O39&lt;$C$1,averaged_runs370!H39&lt;$C$1,averaged_runs126!H39&lt;$C$1)*1</f>
        <v>0</v>
      </c>
      <c r="F39" s="2">
        <f>IF(TRUE,SQRT(averaged_runs126!H39^2/2+averaged_runs370!H39^2/2+O39^2*0),"")</f>
        <v>0.58527999953108956</v>
      </c>
      <c r="G39" s="2" t="str">
        <f>IF(E39,averaged_runs126!H39,"")</f>
        <v/>
      </c>
      <c r="H39" s="2" t="str">
        <f t="shared" si="2"/>
        <v/>
      </c>
      <c r="I39" s="2" t="str">
        <f>IF(E39,averaged_runs370!H39,"")</f>
        <v/>
      </c>
      <c r="J39" t="s">
        <v>45</v>
      </c>
      <c r="K39">
        <v>39.92</v>
      </c>
      <c r="L39">
        <v>49.8</v>
      </c>
      <c r="M39">
        <v>0.317017638658106</v>
      </c>
      <c r="N39">
        <v>-35.823334727336501</v>
      </c>
      <c r="O39">
        <v>0.454321065959993</v>
      </c>
      <c r="P39">
        <v>-7.3483333331810901</v>
      </c>
      <c r="Q39">
        <v>-14.9783333331523</v>
      </c>
      <c r="R39">
        <v>-7.5085439558941403</v>
      </c>
      <c r="S39">
        <v>-7.3483333331810901</v>
      </c>
      <c r="T39">
        <v>-14.9783333331523</v>
      </c>
      <c r="U39">
        <v>-7.3483333331810901</v>
      </c>
      <c r="V39">
        <v>-14.9783333331523</v>
      </c>
      <c r="W39">
        <v>13.746902873812299</v>
      </c>
      <c r="X39">
        <v>0.268171198562139</v>
      </c>
      <c r="Y39">
        <v>0.15637927958276901</v>
      </c>
      <c r="Z39">
        <v>0.53497869737743997</v>
      </c>
      <c r="AA39">
        <v>0.317017638658106</v>
      </c>
      <c r="AB39">
        <v>-35.416985213015103</v>
      </c>
      <c r="AC39">
        <v>0.45344407470270498</v>
      </c>
      <c r="AD39">
        <v>-7.3183333331810498</v>
      </c>
      <c r="AE39">
        <v>-14.9416666664858</v>
      </c>
      <c r="AF39">
        <v>-6.1023809522378798</v>
      </c>
      <c r="AG39">
        <v>-7.3183333331810498</v>
      </c>
      <c r="AH39">
        <v>-14.9416666664858</v>
      </c>
      <c r="AI39">
        <v>-7.3183333331810498</v>
      </c>
      <c r="AJ39">
        <v>-14.9416666664858</v>
      </c>
      <c r="AK39">
        <v>6.1023809522378798</v>
      </c>
      <c r="AL39">
        <v>0.53497869737743997</v>
      </c>
      <c r="AM39">
        <v>0.77319250292359598</v>
      </c>
      <c r="AN39">
        <v>0.47751313101985199</v>
      </c>
      <c r="AO39">
        <v>0.76350066744120004</v>
      </c>
      <c r="AP39">
        <v>0.48112070021040998</v>
      </c>
      <c r="AQ39">
        <v>-2.2827873929393698</v>
      </c>
      <c r="AR39">
        <v>12.44</v>
      </c>
      <c r="AS39">
        <v>12.32</v>
      </c>
      <c r="AT39" s="1">
        <v>7.02056841734777E-7</v>
      </c>
      <c r="AU39">
        <v>1.9380323350720201E-4</v>
      </c>
      <c r="AV39">
        <v>0.21714</v>
      </c>
      <c r="AW39">
        <v>-527.32388776899495</v>
      </c>
      <c r="AX39">
        <v>0.25127289661885399</v>
      </c>
      <c r="AY39">
        <v>0.38925674293421098</v>
      </c>
      <c r="AZ39">
        <v>0.387235550769363</v>
      </c>
      <c r="BA39">
        <v>4.13821428587437</v>
      </c>
      <c r="BB39">
        <v>4.13821428587437</v>
      </c>
      <c r="BC39">
        <v>13.66</v>
      </c>
    </row>
    <row r="40" spans="1:55" x14ac:dyDescent="0.2">
      <c r="A40" t="s">
        <v>84</v>
      </c>
      <c r="B40" t="s">
        <v>83</v>
      </c>
      <c r="C40" t="str">
        <f t="shared" ca="1" si="0"/>
        <v/>
      </c>
      <c r="E40">
        <f>AND(O40&lt;$C$1,averaged_runs370!H40&lt;$C$1,averaged_runs126!H40&lt;$C$1)*1</f>
        <v>0</v>
      </c>
      <c r="F40" s="2">
        <f>IF(TRUE,SQRT(averaged_runs126!H40^2/2+averaged_runs370!H40^2/2+O40^2*0),"")</f>
        <v>0.14287016162322039</v>
      </c>
      <c r="G40" s="2" t="str">
        <f>IF(E40,averaged_runs126!H40,"")</f>
        <v/>
      </c>
      <c r="H40" s="2" t="str">
        <f t="shared" si="2"/>
        <v/>
      </c>
      <c r="I40" s="2" t="str">
        <f>IF(E40,averaged_runs370!H40,"")</f>
        <v/>
      </c>
      <c r="J40" t="s">
        <v>45</v>
      </c>
      <c r="K40">
        <v>140.26</v>
      </c>
      <c r="L40">
        <v>186.98</v>
      </c>
      <c r="M40">
        <v>9.0678764972282999E-2</v>
      </c>
      <c r="N40">
        <v>-602.44630882087199</v>
      </c>
      <c r="O40">
        <v>0.130928416130869</v>
      </c>
      <c r="P40">
        <v>-4.4649999998503898</v>
      </c>
      <c r="Q40">
        <v>-6.7349999998264503</v>
      </c>
      <c r="R40">
        <v>-5.67401098884398</v>
      </c>
      <c r="S40">
        <v>-4.4649999998503898</v>
      </c>
      <c r="T40">
        <v>-6.7349999998264503</v>
      </c>
      <c r="U40">
        <v>-4.4649999998503898</v>
      </c>
      <c r="V40">
        <v>-6.7349999998264503</v>
      </c>
      <c r="W40">
        <v>6.7550957156619704</v>
      </c>
      <c r="X40">
        <v>2.57323727191337E-2</v>
      </c>
      <c r="Y40">
        <v>3.90002971792539E-2</v>
      </c>
      <c r="Z40">
        <v>0.14014378449285</v>
      </c>
      <c r="AA40">
        <v>9.0678764972282999E-2</v>
      </c>
      <c r="AB40">
        <v>-680.69841361857902</v>
      </c>
      <c r="AC40">
        <v>0.13003685269644</v>
      </c>
      <c r="AD40">
        <v>-4.4349999998503504</v>
      </c>
      <c r="AE40">
        <v>-6.6983333331599901</v>
      </c>
      <c r="AF40">
        <v>-5.9760714284031797</v>
      </c>
      <c r="AG40">
        <v>-4.4349999998503504</v>
      </c>
      <c r="AH40">
        <v>-6.6983333331599901</v>
      </c>
      <c r="AI40">
        <v>-4.4349999998503504</v>
      </c>
      <c r="AJ40">
        <v>-6.6983333331599901</v>
      </c>
      <c r="AK40">
        <v>5.9760714284031797</v>
      </c>
      <c r="AL40">
        <v>0.14014378449285</v>
      </c>
      <c r="AM40">
        <v>1.4789999809882799</v>
      </c>
      <c r="AN40">
        <v>0.53206571535427105</v>
      </c>
      <c r="AO40">
        <v>0.813452501263359</v>
      </c>
      <c r="AP40">
        <v>8.1720542408244695E-2</v>
      </c>
      <c r="AQ40">
        <v>-4.7314453806063099</v>
      </c>
      <c r="AR40">
        <v>13.56</v>
      </c>
      <c r="AS40">
        <v>14</v>
      </c>
      <c r="AT40" s="1">
        <v>5.2280391965955901E-11</v>
      </c>
      <c r="AU40" s="1">
        <v>7.8073239644880905E-8</v>
      </c>
      <c r="AV40">
        <v>1.0657799999999999</v>
      </c>
      <c r="AW40">
        <v>-1092.9638829200501</v>
      </c>
      <c r="AX40">
        <v>8.9991122863933001E-2</v>
      </c>
      <c r="AY40">
        <v>0.115969792557601</v>
      </c>
      <c r="AZ40">
        <v>0.122122373223814</v>
      </c>
      <c r="BA40">
        <v>2.06470238111834</v>
      </c>
      <c r="BB40">
        <v>2.3567261905812802</v>
      </c>
      <c r="BC40">
        <v>14.044</v>
      </c>
    </row>
    <row r="41" spans="1:55" x14ac:dyDescent="0.2">
      <c r="A41" t="s">
        <v>85</v>
      </c>
      <c r="B41" t="s">
        <v>86</v>
      </c>
      <c r="C41">
        <f t="shared" ca="1" si="0"/>
        <v>4</v>
      </c>
      <c r="D41">
        <v>7</v>
      </c>
      <c r="E41">
        <f>AND(O41&lt;$C$1,averaged_runs370!H41&lt;$C$1,averaged_runs126!H41&lt;$C$1)*1</f>
        <v>0</v>
      </c>
      <c r="F41" s="2">
        <f>IF(TRUE,SQRT(averaged_runs126!H41^2/2+averaged_runs370!H41^2/2+O41^2*0),"")</f>
        <v>5.761827532671248E-2</v>
      </c>
      <c r="G41" s="2" t="str">
        <f>IF(E41,averaged_runs126!H41,"")</f>
        <v/>
      </c>
      <c r="H41" s="2" t="str">
        <f t="shared" si="2"/>
        <v/>
      </c>
      <c r="I41" s="2" t="str">
        <f>IF(E41,averaged_runs370!H41,"")</f>
        <v/>
      </c>
      <c r="J41" t="s">
        <v>45</v>
      </c>
      <c r="K41">
        <v>135.41999999999999</v>
      </c>
      <c r="L41">
        <v>149.84</v>
      </c>
      <c r="M41">
        <v>3.5385565345072201E-2</v>
      </c>
      <c r="N41">
        <v>-109886.099290942</v>
      </c>
      <c r="O41">
        <v>4.2997445033757201E-2</v>
      </c>
      <c r="P41">
        <v>-2.8591666665184898</v>
      </c>
      <c r="Q41">
        <v>-0.15333333316581901</v>
      </c>
      <c r="R41">
        <v>-1.8157509155827301</v>
      </c>
      <c r="S41">
        <v>-2.87833333318514</v>
      </c>
      <c r="T41">
        <v>-0.15333333316581901</v>
      </c>
      <c r="U41">
        <v>-2.87833333318514</v>
      </c>
      <c r="V41">
        <v>-0.15333333316581901</v>
      </c>
      <c r="W41">
        <v>3.12419578437492</v>
      </c>
      <c r="X41">
        <v>5.5951859057458298E-3</v>
      </c>
      <c r="Y41">
        <v>1.5599572685165999E-2</v>
      </c>
      <c r="Z41">
        <v>1.4630568912274401E-3</v>
      </c>
      <c r="AA41">
        <v>3.5385565345072201E-2</v>
      </c>
      <c r="AB41">
        <v>-144274.87443786001</v>
      </c>
      <c r="AC41">
        <v>4.8098941457917502E-2</v>
      </c>
      <c r="AD41">
        <v>-2.8291666665184501</v>
      </c>
      <c r="AE41">
        <v>-0.116666666499359</v>
      </c>
      <c r="AF41">
        <v>-1.7444047617362</v>
      </c>
      <c r="AG41">
        <v>-2.8483333331851002</v>
      </c>
      <c r="AH41">
        <v>-0.116666666499359</v>
      </c>
      <c r="AI41">
        <v>-2.8483333331851002</v>
      </c>
      <c r="AJ41">
        <v>-0.116666666499359</v>
      </c>
      <c r="AK41">
        <v>2.22380952367969</v>
      </c>
      <c r="AL41">
        <v>1.46305689122745E-3</v>
      </c>
      <c r="AM41">
        <v>4.8335174682322704</v>
      </c>
      <c r="AN41">
        <v>11.7018272517474</v>
      </c>
      <c r="AO41">
        <v>3.3953173853436902</v>
      </c>
      <c r="AP41">
        <v>16.244071174499499</v>
      </c>
      <c r="AQ41">
        <v>-1278.76811792079</v>
      </c>
      <c r="AR41">
        <v>13.904</v>
      </c>
      <c r="AS41">
        <v>14.364000000000001</v>
      </c>
      <c r="AT41" s="1">
        <v>1.14061445768544E-35</v>
      </c>
      <c r="AU41" s="1">
        <v>2.5353386683551499E-24</v>
      </c>
      <c r="AV41">
        <v>3.2493400000000001</v>
      </c>
      <c r="AW41">
        <v>-205881.66698524699</v>
      </c>
      <c r="AX41">
        <v>6.5402037107901004E-2</v>
      </c>
      <c r="AY41">
        <v>5.8277655658611101E-2</v>
      </c>
      <c r="AZ41">
        <v>6.5724765452985306E-2</v>
      </c>
      <c r="BA41">
        <v>-2.4130753966576601</v>
      </c>
      <c r="BB41">
        <v>2.6165277776365801</v>
      </c>
      <c r="BC41">
        <v>15.432</v>
      </c>
    </row>
    <row r="42" spans="1:55" x14ac:dyDescent="0.2">
      <c r="A42" t="s">
        <v>87</v>
      </c>
      <c r="B42" t="s">
        <v>86</v>
      </c>
      <c r="C42" t="str">
        <f t="shared" ca="1" si="0"/>
        <v/>
      </c>
      <c r="E42">
        <f>AND(O42&lt;$C$1,averaged_runs370!H42&lt;$C$1,averaged_runs126!H42&lt;$C$1)*1</f>
        <v>1</v>
      </c>
      <c r="F42" s="2">
        <f>IF(TRUE,SQRT(averaged_runs126!H42^2/2+averaged_runs370!H42^2/2+O42^2*0),"")</f>
        <v>4.6700993102883573E-2</v>
      </c>
      <c r="G42" s="2">
        <f>IF(E42,averaged_runs126!H42,"")</f>
        <v>4.8547476179058802E-2</v>
      </c>
      <c r="H42" s="2">
        <f t="shared" si="2"/>
        <v>3.6260115620831403E-2</v>
      </c>
      <c r="I42" s="2">
        <f>IF(E42,averaged_runs370!H42,"")</f>
        <v>4.4778433092671703E-2</v>
      </c>
      <c r="J42" t="s">
        <v>45</v>
      </c>
      <c r="K42">
        <v>0</v>
      </c>
      <c r="L42">
        <v>0.02</v>
      </c>
      <c r="M42">
        <v>-2.5810652013199E-3</v>
      </c>
      <c r="N42">
        <v>124.17867637332201</v>
      </c>
      <c r="O42">
        <v>3.6260115620831403E-2</v>
      </c>
      <c r="P42">
        <v>-0.22333333318756499</v>
      </c>
      <c r="Q42">
        <v>1.3883333334994601</v>
      </c>
      <c r="R42">
        <v>0.26088522605192299</v>
      </c>
      <c r="S42">
        <v>-0.22333333318756499</v>
      </c>
      <c r="T42">
        <v>1.3883333334994601</v>
      </c>
      <c r="U42">
        <v>-0.22333333318756499</v>
      </c>
      <c r="V42">
        <v>1.3883333334994601</v>
      </c>
      <c r="W42">
        <v>2.0961463955192201</v>
      </c>
      <c r="X42">
        <v>8.5295326577060904E-2</v>
      </c>
      <c r="Y42">
        <v>-3.5826270468420599E-3</v>
      </c>
      <c r="Z42">
        <v>-2.0730771765265901E-2</v>
      </c>
      <c r="AA42">
        <v>-2.5810652013199E-3</v>
      </c>
      <c r="AB42">
        <v>119.655515757289</v>
      </c>
      <c r="AC42">
        <v>4.19327408220651E-2</v>
      </c>
      <c r="AD42">
        <v>-0.19333333318752</v>
      </c>
      <c r="AE42">
        <v>1.42500000016592</v>
      </c>
      <c r="AF42">
        <v>0.33498015889683802</v>
      </c>
      <c r="AG42">
        <v>-0.19333333318752</v>
      </c>
      <c r="AH42">
        <v>1.42500000016592</v>
      </c>
      <c r="AI42">
        <v>-0.19333333318752</v>
      </c>
      <c r="AJ42">
        <v>1.42500000016592</v>
      </c>
      <c r="AK42">
        <v>1.5145039682792401</v>
      </c>
      <c r="AL42">
        <v>-2.0730771765265901E-2</v>
      </c>
      <c r="AM42">
        <v>3.7800653295217601</v>
      </c>
      <c r="AN42">
        <v>3.8478413372512201</v>
      </c>
      <c r="AO42">
        <v>4.1499508863693304</v>
      </c>
      <c r="AP42">
        <v>3.9268525008057602</v>
      </c>
      <c r="AQ42">
        <v>1.2952601382747699</v>
      </c>
      <c r="AR42">
        <v>13.9</v>
      </c>
      <c r="AS42">
        <v>14.38</v>
      </c>
      <c r="AT42">
        <v>0.96867644796377805</v>
      </c>
      <c r="AU42">
        <v>0.99378939375418796</v>
      </c>
      <c r="AV42">
        <v>3.4430399999999999</v>
      </c>
      <c r="AW42">
        <v>208.53688226223801</v>
      </c>
      <c r="AX42">
        <v>5.4792194910735698E-2</v>
      </c>
      <c r="AY42">
        <v>3.85857571511131E-2</v>
      </c>
      <c r="AZ42">
        <v>4.8252440416094798E-2</v>
      </c>
      <c r="BA42">
        <v>0.34394557839844497</v>
      </c>
      <c r="BB42">
        <v>1.4595566893617899</v>
      </c>
      <c r="BC42">
        <v>31.734000000000002</v>
      </c>
    </row>
    <row r="43" spans="1:55" x14ac:dyDescent="0.2">
      <c r="A43" t="s">
        <v>88</v>
      </c>
      <c r="B43" t="s">
        <v>86</v>
      </c>
      <c r="C43" t="str">
        <f t="shared" ca="1" si="0"/>
        <v/>
      </c>
      <c r="E43">
        <f>AND(O43&lt;$C$1,averaged_runs370!H43&lt;$C$1,averaged_runs126!H43&lt;$C$1)*1</f>
        <v>0</v>
      </c>
      <c r="F43" s="2">
        <f>IF(TRUE,SQRT(averaged_runs126!H43^2/2+averaged_runs370!H43^2/2+O43^2*0),"")</f>
        <v>6.3010196330490251E-2</v>
      </c>
      <c r="G43" s="2" t="str">
        <f>IF(E43,averaged_runs126!H43,"")</f>
        <v/>
      </c>
      <c r="H43" s="2" t="str">
        <f t="shared" si="2"/>
        <v/>
      </c>
      <c r="I43" s="2" t="str">
        <f>IF(E43,averaged_runs370!H43,"")</f>
        <v/>
      </c>
      <c r="J43" t="s">
        <v>45</v>
      </c>
      <c r="K43">
        <v>0</v>
      </c>
      <c r="L43">
        <v>6.3</v>
      </c>
      <c r="M43">
        <v>-1.56748953668873E-3</v>
      </c>
      <c r="N43">
        <v>120.89408257279101</v>
      </c>
      <c r="O43">
        <v>3.68313485566647E-2</v>
      </c>
      <c r="P43">
        <v>-1.1558333331867201</v>
      </c>
      <c r="Q43">
        <v>1.23916666683292</v>
      </c>
      <c r="R43">
        <v>0.11703296720013</v>
      </c>
      <c r="S43">
        <v>-1.16666666652005</v>
      </c>
      <c r="T43">
        <v>1.22666666683293</v>
      </c>
      <c r="U43">
        <v>-1.16666666652005</v>
      </c>
      <c r="V43">
        <v>1.22666666683293</v>
      </c>
      <c r="W43">
        <v>2.1854610107861898</v>
      </c>
      <c r="X43">
        <v>8.5061863743819896E-2</v>
      </c>
      <c r="Y43">
        <v>-3.2357123181405399E-2</v>
      </c>
      <c r="Z43">
        <v>-2.3198795764736099E-2</v>
      </c>
      <c r="AA43">
        <v>-1.56748953668872E-3</v>
      </c>
      <c r="AB43">
        <v>117.58871311625801</v>
      </c>
      <c r="AC43">
        <v>4.0368568814319897E-2</v>
      </c>
      <c r="AD43">
        <v>-1.1258333331866801</v>
      </c>
      <c r="AE43">
        <v>1.2758333334993801</v>
      </c>
      <c r="AF43">
        <v>0.28595238111923599</v>
      </c>
      <c r="AG43">
        <v>-1.13666666652</v>
      </c>
      <c r="AH43">
        <v>1.2633333334993899</v>
      </c>
      <c r="AI43">
        <v>-1.11499999985336</v>
      </c>
      <c r="AJ43">
        <v>1.2633333334993899</v>
      </c>
      <c r="AK43">
        <v>1.4308333333516401</v>
      </c>
      <c r="AL43">
        <v>-2.3198795764736099E-2</v>
      </c>
      <c r="AM43">
        <v>3.7429863087635602</v>
      </c>
      <c r="AN43">
        <v>3.78627330886453</v>
      </c>
      <c r="AO43">
        <v>3.9818871219953502</v>
      </c>
      <c r="AP43">
        <v>3.7716636475649898</v>
      </c>
      <c r="AQ43">
        <v>1.1097811913045199</v>
      </c>
      <c r="AR43">
        <v>13.724</v>
      </c>
      <c r="AS43">
        <v>14.103999999999999</v>
      </c>
      <c r="AT43">
        <v>0.70705281470773795</v>
      </c>
      <c r="AU43">
        <v>0.70705281470773795</v>
      </c>
      <c r="AV43">
        <v>1.62382</v>
      </c>
      <c r="AW43">
        <v>178.674771800028</v>
      </c>
      <c r="AX43">
        <v>6.6392864090899506E-2</v>
      </c>
      <c r="AY43">
        <v>3.8334484685012597E-2</v>
      </c>
      <c r="AZ43">
        <v>4.5179415681624799E-2</v>
      </c>
      <c r="BA43">
        <v>2.48916354891742</v>
      </c>
      <c r="BB43">
        <v>2.6742922336905499</v>
      </c>
      <c r="BC43">
        <v>36.856000000000002</v>
      </c>
    </row>
    <row r="44" spans="1:55" x14ac:dyDescent="0.2">
      <c r="A44" t="s">
        <v>89</v>
      </c>
      <c r="B44" t="s">
        <v>86</v>
      </c>
      <c r="C44" t="str">
        <f t="shared" ca="1" si="0"/>
        <v/>
      </c>
      <c r="E44">
        <f>AND(O44&lt;$C$1,averaged_runs370!H44&lt;$C$1,averaged_runs126!H44&lt;$C$1)*1</f>
        <v>1</v>
      </c>
      <c r="F44" s="2">
        <f>IF(TRUE,SQRT(averaged_runs126!H44^2/2+averaged_runs370!H44^2/2+O44^2*0),"")</f>
        <v>5.013350629296031E-2</v>
      </c>
      <c r="G44" s="2">
        <f>IF(E44,averaged_runs126!H44,"")</f>
        <v>5.5559366260644699E-2</v>
      </c>
      <c r="H44" s="2">
        <f t="shared" si="2"/>
        <v>4.0182735802881397E-2</v>
      </c>
      <c r="I44" s="2">
        <f>IF(E44,averaged_runs370!H44,"")</f>
        <v>4.4044224674389697E-2</v>
      </c>
      <c r="J44" t="s">
        <v>45</v>
      </c>
      <c r="K44">
        <v>0</v>
      </c>
      <c r="L44">
        <v>6.72</v>
      </c>
      <c r="M44">
        <v>7.6696838743631104E-4</v>
      </c>
      <c r="N44">
        <v>119.624687855801</v>
      </c>
      <c r="O44">
        <v>4.0182735802881397E-2</v>
      </c>
      <c r="P44">
        <v>-1.49166666651975</v>
      </c>
      <c r="Q44">
        <v>1.2541666668329201</v>
      </c>
      <c r="R44">
        <v>3.7339743757119397E-2</v>
      </c>
      <c r="S44">
        <v>-1.49166666651975</v>
      </c>
      <c r="T44">
        <v>1.2400000001662701</v>
      </c>
      <c r="U44">
        <v>-1.49166666651975</v>
      </c>
      <c r="V44">
        <v>1.2400000001662701</v>
      </c>
      <c r="W44">
        <v>2.4474796531126501</v>
      </c>
      <c r="X44">
        <v>8.5055728447982107E-2</v>
      </c>
      <c r="Y44">
        <v>-3.0991974291733199E-2</v>
      </c>
      <c r="Z44">
        <v>-2.5505354725561199E-2</v>
      </c>
      <c r="AA44">
        <v>7.6696838743633305E-4</v>
      </c>
      <c r="AB44">
        <v>116.083180574051</v>
      </c>
      <c r="AC44">
        <v>4.3476605634290198E-2</v>
      </c>
      <c r="AD44">
        <v>-1.4616666665197</v>
      </c>
      <c r="AE44">
        <v>1.29083333349939</v>
      </c>
      <c r="AF44">
        <v>0.26797619064244399</v>
      </c>
      <c r="AG44">
        <v>-1.4616666665197</v>
      </c>
      <c r="AH44">
        <v>1.27666666683273</v>
      </c>
      <c r="AI44">
        <v>-1.4616666665197</v>
      </c>
      <c r="AJ44">
        <v>1.27666666683273</v>
      </c>
      <c r="AK44">
        <v>1.47571428571838</v>
      </c>
      <c r="AL44">
        <v>-2.5505354725561199E-2</v>
      </c>
      <c r="AM44">
        <v>3.7098077529303302</v>
      </c>
      <c r="AN44">
        <v>3.77545801262431</v>
      </c>
      <c r="AO44">
        <v>3.9580241416081399</v>
      </c>
      <c r="AP44">
        <v>3.77128988705917</v>
      </c>
      <c r="AQ44">
        <v>1.1012659337039601</v>
      </c>
      <c r="AR44">
        <v>13.68</v>
      </c>
      <c r="AS44">
        <v>14.02</v>
      </c>
      <c r="AT44">
        <v>0.70377165570696598</v>
      </c>
      <c r="AU44">
        <v>0.70377165570696598</v>
      </c>
      <c r="AV44">
        <v>1.6552</v>
      </c>
      <c r="AW44">
        <v>177.303815326337</v>
      </c>
      <c r="AX44">
        <v>6.7665825448086303E-2</v>
      </c>
      <c r="AY44">
        <v>4.21215200070807E-2</v>
      </c>
      <c r="AZ44">
        <v>4.8847254940831197E-2</v>
      </c>
      <c r="BA44">
        <v>-0.62660714268940698</v>
      </c>
      <c r="BB44">
        <v>1.4735912697939899</v>
      </c>
      <c r="BC44">
        <v>15.32</v>
      </c>
    </row>
    <row r="45" spans="1:55" x14ac:dyDescent="0.2">
      <c r="A45" t="s">
        <v>90</v>
      </c>
      <c r="B45" t="s">
        <v>86</v>
      </c>
      <c r="C45" t="str">
        <f t="shared" ca="1" si="0"/>
        <v/>
      </c>
      <c r="E45">
        <f>AND(O45&lt;$C$1,averaged_runs370!H45&lt;$C$1,averaged_runs126!H45&lt;$C$1)*1</f>
        <v>1</v>
      </c>
      <c r="F45" s="2">
        <f>IF(TRUE,SQRT(averaged_runs126!H45^2/2+averaged_runs370!H45^2/2+O45^2*0),"")</f>
        <v>4.9996568631327808E-2</v>
      </c>
      <c r="G45" s="2">
        <f>IF(E45,averaged_runs126!H45,"")</f>
        <v>4.81908222035397E-2</v>
      </c>
      <c r="H45" s="2">
        <f t="shared" si="2"/>
        <v>3.9340108491203202E-2</v>
      </c>
      <c r="I45" s="2">
        <f>IF(E45,averaged_runs370!H45,"")</f>
        <v>5.1739331317296397E-2</v>
      </c>
      <c r="J45" t="s">
        <v>45</v>
      </c>
      <c r="K45">
        <v>0</v>
      </c>
      <c r="L45">
        <v>0</v>
      </c>
      <c r="M45">
        <v>-1.04214480754548E-2</v>
      </c>
      <c r="N45">
        <v>138.438942595779</v>
      </c>
      <c r="O45">
        <v>3.9340108491203202E-2</v>
      </c>
      <c r="P45">
        <v>-0.20499999985422601</v>
      </c>
      <c r="Q45">
        <v>2.0250000001655599</v>
      </c>
      <c r="R45">
        <v>0.67496794888468803</v>
      </c>
      <c r="S45">
        <v>-0.20499999985422601</v>
      </c>
      <c r="T45">
        <v>2.0250000001655599</v>
      </c>
      <c r="U45">
        <v>-0.20499999985422601</v>
      </c>
      <c r="V45">
        <v>2.0250000001655599</v>
      </c>
      <c r="W45">
        <v>2.2719383455659199</v>
      </c>
      <c r="X45">
        <v>7.2776067741623998E-2</v>
      </c>
      <c r="Y45">
        <v>-1.75470017607001E-2</v>
      </c>
      <c r="Z45">
        <v>-2.98031577816033E-2</v>
      </c>
      <c r="AA45">
        <v>-1.04214480754548E-2</v>
      </c>
      <c r="AB45">
        <v>132.16803692433101</v>
      </c>
      <c r="AC45">
        <v>4.3338554841445498E-2</v>
      </c>
      <c r="AD45">
        <v>-0.17499999985417999</v>
      </c>
      <c r="AE45">
        <v>2.06166666683202</v>
      </c>
      <c r="AF45">
        <v>0.83464285730881504</v>
      </c>
      <c r="AG45">
        <v>-0.17499999985417999</v>
      </c>
      <c r="AH45">
        <v>2.06166666683202</v>
      </c>
      <c r="AI45">
        <v>-0.17499999985417999</v>
      </c>
      <c r="AJ45">
        <v>2.06166666683202</v>
      </c>
      <c r="AK45">
        <v>1.6754761905275899</v>
      </c>
      <c r="AL45">
        <v>-2.98031577816033E-2</v>
      </c>
      <c r="AM45">
        <v>4.6536006478501397</v>
      </c>
      <c r="AN45">
        <v>4.2876935370353797</v>
      </c>
      <c r="AO45">
        <v>5.0340697266160896</v>
      </c>
      <c r="AP45">
        <v>4.3643114501430897</v>
      </c>
      <c r="AQ45">
        <v>1.52114946267713</v>
      </c>
      <c r="AR45">
        <v>13.68</v>
      </c>
      <c r="AS45">
        <v>14.08</v>
      </c>
      <c r="AT45">
        <v>0.98696810306896299</v>
      </c>
      <c r="AU45">
        <v>0.98696810306896299</v>
      </c>
      <c r="AV45">
        <v>2.0764</v>
      </c>
      <c r="AW45">
        <v>238.82046564030901</v>
      </c>
      <c r="AX45">
        <v>4.3558061299473302E-2</v>
      </c>
      <c r="AY45">
        <v>3.9166872868220598E-2</v>
      </c>
      <c r="AZ45">
        <v>4.8074697334803101E-2</v>
      </c>
      <c r="BB45">
        <v>1.4381746031740801</v>
      </c>
      <c r="BC45">
        <v>17.617999999999999</v>
      </c>
    </row>
    <row r="46" spans="1:55" x14ac:dyDescent="0.2">
      <c r="A46" t="s">
        <v>91</v>
      </c>
      <c r="B46" t="s">
        <v>86</v>
      </c>
      <c r="C46" t="str">
        <f t="shared" ca="1" si="0"/>
        <v/>
      </c>
      <c r="E46">
        <f>AND(O46&lt;$C$1,averaged_runs370!H46&lt;$C$1,averaged_runs126!H46&lt;$C$1)*1</f>
        <v>0</v>
      </c>
      <c r="F46" s="2">
        <f>IF(TRUE,SQRT(averaged_runs126!H46^2/2+averaged_runs370!H46^2/2+O46^2*0),"")</f>
        <v>5.9725494260766808E-2</v>
      </c>
      <c r="G46" s="2" t="str">
        <f>IF(E46,averaged_runs126!H46,"")</f>
        <v/>
      </c>
      <c r="H46" s="2" t="str">
        <f t="shared" si="2"/>
        <v/>
      </c>
      <c r="I46" s="2" t="str">
        <f>IF(E46,averaged_runs370!H46,"")</f>
        <v/>
      </c>
      <c r="J46" t="s">
        <v>45</v>
      </c>
      <c r="K46">
        <v>0</v>
      </c>
      <c r="L46">
        <v>0</v>
      </c>
      <c r="M46">
        <v>-1.74902387765957E-3</v>
      </c>
      <c r="N46">
        <v>110.544812396258</v>
      </c>
      <c r="O46">
        <v>3.4571687305324297E-2</v>
      </c>
      <c r="P46">
        <v>-0.70166666652048604</v>
      </c>
      <c r="Q46">
        <v>1.26333333349958</v>
      </c>
      <c r="R46">
        <v>9.6130952548013196E-2</v>
      </c>
      <c r="S46">
        <v>-0.70166666652048604</v>
      </c>
      <c r="T46">
        <v>1.2483333334995901</v>
      </c>
      <c r="U46">
        <v>-0.70166666652048604</v>
      </c>
      <c r="V46">
        <v>1.2783333334995599</v>
      </c>
      <c r="W46">
        <v>2.0587426331899201</v>
      </c>
      <c r="X46">
        <v>0.103144115071752</v>
      </c>
      <c r="Y46">
        <v>-1.7733261514186801E-2</v>
      </c>
      <c r="Z46">
        <v>-2.1238043976082401E-2</v>
      </c>
      <c r="AA46">
        <v>-1.74902387765957E-3</v>
      </c>
      <c r="AB46">
        <v>107.384060966628</v>
      </c>
      <c r="AC46">
        <v>4.0332942841101303E-2</v>
      </c>
      <c r="AD46">
        <v>-0.67166666652044105</v>
      </c>
      <c r="AE46">
        <v>1.3000000001660399</v>
      </c>
      <c r="AF46">
        <v>0.22595238111950999</v>
      </c>
      <c r="AG46">
        <v>-0.67166666652044105</v>
      </c>
      <c r="AH46">
        <v>1.28500000016605</v>
      </c>
      <c r="AI46">
        <v>-0.67166666652044105</v>
      </c>
      <c r="AJ46">
        <v>1.31500000016602</v>
      </c>
      <c r="AK46">
        <v>1.4689285714403999</v>
      </c>
      <c r="AL46">
        <v>-2.1238043976082501E-2</v>
      </c>
      <c r="AM46">
        <v>3.2201638554819199</v>
      </c>
      <c r="AN46">
        <v>3.2764813812307598</v>
      </c>
      <c r="AO46">
        <v>3.5265294281870299</v>
      </c>
      <c r="AP46">
        <v>3.3414585711302802</v>
      </c>
      <c r="AQ46">
        <v>1.20270602546465</v>
      </c>
      <c r="AR46">
        <v>13.86</v>
      </c>
      <c r="AS46">
        <v>14.34</v>
      </c>
      <c r="AT46">
        <v>0.99482188193302601</v>
      </c>
      <c r="AU46">
        <v>0.99482188193302601</v>
      </c>
      <c r="AV46">
        <v>1.94492</v>
      </c>
      <c r="AW46">
        <v>193.63567009980801</v>
      </c>
      <c r="AX46">
        <v>4.72016867773489E-2</v>
      </c>
      <c r="AY46">
        <v>3.6557712777120902E-2</v>
      </c>
      <c r="AZ46">
        <v>4.6656755233097598E-2</v>
      </c>
      <c r="BA46">
        <v>-5.9760714284031797</v>
      </c>
      <c r="BB46">
        <v>5.9760714284031797</v>
      </c>
      <c r="BC46">
        <v>14</v>
      </c>
    </row>
    <row r="47" spans="1:55" x14ac:dyDescent="0.2">
      <c r="A47" t="s">
        <v>92</v>
      </c>
      <c r="B47" t="s">
        <v>86</v>
      </c>
      <c r="C47" t="str">
        <f t="shared" ca="1" si="0"/>
        <v/>
      </c>
      <c r="E47">
        <f>AND(O47&lt;$C$1,averaged_runs370!H47&lt;$C$1,averaged_runs126!H47&lt;$C$1)*1</f>
        <v>1</v>
      </c>
      <c r="F47" s="2">
        <f>IF(TRUE,SQRT(averaged_runs126!H47^2/2+averaged_runs370!H47^2/2+O47^2*0),"")</f>
        <v>4.7194349299734671E-2</v>
      </c>
      <c r="G47" s="2">
        <f>IF(E47,averaged_runs126!H47,"")</f>
        <v>5.19149738803951E-2</v>
      </c>
      <c r="H47" s="2">
        <f t="shared" si="2"/>
        <v>3.7053159126499702E-2</v>
      </c>
      <c r="I47" s="2">
        <f>IF(E47,averaged_runs370!H47,"")</f>
        <v>4.1945782847011302E-2</v>
      </c>
      <c r="J47" t="s">
        <v>45</v>
      </c>
      <c r="K47">
        <v>0</v>
      </c>
      <c r="L47">
        <v>0</v>
      </c>
      <c r="M47">
        <v>4.6965594576382303E-4</v>
      </c>
      <c r="N47">
        <v>126.649197778941</v>
      </c>
      <c r="O47">
        <v>3.7053159126499702E-2</v>
      </c>
      <c r="P47">
        <v>-0.95916666652025895</v>
      </c>
      <c r="Q47">
        <v>1.2816666668329</v>
      </c>
      <c r="R47">
        <v>6.4438341110307096E-3</v>
      </c>
      <c r="S47">
        <v>-0.97333333318690995</v>
      </c>
      <c r="T47">
        <v>1.2816666668329</v>
      </c>
      <c r="U47">
        <v>-0.94499999985360705</v>
      </c>
      <c r="V47">
        <v>1.2816666668329</v>
      </c>
      <c r="W47">
        <v>2.2476951205767</v>
      </c>
      <c r="X47">
        <v>8.26255849702969E-2</v>
      </c>
      <c r="Y47">
        <v>-1.37125539825259E-2</v>
      </c>
      <c r="Z47">
        <v>-2.1995029252845001E-2</v>
      </c>
      <c r="AA47">
        <v>4.69655945763842E-4</v>
      </c>
      <c r="AB47">
        <v>122.00221664848701</v>
      </c>
      <c r="AC47">
        <v>4.2570679094383897E-2</v>
      </c>
      <c r="AD47">
        <v>-0.92916666652021296</v>
      </c>
      <c r="AE47">
        <v>1.3183333334993601</v>
      </c>
      <c r="AF47">
        <v>0.19240079381724901</v>
      </c>
      <c r="AG47">
        <v>-0.94333333318686496</v>
      </c>
      <c r="AH47">
        <v>1.3183333334993601</v>
      </c>
      <c r="AI47">
        <v>-0.94333333318686496</v>
      </c>
      <c r="AJ47">
        <v>1.3183333334993601</v>
      </c>
      <c r="AK47">
        <v>1.5289087301766899</v>
      </c>
      <c r="AL47">
        <v>-2.1995029252845001E-2</v>
      </c>
      <c r="AM47">
        <v>3.8907855949699899</v>
      </c>
      <c r="AN47">
        <v>3.89564936487956</v>
      </c>
      <c r="AO47">
        <v>4.3104043590265997</v>
      </c>
      <c r="AP47">
        <v>4.0615620716452199</v>
      </c>
      <c r="AQ47">
        <v>1.3789061989123801</v>
      </c>
      <c r="AR47">
        <v>13.884</v>
      </c>
      <c r="AS47">
        <v>14.304</v>
      </c>
      <c r="AT47">
        <v>0.99027278826968101</v>
      </c>
      <c r="AU47">
        <v>0.99027278826968101</v>
      </c>
      <c r="AV47">
        <v>1.92642</v>
      </c>
      <c r="AW47">
        <v>222.003898024894</v>
      </c>
      <c r="AX47">
        <v>4.6131971524475401E-2</v>
      </c>
      <c r="AY47">
        <v>3.93248753019141E-2</v>
      </c>
      <c r="AZ47">
        <v>4.8369129157921902E-2</v>
      </c>
      <c r="BA47">
        <v>-1.37059523792798</v>
      </c>
      <c r="BB47">
        <v>1.7746428570153401</v>
      </c>
      <c r="BC47">
        <v>14.788</v>
      </c>
    </row>
    <row r="48" spans="1:55" x14ac:dyDescent="0.2">
      <c r="A48" t="s">
        <v>93</v>
      </c>
      <c r="B48" t="s">
        <v>94</v>
      </c>
      <c r="C48">
        <f t="shared" ca="1" si="0"/>
        <v>1</v>
      </c>
      <c r="D48">
        <v>3</v>
      </c>
      <c r="E48">
        <f>AND(O48&lt;$C$1,averaged_runs370!H48&lt;$C$1,averaged_runs126!H48&lt;$C$1)*1</f>
        <v>0</v>
      </c>
      <c r="F48" s="2">
        <f>IF(TRUE,SQRT(averaged_runs126!H48^2/2+averaged_runs370!H48^2/2+O48^2*0),"")</f>
        <v>0.25567925009436648</v>
      </c>
      <c r="G48" s="2" t="str">
        <f>IF(E48,averaged_runs126!H48,"")</f>
        <v/>
      </c>
      <c r="H48" s="2" t="str">
        <f t="shared" si="2"/>
        <v/>
      </c>
      <c r="I48" s="2" t="str">
        <f>IF(E48,averaged_runs370!H48,"")</f>
        <v/>
      </c>
      <c r="J48" t="s">
        <v>45</v>
      </c>
      <c r="K48">
        <v>145.12</v>
      </c>
      <c r="L48">
        <v>189.34</v>
      </c>
      <c r="M48">
        <v>0.21289327200351199</v>
      </c>
      <c r="N48">
        <v>-2640.8782717361</v>
      </c>
      <c r="O48">
        <v>0.29139501920036198</v>
      </c>
      <c r="P48">
        <v>-8.6133333331800497</v>
      </c>
      <c r="Q48">
        <v>-12.3699999998212</v>
      </c>
      <c r="R48">
        <v>-10.361465201297801</v>
      </c>
      <c r="S48">
        <v>-8.6133333331800497</v>
      </c>
      <c r="T48">
        <v>-12.3699999998212</v>
      </c>
      <c r="U48">
        <v>-8.6133333331800497</v>
      </c>
      <c r="V48">
        <v>-12.3699999998212</v>
      </c>
      <c r="W48">
        <v>11.908444635954799</v>
      </c>
      <c r="X48">
        <v>3.6932434211314299E-2</v>
      </c>
      <c r="Y48">
        <v>5.5636025265697303E-2</v>
      </c>
      <c r="Z48">
        <v>0.32494030358029602</v>
      </c>
      <c r="AA48">
        <v>0.21289327200351199</v>
      </c>
      <c r="AB48">
        <v>-2565.88261378982</v>
      </c>
      <c r="AC48">
        <v>0.29010234430820597</v>
      </c>
      <c r="AD48">
        <v>-8.5833333331800006</v>
      </c>
      <c r="AE48">
        <v>-12.3333333331547</v>
      </c>
      <c r="AF48">
        <v>-11.0404761903071</v>
      </c>
      <c r="AG48">
        <v>-8.5833333331800006</v>
      </c>
      <c r="AH48">
        <v>-12.3333333331547</v>
      </c>
      <c r="AI48">
        <v>-8.5833333331800006</v>
      </c>
      <c r="AJ48">
        <v>-12.3333333331547</v>
      </c>
      <c r="AK48">
        <v>11.0404761903071</v>
      </c>
      <c r="AL48">
        <v>0.32494030358029602</v>
      </c>
      <c r="AM48" s="1">
        <v>9.5978709194815108E-9</v>
      </c>
      <c r="AN48" s="1">
        <v>4.3099557339736602E-17</v>
      </c>
      <c r="AO48">
        <v>1.5514595666450101E-2</v>
      </c>
      <c r="AP48" s="1">
        <v>4.0645015447646398E-6</v>
      </c>
      <c r="AQ48">
        <v>-11.6935457143192</v>
      </c>
      <c r="AR48">
        <v>13.52</v>
      </c>
      <c r="AS48">
        <v>14</v>
      </c>
      <c r="AT48" s="1">
        <v>5.0552103543043798E-25</v>
      </c>
      <c r="AU48" s="1">
        <v>1.26496006468499E-21</v>
      </c>
      <c r="AV48">
        <v>0.26573999999999998</v>
      </c>
      <c r="AW48">
        <v>-2701.2090600077399</v>
      </c>
      <c r="AX48">
        <v>0.16976705298384601</v>
      </c>
      <c r="AY48">
        <v>0.25363867368548298</v>
      </c>
      <c r="AZ48">
        <v>0.25034634561073099</v>
      </c>
      <c r="BA48">
        <v>-4.5755952379291696</v>
      </c>
      <c r="BB48">
        <v>4.5755952379291696</v>
      </c>
      <c r="BC48">
        <v>14</v>
      </c>
    </row>
    <row r="49" spans="1:55" x14ac:dyDescent="0.2">
      <c r="A49" t="s">
        <v>95</v>
      </c>
      <c r="B49" t="s">
        <v>94</v>
      </c>
      <c r="C49" t="str">
        <f t="shared" ca="1" si="0"/>
        <v/>
      </c>
      <c r="E49">
        <f>AND(O49&lt;$C$1,averaged_runs370!H49&lt;$C$1,averaged_runs126!H49&lt;$C$1)*1</f>
        <v>0</v>
      </c>
      <c r="F49" s="2">
        <f>IF(TRUE,SQRT(averaged_runs126!H49^2/2+averaged_runs370!H49^2/2+O49^2*0),"")</f>
        <v>0.14710302552838625</v>
      </c>
      <c r="G49" s="2" t="str">
        <f>IF(E49,averaged_runs126!H49,"")</f>
        <v/>
      </c>
      <c r="H49" s="2" t="str">
        <f t="shared" si="2"/>
        <v/>
      </c>
      <c r="I49" s="2" t="str">
        <f>IF(E49,averaged_runs370!H49,"")</f>
        <v/>
      </c>
      <c r="J49" t="s">
        <v>45</v>
      </c>
      <c r="K49">
        <v>164.72</v>
      </c>
      <c r="L49">
        <v>201.96</v>
      </c>
      <c r="M49">
        <v>-0.100883253049282</v>
      </c>
      <c r="N49">
        <v>-647.37682755669698</v>
      </c>
      <c r="O49">
        <v>0.116097065375627</v>
      </c>
      <c r="P49">
        <v>3.2683333334759301</v>
      </c>
      <c r="Q49">
        <v>8.0400000001600809</v>
      </c>
      <c r="R49">
        <v>6.9200778389787097</v>
      </c>
      <c r="S49">
        <v>3.2683333334759301</v>
      </c>
      <c r="T49">
        <v>8.0400000001600809</v>
      </c>
      <c r="U49">
        <v>3.2683333334759301</v>
      </c>
      <c r="V49">
        <v>8.0400000001600809</v>
      </c>
      <c r="W49">
        <v>8.9992435547626606</v>
      </c>
      <c r="X49">
        <v>3.0179698700512701E-2</v>
      </c>
      <c r="Y49">
        <v>-7.1927674537189096E-2</v>
      </c>
      <c r="Z49">
        <v>-0.13187850712871299</v>
      </c>
      <c r="AA49">
        <v>-0.100883253049282</v>
      </c>
      <c r="AB49">
        <v>-572.49951663380398</v>
      </c>
      <c r="AC49">
        <v>0.11371457259431</v>
      </c>
      <c r="AD49">
        <v>3.2983333334759801</v>
      </c>
      <c r="AE49">
        <v>8.0766666668265401</v>
      </c>
      <c r="AF49">
        <v>7.5074404763338496</v>
      </c>
      <c r="AG49">
        <v>3.2983333334759801</v>
      </c>
      <c r="AH49">
        <v>8.0766666668265401</v>
      </c>
      <c r="AI49">
        <v>3.2983333334759801</v>
      </c>
      <c r="AJ49">
        <v>8.0766666668265401</v>
      </c>
      <c r="AK49">
        <v>7.5074404763338496</v>
      </c>
      <c r="AL49">
        <v>-0.13187850712871299</v>
      </c>
      <c r="AM49">
        <v>1.00412657559385</v>
      </c>
      <c r="AN49">
        <v>2.0970081913479302E-3</v>
      </c>
      <c r="AO49">
        <v>3.2540737512154099</v>
      </c>
      <c r="AP49">
        <v>4.6078303130754401E-2</v>
      </c>
      <c r="AQ49">
        <v>-4.1923324215635303</v>
      </c>
      <c r="AR49">
        <v>13.04</v>
      </c>
      <c r="AS49">
        <v>13.06</v>
      </c>
      <c r="AT49" s="1">
        <v>7.3958093763593297E-5</v>
      </c>
      <c r="AU49">
        <v>1.2147024049257099E-4</v>
      </c>
      <c r="AV49">
        <v>1.4419599999999999</v>
      </c>
      <c r="AW49">
        <v>-968.42878938117599</v>
      </c>
      <c r="AX49">
        <v>9.4603719438553197E-2</v>
      </c>
      <c r="AY49">
        <v>0.113007949739484</v>
      </c>
      <c r="AZ49">
        <v>0.108186129367945</v>
      </c>
      <c r="BA49">
        <v>1.5572023811196301</v>
      </c>
      <c r="BB49">
        <v>1.9420833334329899</v>
      </c>
      <c r="BC49">
        <v>14.04</v>
      </c>
    </row>
    <row r="50" spans="1:55" x14ac:dyDescent="0.2">
      <c r="A50" t="s">
        <v>96</v>
      </c>
      <c r="B50" t="s">
        <v>94</v>
      </c>
      <c r="C50" t="str">
        <f t="shared" ca="1" si="0"/>
        <v/>
      </c>
      <c r="E50">
        <f>AND(O50&lt;$C$1,averaged_runs370!H50&lt;$C$1,averaged_runs126!H50&lt;$C$1)*1</f>
        <v>1</v>
      </c>
      <c r="F50" s="2">
        <f>IF(TRUE,SQRT(averaged_runs126!H50^2/2+averaged_runs370!H50^2/2+O50^2*0),"")</f>
        <v>3.4197119488725981E-2</v>
      </c>
      <c r="G50" s="2">
        <f>IF(E50,averaged_runs126!H50,"")</f>
        <v>3.8343279175250197E-2</v>
      </c>
      <c r="H50" s="2">
        <f t="shared" si="2"/>
        <v>3.4782307479776398E-2</v>
      </c>
      <c r="I50" s="2">
        <f>IF(E50,averaged_runs370!H50,"")</f>
        <v>2.94733592374746E-2</v>
      </c>
      <c r="J50" t="s">
        <v>45</v>
      </c>
      <c r="K50">
        <v>51.88</v>
      </c>
      <c r="L50">
        <v>103.84</v>
      </c>
      <c r="M50">
        <v>2.80553416032127E-2</v>
      </c>
      <c r="N50">
        <v>-15.6558847328621</v>
      </c>
      <c r="O50">
        <v>3.4782307479776398E-2</v>
      </c>
      <c r="P50">
        <v>-1.2833333331865999</v>
      </c>
      <c r="Q50">
        <v>-0.75499999983188404</v>
      </c>
      <c r="R50">
        <v>-1.4916468252295301</v>
      </c>
      <c r="S50">
        <v>-1.2833333331865999</v>
      </c>
      <c r="T50">
        <v>-0.78666666649852202</v>
      </c>
      <c r="U50">
        <v>-1.2833333331865999</v>
      </c>
      <c r="V50">
        <v>-0.72333333316524595</v>
      </c>
      <c r="W50">
        <v>2.3001648670631099</v>
      </c>
      <c r="X50">
        <v>3.6325472161223102E-2</v>
      </c>
      <c r="Y50">
        <v>1.30022011417169E-2</v>
      </c>
      <c r="Z50">
        <v>1.70607301944464E-2</v>
      </c>
      <c r="AA50">
        <v>2.80553416032127E-2</v>
      </c>
      <c r="AB50">
        <v>-167.367759088849</v>
      </c>
      <c r="AC50">
        <v>4.4770821802698701E-2</v>
      </c>
      <c r="AD50">
        <v>-1.2533333331865499</v>
      </c>
      <c r="AE50">
        <v>-0.71833333316542303</v>
      </c>
      <c r="AF50">
        <v>-1.5084325395140199</v>
      </c>
      <c r="AG50">
        <v>-1.2533333331865499</v>
      </c>
      <c r="AH50">
        <v>-0.749999999832061</v>
      </c>
      <c r="AI50">
        <v>-1.2533333331865499</v>
      </c>
      <c r="AJ50">
        <v>-0.68666666649878605</v>
      </c>
      <c r="AK50">
        <v>1.8384325395541701</v>
      </c>
      <c r="AL50">
        <v>1.70607301944464E-2</v>
      </c>
      <c r="AM50">
        <v>7.19310656055828</v>
      </c>
      <c r="AN50">
        <v>6.0831166041633997</v>
      </c>
      <c r="AO50">
        <v>8.6436314040924795</v>
      </c>
      <c r="AP50">
        <v>8.9520779505773103</v>
      </c>
      <c r="AQ50">
        <v>0.62429703354622301</v>
      </c>
      <c r="AR50">
        <v>14.5</v>
      </c>
      <c r="AS50">
        <v>15.04</v>
      </c>
      <c r="AT50">
        <v>4.3953830777564401E-2</v>
      </c>
      <c r="AU50">
        <v>8.2306608191082903E-2</v>
      </c>
      <c r="AV50">
        <v>2.4213800000000001</v>
      </c>
      <c r="AW50">
        <v>144.21261474917699</v>
      </c>
      <c r="AX50">
        <v>4.3816647042944398E-2</v>
      </c>
      <c r="AY50">
        <v>4.2738429487219197E-2</v>
      </c>
      <c r="AZ50">
        <v>5.3912419908284798E-2</v>
      </c>
      <c r="BA50">
        <v>0.486785714451202</v>
      </c>
      <c r="BB50">
        <v>1.8220238095755901</v>
      </c>
      <c r="BC50">
        <v>14</v>
      </c>
    </row>
    <row r="51" spans="1:55" x14ac:dyDescent="0.2">
      <c r="A51" t="s">
        <v>97</v>
      </c>
      <c r="B51" t="s">
        <v>98</v>
      </c>
      <c r="C51">
        <f t="shared" ca="1" si="0"/>
        <v>6</v>
      </c>
      <c r="D51">
        <v>8</v>
      </c>
      <c r="E51">
        <f>AND(O51&lt;$C$1,averaged_runs370!H51&lt;$C$1,averaged_runs126!H51&lt;$C$1)*1</f>
        <v>1</v>
      </c>
      <c r="F51" s="2">
        <f>IF(TRUE,SQRT(averaged_runs126!H51^2/2+averaged_runs370!H51^2/2+O51^2*0),"")</f>
        <v>4.8604833456670743E-2</v>
      </c>
      <c r="G51" s="2">
        <f>IF(E51,averaged_runs126!H51,"")</f>
        <v>3.9761737402344698E-2</v>
      </c>
      <c r="H51" s="2">
        <f t="shared" si="2"/>
        <v>3.9461137256755298E-2</v>
      </c>
      <c r="I51" s="2">
        <f>IF(E51,averaged_runs370!H51,"")</f>
        <v>5.6070169515067297E-2</v>
      </c>
      <c r="J51" t="s">
        <v>45</v>
      </c>
      <c r="K51">
        <v>3.7</v>
      </c>
      <c r="L51">
        <v>19.739999999999998</v>
      </c>
      <c r="M51">
        <v>1.28949174657111E-2</v>
      </c>
      <c r="N51">
        <v>145.28369225612599</v>
      </c>
      <c r="O51">
        <v>3.9461137256755298E-2</v>
      </c>
      <c r="P51">
        <v>-1.4216666665197999</v>
      </c>
      <c r="Q51">
        <v>1.2316666668329299</v>
      </c>
      <c r="R51">
        <v>-0.44692765551050101</v>
      </c>
      <c r="S51">
        <v>-1.4216666665197999</v>
      </c>
      <c r="T51">
        <v>1.2316666668329299</v>
      </c>
      <c r="U51">
        <v>-1.4216666665197999</v>
      </c>
      <c r="V51">
        <v>1.2316666668329299</v>
      </c>
      <c r="W51">
        <v>2.53389553894019</v>
      </c>
      <c r="X51">
        <v>5.3594920005788603E-2</v>
      </c>
      <c r="Y51">
        <v>2.13974794963828E-2</v>
      </c>
      <c r="Z51">
        <v>-1.29141977927588E-2</v>
      </c>
      <c r="AA51">
        <v>1.28949174657111E-2</v>
      </c>
      <c r="AB51">
        <v>139.74964759900499</v>
      </c>
      <c r="AC51">
        <v>3.8148693257356002E-2</v>
      </c>
      <c r="AD51">
        <v>-1.3916666665197499</v>
      </c>
      <c r="AE51">
        <v>1.26833333349939</v>
      </c>
      <c r="AF51">
        <v>-0.48398809506983698</v>
      </c>
      <c r="AG51">
        <v>-1.3916666665197499</v>
      </c>
      <c r="AH51">
        <v>1.26833333349939</v>
      </c>
      <c r="AI51">
        <v>-1.3916666665197499</v>
      </c>
      <c r="AJ51">
        <v>1.26833333349939</v>
      </c>
      <c r="AK51">
        <v>1.5654166666054099</v>
      </c>
      <c r="AL51">
        <v>-1.29141977927588E-2</v>
      </c>
      <c r="AM51">
        <v>5.9719904131125698</v>
      </c>
      <c r="AN51">
        <v>6.2592060130340403</v>
      </c>
      <c r="AO51">
        <v>6.5833180391465502</v>
      </c>
      <c r="AP51">
        <v>6.0818844977026103</v>
      </c>
      <c r="AQ51">
        <v>1.4115134940123399</v>
      </c>
      <c r="AR51">
        <v>13.6</v>
      </c>
      <c r="AS51">
        <v>14.04</v>
      </c>
      <c r="AT51">
        <v>0.32650784353892398</v>
      </c>
      <c r="AU51">
        <v>0.48393327942261399</v>
      </c>
      <c r="AV51">
        <v>1.65018</v>
      </c>
      <c r="AW51">
        <v>199.02340265574099</v>
      </c>
      <c r="AX51">
        <v>5.88967833303842E-2</v>
      </c>
      <c r="AY51">
        <v>4.8975158795779503E-2</v>
      </c>
      <c r="AZ51">
        <v>5.2593798076082297E-2</v>
      </c>
      <c r="BA51">
        <v>-0.30878769824517599</v>
      </c>
      <c r="BB51">
        <v>1.4159940475918</v>
      </c>
      <c r="BC51">
        <v>20.128</v>
      </c>
    </row>
    <row r="52" spans="1:55" x14ac:dyDescent="0.2">
      <c r="A52" t="s">
        <v>99</v>
      </c>
      <c r="B52" t="s">
        <v>98</v>
      </c>
      <c r="C52" t="str">
        <f t="shared" ca="1" si="0"/>
        <v/>
      </c>
      <c r="E52">
        <f>AND(O52&lt;$C$1,averaged_runs370!H52&lt;$C$1,averaged_runs126!H52&lt;$C$1)*1</f>
        <v>0</v>
      </c>
      <c r="F52" s="2">
        <f>IF(TRUE,SQRT(averaged_runs126!H52^2/2+averaged_runs370!H52^2/2+O52^2*0),"")</f>
        <v>5.5633449221920803E-2</v>
      </c>
      <c r="G52" s="2" t="str">
        <f>IF(E52,averaged_runs126!H52,"")</f>
        <v/>
      </c>
      <c r="H52" s="2" t="str">
        <f t="shared" si="2"/>
        <v/>
      </c>
      <c r="I52" s="2" t="str">
        <f>IF(E52,averaged_runs370!H52,"")</f>
        <v/>
      </c>
      <c r="J52" t="s">
        <v>45</v>
      </c>
      <c r="K52">
        <v>5.86</v>
      </c>
      <c r="L52">
        <v>28.42</v>
      </c>
      <c r="M52">
        <v>6.1244592510450099E-3</v>
      </c>
      <c r="N52">
        <v>158.14617254897601</v>
      </c>
      <c r="O52">
        <v>3.5888726345870203E-2</v>
      </c>
      <c r="P52">
        <v>-0.481666666520641</v>
      </c>
      <c r="Q52">
        <v>1.2600000001662399</v>
      </c>
      <c r="R52">
        <v>-1.2976190309842499E-2</v>
      </c>
      <c r="S52">
        <v>-0.481666666520641</v>
      </c>
      <c r="T52">
        <v>1.2600000001662399</v>
      </c>
      <c r="U52">
        <v>-0.481666666520641</v>
      </c>
      <c r="V52">
        <v>1.2600000001662399</v>
      </c>
      <c r="W52">
        <v>2.0545105723049701</v>
      </c>
      <c r="X52">
        <v>4.6228321241820601E-2</v>
      </c>
      <c r="Y52">
        <v>2.51647356161698E-2</v>
      </c>
      <c r="Z52">
        <v>-6.1427582603819798E-3</v>
      </c>
      <c r="AA52">
        <v>6.1244592510450203E-3</v>
      </c>
      <c r="AB52">
        <v>150.87533340754899</v>
      </c>
      <c r="AC52">
        <v>3.3896661456558598E-2</v>
      </c>
      <c r="AD52">
        <v>-0.45166666652059501</v>
      </c>
      <c r="AE52">
        <v>1.2966666668327</v>
      </c>
      <c r="AF52">
        <v>-0.13761904745166101</v>
      </c>
      <c r="AG52">
        <v>-0.45166666652059501</v>
      </c>
      <c r="AH52">
        <v>1.2966666668327</v>
      </c>
      <c r="AI52">
        <v>-0.45166666652059501</v>
      </c>
      <c r="AJ52">
        <v>1.2966666668327</v>
      </c>
      <c r="AK52">
        <v>1.3728571428096099</v>
      </c>
      <c r="AL52">
        <v>-6.1427582603819798E-3</v>
      </c>
      <c r="AM52">
        <v>6.9604658778189599</v>
      </c>
      <c r="AN52">
        <v>6.5264797797119503</v>
      </c>
      <c r="AO52">
        <v>7.3681583796133197</v>
      </c>
      <c r="AP52">
        <v>6.3092263859796702</v>
      </c>
      <c r="AQ52">
        <v>1.3824896690625501</v>
      </c>
      <c r="AR52">
        <v>13.56</v>
      </c>
      <c r="AS52">
        <v>14</v>
      </c>
      <c r="AT52">
        <v>0.14507372148202599</v>
      </c>
      <c r="AU52">
        <v>0.27396182336614999</v>
      </c>
      <c r="AV52">
        <v>1.2466200000000001</v>
      </c>
      <c r="AW52">
        <v>194.93104333781901</v>
      </c>
      <c r="AX52">
        <v>5.5142080488751903E-2</v>
      </c>
      <c r="AY52">
        <v>4.0307813208022202E-2</v>
      </c>
      <c r="AZ52">
        <v>4.4043618985429599E-2</v>
      </c>
      <c r="BA52">
        <v>2.3273214287357198</v>
      </c>
      <c r="BB52">
        <v>2.5582738096407098</v>
      </c>
      <c r="BC52">
        <v>13.92</v>
      </c>
    </row>
    <row r="53" spans="1:55" x14ac:dyDescent="0.2">
      <c r="A53" t="s">
        <v>100</v>
      </c>
      <c r="B53" t="s">
        <v>98</v>
      </c>
      <c r="C53" t="str">
        <f t="shared" ca="1" si="0"/>
        <v/>
      </c>
      <c r="E53">
        <f>AND(O53&lt;$C$1,averaged_runs370!H53&lt;$C$1,averaged_runs126!H53&lt;$C$1)*1</f>
        <v>1</v>
      </c>
      <c r="F53" s="2">
        <f>IF(TRUE,SQRT(averaged_runs126!H53^2/2+averaged_runs370!H53^2/2+O53^2*0),"")</f>
        <v>4.8972055186621996E-2</v>
      </c>
      <c r="G53" s="2">
        <f>IF(E53,averaged_runs126!H53,"")</f>
        <v>3.9823568739647E-2</v>
      </c>
      <c r="H53" s="2">
        <f t="shared" si="2"/>
        <v>4.03538710748459E-2</v>
      </c>
      <c r="I53" s="2">
        <f>IF(E53,averaged_runs370!H53,"")</f>
        <v>5.6662225081986602E-2</v>
      </c>
      <c r="J53" t="s">
        <v>45</v>
      </c>
      <c r="K53">
        <v>3.94</v>
      </c>
      <c r="L53">
        <v>21.24</v>
      </c>
      <c r="M53">
        <v>1.46459217224827E-2</v>
      </c>
      <c r="N53">
        <v>142.198776097924</v>
      </c>
      <c r="O53">
        <v>4.03538710748459E-2</v>
      </c>
      <c r="P53">
        <v>-1.55916666651967</v>
      </c>
      <c r="Q53">
        <v>1.2483333334995801</v>
      </c>
      <c r="R53">
        <v>-0.53429487162758005</v>
      </c>
      <c r="S53">
        <v>-1.57333333318632</v>
      </c>
      <c r="T53">
        <v>1.2483333334995801</v>
      </c>
      <c r="U53">
        <v>-1.57333333318632</v>
      </c>
      <c r="V53">
        <v>1.2483333334995801</v>
      </c>
      <c r="W53">
        <v>2.6593483575937502</v>
      </c>
      <c r="X53">
        <v>5.5724933890835701E-2</v>
      </c>
      <c r="Y53">
        <v>2.34919054692144E-2</v>
      </c>
      <c r="Z53">
        <v>-1.4654988016016E-2</v>
      </c>
      <c r="AA53">
        <v>1.46459217224827E-2</v>
      </c>
      <c r="AB53">
        <v>136.594921955107</v>
      </c>
      <c r="AC53">
        <v>3.90485067937641E-2</v>
      </c>
      <c r="AD53">
        <v>-1.52916666651963</v>
      </c>
      <c r="AE53">
        <v>1.28500000016604</v>
      </c>
      <c r="AF53">
        <v>-0.609583333165024</v>
      </c>
      <c r="AG53">
        <v>-1.54333333318628</v>
      </c>
      <c r="AH53">
        <v>1.28500000016604</v>
      </c>
      <c r="AI53">
        <v>-1.54333333318628</v>
      </c>
      <c r="AJ53">
        <v>1.28500000016604</v>
      </c>
      <c r="AK53">
        <v>1.56244047612906</v>
      </c>
      <c r="AL53">
        <v>-1.4654988016016E-2</v>
      </c>
      <c r="AM53">
        <v>5.8599273548432</v>
      </c>
      <c r="AN53">
        <v>6.20163825919236</v>
      </c>
      <c r="AO53">
        <v>6.4787317669860398</v>
      </c>
      <c r="AP53">
        <v>6.0404482306342802</v>
      </c>
      <c r="AQ53">
        <v>1.3632926727019099</v>
      </c>
      <c r="AR53">
        <v>13.683999999999999</v>
      </c>
      <c r="AS53">
        <v>14.124000000000001</v>
      </c>
      <c r="AT53">
        <v>0.35389841029353702</v>
      </c>
      <c r="AU53">
        <v>0.48364217983913899</v>
      </c>
      <c r="AV53">
        <v>1.79009999999999</v>
      </c>
      <c r="AW53">
        <v>192.224266850969</v>
      </c>
      <c r="AX53">
        <v>6.2603731230557E-2</v>
      </c>
      <c r="AY53">
        <v>5.1324781370092998E-2</v>
      </c>
      <c r="AZ53">
        <v>5.4863024001838602E-2</v>
      </c>
      <c r="BA53">
        <v>-0.30924404745152501</v>
      </c>
      <c r="BB53">
        <v>1.4162519840997401</v>
      </c>
      <c r="BC53">
        <v>20.128</v>
      </c>
    </row>
    <row r="54" spans="1:55" x14ac:dyDescent="0.2">
      <c r="A54" t="s">
        <v>101</v>
      </c>
      <c r="B54" t="s">
        <v>98</v>
      </c>
      <c r="C54" t="str">
        <f t="shared" ca="1" si="0"/>
        <v/>
      </c>
      <c r="E54">
        <f>AND(O54&lt;$C$1,averaged_runs370!H54&lt;$C$1,averaged_runs126!H54&lt;$C$1)*1</f>
        <v>1</v>
      </c>
      <c r="F54" s="2">
        <f>IF(TRUE,SQRT(averaged_runs126!H54^2/2+averaged_runs370!H54^2/2+O54^2*0),"")</f>
        <v>4.8529698985753079E-2</v>
      </c>
      <c r="G54" s="2">
        <f>IF(E54,averaged_runs126!H54,"")</f>
        <v>4.0109386714553302E-2</v>
      </c>
      <c r="H54" s="2">
        <f t="shared" si="2"/>
        <v>3.9283015338962397E-2</v>
      </c>
      <c r="I54" s="2">
        <f>IF(E54,averaged_runs370!H54,"")</f>
        <v>5.5691116568785198E-2</v>
      </c>
      <c r="J54" t="s">
        <v>45</v>
      </c>
      <c r="K54">
        <v>3.28</v>
      </c>
      <c r="L54">
        <v>18.12</v>
      </c>
      <c r="M54">
        <v>1.19176339779733E-2</v>
      </c>
      <c r="N54">
        <v>147.08224832960499</v>
      </c>
      <c r="O54">
        <v>3.9283015338962397E-2</v>
      </c>
      <c r="P54">
        <v>-1.42499999985311</v>
      </c>
      <c r="Q54">
        <v>1.13333333349972</v>
      </c>
      <c r="R54">
        <v>-0.38293040276332602</v>
      </c>
      <c r="S54">
        <v>-1.42499999985311</v>
      </c>
      <c r="T54">
        <v>1.13333333349972</v>
      </c>
      <c r="U54">
        <v>-1.42499999985311</v>
      </c>
      <c r="V54">
        <v>1.13333333349972</v>
      </c>
      <c r="W54">
        <v>2.4222016154743899</v>
      </c>
      <c r="X54">
        <v>5.2712716634023202E-2</v>
      </c>
      <c r="Y54">
        <v>1.8848572002622299E-2</v>
      </c>
      <c r="Z54">
        <v>-1.1883088787046E-2</v>
      </c>
      <c r="AA54">
        <v>1.19176339779733E-2</v>
      </c>
      <c r="AB54">
        <v>141.59657858322899</v>
      </c>
      <c r="AC54">
        <v>3.8008185166281599E-2</v>
      </c>
      <c r="AD54">
        <v>-1.39499999985307</v>
      </c>
      <c r="AE54">
        <v>1.1700000001661801</v>
      </c>
      <c r="AF54">
        <v>-0.42898809506992802</v>
      </c>
      <c r="AG54">
        <v>-1.39499999985307</v>
      </c>
      <c r="AH54">
        <v>1.1700000001661801</v>
      </c>
      <c r="AI54">
        <v>-1.39499999985307</v>
      </c>
      <c r="AJ54">
        <v>1.1700000001661801</v>
      </c>
      <c r="AK54">
        <v>1.53089285708165</v>
      </c>
      <c r="AL54">
        <v>-1.1883088787046E-2</v>
      </c>
      <c r="AM54">
        <v>5.9837778547062399</v>
      </c>
      <c r="AN54">
        <v>6.3368268443594102</v>
      </c>
      <c r="AO54">
        <v>6.5911075039270299</v>
      </c>
      <c r="AP54">
        <v>6.1468827920086397</v>
      </c>
      <c r="AQ54">
        <v>1.4607437640651899</v>
      </c>
      <c r="AR54">
        <v>13.6</v>
      </c>
      <c r="AS54">
        <v>14.04</v>
      </c>
      <c r="AT54">
        <v>0.34341756238232601</v>
      </c>
      <c r="AU54">
        <v>0.48124951174984099</v>
      </c>
      <c r="AV54">
        <v>1.5689</v>
      </c>
      <c r="AW54">
        <v>205.96487073319199</v>
      </c>
      <c r="AX54">
        <v>5.6031187928273399E-2</v>
      </c>
      <c r="AY54">
        <v>4.7503437122507597E-2</v>
      </c>
      <c r="AZ54">
        <v>5.12679679030126E-2</v>
      </c>
      <c r="BA54">
        <v>4.5188888890513796</v>
      </c>
      <c r="BB54">
        <v>4.5188888890513796</v>
      </c>
      <c r="BC54">
        <v>14.904</v>
      </c>
    </row>
    <row r="55" spans="1:55" x14ac:dyDescent="0.2">
      <c r="A55" t="s">
        <v>102</v>
      </c>
      <c r="B55" t="s">
        <v>98</v>
      </c>
      <c r="C55" t="str">
        <f t="shared" ca="1" si="0"/>
        <v/>
      </c>
      <c r="E55">
        <f>AND(O55&lt;$C$1,averaged_runs370!H55&lt;$C$1,averaged_runs126!H55&lt;$C$1)*1</f>
        <v>1</v>
      </c>
      <c r="F55" s="2">
        <f>IF(TRUE,SQRT(averaged_runs126!H55^2/2+averaged_runs370!H55^2/2+O55^2*0),"")</f>
        <v>4.7929329391716805E-2</v>
      </c>
      <c r="G55" s="2">
        <f>IF(E55,averaged_runs126!H55,"")</f>
        <v>3.7554585582580097E-2</v>
      </c>
      <c r="H55" s="2">
        <f t="shared" si="2"/>
        <v>4.1336666773363999E-2</v>
      </c>
      <c r="I55" s="2">
        <f>IF(E55,averaged_runs370!H55,"")</f>
        <v>5.6427779803923203E-2</v>
      </c>
      <c r="J55" t="s">
        <v>45</v>
      </c>
      <c r="K55">
        <v>3.54</v>
      </c>
      <c r="L55">
        <v>14.6</v>
      </c>
      <c r="M55">
        <v>-1.30076928258597E-3</v>
      </c>
      <c r="N55">
        <v>143.886155384554</v>
      </c>
      <c r="O55">
        <v>4.1336666773363999E-2</v>
      </c>
      <c r="P55">
        <v>-0.61833333318718298</v>
      </c>
      <c r="Q55">
        <v>2.4083333334985402</v>
      </c>
      <c r="R55">
        <v>0.43052197818899302</v>
      </c>
      <c r="S55">
        <v>-0.61833333318718298</v>
      </c>
      <c r="T55">
        <v>2.4083333334985402</v>
      </c>
      <c r="U55">
        <v>-0.61833333318718298</v>
      </c>
      <c r="V55">
        <v>2.4083333334985402</v>
      </c>
      <c r="W55">
        <v>2.6995874301759901</v>
      </c>
      <c r="X55">
        <v>5.3132418392245702E-2</v>
      </c>
      <c r="Y55">
        <v>1.2998809763095701E-3</v>
      </c>
      <c r="Z55">
        <v>-3.3425498641685203E-2</v>
      </c>
      <c r="AA55">
        <v>-1.3007692825859601E-3</v>
      </c>
      <c r="AB55">
        <v>129.524618706718</v>
      </c>
      <c r="AC55">
        <v>4.34092485256918E-2</v>
      </c>
      <c r="AD55">
        <v>-0.58833333318713799</v>
      </c>
      <c r="AE55">
        <v>2.4450000001649999</v>
      </c>
      <c r="AF55">
        <v>0.47595238111967098</v>
      </c>
      <c r="AG55">
        <v>-0.58833333318713799</v>
      </c>
      <c r="AH55">
        <v>2.4450000001649999</v>
      </c>
      <c r="AI55">
        <v>-0.58833333318713799</v>
      </c>
      <c r="AJ55">
        <v>2.4450000001649999</v>
      </c>
      <c r="AK55">
        <v>1.61190476191662</v>
      </c>
      <c r="AL55">
        <v>-3.3425498641685203E-2</v>
      </c>
      <c r="AM55">
        <v>6.1961956494696597</v>
      </c>
      <c r="AN55">
        <v>5.7377208149111096</v>
      </c>
      <c r="AO55">
        <v>6.7793590679659497</v>
      </c>
      <c r="AP55">
        <v>5.5669519189067902</v>
      </c>
      <c r="AQ55">
        <v>1.3555031254369401</v>
      </c>
      <c r="AR55">
        <v>13.68</v>
      </c>
      <c r="AS55">
        <v>14.08</v>
      </c>
      <c r="AT55">
        <v>7.6518987826434501E-2</v>
      </c>
      <c r="AU55">
        <v>0.35642138575801602</v>
      </c>
      <c r="AV55">
        <v>2.67091999999999</v>
      </c>
      <c r="AW55">
        <v>191.125940686609</v>
      </c>
      <c r="AX55">
        <v>6.1407341944934003E-2</v>
      </c>
      <c r="AY55">
        <v>4.95461812560846E-2</v>
      </c>
      <c r="AZ55">
        <v>5.7238282695607101E-2</v>
      </c>
      <c r="BA55">
        <v>14.7509523811022</v>
      </c>
      <c r="BB55">
        <v>14.7509523811022</v>
      </c>
      <c r="BC55">
        <v>13.56</v>
      </c>
    </row>
    <row r="56" spans="1:55" x14ac:dyDescent="0.2">
      <c r="A56" t="s">
        <v>103</v>
      </c>
      <c r="B56" t="s">
        <v>98</v>
      </c>
      <c r="C56" t="str">
        <f t="shared" ca="1" si="0"/>
        <v/>
      </c>
      <c r="E56">
        <f>AND(O56&lt;$C$1,averaged_runs370!H56&lt;$C$1,averaged_runs126!H56&lt;$C$1)*1</f>
        <v>0</v>
      </c>
      <c r="F56" s="2">
        <f>IF(TRUE,SQRT(averaged_runs126!H56^2/2+averaged_runs370!H56^2/2+O56^2*0),"")</f>
        <v>5.4719183433942435E-2</v>
      </c>
      <c r="G56" s="2" t="str">
        <f>IF(E56,averaged_runs126!H56,"")</f>
        <v/>
      </c>
      <c r="H56" s="2" t="str">
        <f t="shared" si="2"/>
        <v/>
      </c>
      <c r="I56" s="2" t="str">
        <f>IF(E56,averaged_runs370!H56,"")</f>
        <v/>
      </c>
      <c r="J56" t="s">
        <v>45</v>
      </c>
      <c r="K56">
        <v>14.06</v>
      </c>
      <c r="L56">
        <v>26.04</v>
      </c>
      <c r="M56">
        <v>7.3916382134846404E-3</v>
      </c>
      <c r="N56">
        <v>163.40169475012101</v>
      </c>
      <c r="O56">
        <v>3.26677014645438E-2</v>
      </c>
      <c r="P56">
        <v>-0.73833333318710104</v>
      </c>
      <c r="Q56">
        <v>1.3133333334995401</v>
      </c>
      <c r="R56">
        <v>-0.29573260056592998</v>
      </c>
      <c r="S56">
        <v>-0.73833333318710104</v>
      </c>
      <c r="T56">
        <v>1.3133333334995401</v>
      </c>
      <c r="U56">
        <v>-0.73833333318710104</v>
      </c>
      <c r="V56">
        <v>1.3133333334995401</v>
      </c>
      <c r="W56">
        <v>2.1240126796251202</v>
      </c>
      <c r="X56">
        <v>4.4954424487843397E-2</v>
      </c>
      <c r="Y56">
        <v>2.5596551520279499E-2</v>
      </c>
      <c r="Z56">
        <v>-7.3741591194549302E-3</v>
      </c>
      <c r="AA56">
        <v>7.3916382134846604E-3</v>
      </c>
      <c r="AB56">
        <v>146.73923852790199</v>
      </c>
      <c r="AC56">
        <v>3.6083536561898798E-2</v>
      </c>
      <c r="AD56">
        <v>-0.70833333318705605</v>
      </c>
      <c r="AE56">
        <v>1.35000000016601</v>
      </c>
      <c r="AF56">
        <v>-0.39214285697511703</v>
      </c>
      <c r="AG56">
        <v>-0.70833333318705605</v>
      </c>
      <c r="AH56">
        <v>1.35000000016601</v>
      </c>
      <c r="AI56">
        <v>-0.70833333318705605</v>
      </c>
      <c r="AJ56">
        <v>1.35000000016601</v>
      </c>
      <c r="AK56">
        <v>1.5509523809180401</v>
      </c>
      <c r="AL56">
        <v>-7.3741591194549302E-3</v>
      </c>
      <c r="AM56">
        <v>6.61104094664943</v>
      </c>
      <c r="AN56">
        <v>6.44774093559991</v>
      </c>
      <c r="AO56">
        <v>7.25628950058214</v>
      </c>
      <c r="AP56">
        <v>6.5223657191439504</v>
      </c>
      <c r="AQ56">
        <v>0.94003945680270995</v>
      </c>
      <c r="AR56">
        <v>13.56</v>
      </c>
      <c r="AS56">
        <v>14</v>
      </c>
      <c r="AT56">
        <v>7.3607378075260702E-2</v>
      </c>
      <c r="AU56">
        <v>9.9903963317193201E-2</v>
      </c>
      <c r="AV56">
        <v>1.3353999999999999</v>
      </c>
      <c r="AW56">
        <v>132.54556340918199</v>
      </c>
      <c r="AX56">
        <v>5.85483644759189E-2</v>
      </c>
      <c r="AY56">
        <v>3.7913142239530503E-2</v>
      </c>
      <c r="AZ56">
        <v>4.6999790084782202E-2</v>
      </c>
      <c r="BA56">
        <v>8.7107142858621902</v>
      </c>
      <c r="BB56">
        <v>8.7107142858621902</v>
      </c>
      <c r="BC56">
        <v>13.18</v>
      </c>
    </row>
    <row r="57" spans="1:55" x14ac:dyDescent="0.2">
      <c r="A57" t="s">
        <v>104</v>
      </c>
      <c r="B57" t="s">
        <v>98</v>
      </c>
      <c r="C57" t="str">
        <f t="shared" ca="1" si="0"/>
        <v/>
      </c>
      <c r="E57">
        <f>AND(O57&lt;$C$1,averaged_runs370!H57&lt;$C$1,averaged_runs126!H57&lt;$C$1)*1</f>
        <v>1</v>
      </c>
      <c r="F57" s="2">
        <f>IF(TRUE,SQRT(averaged_runs126!H57^2/2+averaged_runs370!H57^2/2+O57^2*0),"")</f>
        <v>4.6822935283820311E-2</v>
      </c>
      <c r="G57" s="2">
        <f>IF(E57,averaged_runs126!H57,"")</f>
        <v>3.7108828418821099E-2</v>
      </c>
      <c r="H57" s="2">
        <f t="shared" si="2"/>
        <v>3.7768099910752799E-2</v>
      </c>
      <c r="I57" s="2">
        <f>IF(E57,averaged_runs370!H57,"")</f>
        <v>5.4842587380321002E-2</v>
      </c>
      <c r="J57" t="s">
        <v>45</v>
      </c>
      <c r="K57">
        <v>1.48</v>
      </c>
      <c r="L57">
        <v>11.08</v>
      </c>
      <c r="M57">
        <v>1.63742903641531E-2</v>
      </c>
      <c r="N57">
        <v>145.19838115294701</v>
      </c>
      <c r="O57">
        <v>3.7768099910752799E-2</v>
      </c>
      <c r="P57">
        <v>-1.82666666651943</v>
      </c>
      <c r="Q57">
        <v>1.3416666668328701</v>
      </c>
      <c r="R57">
        <v>-0.72185439543684204</v>
      </c>
      <c r="S57">
        <v>-1.82666666651943</v>
      </c>
      <c r="T57">
        <v>1.3416666668328701</v>
      </c>
      <c r="U57">
        <v>-1.82666666651943</v>
      </c>
      <c r="V57">
        <v>1.3416666668328701</v>
      </c>
      <c r="W57">
        <v>2.8184285425528199</v>
      </c>
      <c r="X57">
        <v>5.45837983725459E-2</v>
      </c>
      <c r="Y57">
        <v>2.11556102828106E-2</v>
      </c>
      <c r="Z57">
        <v>-1.63754881207222E-2</v>
      </c>
      <c r="AA57">
        <v>1.63742903641531E-2</v>
      </c>
      <c r="AB57">
        <v>129.81964092770099</v>
      </c>
      <c r="AC57">
        <v>4.1171321526147601E-2</v>
      </c>
      <c r="AD57">
        <v>-1.79666666651938</v>
      </c>
      <c r="AE57">
        <v>1.37833333349933</v>
      </c>
      <c r="AF57">
        <v>-0.79738095221242</v>
      </c>
      <c r="AG57">
        <v>-1.79666666651938</v>
      </c>
      <c r="AH57">
        <v>1.37833333349933</v>
      </c>
      <c r="AI57">
        <v>-1.79666666651938</v>
      </c>
      <c r="AJ57">
        <v>1.37833333349933</v>
      </c>
      <c r="AK57">
        <v>1.6692857142241699</v>
      </c>
      <c r="AL57">
        <v>-1.63754881207222E-2</v>
      </c>
      <c r="AM57">
        <v>5.6134622999849899</v>
      </c>
      <c r="AN57">
        <v>6.0808592117056897</v>
      </c>
      <c r="AO57">
        <v>6.3041478891349696</v>
      </c>
      <c r="AP57">
        <v>6.2234093186453796</v>
      </c>
      <c r="AQ57">
        <v>1.4852904911261</v>
      </c>
      <c r="AR57">
        <v>13.66</v>
      </c>
      <c r="AS57">
        <v>14.1</v>
      </c>
      <c r="AT57">
        <v>0.56696191084810599</v>
      </c>
      <c r="AU57">
        <v>0.63954627978370404</v>
      </c>
      <c r="AV57">
        <v>1.83036</v>
      </c>
      <c r="AW57">
        <v>209.42595924878</v>
      </c>
      <c r="AX57">
        <v>5.6166254573185498E-2</v>
      </c>
      <c r="AY57">
        <v>5.1252998266289103E-2</v>
      </c>
      <c r="AZ57">
        <v>5.8802581470607698E-2</v>
      </c>
      <c r="BA57">
        <v>-4.5186904760212103</v>
      </c>
      <c r="BB57">
        <v>4.5841666665100398</v>
      </c>
      <c r="BC57">
        <v>14.632</v>
      </c>
    </row>
    <row r="58" spans="1:55" x14ac:dyDescent="0.2">
      <c r="A58" t="s">
        <v>105</v>
      </c>
      <c r="B58" t="s">
        <v>98</v>
      </c>
      <c r="C58" t="str">
        <f t="shared" ca="1" si="0"/>
        <v/>
      </c>
      <c r="E58">
        <f>AND(O58&lt;$C$1,averaged_runs370!H58&lt;$C$1,averaged_runs126!H58&lt;$C$1)*1</f>
        <v>1</v>
      </c>
      <c r="F58" s="2">
        <f>IF(TRUE,SQRT(averaged_runs126!H58^2/2+averaged_runs370!H58^2/2+O58^2*0),"")</f>
        <v>4.7275768766461626E-2</v>
      </c>
      <c r="G58" s="2">
        <f>IF(E58,averaged_runs126!H58,"")</f>
        <v>3.7467883335178698E-2</v>
      </c>
      <c r="H58" s="2">
        <f t="shared" si="2"/>
        <v>3.6633247034579999E-2</v>
      </c>
      <c r="I58" s="2">
        <f>IF(E58,averaged_runs370!H58,"")</f>
        <v>5.5372866489837198E-2</v>
      </c>
      <c r="J58" t="s">
        <v>45</v>
      </c>
      <c r="K58">
        <v>3.1</v>
      </c>
      <c r="L58">
        <v>13.66</v>
      </c>
      <c r="M58">
        <v>1.53940264045413E-2</v>
      </c>
      <c r="N58">
        <v>146.29744442798199</v>
      </c>
      <c r="O58">
        <v>3.6633247034579999E-2</v>
      </c>
      <c r="P58">
        <v>-1.4849999998530701</v>
      </c>
      <c r="Q58">
        <v>1.3133333334995601</v>
      </c>
      <c r="R58">
        <v>-0.58537545770803801</v>
      </c>
      <c r="S58">
        <v>-1.4849999998530701</v>
      </c>
      <c r="T58">
        <v>1.3133333334995601</v>
      </c>
      <c r="U58">
        <v>-1.4849999998530701</v>
      </c>
      <c r="V58">
        <v>1.3133333334995601</v>
      </c>
      <c r="W58">
        <v>2.7585886191645499</v>
      </c>
      <c r="X58">
        <v>5.1708211541839001E-2</v>
      </c>
      <c r="Y58">
        <v>1.5603146702987699E-2</v>
      </c>
      <c r="Z58">
        <v>-1.53921159628716E-2</v>
      </c>
      <c r="AA58">
        <v>1.53940264045413E-2</v>
      </c>
      <c r="AB58">
        <v>129.71578392311801</v>
      </c>
      <c r="AC58">
        <v>4.0004662435256598E-2</v>
      </c>
      <c r="AD58">
        <v>-1.4549999998530201</v>
      </c>
      <c r="AE58">
        <v>1.35000000016602</v>
      </c>
      <c r="AF58">
        <v>-0.60315476173622795</v>
      </c>
      <c r="AG58">
        <v>-1.4549999998530201</v>
      </c>
      <c r="AH58">
        <v>1.35000000016602</v>
      </c>
      <c r="AI58">
        <v>-1.4549999998530201</v>
      </c>
      <c r="AJ58">
        <v>1.35000000016602</v>
      </c>
      <c r="AK58">
        <v>1.68863095233289</v>
      </c>
      <c r="AL58">
        <v>-1.53921159628716E-2</v>
      </c>
      <c r="AM58">
        <v>5.9021550147938102</v>
      </c>
      <c r="AN58">
        <v>6.1416128022544303</v>
      </c>
      <c r="AO58">
        <v>6.4905474013329103</v>
      </c>
      <c r="AP58">
        <v>6.30495266059941</v>
      </c>
      <c r="AQ58">
        <v>1.4345620218361499</v>
      </c>
      <c r="AR58">
        <v>13.74</v>
      </c>
      <c r="AS58">
        <v>14.18</v>
      </c>
      <c r="AT58">
        <v>0.24167439664440299</v>
      </c>
      <c r="AU58">
        <v>0.40974272241656301</v>
      </c>
      <c r="AV58">
        <v>1.7650600000000001</v>
      </c>
      <c r="AW58">
        <v>202.27324507889699</v>
      </c>
      <c r="AX58">
        <v>5.6344279087737301E-2</v>
      </c>
      <c r="AY58">
        <v>5.07261508335543E-2</v>
      </c>
      <c r="AZ58">
        <v>5.8338144715039897E-2</v>
      </c>
      <c r="BA58">
        <v>-0.49833333316755202</v>
      </c>
      <c r="BB58">
        <v>1.4514285713813999</v>
      </c>
      <c r="BC58">
        <v>14</v>
      </c>
    </row>
    <row r="59" spans="1:55" x14ac:dyDescent="0.2">
      <c r="A59" t="s">
        <v>106</v>
      </c>
      <c r="B59" t="s">
        <v>107</v>
      </c>
      <c r="C59">
        <f t="shared" ca="1" si="0"/>
        <v>2</v>
      </c>
      <c r="D59">
        <v>3</v>
      </c>
      <c r="E59">
        <f>AND(O59&lt;$C$1,averaged_runs370!H59&lt;$C$1,averaged_runs126!H59&lt;$C$1)*1</f>
        <v>0</v>
      </c>
      <c r="F59" s="2">
        <f>IF(TRUE,SQRT(averaged_runs126!H59^2/2+averaged_runs370!H59^2/2+O59^2*0),"")</f>
        <v>8.5217467500249444E-2</v>
      </c>
      <c r="G59" s="2" t="str">
        <f>IF(E59,averaged_runs126!H59,"")</f>
        <v/>
      </c>
      <c r="H59" s="2" t="str">
        <f t="shared" si="2"/>
        <v/>
      </c>
      <c r="I59" s="2" t="str">
        <f>IF(E59,averaged_runs370!H59,"")</f>
        <v/>
      </c>
      <c r="J59" t="s">
        <v>45</v>
      </c>
      <c r="K59">
        <v>0</v>
      </c>
      <c r="L59">
        <v>1.92</v>
      </c>
      <c r="M59">
        <v>8.8656592355532998E-2</v>
      </c>
      <c r="N59">
        <v>43.850759806604998</v>
      </c>
      <c r="O59">
        <v>0.15012699132115201</v>
      </c>
      <c r="P59">
        <v>-1.10833333318676</v>
      </c>
      <c r="Q59">
        <v>-4.4283333331619197</v>
      </c>
      <c r="R59">
        <v>-3.8329578752929701</v>
      </c>
      <c r="S59">
        <v>-1.10833333318676</v>
      </c>
      <c r="T59">
        <v>-4.4283333331619197</v>
      </c>
      <c r="U59">
        <v>-1.10833333318676</v>
      </c>
      <c r="V59">
        <v>-4.4283333331619197</v>
      </c>
      <c r="W59">
        <v>5.8570510796083104</v>
      </c>
      <c r="X59">
        <v>0.13723734361321999</v>
      </c>
      <c r="Y59">
        <v>2.8905555419253801E-2</v>
      </c>
      <c r="Z59">
        <v>0.175484207994059</v>
      </c>
      <c r="AA59">
        <v>8.8656592355532998E-2</v>
      </c>
      <c r="AB59">
        <v>43.735139784094997</v>
      </c>
      <c r="AC59">
        <v>0.150259441141598</v>
      </c>
      <c r="AD59">
        <v>-1.07833333318671</v>
      </c>
      <c r="AE59">
        <v>-4.3916666664954596</v>
      </c>
      <c r="AF59">
        <v>-4.33345238078644</v>
      </c>
      <c r="AG59">
        <v>-1.07833333318671</v>
      </c>
      <c r="AH59">
        <v>-4.3916666664954596</v>
      </c>
      <c r="AI59">
        <v>-1.07833333318671</v>
      </c>
      <c r="AJ59">
        <v>-4.3916666664954596</v>
      </c>
      <c r="AK59">
        <v>4.33345238078644</v>
      </c>
      <c r="AL59">
        <v>0.175484207994059</v>
      </c>
      <c r="AM59">
        <v>1.9513232127865401</v>
      </c>
      <c r="AN59">
        <v>1.31622682741192</v>
      </c>
      <c r="AO59">
        <v>1.92920994824311</v>
      </c>
      <c r="AP59">
        <v>1.3436004483616899</v>
      </c>
      <c r="AQ59">
        <v>0.99761108928001596</v>
      </c>
      <c r="AR59">
        <v>13.56</v>
      </c>
      <c r="AS59">
        <v>14</v>
      </c>
      <c r="AT59">
        <v>0.86368600849889399</v>
      </c>
      <c r="AU59">
        <v>0.87805550056238701</v>
      </c>
      <c r="AV59">
        <v>1.4859</v>
      </c>
      <c r="AW59">
        <v>228.45293944512301</v>
      </c>
      <c r="AX59">
        <v>8.6885278830712995E-2</v>
      </c>
      <c r="AY59">
        <v>0.12823281842940201</v>
      </c>
      <c r="AZ59">
        <v>0.128513036793868</v>
      </c>
      <c r="BA59">
        <v>0.49847222238473299</v>
      </c>
      <c r="BB59">
        <v>1.50751984129854</v>
      </c>
      <c r="BC59">
        <v>13.76</v>
      </c>
    </row>
    <row r="60" spans="1:55" x14ac:dyDescent="0.2">
      <c r="A60" t="s">
        <v>108</v>
      </c>
      <c r="B60" t="s">
        <v>107</v>
      </c>
      <c r="C60" t="str">
        <f t="shared" ca="1" si="0"/>
        <v/>
      </c>
      <c r="E60">
        <f>AND(O60&lt;$C$1,averaged_runs370!H60&lt;$C$1,averaged_runs126!H60&lt;$C$1)*1</f>
        <v>1</v>
      </c>
      <c r="F60" s="2">
        <f>IF(TRUE,SQRT(averaged_runs126!H60^2/2+averaged_runs370!H60^2/2+O60^2*0),"")</f>
        <v>4.9734840691272077E-2</v>
      </c>
      <c r="G60" s="2">
        <f>IF(E60,averaged_runs126!H60,"")</f>
        <v>4.4156821590458202E-2</v>
      </c>
      <c r="H60" s="2">
        <f t="shared" si="2"/>
        <v>5.6416210444083001E-2</v>
      </c>
      <c r="I60" s="2">
        <f>IF(E60,averaged_runs370!H60,"")</f>
        <v>5.4747455321693901E-2</v>
      </c>
      <c r="J60" t="s">
        <v>45</v>
      </c>
      <c r="K60">
        <v>0</v>
      </c>
      <c r="L60">
        <v>0.02</v>
      </c>
      <c r="M60">
        <v>3.53985023227604E-2</v>
      </c>
      <c r="N60">
        <v>130.79312562087901</v>
      </c>
      <c r="O60">
        <v>5.6416210444083001E-2</v>
      </c>
      <c r="P60">
        <v>-0.83833333318698799</v>
      </c>
      <c r="Q60">
        <v>-2.2083333331639099</v>
      </c>
      <c r="R60">
        <v>-1.9446428569763099</v>
      </c>
      <c r="S60">
        <v>-1.1116666665200701</v>
      </c>
      <c r="T60">
        <v>-2.5716666664969101</v>
      </c>
      <c r="U60">
        <v>-0.85666666652030399</v>
      </c>
      <c r="V60">
        <v>-2.5716666664969101</v>
      </c>
      <c r="W60">
        <v>2.8435629877915098</v>
      </c>
      <c r="X60">
        <v>5.3512976493008999E-2</v>
      </c>
      <c r="Y60">
        <v>1.3828508753425801E-2</v>
      </c>
      <c r="Z60">
        <v>5.3450947811728898E-2</v>
      </c>
      <c r="AA60">
        <v>3.53985023227604E-2</v>
      </c>
      <c r="AB60">
        <v>108.023366973151</v>
      </c>
      <c r="AC60">
        <v>6.8122233145975E-2</v>
      </c>
      <c r="AD60">
        <v>-0.808333333186942</v>
      </c>
      <c r="AE60">
        <v>-2.1716666664974502</v>
      </c>
      <c r="AF60">
        <v>-2.1209722220545499</v>
      </c>
      <c r="AG60">
        <v>-1.0816666665200301</v>
      </c>
      <c r="AH60">
        <v>-2.53499999983045</v>
      </c>
      <c r="AI60">
        <v>-0.80166666652028595</v>
      </c>
      <c r="AJ60">
        <v>-2.50666666649713</v>
      </c>
      <c r="AK60">
        <v>2.3513888887477599</v>
      </c>
      <c r="AL60">
        <v>5.3450947811728898E-2</v>
      </c>
      <c r="AM60">
        <v>5.0161805407384898</v>
      </c>
      <c r="AN60">
        <v>3.6965785694006601</v>
      </c>
      <c r="AO60">
        <v>5.6011572318489602</v>
      </c>
      <c r="AP60">
        <v>4.0681644733785101</v>
      </c>
      <c r="AQ60">
        <v>1.5837003823029601</v>
      </c>
      <c r="AR60">
        <v>17.774000000000001</v>
      </c>
      <c r="AS60">
        <v>18.474</v>
      </c>
      <c r="AT60">
        <v>0.94021862731004302</v>
      </c>
      <c r="AU60">
        <v>0.95546092034028496</v>
      </c>
      <c r="AV60">
        <v>6.0517999999999903</v>
      </c>
      <c r="AW60">
        <v>348.41408410665201</v>
      </c>
      <c r="AX60">
        <v>4.7556565346341E-2</v>
      </c>
      <c r="AY60">
        <v>5.3205707238571397E-2</v>
      </c>
      <c r="AZ60">
        <v>6.8691210970442201E-2</v>
      </c>
      <c r="BA60">
        <v>-0.60904761887998604</v>
      </c>
      <c r="BB60">
        <v>1.41031746027021</v>
      </c>
      <c r="BC60">
        <v>15.252000000000001</v>
      </c>
    </row>
    <row r="61" spans="1:55" x14ac:dyDescent="0.2">
      <c r="A61" t="s">
        <v>109</v>
      </c>
      <c r="B61" t="s">
        <v>107</v>
      </c>
      <c r="C61" t="str">
        <f t="shared" ca="1" si="0"/>
        <v/>
      </c>
      <c r="E61">
        <f>AND(O61&lt;$C$1,averaged_runs370!H61&lt;$C$1,averaged_runs126!H61&lt;$C$1)*1</f>
        <v>1</v>
      </c>
      <c r="F61" s="2">
        <f>IF(TRUE,SQRT(averaged_runs126!H61^2/2+averaged_runs370!H61^2/2+O61^2*0),"")</f>
        <v>5.0940615240432495E-2</v>
      </c>
      <c r="G61" s="2">
        <f>IF(E61,averaged_runs126!H61,"")</f>
        <v>4.3087819169317802E-2</v>
      </c>
      <c r="H61" s="2">
        <f t="shared" si="2"/>
        <v>5.8530066556266497E-2</v>
      </c>
      <c r="I61" s="2">
        <f>IF(E61,averaged_runs370!H61,"")</f>
        <v>5.7735018848007101E-2</v>
      </c>
      <c r="J61" t="s">
        <v>45</v>
      </c>
      <c r="K61">
        <v>0.02</v>
      </c>
      <c r="L61">
        <v>0.02</v>
      </c>
      <c r="M61">
        <v>3.9209715629165698E-2</v>
      </c>
      <c r="N61">
        <v>129.968155588245</v>
      </c>
      <c r="O61">
        <v>5.8530066556266497E-2</v>
      </c>
      <c r="P61">
        <v>-0.87333333318696005</v>
      </c>
      <c r="Q61">
        <v>-2.4149999998303899</v>
      </c>
      <c r="R61">
        <v>-2.14998015856367</v>
      </c>
      <c r="S61">
        <v>-0.93166666652024099</v>
      </c>
      <c r="T61">
        <v>-2.5433333331636101</v>
      </c>
      <c r="U61">
        <v>-0.88166666652028602</v>
      </c>
      <c r="V61">
        <v>-2.5433333331636101</v>
      </c>
      <c r="W61">
        <v>3.1878761785174201</v>
      </c>
      <c r="X61">
        <v>5.5170744919133402E-2</v>
      </c>
      <c r="Y61">
        <v>1.5084216507020499E-2</v>
      </c>
      <c r="Z61">
        <v>6.0894737369135699E-2</v>
      </c>
      <c r="AA61">
        <v>3.9209715629165698E-2</v>
      </c>
      <c r="AB61">
        <v>107.635226346981</v>
      </c>
      <c r="AC61">
        <v>6.9795770241815894E-2</v>
      </c>
      <c r="AD61">
        <v>-0.84333333318691495</v>
      </c>
      <c r="AE61">
        <v>-2.3783333331639298</v>
      </c>
      <c r="AF61">
        <v>-2.32839285697509</v>
      </c>
      <c r="AG61">
        <v>-0.901666666520195</v>
      </c>
      <c r="AH61">
        <v>-2.50666666649715</v>
      </c>
      <c r="AI61">
        <v>-0.85166666652024103</v>
      </c>
      <c r="AJ61">
        <v>-2.50666666649715</v>
      </c>
      <c r="AK61">
        <v>2.5395039681194298</v>
      </c>
      <c r="AL61">
        <v>6.0894737369135699E-2</v>
      </c>
      <c r="AM61">
        <v>5.3565258360621</v>
      </c>
      <c r="AN61">
        <v>3.5643915550446601</v>
      </c>
      <c r="AO61">
        <v>5.6336482340225302</v>
      </c>
      <c r="AP61">
        <v>3.9664793123811499</v>
      </c>
      <c r="AQ61">
        <v>1.5544720268789101</v>
      </c>
      <c r="AR61">
        <v>14.808</v>
      </c>
      <c r="AS61">
        <v>15.3479999999999</v>
      </c>
      <c r="AT61">
        <v>0.92165020867296399</v>
      </c>
      <c r="AU61">
        <v>0.93660821233882596</v>
      </c>
      <c r="AV61">
        <v>3.2341600000000001</v>
      </c>
      <c r="AW61">
        <v>341.98384591336099</v>
      </c>
      <c r="AX61">
        <v>4.90969948469989E-2</v>
      </c>
      <c r="AY61">
        <v>5.4141501485597598E-2</v>
      </c>
      <c r="AZ61">
        <v>6.9750167558643605E-2</v>
      </c>
      <c r="BA61">
        <v>-0.16460317443595199</v>
      </c>
      <c r="BB61">
        <v>1.17634920632896</v>
      </c>
      <c r="BC61">
        <v>15.252000000000001</v>
      </c>
    </row>
    <row r="64" spans="1:55" x14ac:dyDescent="0.2">
      <c r="E64">
        <f>SUM(E2:E61)</f>
        <v>25</v>
      </c>
    </row>
  </sheetData>
  <sortState xmlns:xlrd2="http://schemas.microsoft.com/office/spreadsheetml/2017/richdata2" ref="A2:BC61">
    <sortCondition ref="B2:B61"/>
    <sortCondition ref="A2:A61"/>
  </sortState>
  <pageMargins left="0.75" right="0.75" top="1" bottom="1" header="0.5" footer="0.5"/>
  <pageSetup orientation="portrait" horizontalDpi="0" verticalDpi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D533-2147-6C4D-9BA5-D0CA2E1C37EC}">
  <dimension ref="A1:AS61"/>
  <sheetViews>
    <sheetView workbookViewId="0">
      <pane ySplit="1" topLeftCell="A3" activePane="bottomLeft" state="frozen"/>
      <selection pane="bottomLeft" activeCell="A45" sqref="A45:XFD4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115</v>
      </c>
      <c r="I1" t="s">
        <v>19</v>
      </c>
      <c r="J1" t="s">
        <v>20</v>
      </c>
      <c r="K1" t="s">
        <v>25</v>
      </c>
      <c r="L1" t="s">
        <v>23</v>
      </c>
      <c r="M1" t="s">
        <v>24</v>
      </c>
      <c r="N1" t="s">
        <v>21</v>
      </c>
      <c r="O1" t="s">
        <v>22</v>
      </c>
      <c r="P1" t="s">
        <v>26</v>
      </c>
      <c r="Q1" t="s">
        <v>4</v>
      </c>
      <c r="R1" t="s">
        <v>11</v>
      </c>
      <c r="S1" t="s">
        <v>18</v>
      </c>
      <c r="T1" t="s">
        <v>30</v>
      </c>
      <c r="U1" t="s">
        <v>28</v>
      </c>
      <c r="V1" t="s">
        <v>116</v>
      </c>
      <c r="W1" t="s">
        <v>34</v>
      </c>
      <c r="X1" t="s">
        <v>35</v>
      </c>
      <c r="Y1" t="s">
        <v>40</v>
      </c>
      <c r="Z1" t="s">
        <v>38</v>
      </c>
      <c r="AA1" t="s">
        <v>39</v>
      </c>
      <c r="AB1" t="s">
        <v>36</v>
      </c>
      <c r="AC1" t="s">
        <v>37</v>
      </c>
      <c r="AD1" t="s">
        <v>41</v>
      </c>
      <c r="AE1" t="s">
        <v>33</v>
      </c>
      <c r="AF1" t="s">
        <v>31</v>
      </c>
      <c r="AG1" t="s">
        <v>32</v>
      </c>
      <c r="AH1" t="s">
        <v>16</v>
      </c>
      <c r="AI1" t="s">
        <v>17</v>
      </c>
      <c r="AJ1" t="s">
        <v>9</v>
      </c>
      <c r="AK1" t="s">
        <v>27</v>
      </c>
      <c r="AL1" t="s">
        <v>42</v>
      </c>
      <c r="AM1" t="s">
        <v>7</v>
      </c>
      <c r="AN1" t="s">
        <v>8</v>
      </c>
      <c r="AO1" t="s">
        <v>3</v>
      </c>
      <c r="AP1" t="s">
        <v>12</v>
      </c>
      <c r="AQ1" t="s">
        <v>10</v>
      </c>
      <c r="AR1" t="s">
        <v>14</v>
      </c>
      <c r="AS1" t="s">
        <v>29</v>
      </c>
    </row>
    <row r="2" spans="1:45" x14ac:dyDescent="0.2">
      <c r="A2" t="s">
        <v>43</v>
      </c>
      <c r="B2" t="s">
        <v>44</v>
      </c>
      <c r="C2" t="s">
        <v>45</v>
      </c>
      <c r="D2">
        <v>98.02</v>
      </c>
      <c r="E2">
        <v>159.4</v>
      </c>
      <c r="F2">
        <v>-0.12915423936313999</v>
      </c>
      <c r="G2">
        <v>-337.80419484333697</v>
      </c>
      <c r="H2">
        <v>0.15009979354462299</v>
      </c>
      <c r="I2">
        <v>4.9433333334722596</v>
      </c>
      <c r="J2">
        <v>4.6008333334878602</v>
      </c>
      <c r="K2">
        <v>4.6041747641251396</v>
      </c>
      <c r="L2">
        <v>4.9216666668056099</v>
      </c>
      <c r="M2">
        <v>4.5866666668212002</v>
      </c>
      <c r="N2">
        <v>4.9650000001389003</v>
      </c>
      <c r="O2">
        <v>4.6150000001545104</v>
      </c>
      <c r="P2">
        <v>4.6953361456237603</v>
      </c>
      <c r="Q2">
        <v>4.1412013867878697E-2</v>
      </c>
      <c r="R2">
        <v>-6.6930097337747796E-2</v>
      </c>
      <c r="S2">
        <v>-0.15777031725644999</v>
      </c>
      <c r="T2">
        <v>-0.12915423936313999</v>
      </c>
      <c r="U2">
        <v>-407.426831034271</v>
      </c>
      <c r="V2">
        <v>0.15324018757781499</v>
      </c>
      <c r="W2">
        <v>4.9133333334726803</v>
      </c>
      <c r="X2">
        <v>4.5858333334882104</v>
      </c>
      <c r="Y2">
        <v>4.59025362336883</v>
      </c>
      <c r="Z2">
        <v>4.8916666668060396</v>
      </c>
      <c r="AA2">
        <v>4.5716666668215504</v>
      </c>
      <c r="AB2">
        <v>4.9350000001393299</v>
      </c>
      <c r="AC2">
        <v>4.6000000001548598</v>
      </c>
      <c r="AD2">
        <v>4.59025362336883</v>
      </c>
      <c r="AE2">
        <v>-0.15777031725644999</v>
      </c>
      <c r="AF2">
        <v>1.13102490852131</v>
      </c>
      <c r="AG2">
        <v>0.49843884259128102</v>
      </c>
      <c r="AH2">
        <v>0.44828556094641098</v>
      </c>
      <c r="AI2">
        <v>0.20366646092267299</v>
      </c>
      <c r="AJ2">
        <v>-0.74040421965033898</v>
      </c>
      <c r="AK2">
        <v>23.744</v>
      </c>
      <c r="AL2">
        <v>23.283999999999999</v>
      </c>
      <c r="AM2" s="1">
        <v>4.1868171572155001E-7</v>
      </c>
      <c r="AN2" s="1">
        <v>1.0929078484389601E-5</v>
      </c>
      <c r="AO2">
        <v>2.8928199999999999</v>
      </c>
      <c r="AP2">
        <v>-171.03337473922801</v>
      </c>
      <c r="AQ2">
        <v>9.6506214953551897E-2</v>
      </c>
      <c r="AR2">
        <v>0.13636394620228601</v>
      </c>
      <c r="AS2">
        <v>0.14411760838238799</v>
      </c>
    </row>
    <row r="3" spans="1:45" x14ac:dyDescent="0.2">
      <c r="A3" t="s">
        <v>46</v>
      </c>
      <c r="B3" t="s">
        <v>44</v>
      </c>
      <c r="C3" t="s">
        <v>45</v>
      </c>
      <c r="D3">
        <v>36.22</v>
      </c>
      <c r="E3">
        <v>103.34</v>
      </c>
      <c r="F3">
        <v>-5.74867638349532E-2</v>
      </c>
      <c r="G3">
        <v>-29.983637398715899</v>
      </c>
      <c r="H3">
        <v>8.3713169653307704E-2</v>
      </c>
      <c r="I3">
        <v>2.4166666668078598</v>
      </c>
      <c r="J3">
        <v>1.99416666682358</v>
      </c>
      <c r="K3">
        <v>2.1026623574501699</v>
      </c>
      <c r="L3">
        <v>2.0033333334749002</v>
      </c>
      <c r="M3">
        <v>1.79166666682377</v>
      </c>
      <c r="N3">
        <v>2.8300000001408101</v>
      </c>
      <c r="O3">
        <v>2.1966666668234001</v>
      </c>
      <c r="P3">
        <v>2.4941889137401101</v>
      </c>
      <c r="Q3">
        <v>4.8642076754504097E-2</v>
      </c>
      <c r="R3">
        <v>-3.1939753633006301E-2</v>
      </c>
      <c r="S3">
        <v>-7.1403537929058E-2</v>
      </c>
      <c r="T3">
        <v>-5.74867638349532E-2</v>
      </c>
      <c r="U3">
        <v>-100.794831800857</v>
      </c>
      <c r="V3">
        <v>9.1862175111557601E-2</v>
      </c>
      <c r="W3">
        <v>2.3866666668082801</v>
      </c>
      <c r="X3">
        <v>1.9791666668239301</v>
      </c>
      <c r="Y3">
        <v>2.0857125605673899</v>
      </c>
      <c r="Z3">
        <v>1.97333333347532</v>
      </c>
      <c r="AA3">
        <v>1.77666666682412</v>
      </c>
      <c r="AB3">
        <v>2.7250000001412999</v>
      </c>
      <c r="AC3">
        <v>2.1250000001571401</v>
      </c>
      <c r="AD3">
        <v>2.1123067634586601</v>
      </c>
      <c r="AE3">
        <v>-7.1403537929058E-2</v>
      </c>
      <c r="AF3">
        <v>4.6225389160063299</v>
      </c>
      <c r="AG3">
        <v>4.3447426205903703</v>
      </c>
      <c r="AH3">
        <v>3.4037610573085999</v>
      </c>
      <c r="AI3">
        <v>4.0548347537866096</v>
      </c>
      <c r="AJ3">
        <v>0.40406909371710997</v>
      </c>
      <c r="AK3">
        <v>25.896000000000001</v>
      </c>
      <c r="AL3">
        <v>25.396000000000001</v>
      </c>
      <c r="AM3" s="1">
        <v>1.5809058014978801E-5</v>
      </c>
      <c r="AN3">
        <v>6.4781061277584403E-4</v>
      </c>
      <c r="AO3">
        <v>5.6426800000000004</v>
      </c>
      <c r="AP3">
        <v>93.339960648652493</v>
      </c>
      <c r="AQ3">
        <v>7.3477530250297005E-2</v>
      </c>
      <c r="AR3">
        <v>7.9705886781242394E-2</v>
      </c>
      <c r="AS3">
        <v>9.2414695590249299E-2</v>
      </c>
    </row>
    <row r="4" spans="1:45" x14ac:dyDescent="0.2">
      <c r="A4" t="s">
        <v>67</v>
      </c>
      <c r="B4" t="s">
        <v>44</v>
      </c>
      <c r="C4" t="s">
        <v>45</v>
      </c>
      <c r="D4">
        <v>85.34</v>
      </c>
      <c r="E4">
        <v>168.64</v>
      </c>
      <c r="F4">
        <v>-3.3431713448630301E-2</v>
      </c>
      <c r="G4">
        <v>118.327420190669</v>
      </c>
      <c r="H4">
        <v>6.1929790715708997E-2</v>
      </c>
      <c r="I4">
        <v>1.1050000001424001</v>
      </c>
      <c r="J4">
        <v>1.5433333334906301</v>
      </c>
      <c r="K4">
        <v>1.3550418589879201</v>
      </c>
      <c r="L4">
        <v>1.1050000001424001</v>
      </c>
      <c r="M4">
        <v>1.5433333334906301</v>
      </c>
      <c r="N4">
        <v>1.1050000001424001</v>
      </c>
      <c r="O4">
        <v>1.5433333334906301</v>
      </c>
      <c r="P4">
        <v>1.8812130154848199</v>
      </c>
      <c r="Q4">
        <v>4.0544430957973401E-2</v>
      </c>
      <c r="R4">
        <v>3.6251860975235403E-2</v>
      </c>
      <c r="S4">
        <v>-6.4798080265521904E-2</v>
      </c>
      <c r="T4">
        <v>-3.3431713448630399E-2</v>
      </c>
      <c r="U4">
        <v>51.855115563697602</v>
      </c>
      <c r="V4">
        <v>7.1420770885460699E-2</v>
      </c>
      <c r="W4">
        <v>1.0750000001428299</v>
      </c>
      <c r="X4">
        <v>1.5283333334909801</v>
      </c>
      <c r="Y4">
        <v>1.3288768117758001</v>
      </c>
      <c r="Z4">
        <v>1.0750000001428299</v>
      </c>
      <c r="AA4">
        <v>1.5283333334909801</v>
      </c>
      <c r="AB4">
        <v>1.0750000001428299</v>
      </c>
      <c r="AC4">
        <v>1.5283333334909801</v>
      </c>
      <c r="AD4">
        <v>1.44380434796395</v>
      </c>
      <c r="AE4">
        <v>-6.4798080265522001E-2</v>
      </c>
      <c r="AF4">
        <v>5.6849693931855203</v>
      </c>
      <c r="AG4">
        <v>5.6243469237749801</v>
      </c>
      <c r="AH4">
        <v>7.0503452108761797</v>
      </c>
      <c r="AI4">
        <v>5.2634167575561799</v>
      </c>
      <c r="AJ4">
        <v>-0.32436658780691402</v>
      </c>
      <c r="AK4">
        <v>23.74</v>
      </c>
      <c r="AL4">
        <v>23.28</v>
      </c>
      <c r="AM4" s="1">
        <v>2.23684206222723E-5</v>
      </c>
      <c r="AN4" s="1">
        <v>6.6927755150006306E-5</v>
      </c>
      <c r="AO4">
        <v>2.6407799999999999</v>
      </c>
      <c r="AP4">
        <v>-74.928681783397295</v>
      </c>
      <c r="AQ4">
        <v>8.2720976146005001E-2</v>
      </c>
      <c r="AR4">
        <v>5.60673485468757E-2</v>
      </c>
      <c r="AS4">
        <v>7.2264885423053898E-2</v>
      </c>
    </row>
    <row r="5" spans="1:45" x14ac:dyDescent="0.2">
      <c r="A5" t="s">
        <v>47</v>
      </c>
      <c r="B5" t="s">
        <v>44</v>
      </c>
      <c r="C5" t="s">
        <v>45</v>
      </c>
      <c r="D5">
        <v>0.04</v>
      </c>
      <c r="E5">
        <v>0.76</v>
      </c>
      <c r="F5">
        <v>-9.2781473530663004E-4</v>
      </c>
      <c r="G5">
        <v>66.917994670386705</v>
      </c>
      <c r="H5">
        <v>0.11196532061117</v>
      </c>
      <c r="I5">
        <v>-0.101805555412047</v>
      </c>
      <c r="J5">
        <v>0.136944444603041</v>
      </c>
      <c r="K5">
        <v>-0.175963582330149</v>
      </c>
      <c r="L5">
        <v>-3.8049999998530901</v>
      </c>
      <c r="M5">
        <v>-2.7499999998387801</v>
      </c>
      <c r="N5">
        <v>-0.79666666652252305</v>
      </c>
      <c r="O5">
        <v>-3.3333331746007002E-3</v>
      </c>
      <c r="P5">
        <v>1.6639365936148101</v>
      </c>
      <c r="Q5">
        <v>0.126900758780774</v>
      </c>
      <c r="R5">
        <v>-3.10542469592629E-3</v>
      </c>
      <c r="S5">
        <v>-2.5897961854934501E-3</v>
      </c>
      <c r="T5">
        <v>-9.2781473530664002E-4</v>
      </c>
      <c r="U5">
        <v>59.7046278632031</v>
      </c>
      <c r="V5">
        <v>0.121086970484589</v>
      </c>
      <c r="W5">
        <v>-0.13180555541161901</v>
      </c>
      <c r="X5">
        <v>0.121944444603391</v>
      </c>
      <c r="Y5">
        <v>-0.19620445116427199</v>
      </c>
      <c r="Z5">
        <v>-3.8349999998526698</v>
      </c>
      <c r="AA5">
        <v>-2.7649999998384298</v>
      </c>
      <c r="AB5">
        <v>-1.0966666665218501</v>
      </c>
      <c r="AC5">
        <v>0.56833333349188198</v>
      </c>
      <c r="AD5">
        <v>0.94510472735436202</v>
      </c>
      <c r="AE5">
        <v>-2.5897961854935E-3</v>
      </c>
      <c r="AF5">
        <v>2.2898636022281198</v>
      </c>
      <c r="AG5">
        <v>2.29764703592264</v>
      </c>
      <c r="AH5">
        <v>2.3790348689169099</v>
      </c>
      <c r="AI5">
        <v>2.3891618960435599</v>
      </c>
      <c r="AJ5">
        <v>0.70694928905337395</v>
      </c>
      <c r="AK5">
        <v>54.093999999999902</v>
      </c>
      <c r="AL5">
        <v>53.073999999999998</v>
      </c>
      <c r="AM5">
        <v>0.62199402675386595</v>
      </c>
      <c r="AN5">
        <v>0.86912428496382499</v>
      </c>
      <c r="AO5">
        <v>29.102959999999999</v>
      </c>
      <c r="AP5">
        <v>163.30528577132901</v>
      </c>
      <c r="AQ5">
        <v>0.118319049851331</v>
      </c>
      <c r="AR5">
        <v>0.11514385833597</v>
      </c>
      <c r="AS5">
        <v>0.124349535721464</v>
      </c>
    </row>
    <row r="6" spans="1:45" x14ac:dyDescent="0.2">
      <c r="A6" t="s">
        <v>48</v>
      </c>
      <c r="B6" t="s">
        <v>49</v>
      </c>
      <c r="C6" t="s">
        <v>45</v>
      </c>
      <c r="D6">
        <v>90.94</v>
      </c>
      <c r="E6">
        <v>140.80000000000001</v>
      </c>
      <c r="F6">
        <v>-7.1940162465341295E-2</v>
      </c>
      <c r="G6">
        <v>-129.76986824087001</v>
      </c>
      <c r="H6">
        <v>9.8719288902215305E-2</v>
      </c>
      <c r="I6">
        <v>2.6466666668076599</v>
      </c>
      <c r="J6">
        <v>3.4950000001555499</v>
      </c>
      <c r="K6">
        <v>2.5698276242482199</v>
      </c>
      <c r="L6">
        <v>2.6466666668076599</v>
      </c>
      <c r="M6">
        <v>3.4950000001555499</v>
      </c>
      <c r="N6">
        <v>2.6466666668076599</v>
      </c>
      <c r="O6">
        <v>3.4950000001555499</v>
      </c>
      <c r="P6">
        <v>2.9198475258175902</v>
      </c>
      <c r="Q6">
        <v>3.30113463366336E-2</v>
      </c>
      <c r="R6">
        <v>-5.4942536256152599E-2</v>
      </c>
      <c r="S6">
        <v>-9.6599728412055899E-2</v>
      </c>
      <c r="T6">
        <v>-7.1940162465341295E-2</v>
      </c>
      <c r="U6">
        <v>-215.34943912740999</v>
      </c>
      <c r="V6">
        <v>0.101925285189406</v>
      </c>
      <c r="W6">
        <v>2.61666666680809</v>
      </c>
      <c r="X6">
        <v>3.4800000001559002</v>
      </c>
      <c r="Y6">
        <v>2.5653623190211698</v>
      </c>
      <c r="Z6">
        <v>2.61666666680809</v>
      </c>
      <c r="AA6">
        <v>3.4800000001559002</v>
      </c>
      <c r="AB6">
        <v>2.61666666680809</v>
      </c>
      <c r="AC6">
        <v>3.4800000001559002</v>
      </c>
      <c r="AD6">
        <v>2.5653623190211698</v>
      </c>
      <c r="AE6">
        <v>-9.6599728412055899E-2</v>
      </c>
      <c r="AF6">
        <v>4.0859979592027198</v>
      </c>
      <c r="AG6">
        <v>1.3588796576453299</v>
      </c>
      <c r="AH6">
        <v>3.34335271746107</v>
      </c>
      <c r="AI6">
        <v>0.93556251670071899</v>
      </c>
      <c r="AJ6">
        <v>-1.54277798530373</v>
      </c>
      <c r="AK6">
        <v>23.52</v>
      </c>
      <c r="AL6">
        <v>23.04</v>
      </c>
      <c r="AM6" s="1">
        <v>3.7683072873094699E-8</v>
      </c>
      <c r="AN6" s="1">
        <v>1.9496655030737E-7</v>
      </c>
      <c r="AO6">
        <v>2.3557199999999998</v>
      </c>
      <c r="AP6">
        <v>-296.21337317831598</v>
      </c>
      <c r="AQ6">
        <v>8.3188514687054002E-2</v>
      </c>
      <c r="AR6">
        <v>8.8835582498067903E-2</v>
      </c>
      <c r="AS6">
        <v>9.9007848819896396E-2</v>
      </c>
    </row>
    <row r="7" spans="1:45" x14ac:dyDescent="0.2">
      <c r="A7" t="s">
        <v>50</v>
      </c>
      <c r="B7" t="s">
        <v>49</v>
      </c>
      <c r="C7" t="s">
        <v>45</v>
      </c>
      <c r="D7">
        <v>0.72</v>
      </c>
      <c r="E7">
        <v>1.28</v>
      </c>
      <c r="F7">
        <v>-4.3325155577030899E-2</v>
      </c>
      <c r="G7">
        <v>46.105919896207602</v>
      </c>
      <c r="H7">
        <v>8.0502735775632495E-2</v>
      </c>
      <c r="I7">
        <v>2.01750000014155</v>
      </c>
      <c r="J7">
        <v>1.4958333334906799</v>
      </c>
      <c r="K7">
        <v>1.55847075848959</v>
      </c>
      <c r="L7">
        <v>1.10000000014239</v>
      </c>
      <c r="M7">
        <v>0.58833333349152295</v>
      </c>
      <c r="N7">
        <v>2.7983333334741798</v>
      </c>
      <c r="O7">
        <v>2.0416666668235202</v>
      </c>
      <c r="P7">
        <v>1.9814818295611101</v>
      </c>
      <c r="Q7">
        <v>0.194984041711634</v>
      </c>
      <c r="R7">
        <v>-3.8560191262253997E-2</v>
      </c>
      <c r="S7">
        <v>-5.0466207520564098E-2</v>
      </c>
      <c r="T7">
        <v>-4.3325155577030899E-2</v>
      </c>
      <c r="U7">
        <v>41.483220526925997</v>
      </c>
      <c r="V7">
        <v>9.1872394079974107E-2</v>
      </c>
      <c r="W7">
        <v>1.98750000014198</v>
      </c>
      <c r="X7">
        <v>1.48083333349103</v>
      </c>
      <c r="Y7">
        <v>1.5439492755433</v>
      </c>
      <c r="Z7">
        <v>1.07000000014281</v>
      </c>
      <c r="AA7">
        <v>0.57333333349187299</v>
      </c>
      <c r="AB7">
        <v>1.95500000014201</v>
      </c>
      <c r="AC7">
        <v>2.0950000001571398</v>
      </c>
      <c r="AD7">
        <v>1.5989734301181</v>
      </c>
      <c r="AE7">
        <v>-5.0466207520564202E-2</v>
      </c>
      <c r="AF7">
        <v>1.93754889459791</v>
      </c>
      <c r="AG7">
        <v>1.54645128850348</v>
      </c>
      <c r="AH7">
        <v>1.9212363766868801</v>
      </c>
      <c r="AI7">
        <v>1.59880719518421</v>
      </c>
      <c r="AJ7">
        <v>0.63423399871212005</v>
      </c>
      <c r="AK7">
        <v>35.444000000000003</v>
      </c>
      <c r="AL7">
        <v>34.643999999999998</v>
      </c>
      <c r="AM7">
        <v>0.37902691541781802</v>
      </c>
      <c r="AN7">
        <v>0.97307310935650804</v>
      </c>
      <c r="AO7">
        <v>12.289300000000001</v>
      </c>
      <c r="AP7">
        <v>90.061227817120994</v>
      </c>
      <c r="AQ7">
        <v>7.5267805479693806E-2</v>
      </c>
      <c r="AR7">
        <v>7.6778417826853004E-2</v>
      </c>
      <c r="AS7">
        <v>9.1247406572640993E-2</v>
      </c>
    </row>
    <row r="8" spans="1:45" x14ac:dyDescent="0.2">
      <c r="A8" t="s">
        <v>51</v>
      </c>
      <c r="B8" t="s">
        <v>49</v>
      </c>
      <c r="C8" t="s">
        <v>45</v>
      </c>
      <c r="D8">
        <v>50.5</v>
      </c>
      <c r="E8">
        <v>75.12</v>
      </c>
      <c r="F8">
        <v>-0.127400580806663</v>
      </c>
      <c r="G8">
        <v>-244.582069048124</v>
      </c>
      <c r="H8">
        <v>0.20527270661885999</v>
      </c>
      <c r="I8">
        <v>1.96000000014163</v>
      </c>
      <c r="J8">
        <v>5.0800000001540999</v>
      </c>
      <c r="K8">
        <v>5.8937985838400699</v>
      </c>
      <c r="L8">
        <v>1.96000000014163</v>
      </c>
      <c r="M8">
        <v>5.0800000001540999</v>
      </c>
      <c r="N8">
        <v>1.96000000014163</v>
      </c>
      <c r="O8">
        <v>5.0800000001540999</v>
      </c>
      <c r="P8">
        <v>7.38723690483996</v>
      </c>
      <c r="Q8">
        <v>6.4634548066291098E-2</v>
      </c>
      <c r="R8">
        <v>-7.2331031280000596E-2</v>
      </c>
      <c r="S8">
        <v>-0.24345627529777</v>
      </c>
      <c r="T8">
        <v>-0.127400580806663</v>
      </c>
      <c r="U8">
        <v>-262.627542376973</v>
      </c>
      <c r="V8">
        <v>0.20539907017287801</v>
      </c>
      <c r="W8">
        <v>1.9300000001420601</v>
      </c>
      <c r="X8">
        <v>5.0650000001544502</v>
      </c>
      <c r="Y8">
        <v>5.5331884059781604</v>
      </c>
      <c r="Z8">
        <v>1.9300000001420601</v>
      </c>
      <c r="AA8">
        <v>5.0650000001544502</v>
      </c>
      <c r="AB8">
        <v>1.9300000001420601</v>
      </c>
      <c r="AC8">
        <v>5.0650000001544502</v>
      </c>
      <c r="AD8">
        <v>5.5331884059781604</v>
      </c>
      <c r="AE8">
        <v>-0.24345627529777</v>
      </c>
      <c r="AF8">
        <v>4.1648379707645002</v>
      </c>
      <c r="AG8">
        <v>1.0070019490597999</v>
      </c>
      <c r="AH8">
        <v>4.5012212143859198</v>
      </c>
      <c r="AI8">
        <v>0.71447803321965897</v>
      </c>
      <c r="AJ8">
        <v>-1.07460074909694</v>
      </c>
      <c r="AK8">
        <v>22.9</v>
      </c>
      <c r="AL8">
        <v>22.84</v>
      </c>
      <c r="AM8" s="1">
        <v>3.1612444507668299E-5</v>
      </c>
      <c r="AN8" s="1">
        <v>3.9018304509654801E-5</v>
      </c>
      <c r="AO8">
        <v>1.7066399999999999</v>
      </c>
      <c r="AP8">
        <v>-167.637716859123</v>
      </c>
      <c r="AQ8">
        <v>0.139750287361005</v>
      </c>
      <c r="AR8">
        <v>0.17673049304565799</v>
      </c>
      <c r="AS8">
        <v>0.180556941982248</v>
      </c>
    </row>
    <row r="9" spans="1:45" x14ac:dyDescent="0.2">
      <c r="A9" t="s">
        <v>52</v>
      </c>
      <c r="B9" t="s">
        <v>49</v>
      </c>
      <c r="C9" t="s">
        <v>45</v>
      </c>
      <c r="D9">
        <v>67.239999999999995</v>
      </c>
      <c r="E9">
        <v>102.84</v>
      </c>
      <c r="F9">
        <v>-0.11165405757230699</v>
      </c>
      <c r="G9">
        <v>-720.73051858892995</v>
      </c>
      <c r="H9">
        <v>0.16635916579742699</v>
      </c>
      <c r="I9">
        <v>2.3866666668079102</v>
      </c>
      <c r="J9">
        <v>4.4300000001547097</v>
      </c>
      <c r="K9">
        <v>4.5114291009735998</v>
      </c>
      <c r="L9">
        <v>2.3866666668079102</v>
      </c>
      <c r="M9">
        <v>4.4300000001547097</v>
      </c>
      <c r="N9">
        <v>2.3866666668079102</v>
      </c>
      <c r="O9">
        <v>4.4300000001547097</v>
      </c>
      <c r="P9">
        <v>5.09388340331635</v>
      </c>
      <c r="Q9">
        <v>3.7831698649204798E-2</v>
      </c>
      <c r="R9">
        <v>-6.8571639858254499E-2</v>
      </c>
      <c r="S9">
        <v>-0.195165733920554</v>
      </c>
      <c r="T9">
        <v>-0.11165405757230699</v>
      </c>
      <c r="U9">
        <v>-776.03136303463202</v>
      </c>
      <c r="V9">
        <v>0.166322891142237</v>
      </c>
      <c r="W9">
        <v>2.3566666668083398</v>
      </c>
      <c r="X9">
        <v>4.41500000015506</v>
      </c>
      <c r="Y9">
        <v>4.4361231885879402</v>
      </c>
      <c r="Z9">
        <v>2.3566666668083398</v>
      </c>
      <c r="AA9">
        <v>4.41500000015506</v>
      </c>
      <c r="AB9">
        <v>2.3566666668083398</v>
      </c>
      <c r="AC9">
        <v>4.41500000015506</v>
      </c>
      <c r="AD9">
        <v>4.4361231885879402</v>
      </c>
      <c r="AE9">
        <v>-0.195165733920554</v>
      </c>
      <c r="AF9">
        <v>4.3619001133725996</v>
      </c>
      <c r="AG9">
        <v>0.40914872598325702</v>
      </c>
      <c r="AH9">
        <v>4.06768633098946</v>
      </c>
      <c r="AI9">
        <v>0.144988171827684</v>
      </c>
      <c r="AJ9">
        <v>-4.4669933517983802</v>
      </c>
      <c r="AK9">
        <v>23.48</v>
      </c>
      <c r="AL9">
        <v>23.02</v>
      </c>
      <c r="AM9" s="1">
        <v>2.1638374331570202E-9</v>
      </c>
      <c r="AN9" s="1">
        <v>4.7162917107679396E-9</v>
      </c>
      <c r="AO9">
        <v>2.06718</v>
      </c>
      <c r="AP9">
        <v>-696.85096288054694</v>
      </c>
      <c r="AQ9">
        <v>0.117083175286154</v>
      </c>
      <c r="AR9">
        <v>0.14402692424289901</v>
      </c>
      <c r="AS9">
        <v>0.148511537230889</v>
      </c>
    </row>
    <row r="10" spans="1:45" x14ac:dyDescent="0.2">
      <c r="A10" t="s">
        <v>53</v>
      </c>
      <c r="B10" t="s">
        <v>49</v>
      </c>
      <c r="C10" t="s">
        <v>45</v>
      </c>
      <c r="D10">
        <v>119.68</v>
      </c>
      <c r="E10">
        <v>131.52000000000001</v>
      </c>
      <c r="F10">
        <v>-0.43147787454494801</v>
      </c>
      <c r="G10">
        <v>-5702.2844414328301</v>
      </c>
      <c r="H10">
        <v>0.52115775309000301</v>
      </c>
      <c r="I10">
        <v>15.021666666796399</v>
      </c>
      <c r="J10">
        <v>17.405000000142799</v>
      </c>
      <c r="K10">
        <v>18.544568785810998</v>
      </c>
      <c r="L10">
        <v>15.021666666796399</v>
      </c>
      <c r="M10">
        <v>17.405000000142799</v>
      </c>
      <c r="N10">
        <v>15.021666666796399</v>
      </c>
      <c r="O10">
        <v>17.405000000142799</v>
      </c>
      <c r="P10">
        <v>18.8945599179469</v>
      </c>
      <c r="Q10">
        <v>3.5696459030012603E-2</v>
      </c>
      <c r="R10">
        <v>-0.285409756014051</v>
      </c>
      <c r="S10">
        <v>-0.59132368501783605</v>
      </c>
      <c r="T10">
        <v>-0.43147787454494801</v>
      </c>
      <c r="U10">
        <v>-5773.8880191478802</v>
      </c>
      <c r="V10">
        <v>0.520701580577002</v>
      </c>
      <c r="W10">
        <v>14.991666666796799</v>
      </c>
      <c r="X10">
        <v>17.3900000001432</v>
      </c>
      <c r="Y10">
        <v>18.386304347957601</v>
      </c>
      <c r="Z10">
        <v>14.991666666796799</v>
      </c>
      <c r="AA10">
        <v>17.3900000001432</v>
      </c>
      <c r="AB10">
        <v>14.991666666796799</v>
      </c>
      <c r="AC10">
        <v>17.3900000001432</v>
      </c>
      <c r="AD10">
        <v>18.386304347957601</v>
      </c>
      <c r="AE10">
        <v>-0.59132368501783605</v>
      </c>
      <c r="AF10" s="1">
        <v>1.81870213819238E-10</v>
      </c>
      <c r="AG10" s="1">
        <v>3.16576302905876E-22</v>
      </c>
      <c r="AH10" s="1">
        <v>1.8446299531229501E-12</v>
      </c>
      <c r="AI10" s="1">
        <v>1.54479902513165E-25</v>
      </c>
      <c r="AJ10">
        <v>-41.541561186924298</v>
      </c>
      <c r="AK10">
        <v>19.28</v>
      </c>
      <c r="AL10">
        <v>19.260000000000002</v>
      </c>
      <c r="AM10" s="1">
        <v>5.8664473298740097E-40</v>
      </c>
      <c r="AN10" s="1">
        <v>1.52214373485627E-38</v>
      </c>
      <c r="AO10">
        <v>0.7651</v>
      </c>
      <c r="AP10">
        <v>-5857.3601273563299</v>
      </c>
      <c r="AQ10">
        <v>0.37345338056778199</v>
      </c>
      <c r="AR10">
        <v>0.461905462213268</v>
      </c>
      <c r="AS10">
        <v>0.46262700639014198</v>
      </c>
    </row>
    <row r="11" spans="1:45" x14ac:dyDescent="0.2">
      <c r="A11" t="s">
        <v>54</v>
      </c>
      <c r="B11" t="s">
        <v>49</v>
      </c>
      <c r="C11" t="s">
        <v>45</v>
      </c>
      <c r="D11">
        <v>10</v>
      </c>
      <c r="E11">
        <v>63.98</v>
      </c>
      <c r="F11">
        <v>5.3041705440255403E-2</v>
      </c>
      <c r="G11">
        <v>89.7680059751508</v>
      </c>
      <c r="H11">
        <v>6.2749048650501599E-2</v>
      </c>
      <c r="I11">
        <v>-2.6999999998541</v>
      </c>
      <c r="J11">
        <v>-1.6533333331731199</v>
      </c>
      <c r="K11">
        <v>-1.9244787547576601</v>
      </c>
      <c r="L11">
        <v>-2.6999999998541</v>
      </c>
      <c r="M11">
        <v>-1.6533333331731199</v>
      </c>
      <c r="N11">
        <v>-2.6999999998541</v>
      </c>
      <c r="O11">
        <v>-1.6533333331731199</v>
      </c>
      <c r="P11">
        <v>2.5968188909572301</v>
      </c>
      <c r="Q11">
        <v>4.94626157431486E-2</v>
      </c>
      <c r="R11">
        <v>1.8420721213994101E-2</v>
      </c>
      <c r="S11">
        <v>4.6229743522887397E-2</v>
      </c>
      <c r="T11">
        <v>5.3041705440255299E-2</v>
      </c>
      <c r="U11">
        <v>33.8184732257129</v>
      </c>
      <c r="V11">
        <v>7.31885492171932E-2</v>
      </c>
      <c r="W11">
        <v>-2.7299999998536801</v>
      </c>
      <c r="X11">
        <v>-1.6683333331727701</v>
      </c>
      <c r="Y11">
        <v>-1.95119565199166</v>
      </c>
      <c r="Z11">
        <v>-2.7299999998536801</v>
      </c>
      <c r="AA11">
        <v>-1.6683333331727701</v>
      </c>
      <c r="AB11">
        <v>-2.7299999998536801</v>
      </c>
      <c r="AC11">
        <v>-1.6683333331727701</v>
      </c>
      <c r="AD11">
        <v>2.11865942014389</v>
      </c>
      <c r="AE11">
        <v>4.6229743522887397E-2</v>
      </c>
      <c r="AF11">
        <v>3.2858077784216699</v>
      </c>
      <c r="AG11">
        <v>4.6400321251490801</v>
      </c>
      <c r="AH11">
        <v>3.8796032996380299</v>
      </c>
      <c r="AI11">
        <v>5.4029708062187103</v>
      </c>
      <c r="AJ11">
        <v>0.98121409349702504</v>
      </c>
      <c r="AK11">
        <v>23.58</v>
      </c>
      <c r="AL11">
        <v>23.12</v>
      </c>
      <c r="AM11">
        <v>0.104467619531152</v>
      </c>
      <c r="AN11">
        <v>0.153829168787358</v>
      </c>
      <c r="AO11">
        <v>3.0442399999999998</v>
      </c>
      <c r="AP11">
        <v>138.35118718307999</v>
      </c>
      <c r="AQ11">
        <v>7.3244552564572601E-2</v>
      </c>
      <c r="AR11">
        <v>6.9474875596696198E-2</v>
      </c>
      <c r="AS11">
        <v>8.4897191936538705E-2</v>
      </c>
    </row>
    <row r="12" spans="1:45" x14ac:dyDescent="0.2">
      <c r="A12" t="s">
        <v>55</v>
      </c>
      <c r="B12" t="s">
        <v>49</v>
      </c>
      <c r="C12" t="s">
        <v>45</v>
      </c>
      <c r="D12">
        <v>75.739999999999995</v>
      </c>
      <c r="E12">
        <v>111.32</v>
      </c>
      <c r="F12">
        <v>-0.17863702749120899</v>
      </c>
      <c r="G12">
        <v>-1891.3441567828099</v>
      </c>
      <c r="H12">
        <v>0.26527826771282698</v>
      </c>
      <c r="I12">
        <v>2.7750000001408899</v>
      </c>
      <c r="J12">
        <v>6.7533333334859096</v>
      </c>
      <c r="K12">
        <v>8.3445270642858702</v>
      </c>
      <c r="L12">
        <v>2.7750000001408899</v>
      </c>
      <c r="M12">
        <v>6.7533333334859096</v>
      </c>
      <c r="N12">
        <v>2.7750000001408899</v>
      </c>
      <c r="O12">
        <v>6.7533333334859096</v>
      </c>
      <c r="P12">
        <v>10.185897835709101</v>
      </c>
      <c r="Q12">
        <v>3.9166258443493897E-2</v>
      </c>
      <c r="R12">
        <v>-0.109450628940502</v>
      </c>
      <c r="S12">
        <v>-0.31332726011373901</v>
      </c>
      <c r="T12">
        <v>-0.17863702749120899</v>
      </c>
      <c r="U12">
        <v>-1954.5245364812599</v>
      </c>
      <c r="V12">
        <v>0.26528001384883598</v>
      </c>
      <c r="W12">
        <v>2.74500000014132</v>
      </c>
      <c r="X12">
        <v>6.7383333334862598</v>
      </c>
      <c r="Y12">
        <v>7.9915942030692504</v>
      </c>
      <c r="Z12">
        <v>2.74500000014132</v>
      </c>
      <c r="AA12">
        <v>6.7383333334862598</v>
      </c>
      <c r="AB12">
        <v>2.74500000014132</v>
      </c>
      <c r="AC12">
        <v>6.7383333334862598</v>
      </c>
      <c r="AD12">
        <v>7.9915942030692504</v>
      </c>
      <c r="AE12">
        <v>-0.31332726011373901</v>
      </c>
      <c r="AF12">
        <v>3.4318858196928899</v>
      </c>
      <c r="AG12">
        <v>0.15629366287767699</v>
      </c>
      <c r="AH12">
        <v>3.8425386003304598</v>
      </c>
      <c r="AI12">
        <v>1.7207980018394398E-2</v>
      </c>
      <c r="AJ12">
        <v>-11.573109355528301</v>
      </c>
      <c r="AK12">
        <v>22</v>
      </c>
      <c r="AL12">
        <v>22</v>
      </c>
      <c r="AM12" s="1">
        <v>4.079673290728E-22</v>
      </c>
      <c r="AN12" s="1">
        <v>8.0696802407862303E-19</v>
      </c>
      <c r="AO12">
        <v>2.1159599999999998</v>
      </c>
      <c r="AP12">
        <v>-1805.40505946241</v>
      </c>
      <c r="AQ12">
        <v>0.179741046633457</v>
      </c>
      <c r="AR12">
        <v>0.23073193531184299</v>
      </c>
      <c r="AS12">
        <v>0.233572086051407</v>
      </c>
    </row>
    <row r="13" spans="1:45" x14ac:dyDescent="0.2">
      <c r="A13" t="s">
        <v>56</v>
      </c>
      <c r="B13" t="s">
        <v>57</v>
      </c>
      <c r="C13" t="s">
        <v>45</v>
      </c>
      <c r="D13">
        <v>5.34</v>
      </c>
      <c r="E13">
        <v>29.44</v>
      </c>
      <c r="F13">
        <v>-2.4501586119333499E-3</v>
      </c>
      <c r="G13">
        <v>127.304073607521</v>
      </c>
      <c r="H13">
        <v>5.1465395679832E-2</v>
      </c>
      <c r="I13">
        <v>0.67666666680945098</v>
      </c>
      <c r="J13">
        <v>0.21583333349185899</v>
      </c>
      <c r="K13">
        <v>0.19459573104144101</v>
      </c>
      <c r="L13">
        <v>0.33500000014309</v>
      </c>
      <c r="M13">
        <v>9.0000000158638599E-2</v>
      </c>
      <c r="N13">
        <v>0.72833333347607498</v>
      </c>
      <c r="O13">
        <v>0.188333333491887</v>
      </c>
      <c r="P13">
        <v>1.4823916710699501</v>
      </c>
      <c r="Q13">
        <v>5.8316536420043502E-2</v>
      </c>
      <c r="R13">
        <v>-5.4689358470060203E-3</v>
      </c>
      <c r="S13">
        <v>-4.7435789704322103E-3</v>
      </c>
      <c r="T13">
        <v>-2.4501586119333998E-3</v>
      </c>
      <c r="U13">
        <v>82.693853866124797</v>
      </c>
      <c r="V13">
        <v>7.1354103895220497E-2</v>
      </c>
      <c r="W13">
        <v>0.64666666680987805</v>
      </c>
      <c r="X13">
        <v>0.200833333492209</v>
      </c>
      <c r="Y13">
        <v>0.19044686008464901</v>
      </c>
      <c r="Z13">
        <v>0.30500000014351802</v>
      </c>
      <c r="AA13">
        <v>7.5000000158988694E-2</v>
      </c>
      <c r="AB13">
        <v>0.63166666680989603</v>
      </c>
      <c r="AC13">
        <v>7.5000000158988694E-2</v>
      </c>
      <c r="AD13">
        <v>0.96489130434022896</v>
      </c>
      <c r="AE13">
        <v>-4.7435789704322598E-3</v>
      </c>
      <c r="AF13">
        <v>4.3483875658692996</v>
      </c>
      <c r="AG13">
        <v>4.4895463348491598</v>
      </c>
      <c r="AH13">
        <v>4.6536898800732702</v>
      </c>
      <c r="AI13">
        <v>5.5301850220725601</v>
      </c>
      <c r="AJ13">
        <v>1.18247552978093</v>
      </c>
      <c r="AK13">
        <v>26.055999999999901</v>
      </c>
      <c r="AL13">
        <v>25.596</v>
      </c>
      <c r="AM13">
        <v>0.111428369729906</v>
      </c>
      <c r="AN13">
        <v>0.22532978256444899</v>
      </c>
      <c r="AO13">
        <v>5.6890799999999997</v>
      </c>
      <c r="AP13">
        <v>268.421945260271</v>
      </c>
      <c r="AQ13">
        <v>6.6438208264427298E-2</v>
      </c>
      <c r="AR13">
        <v>5.6469799770689402E-2</v>
      </c>
      <c r="AS13">
        <v>7.7061413618582805E-2</v>
      </c>
    </row>
    <row r="14" spans="1:45" x14ac:dyDescent="0.2">
      <c r="A14" t="s">
        <v>58</v>
      </c>
      <c r="B14" t="s">
        <v>57</v>
      </c>
      <c r="C14" t="s">
        <v>45</v>
      </c>
      <c r="D14">
        <v>4.74</v>
      </c>
      <c r="E14">
        <v>36.659999999999997</v>
      </c>
      <c r="F14">
        <v>-1.63732358478729E-2</v>
      </c>
      <c r="G14">
        <v>147.59946028345601</v>
      </c>
      <c r="H14">
        <v>4.56631773774233E-2</v>
      </c>
      <c r="I14">
        <v>1.79333333347511</v>
      </c>
      <c r="J14">
        <v>0.70666666682472601</v>
      </c>
      <c r="K14">
        <v>0.52558616070023301</v>
      </c>
      <c r="L14">
        <v>1.7783333334751199</v>
      </c>
      <c r="M14">
        <v>0.70666666682472601</v>
      </c>
      <c r="N14">
        <v>1.8083333334750999</v>
      </c>
      <c r="O14">
        <v>0.70666666682472601</v>
      </c>
      <c r="P14">
        <v>1.51866411670624</v>
      </c>
      <c r="Q14">
        <v>4.3953914288763801E-2</v>
      </c>
      <c r="R14">
        <v>-1.4729373602650701E-2</v>
      </c>
      <c r="S14">
        <v>-1.52020669129584E-2</v>
      </c>
      <c r="T14">
        <v>-1.63732358478729E-2</v>
      </c>
      <c r="U14">
        <v>88.481906549656699</v>
      </c>
      <c r="V14">
        <v>6.2038051207888398E-2</v>
      </c>
      <c r="W14">
        <v>1.7633333334755401</v>
      </c>
      <c r="X14">
        <v>0.69166666682507605</v>
      </c>
      <c r="Y14">
        <v>0.52288647361110696</v>
      </c>
      <c r="Z14">
        <v>1.74833333347555</v>
      </c>
      <c r="AA14">
        <v>0.69166666682507605</v>
      </c>
      <c r="AB14">
        <v>1.77833333347552</v>
      </c>
      <c r="AC14">
        <v>0.69166666682507605</v>
      </c>
      <c r="AD14">
        <v>1.00078502420507</v>
      </c>
      <c r="AE14">
        <v>-1.5202066912958501E-2</v>
      </c>
      <c r="AF14">
        <v>4.5112746097524603</v>
      </c>
      <c r="AG14">
        <v>5.8699654759772697</v>
      </c>
      <c r="AH14">
        <v>5.0899677488069104</v>
      </c>
      <c r="AI14">
        <v>5.9817240509303797</v>
      </c>
      <c r="AJ14">
        <v>1.42935011160007</v>
      </c>
      <c r="AK14">
        <v>23.724</v>
      </c>
      <c r="AL14">
        <v>23.263999999999999</v>
      </c>
      <c r="AM14">
        <v>0.166036280435542</v>
      </c>
      <c r="AN14">
        <v>0.20299609800986401</v>
      </c>
      <c r="AO14">
        <v>2.95574</v>
      </c>
      <c r="AP14">
        <v>303.022223659215</v>
      </c>
      <c r="AQ14">
        <v>5.4135804736519001E-2</v>
      </c>
      <c r="AR14">
        <v>4.6190364149949301E-2</v>
      </c>
      <c r="AS14">
        <v>6.6206350353086196E-2</v>
      </c>
    </row>
    <row r="15" spans="1:45" x14ac:dyDescent="0.2">
      <c r="A15" t="s">
        <v>59</v>
      </c>
      <c r="B15" t="s">
        <v>57</v>
      </c>
      <c r="C15" t="s">
        <v>45</v>
      </c>
      <c r="D15">
        <v>12.94</v>
      </c>
      <c r="E15">
        <v>61.6</v>
      </c>
      <c r="F15">
        <v>-3.9466550120059597E-2</v>
      </c>
      <c r="G15">
        <v>101.197963969466</v>
      </c>
      <c r="H15">
        <v>4.56631773774233E-2</v>
      </c>
      <c r="I15">
        <v>1.79333333347511</v>
      </c>
      <c r="J15">
        <v>0.70666666682472601</v>
      </c>
      <c r="K15">
        <v>0.79758303158272303</v>
      </c>
      <c r="L15">
        <v>1.7783333334751199</v>
      </c>
      <c r="M15">
        <v>0.70666666682472601</v>
      </c>
      <c r="N15">
        <v>1.8083333334750999</v>
      </c>
      <c r="O15">
        <v>0.70666666682472601</v>
      </c>
      <c r="P15">
        <v>1.57402369974762</v>
      </c>
      <c r="Q15">
        <v>4.3953914288763801E-2</v>
      </c>
      <c r="R15">
        <v>-2.4708827564854E-2</v>
      </c>
      <c r="S15">
        <v>-1.52020669129584E-2</v>
      </c>
      <c r="T15">
        <v>-3.9466550120059597E-2</v>
      </c>
      <c r="U15">
        <v>64.322595565310195</v>
      </c>
      <c r="V15">
        <v>6.2038051207888398E-2</v>
      </c>
      <c r="W15">
        <v>1.7633333334755401</v>
      </c>
      <c r="X15">
        <v>0.69166666682507605</v>
      </c>
      <c r="Y15">
        <v>0.80254830935964205</v>
      </c>
      <c r="Z15">
        <v>1.74833333347555</v>
      </c>
      <c r="AA15">
        <v>0.69166666682507605</v>
      </c>
      <c r="AB15">
        <v>1.77833333347552</v>
      </c>
      <c r="AC15">
        <v>0.69166666682507605</v>
      </c>
      <c r="AD15">
        <v>0.982403381729123</v>
      </c>
      <c r="AE15">
        <v>-1.5202066912958501E-2</v>
      </c>
      <c r="AF15">
        <v>4.5112746097524603</v>
      </c>
      <c r="AG15">
        <v>5.8699654759772697</v>
      </c>
      <c r="AH15">
        <v>5.0899677488069104</v>
      </c>
      <c r="AI15">
        <v>5.9817240509303797</v>
      </c>
      <c r="AJ15">
        <v>1.2034658734849799</v>
      </c>
      <c r="AK15">
        <v>23.803999999999998</v>
      </c>
      <c r="AL15">
        <v>23.344000000000001</v>
      </c>
      <c r="AM15">
        <v>6.78510956090978E-2</v>
      </c>
      <c r="AN15">
        <v>9.7276633783464503E-2</v>
      </c>
      <c r="AO15">
        <v>3.1463399999999999</v>
      </c>
      <c r="AP15">
        <v>255.13476517881699</v>
      </c>
      <c r="AQ15">
        <v>6.3313583337805804E-2</v>
      </c>
      <c r="AR15">
        <v>6.7848757228437903E-2</v>
      </c>
      <c r="AS15">
        <v>7.5391626610871704E-2</v>
      </c>
    </row>
    <row r="16" spans="1:45" x14ac:dyDescent="0.2">
      <c r="A16" t="s">
        <v>60</v>
      </c>
      <c r="B16" t="s">
        <v>57</v>
      </c>
      <c r="C16" t="s">
        <v>45</v>
      </c>
      <c r="D16">
        <v>111.7</v>
      </c>
      <c r="E16">
        <v>173.96</v>
      </c>
      <c r="F16">
        <v>-3.6261835959222499E-2</v>
      </c>
      <c r="G16">
        <v>-284.75270842343701</v>
      </c>
      <c r="H16">
        <v>5.1069217917795298E-2</v>
      </c>
      <c r="I16">
        <v>1.83166666680843</v>
      </c>
      <c r="J16">
        <v>1.59833333349058</v>
      </c>
      <c r="K16">
        <v>1.1352699551663901</v>
      </c>
      <c r="L16">
        <v>1.83166666680843</v>
      </c>
      <c r="M16">
        <v>1.59833333349058</v>
      </c>
      <c r="N16">
        <v>1.83166666680843</v>
      </c>
      <c r="O16">
        <v>1.59833333349058</v>
      </c>
      <c r="P16">
        <v>1.55083117233932</v>
      </c>
      <c r="Q16">
        <v>2.2029449409174201E-2</v>
      </c>
      <c r="R16">
        <v>-2.5516299907746801E-2</v>
      </c>
      <c r="S16">
        <v>-3.5932417273521297E-2</v>
      </c>
      <c r="T16">
        <v>-3.6261835959222499E-2</v>
      </c>
      <c r="U16">
        <v>-740.74871693026705</v>
      </c>
      <c r="V16">
        <v>6.1146381423817599E-2</v>
      </c>
      <c r="W16">
        <v>1.8016666668088599</v>
      </c>
      <c r="X16">
        <v>1.5833333334909301</v>
      </c>
      <c r="Y16">
        <v>1.1338768117751099</v>
      </c>
      <c r="Z16">
        <v>1.8016666668088599</v>
      </c>
      <c r="AA16">
        <v>1.5833333334909301</v>
      </c>
      <c r="AB16">
        <v>1.8016666668088599</v>
      </c>
      <c r="AC16">
        <v>1.5833333334909301</v>
      </c>
      <c r="AD16">
        <v>1.26742753636196</v>
      </c>
      <c r="AE16">
        <v>-3.5932417273521401E-2</v>
      </c>
      <c r="AF16">
        <v>5.6223118151627398</v>
      </c>
      <c r="AG16">
        <v>6.4475814523810504</v>
      </c>
      <c r="AH16">
        <v>3.7361810469189898</v>
      </c>
      <c r="AI16">
        <v>3.22974197125049</v>
      </c>
      <c r="AJ16">
        <v>-1.7632529648135999</v>
      </c>
      <c r="AK16">
        <v>23.52</v>
      </c>
      <c r="AL16">
        <v>23.06</v>
      </c>
      <c r="AM16" s="1">
        <v>4.94793599632235E-10</v>
      </c>
      <c r="AN16" s="1">
        <v>1.74275937622733E-8</v>
      </c>
      <c r="AO16">
        <v>2.5245199999999999</v>
      </c>
      <c r="AP16">
        <v>-407.311434871941</v>
      </c>
      <c r="AQ16">
        <v>5.4949896391873497E-2</v>
      </c>
      <c r="AR16">
        <v>5.0494954972882498E-2</v>
      </c>
      <c r="AS16">
        <v>6.6755410468362406E-2</v>
      </c>
    </row>
    <row r="17" spans="1:45" x14ac:dyDescent="0.2">
      <c r="A17" t="s">
        <v>61</v>
      </c>
      <c r="B17" t="s">
        <v>57</v>
      </c>
      <c r="C17" t="s">
        <v>45</v>
      </c>
      <c r="D17">
        <v>175.16</v>
      </c>
      <c r="E17">
        <v>206.42</v>
      </c>
      <c r="F17">
        <v>-6.9856365521748002E-4</v>
      </c>
      <c r="G17">
        <v>-3271.4975900888899</v>
      </c>
      <c r="H17">
        <v>7.7868441954842604E-2</v>
      </c>
      <c r="I17">
        <v>0.102222222365541</v>
      </c>
      <c r="J17">
        <v>-0.212499999841123</v>
      </c>
      <c r="K17">
        <v>8.0467265034335402E-3</v>
      </c>
      <c r="L17">
        <v>-1.1583333331888599</v>
      </c>
      <c r="M17">
        <v>-1.02166666650705</v>
      </c>
      <c r="N17">
        <v>1.00000001434E-2</v>
      </c>
      <c r="O17">
        <v>-0.28499999984107</v>
      </c>
      <c r="P17">
        <v>1.5789020117066099</v>
      </c>
      <c r="Q17">
        <v>1.7138587199001201E-2</v>
      </c>
      <c r="R17">
        <v>-3.5627015262303498E-3</v>
      </c>
      <c r="S17">
        <v>-2.43088155984876E-3</v>
      </c>
      <c r="T17">
        <v>-6.9856365521750495E-4</v>
      </c>
      <c r="U17">
        <v>-4316.2021161624598</v>
      </c>
      <c r="V17">
        <v>9.0330209979740395E-2</v>
      </c>
      <c r="W17">
        <v>7.22222223659688E-2</v>
      </c>
      <c r="X17">
        <v>-0.22749999984077299</v>
      </c>
      <c r="Y17">
        <v>-1.09782606881976E-2</v>
      </c>
      <c r="Z17">
        <v>-1.18833333318843</v>
      </c>
      <c r="AA17">
        <v>-1.0366666665066999</v>
      </c>
      <c r="AB17">
        <v>-0.42499999985579001</v>
      </c>
      <c r="AC17">
        <v>-0.31166666650737102</v>
      </c>
      <c r="AD17">
        <v>0.99146135264207902</v>
      </c>
      <c r="AE17">
        <v>-2.4308815598488099E-3</v>
      </c>
      <c r="AF17">
        <v>4.3314641372565399</v>
      </c>
      <c r="AG17">
        <v>4.4440543858673998</v>
      </c>
      <c r="AH17">
        <v>4.6203969676300201</v>
      </c>
      <c r="AI17">
        <v>5.05896234857273</v>
      </c>
      <c r="AJ17">
        <v>-25.437755909252399</v>
      </c>
      <c r="AK17">
        <v>32.61</v>
      </c>
      <c r="AL17">
        <v>31.95</v>
      </c>
      <c r="AM17" s="1">
        <v>2.4361864930623E-75</v>
      </c>
      <c r="AN17" s="1">
        <v>3.00855393077107E-40</v>
      </c>
      <c r="AO17">
        <v>10.36992</v>
      </c>
      <c r="AP17">
        <v>-5876.1216150373202</v>
      </c>
      <c r="AQ17">
        <v>9.2765530942083702E-2</v>
      </c>
      <c r="AR17">
        <v>8.3614715839224807E-2</v>
      </c>
      <c r="AS17">
        <v>9.5914843453926799E-2</v>
      </c>
    </row>
    <row r="18" spans="1:45" x14ac:dyDescent="0.2">
      <c r="A18" t="s">
        <v>62</v>
      </c>
      <c r="B18" t="s">
        <v>57</v>
      </c>
      <c r="C18" t="s">
        <v>45</v>
      </c>
      <c r="D18">
        <v>168.92</v>
      </c>
      <c r="E18">
        <v>204.76</v>
      </c>
      <c r="F18">
        <v>-2.3653121259476998E-3</v>
      </c>
      <c r="G18">
        <v>-1780.41665785805</v>
      </c>
      <c r="H18">
        <v>5.0340998447953297E-2</v>
      </c>
      <c r="I18">
        <v>0.84250000014264903</v>
      </c>
      <c r="J18">
        <v>0.215000000158479</v>
      </c>
      <c r="K18">
        <v>0.2174122568063</v>
      </c>
      <c r="L18">
        <v>0.38833333347638399</v>
      </c>
      <c r="M18">
        <v>0.13500000015854699</v>
      </c>
      <c r="N18">
        <v>1.10166666680907</v>
      </c>
      <c r="O18">
        <v>0.13500000015854699</v>
      </c>
      <c r="P18">
        <v>1.4848650031367401</v>
      </c>
      <c r="Q18">
        <v>1.44889102642701E-2</v>
      </c>
      <c r="R18">
        <v>-5.5746487619606298E-3</v>
      </c>
      <c r="S18">
        <v>-4.6109367609023797E-3</v>
      </c>
      <c r="T18">
        <v>-2.3653121259477501E-3</v>
      </c>
      <c r="U18">
        <v>-3879.2220838983199</v>
      </c>
      <c r="V18">
        <v>6.9900464105144805E-2</v>
      </c>
      <c r="W18">
        <v>0.81250000014307699</v>
      </c>
      <c r="X18">
        <v>0.20000000015882899</v>
      </c>
      <c r="Y18">
        <v>0.21361111129233301</v>
      </c>
      <c r="Z18">
        <v>0.35833333347681201</v>
      </c>
      <c r="AA18">
        <v>0.120000000158897</v>
      </c>
      <c r="AB18">
        <v>0.77333333347644795</v>
      </c>
      <c r="AC18">
        <v>0.120000000158897</v>
      </c>
      <c r="AD18">
        <v>0.94592995170503602</v>
      </c>
      <c r="AE18">
        <v>-4.61093676090243E-3</v>
      </c>
      <c r="AF18">
        <v>4.4451373486653001</v>
      </c>
      <c r="AG18">
        <v>5.01017746487154</v>
      </c>
      <c r="AH18">
        <v>6.1704512105647096</v>
      </c>
      <c r="AI18">
        <v>6.3198814514784303</v>
      </c>
      <c r="AJ18">
        <v>-15.4563454588409</v>
      </c>
      <c r="AK18">
        <v>25.988</v>
      </c>
      <c r="AL18">
        <v>25.507999999999999</v>
      </c>
      <c r="AM18" s="1">
        <v>6.4357536140989003E-35</v>
      </c>
      <c r="AN18" s="1">
        <v>3.1055825044951898E-23</v>
      </c>
      <c r="AO18">
        <v>5.5509000000000004</v>
      </c>
      <c r="AP18">
        <v>-3570.4158009922598</v>
      </c>
      <c r="AQ18">
        <v>6.5079738643507301E-2</v>
      </c>
      <c r="AR18">
        <v>5.4918105152023097E-2</v>
      </c>
      <c r="AS18">
        <v>7.5259600890713804E-2</v>
      </c>
    </row>
    <row r="19" spans="1:45" x14ac:dyDescent="0.2">
      <c r="A19" t="s">
        <v>63</v>
      </c>
      <c r="B19" t="s">
        <v>57</v>
      </c>
      <c r="C19" t="s">
        <v>45</v>
      </c>
      <c r="D19">
        <v>155.74</v>
      </c>
      <c r="E19">
        <v>190.1</v>
      </c>
      <c r="F19">
        <v>-2.3653121259476998E-3</v>
      </c>
      <c r="G19">
        <v>-1331.45878184404</v>
      </c>
      <c r="H19">
        <v>5.0340998447953297E-2</v>
      </c>
      <c r="I19">
        <v>0.84333333347598005</v>
      </c>
      <c r="J19">
        <v>0.21833333349182699</v>
      </c>
      <c r="K19">
        <v>0.21861637223595901</v>
      </c>
      <c r="L19">
        <v>0.38833333347638399</v>
      </c>
      <c r="M19">
        <v>0.14000000015856501</v>
      </c>
      <c r="N19">
        <v>1.10166666680907</v>
      </c>
      <c r="O19">
        <v>0.14000000015856501</v>
      </c>
      <c r="P19">
        <v>1.4835365161418701</v>
      </c>
      <c r="Q19">
        <v>1.3055479273730099E-2</v>
      </c>
      <c r="R19">
        <v>-5.0787887683665404E-3</v>
      </c>
      <c r="S19">
        <v>-4.6109367609023797E-3</v>
      </c>
      <c r="T19">
        <v>-2.3653121259477501E-3</v>
      </c>
      <c r="U19">
        <v>-2963.3022033397101</v>
      </c>
      <c r="V19">
        <v>6.9900464105144805E-2</v>
      </c>
      <c r="W19">
        <v>0.81333333347640702</v>
      </c>
      <c r="X19">
        <v>0.203333333492178</v>
      </c>
      <c r="Y19">
        <v>0.21491545911842</v>
      </c>
      <c r="Z19">
        <v>0.35833333347681201</v>
      </c>
      <c r="AA19">
        <v>0.12500000015891599</v>
      </c>
      <c r="AB19">
        <v>0.77333333347644795</v>
      </c>
      <c r="AC19">
        <v>0.12500000015891599</v>
      </c>
      <c r="AD19">
        <v>0.94551932368571301</v>
      </c>
      <c r="AE19">
        <v>-4.61093676090243E-3</v>
      </c>
      <c r="AF19">
        <v>4.6729726370033697</v>
      </c>
      <c r="AG19">
        <v>4.9802207111907704</v>
      </c>
      <c r="AH19">
        <v>6.1822153205403101</v>
      </c>
      <c r="AI19">
        <v>6.8069350692286097</v>
      </c>
      <c r="AJ19">
        <v>-12.2849156860267</v>
      </c>
      <c r="AK19">
        <v>25.988</v>
      </c>
      <c r="AL19">
        <v>25.507999999999999</v>
      </c>
      <c r="AM19" s="1">
        <v>3.4713118726066E-28</v>
      </c>
      <c r="AN19" s="1">
        <v>3.1299601959263099E-19</v>
      </c>
      <c r="AO19">
        <v>5.4938599999999997</v>
      </c>
      <c r="AP19">
        <v>-2653.2349831408601</v>
      </c>
      <c r="AQ19">
        <v>6.5412477799835195E-2</v>
      </c>
      <c r="AR19">
        <v>5.4918105152023097E-2</v>
      </c>
      <c r="AS19">
        <v>7.5259600890713804E-2</v>
      </c>
    </row>
    <row r="20" spans="1:45" x14ac:dyDescent="0.2">
      <c r="A20" t="s">
        <v>64</v>
      </c>
      <c r="B20" t="s">
        <v>57</v>
      </c>
      <c r="C20" t="s">
        <v>45</v>
      </c>
      <c r="D20">
        <v>130.78</v>
      </c>
      <c r="E20">
        <v>185.64</v>
      </c>
      <c r="F20">
        <v>-2.3653121259476998E-3</v>
      </c>
      <c r="G20">
        <v>-513.96907376956301</v>
      </c>
      <c r="H20">
        <v>5.0340998447953297E-2</v>
      </c>
      <c r="I20">
        <v>0.83000000014267195</v>
      </c>
      <c r="J20">
        <v>0.223333333491846</v>
      </c>
      <c r="K20">
        <v>0.21727926932276201</v>
      </c>
      <c r="L20">
        <v>0.380000000143081</v>
      </c>
      <c r="M20">
        <v>0.145000000158584</v>
      </c>
      <c r="N20">
        <v>1.0883333334757701</v>
      </c>
      <c r="O20">
        <v>0.145000000158584</v>
      </c>
      <c r="P20">
        <v>1.47685330468681</v>
      </c>
      <c r="Q20">
        <v>2.08087896201158E-2</v>
      </c>
      <c r="R20">
        <v>-5.5746487619606298E-3</v>
      </c>
      <c r="S20">
        <v>-4.6109367609023797E-3</v>
      </c>
      <c r="T20">
        <v>-2.3653121259477501E-3</v>
      </c>
      <c r="U20">
        <v>-1339.03618134986</v>
      </c>
      <c r="V20">
        <v>6.9900464105144805E-2</v>
      </c>
      <c r="W20">
        <v>0.80000000014309902</v>
      </c>
      <c r="X20">
        <v>0.20833333349219599</v>
      </c>
      <c r="Y20">
        <v>0.21393719824884999</v>
      </c>
      <c r="Z20">
        <v>0.35000000014350902</v>
      </c>
      <c r="AA20">
        <v>0.13000000015893401</v>
      </c>
      <c r="AB20">
        <v>0.76166666680980599</v>
      </c>
      <c r="AC20">
        <v>0.13000000015893401</v>
      </c>
      <c r="AD20">
        <v>0.94630434784030604</v>
      </c>
      <c r="AE20">
        <v>-4.61093676090243E-3</v>
      </c>
      <c r="AF20">
        <v>4.9533810924592903</v>
      </c>
      <c r="AG20">
        <v>5.0340895025936101</v>
      </c>
      <c r="AH20">
        <v>6.2697194104291603</v>
      </c>
      <c r="AI20">
        <v>7.8506988349738798</v>
      </c>
      <c r="AJ20">
        <v>-4.2188632957451704</v>
      </c>
      <c r="AK20">
        <v>25.988</v>
      </c>
      <c r="AL20">
        <v>25.507999999999999</v>
      </c>
      <c r="AM20" s="1">
        <v>1.1279408398717801E-14</v>
      </c>
      <c r="AN20" s="1">
        <v>2.6928816983845302E-13</v>
      </c>
      <c r="AO20">
        <v>5.5509000000000004</v>
      </c>
      <c r="AP20">
        <v>-974.557421317136</v>
      </c>
      <c r="AQ20">
        <v>6.5079738643507301E-2</v>
      </c>
      <c r="AR20">
        <v>5.4918105152023097E-2</v>
      </c>
      <c r="AS20">
        <v>7.5259600890713804E-2</v>
      </c>
    </row>
    <row r="21" spans="1:45" x14ac:dyDescent="0.2">
      <c r="A21" t="s">
        <v>110</v>
      </c>
      <c r="B21" t="s">
        <v>57</v>
      </c>
      <c r="C21" t="s">
        <v>45</v>
      </c>
      <c r="D21">
        <v>113.48</v>
      </c>
      <c r="E21">
        <v>172.26</v>
      </c>
      <c r="F21">
        <v>-5.38473522663112E-3</v>
      </c>
      <c r="G21">
        <v>-233.24812089103699</v>
      </c>
      <c r="H21">
        <v>4.3926503927729003E-2</v>
      </c>
      <c r="I21">
        <v>0.95916666680920104</v>
      </c>
      <c r="J21">
        <v>0.25333333349185</v>
      </c>
      <c r="K21">
        <v>0.297648770493875</v>
      </c>
      <c r="L21">
        <v>0.70000000014277197</v>
      </c>
      <c r="M21">
        <v>0.17000000015859301</v>
      </c>
      <c r="N21">
        <v>1.14000000014236</v>
      </c>
      <c r="O21">
        <v>0.276666666825162</v>
      </c>
      <c r="P21">
        <v>1.4101565274807399</v>
      </c>
      <c r="Q21">
        <v>2.17332577436125E-2</v>
      </c>
      <c r="R21">
        <v>-7.5686662041827097E-3</v>
      </c>
      <c r="S21">
        <v>-6.8131493330001397E-3</v>
      </c>
      <c r="T21">
        <v>-5.3847352266311703E-3</v>
      </c>
      <c r="U21">
        <v>-954.99277763565397</v>
      </c>
      <c r="V21">
        <v>6.5056382785217595E-2</v>
      </c>
      <c r="W21">
        <v>0.92916666680962801</v>
      </c>
      <c r="X21">
        <v>0.23833333349220001</v>
      </c>
      <c r="Y21">
        <v>0.29548309196864198</v>
      </c>
      <c r="Z21">
        <v>0.67000000014319905</v>
      </c>
      <c r="AA21">
        <v>0.155000000158943</v>
      </c>
      <c r="AB21">
        <v>0.84333333347637496</v>
      </c>
      <c r="AC21">
        <v>0.26166666682551198</v>
      </c>
      <c r="AD21">
        <v>1.00533816427266</v>
      </c>
      <c r="AE21">
        <v>-6.81314933300021E-3</v>
      </c>
      <c r="AF21">
        <v>4.7596068349089604</v>
      </c>
      <c r="AG21">
        <v>6.5800561729752296</v>
      </c>
      <c r="AH21">
        <v>5.6531982440947699</v>
      </c>
      <c r="AI21">
        <v>10.2921563879027</v>
      </c>
      <c r="AJ21">
        <v>-2.0258977688502799</v>
      </c>
      <c r="AK21">
        <v>24.768000000000001</v>
      </c>
      <c r="AL21">
        <v>24.288</v>
      </c>
      <c r="AM21" s="1">
        <v>4.7531488001332099E-11</v>
      </c>
      <c r="AN21" s="1">
        <v>1.9699079181405498E-9</v>
      </c>
      <c r="AO21">
        <v>4.4257</v>
      </c>
      <c r="AP21">
        <v>-467.98238460441598</v>
      </c>
      <c r="AQ21">
        <v>5.7832159604592301E-2</v>
      </c>
      <c r="AR21">
        <v>4.6989788590568897E-2</v>
      </c>
      <c r="AS21">
        <v>6.9692515427653798E-2</v>
      </c>
    </row>
    <row r="22" spans="1:45" x14ac:dyDescent="0.2">
      <c r="A22" t="s">
        <v>65</v>
      </c>
      <c r="B22" t="s">
        <v>57</v>
      </c>
      <c r="C22" t="s">
        <v>45</v>
      </c>
      <c r="D22">
        <v>104.08</v>
      </c>
      <c r="E22">
        <v>165.88</v>
      </c>
      <c r="F22">
        <v>-7.8753728469212296E-3</v>
      </c>
      <c r="G22">
        <v>-150.77959941358799</v>
      </c>
      <c r="H22">
        <v>4.20700152770737E-2</v>
      </c>
      <c r="I22">
        <v>1.1633333334756799</v>
      </c>
      <c r="J22">
        <v>0.240833333491837</v>
      </c>
      <c r="K22">
        <v>0.34360328850001698</v>
      </c>
      <c r="L22">
        <v>1.10166666680907</v>
      </c>
      <c r="M22">
        <v>0.21666666682519001</v>
      </c>
      <c r="N22">
        <v>1.22500000014229</v>
      </c>
      <c r="O22">
        <v>0.26500000015848402</v>
      </c>
      <c r="P22">
        <v>1.38690273256866</v>
      </c>
      <c r="Q22">
        <v>2.2184636813978899E-2</v>
      </c>
      <c r="R22">
        <v>-9.1387548624228092E-3</v>
      </c>
      <c r="S22">
        <v>-8.5195562243461104E-3</v>
      </c>
      <c r="T22">
        <v>-7.8753728469212903E-3</v>
      </c>
      <c r="U22">
        <v>-807.81048425178597</v>
      </c>
      <c r="V22">
        <v>6.3017311092053593E-2</v>
      </c>
      <c r="W22">
        <v>1.13333333347611</v>
      </c>
      <c r="X22">
        <v>0.22583333349218701</v>
      </c>
      <c r="Y22">
        <v>0.34205314027781802</v>
      </c>
      <c r="Z22">
        <v>1.0716666668095001</v>
      </c>
      <c r="AA22">
        <v>0.20166666682553999</v>
      </c>
      <c r="AB22">
        <v>1.1950000001427199</v>
      </c>
      <c r="AC22">
        <v>0.20166666682553999</v>
      </c>
      <c r="AD22">
        <v>1.0067632850456001</v>
      </c>
      <c r="AE22">
        <v>-8.5195562243461902E-3</v>
      </c>
      <c r="AF22">
        <v>5.3409303857373098</v>
      </c>
      <c r="AG22">
        <v>8.1592462667840699</v>
      </c>
      <c r="AH22">
        <v>6.1534175099790298</v>
      </c>
      <c r="AI22">
        <v>12.3015449113367</v>
      </c>
      <c r="AJ22">
        <v>-1.2948435103434199</v>
      </c>
      <c r="AK22">
        <v>24.388000000000002</v>
      </c>
      <c r="AL22">
        <v>23.928000000000001</v>
      </c>
      <c r="AM22" s="1">
        <v>2.79015362547265E-9</v>
      </c>
      <c r="AN22" s="1">
        <v>5.2781706148122301E-8</v>
      </c>
      <c r="AO22">
        <v>3.9156599999999999</v>
      </c>
      <c r="AP22">
        <v>-299.10885088932997</v>
      </c>
      <c r="AQ22">
        <v>5.47608875629466E-2</v>
      </c>
      <c r="AR22">
        <v>4.4187906920896199E-2</v>
      </c>
      <c r="AS22">
        <v>6.7287470530344895E-2</v>
      </c>
    </row>
    <row r="23" spans="1:45" x14ac:dyDescent="0.2">
      <c r="A23" t="s">
        <v>111</v>
      </c>
      <c r="B23" t="s">
        <v>57</v>
      </c>
      <c r="C23" t="s">
        <v>45</v>
      </c>
      <c r="D23">
        <v>94.64</v>
      </c>
      <c r="E23">
        <v>161.88</v>
      </c>
      <c r="F23">
        <v>-1.22416699727375E-2</v>
      </c>
      <c r="G23">
        <v>-97.076345553339706</v>
      </c>
      <c r="H23">
        <v>4.1787473190878999E-2</v>
      </c>
      <c r="I23">
        <v>1.4958333334753799</v>
      </c>
      <c r="J23">
        <v>0.44166666682495298</v>
      </c>
      <c r="K23">
        <v>0.44491985086272601</v>
      </c>
      <c r="L23">
        <v>1.4500000001420901</v>
      </c>
      <c r="M23">
        <v>0.44166666682495298</v>
      </c>
      <c r="N23">
        <v>1.54166666680867</v>
      </c>
      <c r="O23">
        <v>0.44166666682495298</v>
      </c>
      <c r="P23">
        <v>1.3927778194207101</v>
      </c>
      <c r="Q23">
        <v>2.2701305946102299E-2</v>
      </c>
      <c r="R23">
        <v>-1.18397578103043E-2</v>
      </c>
      <c r="S23">
        <v>-1.1908393144607499E-2</v>
      </c>
      <c r="T23">
        <v>-1.2241669972737601E-2</v>
      </c>
      <c r="U23">
        <v>-662.71179054500794</v>
      </c>
      <c r="V23">
        <v>6.1049116019320698E-2</v>
      </c>
      <c r="W23">
        <v>1.46583333347581</v>
      </c>
      <c r="X23">
        <v>0.42666666682530302</v>
      </c>
      <c r="Y23">
        <v>0.44221014510868401</v>
      </c>
      <c r="Z23">
        <v>1.4200000001425099</v>
      </c>
      <c r="AA23">
        <v>0.42666666682530302</v>
      </c>
      <c r="AB23">
        <v>1.5116666668090999</v>
      </c>
      <c r="AC23">
        <v>0.42666666682530302</v>
      </c>
      <c r="AD23">
        <v>0.98945652176058996</v>
      </c>
      <c r="AE23">
        <v>-1.1908393144607499E-2</v>
      </c>
      <c r="AF23">
        <v>5.3762906883514896</v>
      </c>
      <c r="AG23">
        <v>7.5647215912249104</v>
      </c>
      <c r="AH23">
        <v>7.7931916269878503</v>
      </c>
      <c r="AI23">
        <v>9.5934740034561603</v>
      </c>
      <c r="AJ23">
        <v>-0.72359220843197603</v>
      </c>
      <c r="AK23">
        <v>23.988</v>
      </c>
      <c r="AL23">
        <v>23.527999999999999</v>
      </c>
      <c r="AM23" s="1">
        <v>4.5928612552467502E-8</v>
      </c>
      <c r="AN23" s="1">
        <v>1.28855660053079E-6</v>
      </c>
      <c r="AO23">
        <v>3.3626</v>
      </c>
      <c r="AP23">
        <v>-167.14980014778601</v>
      </c>
      <c r="AQ23">
        <v>5.2027442551353102E-2</v>
      </c>
      <c r="AR23">
        <v>4.2510056650528698E-2</v>
      </c>
      <c r="AS23">
        <v>6.4973517553344906E-2</v>
      </c>
    </row>
    <row r="24" spans="1:45" x14ac:dyDescent="0.2">
      <c r="A24" t="s">
        <v>66</v>
      </c>
      <c r="B24" t="s">
        <v>57</v>
      </c>
      <c r="C24" t="s">
        <v>45</v>
      </c>
      <c r="D24">
        <v>143.74</v>
      </c>
      <c r="E24">
        <v>190.72</v>
      </c>
      <c r="F24">
        <v>7.8324155012765605E-4</v>
      </c>
      <c r="G24">
        <v>-969.82225424958301</v>
      </c>
      <c r="H24">
        <v>7.8194166857314895E-2</v>
      </c>
      <c r="I24">
        <v>0.20125000014324501</v>
      </c>
      <c r="J24">
        <v>-0.11333333317453199</v>
      </c>
      <c r="K24">
        <v>-3.6660170363771498E-2</v>
      </c>
      <c r="L24">
        <v>-1.26333333318876</v>
      </c>
      <c r="M24">
        <v>-0.90666666650713901</v>
      </c>
      <c r="N24">
        <v>3.3333334767666999E-3</v>
      </c>
      <c r="O24">
        <v>-5.3333333174573401E-2</v>
      </c>
      <c r="P24">
        <v>1.6658185215751899</v>
      </c>
      <c r="Q24">
        <v>2.6093275529758399E-2</v>
      </c>
      <c r="R24">
        <v>-3.06915294461341E-3</v>
      </c>
      <c r="S24">
        <v>-1.5583086013793801E-3</v>
      </c>
      <c r="T24">
        <v>7.8324155012765096E-4</v>
      </c>
      <c r="U24">
        <v>-1398.4493891357299</v>
      </c>
      <c r="V24">
        <v>9.0511776456750501E-2</v>
      </c>
      <c r="W24">
        <v>0.171250000143672</v>
      </c>
      <c r="X24">
        <v>-0.128333333174182</v>
      </c>
      <c r="Y24">
        <v>-5.5253623007015397E-2</v>
      </c>
      <c r="Z24">
        <v>-1.2933333331883301</v>
      </c>
      <c r="AA24">
        <v>-0.92166666650678897</v>
      </c>
      <c r="AB24">
        <v>-0.41666666652245998</v>
      </c>
      <c r="AC24">
        <v>-0.29333333317403198</v>
      </c>
      <c r="AD24">
        <v>0.97851449273872304</v>
      </c>
      <c r="AE24">
        <v>-1.55830860137942E-3</v>
      </c>
      <c r="AF24">
        <v>6.4392113240490199</v>
      </c>
      <c r="AG24">
        <v>4.8824157455757096</v>
      </c>
      <c r="AH24">
        <v>5.2133636559998298</v>
      </c>
      <c r="AI24">
        <v>4.98181999159842</v>
      </c>
      <c r="AJ24">
        <v>-7.2264668868606501</v>
      </c>
      <c r="AK24">
        <v>32.588000000000001</v>
      </c>
      <c r="AL24">
        <v>31.968</v>
      </c>
      <c r="AM24" s="1">
        <v>1.7952886849124599E-20</v>
      </c>
      <c r="AN24" s="1">
        <v>1.06098153285837E-14</v>
      </c>
      <c r="AO24">
        <v>10.63796</v>
      </c>
      <c r="AP24">
        <v>-1669.3138508648001</v>
      </c>
      <c r="AQ24">
        <v>9.4476298659332103E-2</v>
      </c>
      <c r="AR24">
        <v>8.6020691216055101E-2</v>
      </c>
      <c r="AS24">
        <v>9.7950643070951193E-2</v>
      </c>
    </row>
    <row r="25" spans="1:45" x14ac:dyDescent="0.2">
      <c r="A25" t="s">
        <v>112</v>
      </c>
      <c r="B25" t="s">
        <v>57</v>
      </c>
      <c r="C25" t="s">
        <v>45</v>
      </c>
      <c r="D25">
        <v>116.52</v>
      </c>
      <c r="E25">
        <v>174.82</v>
      </c>
      <c r="F25">
        <v>1.4048106935288999E-3</v>
      </c>
      <c r="G25">
        <v>-317.22097582222398</v>
      </c>
      <c r="H25">
        <v>6.1342831025587997E-2</v>
      </c>
      <c r="I25">
        <v>0.50722222236518</v>
      </c>
      <c r="J25">
        <v>-8.2499999841197699E-2</v>
      </c>
      <c r="K25">
        <v>5.22981355210917E-2</v>
      </c>
      <c r="L25">
        <v>-0.31999999985628103</v>
      </c>
      <c r="M25">
        <v>-0.36166666650761198</v>
      </c>
      <c r="N25">
        <v>0.51166666680962403</v>
      </c>
      <c r="O25">
        <v>-0.151666666507803</v>
      </c>
      <c r="P25">
        <v>1.6170962187381599</v>
      </c>
      <c r="Q25">
        <v>2.8839875666531099E-2</v>
      </c>
      <c r="R25">
        <v>-3.0259123648159101E-3</v>
      </c>
      <c r="S25">
        <v>-1.8223798871040201E-3</v>
      </c>
      <c r="T25">
        <v>1.4048106935288999E-3</v>
      </c>
      <c r="U25">
        <v>-704.23947034980301</v>
      </c>
      <c r="V25">
        <v>7.8618705326144497E-2</v>
      </c>
      <c r="W25">
        <v>0.47722222236560802</v>
      </c>
      <c r="X25">
        <v>-9.7499999840847507E-2</v>
      </c>
      <c r="Y25">
        <v>4.8149758635444399E-2</v>
      </c>
      <c r="Z25">
        <v>-0.349999999855854</v>
      </c>
      <c r="AA25">
        <v>-0.37666666650726199</v>
      </c>
      <c r="AB25">
        <v>0.39666666681013302</v>
      </c>
      <c r="AC25">
        <v>-0.16666666650745299</v>
      </c>
      <c r="AD25">
        <v>0.93788888888129396</v>
      </c>
      <c r="AE25">
        <v>-1.82237988710406E-3</v>
      </c>
      <c r="AF25">
        <v>5.80081566322895</v>
      </c>
      <c r="AG25">
        <v>4.3182831444596097</v>
      </c>
      <c r="AH25">
        <v>6.0686580921961104</v>
      </c>
      <c r="AI25">
        <v>5.6031384327816296</v>
      </c>
      <c r="AJ25">
        <v>-2.5229779412948399</v>
      </c>
      <c r="AK25">
        <v>27.954000000000001</v>
      </c>
      <c r="AL25">
        <v>27.454000000000001</v>
      </c>
      <c r="AM25" s="1">
        <v>1.5502687433519899E-12</v>
      </c>
      <c r="AN25" s="1">
        <v>6.5235215823779799E-9</v>
      </c>
      <c r="AO25">
        <v>7.67408</v>
      </c>
      <c r="AP25">
        <v>-582.80790443910803</v>
      </c>
      <c r="AQ25">
        <v>7.9722291686563806E-2</v>
      </c>
      <c r="AR25">
        <v>6.8162925271965505E-2</v>
      </c>
      <c r="AS25">
        <v>8.5427892460423996E-2</v>
      </c>
    </row>
    <row r="26" spans="1:45" x14ac:dyDescent="0.2">
      <c r="A26" t="s">
        <v>113</v>
      </c>
      <c r="B26" t="s">
        <v>57</v>
      </c>
      <c r="C26" t="s">
        <v>45</v>
      </c>
      <c r="D26">
        <v>0.3</v>
      </c>
      <c r="E26">
        <v>2.3199999999999998</v>
      </c>
      <c r="F26">
        <v>2.3850273166835499E-2</v>
      </c>
      <c r="G26">
        <v>64.997753728558607</v>
      </c>
      <c r="H26">
        <v>9.3779072002421596E-2</v>
      </c>
      <c r="I26">
        <v>-0.92083333318906602</v>
      </c>
      <c r="J26">
        <v>-0.29249999984104302</v>
      </c>
      <c r="K26">
        <v>-0.34978288299662103</v>
      </c>
      <c r="L26">
        <v>-1.7649999998549699</v>
      </c>
      <c r="M26">
        <v>-0.77499999984060597</v>
      </c>
      <c r="N26">
        <v>-1.6499999998550701</v>
      </c>
      <c r="O26">
        <v>-0.77499999984060597</v>
      </c>
      <c r="P26">
        <v>2.5704512315796499</v>
      </c>
      <c r="Q26">
        <v>0.16789779330728399</v>
      </c>
      <c r="R26">
        <v>3.3781790156625302E-2</v>
      </c>
      <c r="S26">
        <v>-8.0323312546027696E-3</v>
      </c>
      <c r="T26">
        <v>2.3850273166835499E-2</v>
      </c>
      <c r="U26">
        <v>58.780930902577097</v>
      </c>
      <c r="V26">
        <v>0.104316243802164</v>
      </c>
      <c r="W26">
        <v>-0.95083333318863805</v>
      </c>
      <c r="X26">
        <v>-0.30749999984069198</v>
      </c>
      <c r="Y26">
        <v>-0.38461352638792101</v>
      </c>
      <c r="Z26">
        <v>-1.7949999998545401</v>
      </c>
      <c r="AA26">
        <v>-0.78999999984025604</v>
      </c>
      <c r="AB26">
        <v>-1.3866666665215599</v>
      </c>
      <c r="AC26">
        <v>-0.42499999984058301</v>
      </c>
      <c r="AD26">
        <v>1.04070048304046</v>
      </c>
      <c r="AE26">
        <v>-8.0323312546027904E-3</v>
      </c>
      <c r="AF26">
        <v>2.4830472475621801</v>
      </c>
      <c r="AG26">
        <v>2.30365791629904</v>
      </c>
      <c r="AH26">
        <v>2.5576684123956399</v>
      </c>
      <c r="AI26">
        <v>2.3319025043253401</v>
      </c>
      <c r="AJ26">
        <v>0.64728263021038701</v>
      </c>
      <c r="AK26">
        <v>27.027999999999999</v>
      </c>
      <c r="AL26">
        <v>26.527999999999999</v>
      </c>
      <c r="AM26">
        <v>0.696737846355999</v>
      </c>
      <c r="AN26">
        <v>0.81158667204741497</v>
      </c>
      <c r="AO26">
        <v>11.45866</v>
      </c>
      <c r="AP26">
        <v>143.69674390670599</v>
      </c>
      <c r="AQ26">
        <v>0.107764118260793</v>
      </c>
      <c r="AR26">
        <v>0.104982728868181</v>
      </c>
      <c r="AS26">
        <v>0.115526268777708</v>
      </c>
    </row>
    <row r="27" spans="1:45" x14ac:dyDescent="0.2">
      <c r="A27" t="s">
        <v>68</v>
      </c>
      <c r="B27" t="s">
        <v>57</v>
      </c>
      <c r="C27" t="s">
        <v>45</v>
      </c>
      <c r="D27">
        <v>40.86</v>
      </c>
      <c r="E27">
        <v>87.86</v>
      </c>
      <c r="F27">
        <v>-2.5374774217605499E-2</v>
      </c>
      <c r="G27">
        <v>-14299.1911398595</v>
      </c>
      <c r="H27">
        <v>0.109427061127412</v>
      </c>
      <c r="I27">
        <v>0.914305555698117</v>
      </c>
      <c r="J27">
        <v>0.47791666682494899</v>
      </c>
      <c r="K27">
        <v>0.62579894982319895</v>
      </c>
      <c r="L27">
        <v>-1.89999999985485</v>
      </c>
      <c r="M27">
        <v>-1.71333333317306</v>
      </c>
      <c r="N27">
        <v>1.00000000014248</v>
      </c>
      <c r="O27">
        <v>1.2583333334909199</v>
      </c>
      <c r="P27">
        <v>2.0868829386259899</v>
      </c>
      <c r="Q27">
        <v>5.8138571035983098E-2</v>
      </c>
      <c r="R27">
        <v>-2.0239763318343901E-2</v>
      </c>
      <c r="S27">
        <v>-1.7825273334979901E-2</v>
      </c>
      <c r="T27">
        <v>-2.5374774217605499E-2</v>
      </c>
      <c r="U27">
        <v>-6667.8742339278297</v>
      </c>
      <c r="V27">
        <v>0.118113478948941</v>
      </c>
      <c r="W27">
        <v>0.88430555569854497</v>
      </c>
      <c r="X27">
        <v>0.46291666682529897</v>
      </c>
      <c r="Y27">
        <v>0.62215942047086203</v>
      </c>
      <c r="Z27">
        <v>-1.9299999998544199</v>
      </c>
      <c r="AA27">
        <v>-1.72833333317271</v>
      </c>
      <c r="AB27">
        <v>0.46500000014337201</v>
      </c>
      <c r="AC27">
        <v>0.92166666682488496</v>
      </c>
      <c r="AD27">
        <v>1.2211256039221201</v>
      </c>
      <c r="AE27">
        <v>-1.7825273334980001E-2</v>
      </c>
      <c r="AF27">
        <v>2.4615996331508199</v>
      </c>
      <c r="AG27">
        <v>3.1305207564745698</v>
      </c>
      <c r="AH27">
        <v>2.9165028197782901</v>
      </c>
      <c r="AI27">
        <v>3.4486900143786698</v>
      </c>
      <c r="AJ27">
        <v>-1565.14780861028</v>
      </c>
      <c r="AK27">
        <v>47.69</v>
      </c>
      <c r="AL27">
        <v>46.71</v>
      </c>
      <c r="AM27" s="1">
        <v>1.0895185813993099E-12</v>
      </c>
      <c r="AN27">
        <v>3.29018065737932E-3</v>
      </c>
      <c r="AO27">
        <v>18.589939999999999</v>
      </c>
      <c r="AP27">
        <v>-361549.14378897502</v>
      </c>
      <c r="AQ27">
        <v>9.5811645529830999E-2</v>
      </c>
      <c r="AR27">
        <v>0.11474055105564</v>
      </c>
      <c r="AS27">
        <v>0.12459551275098001</v>
      </c>
    </row>
    <row r="28" spans="1:45" x14ac:dyDescent="0.2">
      <c r="A28" t="s">
        <v>69</v>
      </c>
      <c r="B28" t="s">
        <v>70</v>
      </c>
      <c r="C28" t="s">
        <v>45</v>
      </c>
      <c r="D28">
        <v>1.74</v>
      </c>
      <c r="E28">
        <v>8.6199999999999992</v>
      </c>
      <c r="F28">
        <v>2.6019250462647999E-3</v>
      </c>
      <c r="G28">
        <v>113.54765484935599</v>
      </c>
      <c r="H28">
        <v>6.2154238747971297E-2</v>
      </c>
      <c r="I28">
        <v>1.97833333347497</v>
      </c>
      <c r="J28">
        <v>-0.38999999984091999</v>
      </c>
      <c r="K28">
        <v>-6.4834714720908904E-2</v>
      </c>
      <c r="L28">
        <v>1.8916666668083899</v>
      </c>
      <c r="M28">
        <v>-0.40166666650757599</v>
      </c>
      <c r="N28">
        <v>2.06500000014156</v>
      </c>
      <c r="O28">
        <v>-0.37833333317426399</v>
      </c>
      <c r="P28">
        <v>1.98211296703491</v>
      </c>
      <c r="Q28">
        <v>8.64074842965845E-2</v>
      </c>
      <c r="R28">
        <v>-2.2944768265473398E-3</v>
      </c>
      <c r="S28">
        <v>2.8289423212771898E-2</v>
      </c>
      <c r="T28">
        <v>2.6019250462647999E-3</v>
      </c>
      <c r="U28">
        <v>91.563411608506001</v>
      </c>
      <c r="V28">
        <v>8.1447478311792498E-2</v>
      </c>
      <c r="W28">
        <v>1.9483333334754001</v>
      </c>
      <c r="X28">
        <v>-0.40499999984057</v>
      </c>
      <c r="Y28">
        <v>-5.5084540881932702E-2</v>
      </c>
      <c r="Z28">
        <v>1.86166666680882</v>
      </c>
      <c r="AA28">
        <v>-0.416666666507226</v>
      </c>
      <c r="AB28">
        <v>1.9433333334754099</v>
      </c>
      <c r="AC28">
        <v>-0.393333333173914</v>
      </c>
      <c r="AD28">
        <v>1.0711714975697699</v>
      </c>
      <c r="AE28">
        <v>2.8289423212771801E-2</v>
      </c>
      <c r="AF28">
        <v>2.8344714623495699</v>
      </c>
      <c r="AG28">
        <v>3.8548136625812401</v>
      </c>
      <c r="AH28">
        <v>3.2582789633575899</v>
      </c>
      <c r="AI28">
        <v>4.3829282329892001</v>
      </c>
      <c r="AJ28">
        <v>0.97484245229886701</v>
      </c>
      <c r="AK28">
        <v>25.327999999999999</v>
      </c>
      <c r="AL28">
        <v>24.867999999999999</v>
      </c>
      <c r="AM28">
        <v>0.18369070826233799</v>
      </c>
      <c r="AN28">
        <v>0.49896789682477699</v>
      </c>
      <c r="AO28">
        <v>8.5295000000000005</v>
      </c>
      <c r="AP28">
        <v>205.69175743506099</v>
      </c>
      <c r="AQ28">
        <v>9.2914302905527199E-2</v>
      </c>
      <c r="AR28">
        <v>6.6908113865301294E-2</v>
      </c>
      <c r="AS28">
        <v>8.6090610897850597E-2</v>
      </c>
    </row>
    <row r="29" spans="1:45" x14ac:dyDescent="0.2">
      <c r="A29" t="s">
        <v>71</v>
      </c>
      <c r="B29" t="s">
        <v>70</v>
      </c>
      <c r="C29" t="s">
        <v>45</v>
      </c>
      <c r="D29">
        <v>8.74</v>
      </c>
      <c r="E29">
        <v>40.08</v>
      </c>
      <c r="F29">
        <v>-1.4040705730539499E-2</v>
      </c>
      <c r="G29">
        <v>149.94066071949399</v>
      </c>
      <c r="H29">
        <v>4.49930599285382E-2</v>
      </c>
      <c r="I29">
        <v>1.48500000014209</v>
      </c>
      <c r="J29">
        <v>0.40000000015835202</v>
      </c>
      <c r="K29">
        <v>0.51197271647557296</v>
      </c>
      <c r="L29">
        <v>1.45833333347544</v>
      </c>
      <c r="M29">
        <v>0.34833333349173201</v>
      </c>
      <c r="N29">
        <v>1.51166666680873</v>
      </c>
      <c r="O29">
        <v>0.34833333349173201</v>
      </c>
      <c r="P29">
        <v>1.4619080661411901</v>
      </c>
      <c r="Q29">
        <v>4.9923310610229497E-2</v>
      </c>
      <c r="R29">
        <v>-1.2922572496880501E-2</v>
      </c>
      <c r="S29">
        <v>-1.6111453530278201E-2</v>
      </c>
      <c r="T29">
        <v>-1.4040705730539499E-2</v>
      </c>
      <c r="U29">
        <v>95.923805687846894</v>
      </c>
      <c r="V29">
        <v>6.4029024082891198E-2</v>
      </c>
      <c r="W29">
        <v>1.4550000001425101</v>
      </c>
      <c r="X29">
        <v>0.385000000158702</v>
      </c>
      <c r="Y29">
        <v>0.50142512095428005</v>
      </c>
      <c r="Z29">
        <v>1.4283333334758701</v>
      </c>
      <c r="AA29">
        <v>0.333333333492082</v>
      </c>
      <c r="AB29">
        <v>1.48166666680916</v>
      </c>
      <c r="AC29">
        <v>0.333333333492082</v>
      </c>
      <c r="AD29">
        <v>1.09442028989822</v>
      </c>
      <c r="AE29">
        <v>-1.6111453530278302E-2</v>
      </c>
      <c r="AF29">
        <v>4.4825383140139996</v>
      </c>
      <c r="AG29">
        <v>5.3275626127946802</v>
      </c>
      <c r="AH29">
        <v>5.2402161672905603</v>
      </c>
      <c r="AI29">
        <v>6.3880481585994797</v>
      </c>
      <c r="AJ29">
        <v>1.19343354634788</v>
      </c>
      <c r="AK29">
        <v>24.184000000000001</v>
      </c>
      <c r="AL29">
        <v>23.724</v>
      </c>
      <c r="AM29">
        <v>4.05774071604839E-2</v>
      </c>
      <c r="AN29">
        <v>0.125218384754165</v>
      </c>
      <c r="AO29">
        <v>5.4016799999999998</v>
      </c>
      <c r="AP29">
        <v>253.00791182575199</v>
      </c>
      <c r="AQ29">
        <v>6.8158993566274598E-2</v>
      </c>
      <c r="AR29">
        <v>4.5599354452107901E-2</v>
      </c>
      <c r="AS29">
        <v>6.7861467578476498E-2</v>
      </c>
    </row>
    <row r="30" spans="1:45" x14ac:dyDescent="0.2">
      <c r="A30" t="s">
        <v>72</v>
      </c>
      <c r="B30" t="s">
        <v>70</v>
      </c>
      <c r="C30" t="s">
        <v>45</v>
      </c>
      <c r="D30">
        <v>11.22</v>
      </c>
      <c r="E30">
        <v>33.32</v>
      </c>
      <c r="F30">
        <v>-2.9612085082697699E-2</v>
      </c>
      <c r="G30">
        <v>135.77692230142401</v>
      </c>
      <c r="H30">
        <v>4.8162685951506801E-2</v>
      </c>
      <c r="I30">
        <v>1.5308333334753601</v>
      </c>
      <c r="J30">
        <v>1.18083333349098</v>
      </c>
      <c r="K30">
        <v>0.89486769890829598</v>
      </c>
      <c r="L30">
        <v>1.4166666668087899</v>
      </c>
      <c r="M30">
        <v>1.1250000001577001</v>
      </c>
      <c r="N30">
        <v>1.58666666680864</v>
      </c>
      <c r="O30">
        <v>1.2366666668242601</v>
      </c>
      <c r="P30">
        <v>1.4119952572301799</v>
      </c>
      <c r="Q30">
        <v>5.3475222320887299E-2</v>
      </c>
      <c r="R30">
        <v>-2.85016307373353E-2</v>
      </c>
      <c r="S30">
        <v>-2.6970475403751401E-2</v>
      </c>
      <c r="T30">
        <v>-2.96120850826978E-2</v>
      </c>
      <c r="U30">
        <v>106.799886963232</v>
      </c>
      <c r="V30">
        <v>6.1581607085682798E-2</v>
      </c>
      <c r="W30">
        <v>1.50083333347578</v>
      </c>
      <c r="X30">
        <v>1.16583333349133</v>
      </c>
      <c r="Y30">
        <v>0.88910628037427697</v>
      </c>
      <c r="Z30">
        <v>1.38666666680922</v>
      </c>
      <c r="AA30">
        <v>1.1100000001580499</v>
      </c>
      <c r="AB30">
        <v>1.48833333347579</v>
      </c>
      <c r="AC30">
        <v>1.2216666668246099</v>
      </c>
      <c r="AD30">
        <v>1.17990338171467</v>
      </c>
      <c r="AE30">
        <v>-2.6970475403751502E-2</v>
      </c>
      <c r="AF30">
        <v>4.3260972480292201</v>
      </c>
      <c r="AG30">
        <v>4.6688225559924401</v>
      </c>
      <c r="AH30">
        <v>4.7178471527751098</v>
      </c>
      <c r="AI30">
        <v>4.7775014840998002</v>
      </c>
      <c r="AJ30">
        <v>1.12459219350619</v>
      </c>
      <c r="AK30">
        <v>25.256</v>
      </c>
      <c r="AL30">
        <v>24.756</v>
      </c>
      <c r="AM30">
        <v>6.6678228157215594E-2</v>
      </c>
      <c r="AN30">
        <v>0.113324428842631</v>
      </c>
      <c r="AO30">
        <v>6.1829999999999998</v>
      </c>
      <c r="AP30">
        <v>238.41354502331299</v>
      </c>
      <c r="AQ30">
        <v>6.3773122478475094E-2</v>
      </c>
      <c r="AR30">
        <v>5.16396608145714E-2</v>
      </c>
      <c r="AS30">
        <v>7.0034123600322906E-2</v>
      </c>
    </row>
    <row r="31" spans="1:45" x14ac:dyDescent="0.2">
      <c r="A31" t="s">
        <v>73</v>
      </c>
      <c r="B31" t="s">
        <v>74</v>
      </c>
      <c r="C31" t="s">
        <v>45</v>
      </c>
      <c r="D31">
        <v>0.72</v>
      </c>
      <c r="E31">
        <v>9.14</v>
      </c>
      <c r="F31">
        <v>-9.7716678060832101E-3</v>
      </c>
      <c r="G31">
        <v>153.74772643312301</v>
      </c>
      <c r="H31">
        <v>4.2492886641014103E-2</v>
      </c>
      <c r="I31">
        <v>1.1350000001423699</v>
      </c>
      <c r="J31">
        <v>0.439166666824994</v>
      </c>
      <c r="K31">
        <v>0.39320826031963502</v>
      </c>
      <c r="L31">
        <v>0.84333333347597506</v>
      </c>
      <c r="M31">
        <v>0.38666666682504403</v>
      </c>
      <c r="N31">
        <v>1.42666666680877</v>
      </c>
      <c r="O31">
        <v>0.49166666682494398</v>
      </c>
      <c r="P31">
        <v>1.30385556193898</v>
      </c>
      <c r="Q31">
        <v>5.1925582581174697E-2</v>
      </c>
      <c r="R31">
        <v>-9.6547214787276198E-3</v>
      </c>
      <c r="S31">
        <v>-1.04180394092914E-2</v>
      </c>
      <c r="T31">
        <v>-9.7716678060832708E-3</v>
      </c>
      <c r="U31">
        <v>108.709076770504</v>
      </c>
      <c r="V31">
        <v>6.1803843172154198E-2</v>
      </c>
      <c r="W31">
        <v>1.1050000001428</v>
      </c>
      <c r="X31">
        <v>0.42416666682534399</v>
      </c>
      <c r="Y31">
        <v>0.39035024172706201</v>
      </c>
      <c r="Z31">
        <v>0.81333333347640202</v>
      </c>
      <c r="AA31">
        <v>0.37166666682539401</v>
      </c>
      <c r="AB31">
        <v>1.0733333334761599</v>
      </c>
      <c r="AC31">
        <v>0.43500000015867002</v>
      </c>
      <c r="AD31">
        <v>1.0045048309393201</v>
      </c>
      <c r="AE31">
        <v>-1.04180394092915E-2</v>
      </c>
      <c r="AF31">
        <v>4.6968231357531902</v>
      </c>
      <c r="AG31">
        <v>5.4301303279047497</v>
      </c>
      <c r="AH31">
        <v>5.5426580926911404</v>
      </c>
      <c r="AI31">
        <v>6.4881685512193101</v>
      </c>
      <c r="AJ31">
        <v>1.5404095576755901</v>
      </c>
      <c r="AK31">
        <v>24.691999999999901</v>
      </c>
      <c r="AL31">
        <v>24.212</v>
      </c>
      <c r="AM31">
        <v>0.38415926723294602</v>
      </c>
      <c r="AN31">
        <v>0.55151260854366402</v>
      </c>
      <c r="AO31">
        <v>4.6420599999999999</v>
      </c>
      <c r="AP31">
        <v>355.83460782306099</v>
      </c>
      <c r="AQ31">
        <v>5.1670102769198603E-2</v>
      </c>
      <c r="AR31">
        <v>4.3191377757501398E-2</v>
      </c>
      <c r="AS31">
        <v>6.53679890301129E-2</v>
      </c>
    </row>
    <row r="32" spans="1:45" x14ac:dyDescent="0.2">
      <c r="A32" t="s">
        <v>75</v>
      </c>
      <c r="B32" t="s">
        <v>74</v>
      </c>
      <c r="C32" t="s">
        <v>45</v>
      </c>
      <c r="D32">
        <v>6.3</v>
      </c>
      <c r="E32">
        <v>62.26</v>
      </c>
      <c r="F32">
        <v>4.1480295328991001E-2</v>
      </c>
      <c r="G32">
        <v>102.160746235742</v>
      </c>
      <c r="H32">
        <v>6.8514733179223894E-2</v>
      </c>
      <c r="I32">
        <v>-4.9999999856536199E-2</v>
      </c>
      <c r="J32">
        <v>-1.09083333317361</v>
      </c>
      <c r="K32">
        <v>-1.41112209028799</v>
      </c>
      <c r="L32">
        <v>-0.33833333318960201</v>
      </c>
      <c r="M32">
        <v>-1.1316666665069099</v>
      </c>
      <c r="N32">
        <v>-0.19166666652307801</v>
      </c>
      <c r="O32">
        <v>-1.1316666665069099</v>
      </c>
      <c r="P32">
        <v>2.0437861434749598</v>
      </c>
      <c r="Q32">
        <v>4.7839523002126898E-2</v>
      </c>
      <c r="R32">
        <v>1.4073357595999E-2</v>
      </c>
      <c r="S32">
        <v>6.5259822941070106E-2</v>
      </c>
      <c r="T32">
        <v>4.1480295328991001E-2</v>
      </c>
      <c r="U32">
        <v>54.5075251984644</v>
      </c>
      <c r="V32">
        <v>7.9753921832467004E-2</v>
      </c>
      <c r="W32">
        <v>-7.9999999856108797E-2</v>
      </c>
      <c r="X32">
        <v>-1.1058333331732599</v>
      </c>
      <c r="Y32">
        <v>-1.3979347824275701</v>
      </c>
      <c r="Z32">
        <v>-0.36833333318917499</v>
      </c>
      <c r="AA32">
        <v>-1.1466666665065599</v>
      </c>
      <c r="AB32">
        <v>-0.22166666652265099</v>
      </c>
      <c r="AC32">
        <v>-1.1466666665065599</v>
      </c>
      <c r="AD32">
        <v>1.5314130433332001</v>
      </c>
      <c r="AE32">
        <v>6.5259822941070106E-2</v>
      </c>
      <c r="AF32">
        <v>5.1992402484539602</v>
      </c>
      <c r="AG32">
        <v>5.2039777235427103</v>
      </c>
      <c r="AH32">
        <v>6.6331329284606699</v>
      </c>
      <c r="AI32">
        <v>6.0157367663574899</v>
      </c>
      <c r="AJ32">
        <v>1.29062145214686</v>
      </c>
      <c r="AK32">
        <v>24.911999999999999</v>
      </c>
      <c r="AL32">
        <v>24.451999999999899</v>
      </c>
      <c r="AM32">
        <v>7.4273697632412206E-2</v>
      </c>
      <c r="AN32">
        <v>0.134562134646487</v>
      </c>
      <c r="AO32">
        <v>4.9017799999999996</v>
      </c>
      <c r="AP32">
        <v>298.13355544592599</v>
      </c>
      <c r="AQ32">
        <v>6.0004896294990603E-2</v>
      </c>
      <c r="AR32">
        <v>6.5001863798999804E-2</v>
      </c>
      <c r="AS32">
        <v>7.9717777003322901E-2</v>
      </c>
    </row>
    <row r="33" spans="1:45" x14ac:dyDescent="0.2">
      <c r="A33" t="s">
        <v>76</v>
      </c>
      <c r="B33" t="s">
        <v>74</v>
      </c>
      <c r="C33" t="s">
        <v>45</v>
      </c>
      <c r="D33">
        <v>4.4800000000000004</v>
      </c>
      <c r="E33">
        <v>78.52</v>
      </c>
      <c r="F33">
        <v>-7.3238907297443603E-2</v>
      </c>
      <c r="G33">
        <v>58.819788775807403</v>
      </c>
      <c r="H33">
        <v>9.4197194337087703E-2</v>
      </c>
      <c r="I33">
        <v>2.9108333334740699</v>
      </c>
      <c r="J33">
        <v>2.62916666682302</v>
      </c>
      <c r="K33">
        <v>2.5934829272787798</v>
      </c>
      <c r="L33">
        <v>2.6800000001409501</v>
      </c>
      <c r="M33">
        <v>2.5450000001564201</v>
      </c>
      <c r="N33">
        <v>3.1416666668071902</v>
      </c>
      <c r="O33">
        <v>2.7133333334896199</v>
      </c>
      <c r="P33">
        <v>2.8279432252945602</v>
      </c>
      <c r="Q33">
        <v>5.3934803694378697E-2</v>
      </c>
      <c r="R33">
        <v>-4.0304514582034198E-2</v>
      </c>
      <c r="S33">
        <v>-8.8775675287750197E-2</v>
      </c>
      <c r="T33">
        <v>-7.3238907297443603E-2</v>
      </c>
      <c r="U33">
        <v>24.828265971994</v>
      </c>
      <c r="V33">
        <v>0.10026487373511001</v>
      </c>
      <c r="W33">
        <v>2.8808333334745</v>
      </c>
      <c r="X33">
        <v>2.6141666668233698</v>
      </c>
      <c r="Y33">
        <v>2.57323671515665</v>
      </c>
      <c r="Z33">
        <v>2.6500000001413802</v>
      </c>
      <c r="AA33">
        <v>2.53000000015677</v>
      </c>
      <c r="AB33">
        <v>2.9566666668077599</v>
      </c>
      <c r="AC33">
        <v>2.6983333334899702</v>
      </c>
      <c r="AD33">
        <v>2.57323671515665</v>
      </c>
      <c r="AE33">
        <v>-8.8775675287750197E-2</v>
      </c>
      <c r="AF33">
        <v>3.0733178403288699</v>
      </c>
      <c r="AG33">
        <v>3.35176674458436</v>
      </c>
      <c r="AH33">
        <v>3.1347135447428101</v>
      </c>
      <c r="AI33">
        <v>2.7857058089201399</v>
      </c>
      <c r="AJ33">
        <v>1.09281091259484</v>
      </c>
      <c r="AK33">
        <v>25.984000000000002</v>
      </c>
      <c r="AL33">
        <v>25.443999999999999</v>
      </c>
      <c r="AM33">
        <v>8.5660997891961702E-2</v>
      </c>
      <c r="AN33">
        <v>0.129855992985906</v>
      </c>
      <c r="AO33">
        <v>6.1162999999999998</v>
      </c>
      <c r="AP33">
        <v>252.439320809409</v>
      </c>
      <c r="AQ33">
        <v>7.2087189894895598E-2</v>
      </c>
      <c r="AR33">
        <v>8.7522680562448399E-2</v>
      </c>
      <c r="AS33">
        <v>9.8886152810362796E-2</v>
      </c>
    </row>
    <row r="34" spans="1:45" x14ac:dyDescent="0.2">
      <c r="A34" t="s">
        <v>77</v>
      </c>
      <c r="B34" t="s">
        <v>74</v>
      </c>
      <c r="C34" t="s">
        <v>45</v>
      </c>
      <c r="D34">
        <v>10.98</v>
      </c>
      <c r="E34">
        <v>65.08</v>
      </c>
      <c r="F34">
        <v>4.3550585886115198E-2</v>
      </c>
      <c r="G34">
        <v>75.989123288312896</v>
      </c>
      <c r="H34">
        <v>8.6359921860982097E-2</v>
      </c>
      <c r="I34">
        <v>-3.4166666523219598E-2</v>
      </c>
      <c r="J34">
        <v>-1.21166666650688</v>
      </c>
      <c r="K34">
        <v>-1.5085101694496199</v>
      </c>
      <c r="L34">
        <v>-0.41999999985619002</v>
      </c>
      <c r="M34">
        <v>-1.5049999998399499</v>
      </c>
      <c r="N34">
        <v>-5.4999999856536197E-2</v>
      </c>
      <c r="O34">
        <v>-1.45166666650666</v>
      </c>
      <c r="P34">
        <v>2.2268893060727102</v>
      </c>
      <c r="Q34">
        <v>5.1085138775808198E-2</v>
      </c>
      <c r="R34">
        <v>5.4227234748622797E-3</v>
      </c>
      <c r="S34">
        <v>8.4758711512141802E-2</v>
      </c>
      <c r="T34">
        <v>4.3550585886115198E-2</v>
      </c>
      <c r="U34">
        <v>40.087835733149099</v>
      </c>
      <c r="V34">
        <v>9.4892508152681299E-2</v>
      </c>
      <c r="W34">
        <v>-6.4166666522792098E-2</v>
      </c>
      <c r="X34">
        <v>-1.22666666650653</v>
      </c>
      <c r="Y34">
        <v>-1.4750543476453899</v>
      </c>
      <c r="Z34">
        <v>-0.449999999855763</v>
      </c>
      <c r="AA34">
        <v>-1.5199999998396001</v>
      </c>
      <c r="AB34">
        <v>-0.17999999985602699</v>
      </c>
      <c r="AC34">
        <v>-1.3666666665064</v>
      </c>
      <c r="AD34">
        <v>1.5887499998480801</v>
      </c>
      <c r="AE34">
        <v>8.4758711512141802E-2</v>
      </c>
      <c r="AF34">
        <v>4.87768480627469</v>
      </c>
      <c r="AG34">
        <v>4.6342756606852404</v>
      </c>
      <c r="AH34">
        <v>5.7375262851164601</v>
      </c>
      <c r="AI34">
        <v>5.5037704720815102</v>
      </c>
      <c r="AJ34">
        <v>1.1165863444509101</v>
      </c>
      <c r="AK34">
        <v>26.635999999999999</v>
      </c>
      <c r="AL34">
        <v>26.135999999999999</v>
      </c>
      <c r="AM34">
        <v>1.8013545016491599E-2</v>
      </c>
      <c r="AN34">
        <v>5.0662846899602397E-2</v>
      </c>
      <c r="AO34">
        <v>6.8544</v>
      </c>
      <c r="AP34">
        <v>257.93144556815997</v>
      </c>
      <c r="AQ34">
        <v>6.9334590510747196E-2</v>
      </c>
      <c r="AR34">
        <v>7.8564363094734593E-2</v>
      </c>
      <c r="AS34">
        <v>9.0400944632471905E-2</v>
      </c>
    </row>
    <row r="35" spans="1:45" x14ac:dyDescent="0.2">
      <c r="A35" t="s">
        <v>78</v>
      </c>
      <c r="B35" t="s">
        <v>79</v>
      </c>
      <c r="C35" t="s">
        <v>45</v>
      </c>
      <c r="D35">
        <v>4.96</v>
      </c>
      <c r="E35">
        <v>65.64</v>
      </c>
      <c r="F35">
        <v>-5.7469540225134903E-2</v>
      </c>
      <c r="G35">
        <v>78.9358328699727</v>
      </c>
      <c r="H35">
        <v>8.9314655516877603E-2</v>
      </c>
      <c r="I35">
        <v>2.2122222223636601</v>
      </c>
      <c r="J35">
        <v>2.0400000001568399</v>
      </c>
      <c r="K35">
        <v>2.04687891157843</v>
      </c>
      <c r="L35">
        <v>1.44000000014215</v>
      </c>
      <c r="M35">
        <v>1.45666666682404</v>
      </c>
      <c r="N35">
        <v>2.94166666680744</v>
      </c>
      <c r="O35">
        <v>2.5583333334897</v>
      </c>
      <c r="P35">
        <v>2.42025878075084</v>
      </c>
      <c r="Q35">
        <v>0.06</v>
      </c>
      <c r="R35">
        <v>-3.1890362982835499E-2</v>
      </c>
      <c r="S35">
        <v>-7.1979930937290104E-2</v>
      </c>
      <c r="T35">
        <v>-5.7469540225134903E-2</v>
      </c>
      <c r="U35">
        <v>51.569786821507002</v>
      </c>
      <c r="V35">
        <v>9.7283252153167493E-2</v>
      </c>
      <c r="W35">
        <v>2.1822222223640901</v>
      </c>
      <c r="X35">
        <v>2.0250000001571902</v>
      </c>
      <c r="Y35">
        <v>2.0281340581519598</v>
      </c>
      <c r="Z35">
        <v>1.4100000001425801</v>
      </c>
      <c r="AA35">
        <v>1.44166666682439</v>
      </c>
      <c r="AB35">
        <v>2.8800000001412198</v>
      </c>
      <c r="AC35">
        <v>2.5433333334900499</v>
      </c>
      <c r="AD35">
        <v>2.06388285041522</v>
      </c>
      <c r="AE35">
        <v>-7.1979930937290104E-2</v>
      </c>
      <c r="AF35">
        <v>3.1469427484755799</v>
      </c>
      <c r="AG35">
        <v>3.8250686173642801</v>
      </c>
      <c r="AH35">
        <v>3.3075586531635501</v>
      </c>
      <c r="AI35">
        <v>3.2712097356021399</v>
      </c>
      <c r="AJ35">
        <v>0.99759168492314898</v>
      </c>
      <c r="AK35">
        <v>32.36</v>
      </c>
      <c r="AL35">
        <v>31.74</v>
      </c>
      <c r="AM35">
        <v>5.0931138872862797E-2</v>
      </c>
      <c r="AN35">
        <v>0.12645342429087</v>
      </c>
      <c r="AO35">
        <v>14.300459999999999</v>
      </c>
      <c r="AP35">
        <v>230.44367921724699</v>
      </c>
      <c r="AQ35">
        <v>8.0358817749839606E-2</v>
      </c>
      <c r="AR35">
        <v>8.5588159765243102E-2</v>
      </c>
      <c r="AS35">
        <v>9.7542897106237494E-2</v>
      </c>
    </row>
    <row r="36" spans="1:45" x14ac:dyDescent="0.2">
      <c r="A36" t="s">
        <v>80</v>
      </c>
      <c r="B36" t="s">
        <v>79</v>
      </c>
      <c r="C36" t="s">
        <v>45</v>
      </c>
      <c r="D36">
        <v>28.82</v>
      </c>
      <c r="E36">
        <v>65.58</v>
      </c>
      <c r="F36">
        <v>-8.2330915986156106E-2</v>
      </c>
      <c r="G36">
        <v>-103.368018411473</v>
      </c>
      <c r="H36">
        <v>0.139720840776896</v>
      </c>
      <c r="I36">
        <v>2.0555000001415298</v>
      </c>
      <c r="J36">
        <v>2.86458333348943</v>
      </c>
      <c r="K36">
        <v>3.3948495966915599</v>
      </c>
      <c r="L36">
        <v>0.82166666680933298</v>
      </c>
      <c r="M36">
        <v>1.6983333334905</v>
      </c>
      <c r="N36">
        <v>3.0466666668072802</v>
      </c>
      <c r="O36">
        <v>4.0683333334883303</v>
      </c>
      <c r="P36">
        <v>3.9553919259019898</v>
      </c>
      <c r="Q36">
        <v>0.11034401374517</v>
      </c>
      <c r="R36">
        <v>3.6470570114350699E-3</v>
      </c>
      <c r="S36">
        <v>-0.146453794003612</v>
      </c>
      <c r="T36">
        <v>-8.2330915986156106E-2</v>
      </c>
      <c r="U36">
        <v>-154.076899655587</v>
      </c>
      <c r="V36">
        <v>0.14405260406838799</v>
      </c>
      <c r="W36">
        <v>2.0255000001419501</v>
      </c>
      <c r="X36">
        <v>2.8495833334897802</v>
      </c>
      <c r="Y36">
        <v>3.3344227054960802</v>
      </c>
      <c r="Z36">
        <v>0.79166666680975994</v>
      </c>
      <c r="AA36">
        <v>1.68333333349085</v>
      </c>
      <c r="AB36">
        <v>2.8183333334745702</v>
      </c>
      <c r="AC36">
        <v>4.0533333334886796</v>
      </c>
      <c r="AD36">
        <v>3.3344227054960802</v>
      </c>
      <c r="AE36">
        <v>-0.146453794003612</v>
      </c>
      <c r="AF36">
        <v>2.6503681498124001</v>
      </c>
      <c r="AG36">
        <v>2.2108967693240902</v>
      </c>
      <c r="AH36">
        <v>3.00767288729869</v>
      </c>
      <c r="AI36">
        <v>2.5369719422529702</v>
      </c>
      <c r="AJ36">
        <v>-0.373165490591923</v>
      </c>
      <c r="AK36">
        <v>40.28</v>
      </c>
      <c r="AL36">
        <v>39.56</v>
      </c>
      <c r="AM36" s="1">
        <v>1.9099089200277902E-9</v>
      </c>
      <c r="AN36" s="1">
        <v>7.9938601336958099E-5</v>
      </c>
      <c r="AO36">
        <v>21.296140000000001</v>
      </c>
      <c r="AP36">
        <v>-86.201228326734196</v>
      </c>
      <c r="AQ36">
        <v>0.11302775833840301</v>
      </c>
      <c r="AR36">
        <v>0.12558970085889601</v>
      </c>
      <c r="AS36">
        <v>0.133639237164978</v>
      </c>
    </row>
    <row r="37" spans="1:45" x14ac:dyDescent="0.2">
      <c r="A37" t="s">
        <v>81</v>
      </c>
      <c r="B37" t="s">
        <v>79</v>
      </c>
      <c r="C37" t="s">
        <v>45</v>
      </c>
      <c r="D37">
        <v>10.42</v>
      </c>
      <c r="E37">
        <v>54.56</v>
      </c>
      <c r="F37">
        <v>-1.53897123027989E-2</v>
      </c>
      <c r="G37">
        <v>61.511105285974502</v>
      </c>
      <c r="H37">
        <v>0.107028420641154</v>
      </c>
      <c r="I37">
        <v>-0.91277777763353996</v>
      </c>
      <c r="J37">
        <v>0.60152777793595003</v>
      </c>
      <c r="K37">
        <v>1.2052374974394799</v>
      </c>
      <c r="L37">
        <v>-2.63666666652085</v>
      </c>
      <c r="M37">
        <v>-0.43333333317421802</v>
      </c>
      <c r="N37">
        <v>-1.7166666665216801</v>
      </c>
      <c r="O37">
        <v>1.09500000015773</v>
      </c>
      <c r="P37">
        <v>3.2764999989020902</v>
      </c>
      <c r="Q37">
        <v>7.8911046960337697E-2</v>
      </c>
      <c r="R37">
        <v>1.4687714812234499E-2</v>
      </c>
      <c r="S37">
        <v>-9.2625353430053098E-2</v>
      </c>
      <c r="T37">
        <v>-1.5389712302798999E-2</v>
      </c>
      <c r="U37">
        <v>45.951206462658298</v>
      </c>
      <c r="V37">
        <v>0.114034109841413</v>
      </c>
      <c r="W37">
        <v>-0.94277777763311299</v>
      </c>
      <c r="X37">
        <v>0.58652777793630095</v>
      </c>
      <c r="Y37">
        <v>1.1061388890722399</v>
      </c>
      <c r="Z37">
        <v>-2.6666666665204199</v>
      </c>
      <c r="AA37">
        <v>-0.44833333317386798</v>
      </c>
      <c r="AB37">
        <v>-2.0316666665210001</v>
      </c>
      <c r="AC37">
        <v>1.01166666682482</v>
      </c>
      <c r="AD37">
        <v>1.3210084541940701</v>
      </c>
      <c r="AE37">
        <v>-9.2625353430053098E-2</v>
      </c>
      <c r="AF37">
        <v>3.2704349300782898</v>
      </c>
      <c r="AG37">
        <v>3.8375850955656601</v>
      </c>
      <c r="AH37">
        <v>3.4673489585614998</v>
      </c>
      <c r="AI37">
        <v>3.9143607281191199</v>
      </c>
      <c r="AJ37">
        <v>0.476576696601127</v>
      </c>
      <c r="AK37">
        <v>44.131999999999998</v>
      </c>
      <c r="AL37">
        <v>43.472000000000001</v>
      </c>
      <c r="AM37">
        <v>5.0040118553830198E-2</v>
      </c>
      <c r="AN37">
        <v>0.108261318608721</v>
      </c>
      <c r="AO37">
        <v>23.977440000000001</v>
      </c>
      <c r="AP37">
        <v>57.1892035921353</v>
      </c>
      <c r="AQ37">
        <v>0.11741076989384699</v>
      </c>
      <c r="AR37">
        <v>0.108823625490889</v>
      </c>
      <c r="AS37">
        <v>0.11787942403582</v>
      </c>
    </row>
    <row r="38" spans="1:45" x14ac:dyDescent="0.2">
      <c r="A38" t="s">
        <v>114</v>
      </c>
      <c r="B38" t="s">
        <v>79</v>
      </c>
      <c r="C38" t="s">
        <v>45</v>
      </c>
      <c r="D38">
        <v>14.7</v>
      </c>
      <c r="E38">
        <v>46.22</v>
      </c>
      <c r="F38">
        <v>-0.14061621610793601</v>
      </c>
      <c r="G38">
        <v>-30.936088462300699</v>
      </c>
      <c r="H38">
        <v>0.23492367009631901</v>
      </c>
      <c r="I38">
        <v>4.1021666668063501</v>
      </c>
      <c r="J38">
        <v>5.2368888890428602</v>
      </c>
      <c r="K38">
        <v>5.7105030512020196</v>
      </c>
      <c r="L38">
        <v>-1.3833333331886399</v>
      </c>
      <c r="M38">
        <v>0.82000000015798302</v>
      </c>
      <c r="N38">
        <v>9.3383333334682206</v>
      </c>
      <c r="O38">
        <v>9.5316666668167205</v>
      </c>
      <c r="P38">
        <v>6.2550735159803699</v>
      </c>
      <c r="Q38">
        <v>0.130053442143133</v>
      </c>
      <c r="R38">
        <v>-0.12640606037761501</v>
      </c>
      <c r="S38">
        <v>-0.2142481802074</v>
      </c>
      <c r="T38">
        <v>-0.14061621610793601</v>
      </c>
      <c r="U38">
        <v>-35.9849548836713</v>
      </c>
      <c r="V38">
        <v>0.23748649086923801</v>
      </c>
      <c r="W38">
        <v>4.07216666680677</v>
      </c>
      <c r="X38">
        <v>5.2218888890432096</v>
      </c>
      <c r="Y38">
        <v>5.6553249656747404</v>
      </c>
      <c r="Z38">
        <v>-1.4133333331882201</v>
      </c>
      <c r="AA38">
        <v>0.80500000015833395</v>
      </c>
      <c r="AB38">
        <v>9.0883333334688494</v>
      </c>
      <c r="AC38">
        <v>9.5166666668170699</v>
      </c>
      <c r="AD38">
        <v>5.6553249656747404</v>
      </c>
      <c r="AE38">
        <v>-0.2142481802074</v>
      </c>
      <c r="AF38">
        <v>1.7308814111210999</v>
      </c>
      <c r="AG38">
        <v>1.5448545714495201</v>
      </c>
      <c r="AH38">
        <v>1.80250287801617</v>
      </c>
      <c r="AI38">
        <v>1.7060152483348401</v>
      </c>
      <c r="AJ38">
        <v>-0.25656983762493202</v>
      </c>
      <c r="AK38">
        <v>75.462000000000003</v>
      </c>
      <c r="AL38">
        <v>74.661999999999907</v>
      </c>
      <c r="AM38">
        <v>2.6038966708590901E-2</v>
      </c>
      <c r="AN38">
        <v>7.1419651854032096E-2</v>
      </c>
      <c r="AO38">
        <v>48.454880000000003</v>
      </c>
      <c r="AP38">
        <v>-26.426693275367999</v>
      </c>
      <c r="AQ38">
        <v>0.210844553371725</v>
      </c>
      <c r="AR38">
        <v>0.21607893791428101</v>
      </c>
      <c r="AS38">
        <v>0.22022800753520699</v>
      </c>
    </row>
    <row r="39" spans="1:45" x14ac:dyDescent="0.2">
      <c r="A39" t="s">
        <v>82</v>
      </c>
      <c r="B39" t="s">
        <v>83</v>
      </c>
      <c r="C39" t="s">
        <v>45</v>
      </c>
      <c r="D39">
        <v>39.92</v>
      </c>
      <c r="E39">
        <v>50.22</v>
      </c>
      <c r="F39">
        <v>0.51912342362710295</v>
      </c>
      <c r="G39">
        <v>-57.81587527656</v>
      </c>
      <c r="H39">
        <v>0.79960211966421801</v>
      </c>
      <c r="I39">
        <v>-6.4249999998507503</v>
      </c>
      <c r="J39">
        <v>-10.8049999998314</v>
      </c>
      <c r="K39">
        <v>-12.601695761788401</v>
      </c>
      <c r="L39">
        <v>-6.4249999998507503</v>
      </c>
      <c r="M39">
        <v>-10.8049999998314</v>
      </c>
      <c r="N39">
        <v>-6.4249999998507503</v>
      </c>
      <c r="O39">
        <v>-10.8049999998314</v>
      </c>
      <c r="P39">
        <v>14.019028393822</v>
      </c>
      <c r="Q39">
        <v>0.33780507858491599</v>
      </c>
      <c r="R39">
        <v>0.23512179320705301</v>
      </c>
      <c r="S39">
        <v>0.94176577017728902</v>
      </c>
      <c r="T39">
        <v>0.51912342362710295</v>
      </c>
      <c r="U39">
        <v>-57.372836900391903</v>
      </c>
      <c r="V39">
        <v>0.79902384289651895</v>
      </c>
      <c r="W39">
        <v>-6.4549999998503198</v>
      </c>
      <c r="X39">
        <v>-10.819999999831101</v>
      </c>
      <c r="Y39">
        <v>-12.424420289676499</v>
      </c>
      <c r="Z39">
        <v>-6.4549999998503198</v>
      </c>
      <c r="AA39">
        <v>-10.819999999831101</v>
      </c>
      <c r="AB39">
        <v>-6.4549999998503198</v>
      </c>
      <c r="AC39">
        <v>-10.819999999831101</v>
      </c>
      <c r="AD39">
        <v>12.424420289676499</v>
      </c>
      <c r="AE39">
        <v>0.94176577017728902</v>
      </c>
      <c r="AF39">
        <v>0.74011066451668195</v>
      </c>
      <c r="AG39">
        <v>0.45262168117423901</v>
      </c>
      <c r="AH39">
        <v>0.73778782729655101</v>
      </c>
      <c r="AI39">
        <v>0.45276406921630602</v>
      </c>
      <c r="AJ39">
        <v>-2.3779931961827598</v>
      </c>
      <c r="AK39">
        <v>23.46</v>
      </c>
      <c r="AL39">
        <v>23</v>
      </c>
      <c r="AM39" s="1">
        <v>7.02056841734777E-7</v>
      </c>
      <c r="AN39">
        <v>1.9380323350720201E-4</v>
      </c>
      <c r="AO39">
        <v>0.23411999999999999</v>
      </c>
      <c r="AP39">
        <v>-549.31642831821796</v>
      </c>
      <c r="AQ39">
        <v>0.43024557051184398</v>
      </c>
      <c r="AR39">
        <v>0.68160495401343402</v>
      </c>
      <c r="AS39">
        <v>0.68022062095807201</v>
      </c>
    </row>
    <row r="40" spans="1:45" x14ac:dyDescent="0.2">
      <c r="A40" t="s">
        <v>84</v>
      </c>
      <c r="B40" t="s">
        <v>83</v>
      </c>
      <c r="C40" t="s">
        <v>45</v>
      </c>
      <c r="D40">
        <v>140.97999999999999</v>
      </c>
      <c r="E40">
        <v>187.3</v>
      </c>
      <c r="F40">
        <v>0.13050016978436299</v>
      </c>
      <c r="G40">
        <v>-965.28483386486198</v>
      </c>
      <c r="H40">
        <v>0.18944412965534799</v>
      </c>
      <c r="I40">
        <v>-3.8799999998530299</v>
      </c>
      <c r="J40">
        <v>-4.8566666665035303</v>
      </c>
      <c r="K40">
        <v>-4.7461956519918003</v>
      </c>
      <c r="L40">
        <v>-3.8799999998530299</v>
      </c>
      <c r="M40">
        <v>-4.8566666665035303</v>
      </c>
      <c r="N40">
        <v>-3.8799999998530299</v>
      </c>
      <c r="O40">
        <v>-4.8566666665035303</v>
      </c>
      <c r="P40">
        <v>5.0955807265144504</v>
      </c>
      <c r="Q40">
        <v>2.74000238438309E-2</v>
      </c>
      <c r="R40">
        <v>5.4515130222921503E-2</v>
      </c>
      <c r="S40">
        <v>0.212144614017826</v>
      </c>
      <c r="T40">
        <v>0.13050016978436299</v>
      </c>
      <c r="U40">
        <v>-1046.4290733902401</v>
      </c>
      <c r="V40">
        <v>0.189477485576972</v>
      </c>
      <c r="W40">
        <v>-3.9099999998525998</v>
      </c>
      <c r="X40">
        <v>-4.87166666650318</v>
      </c>
      <c r="Y40">
        <v>-4.7368840577896396</v>
      </c>
      <c r="Z40">
        <v>-3.9099999998525998</v>
      </c>
      <c r="AA40">
        <v>-4.87166666650318</v>
      </c>
      <c r="AB40">
        <v>-3.9099999998525998</v>
      </c>
      <c r="AC40">
        <v>-4.87166666650318</v>
      </c>
      <c r="AD40">
        <v>4.7368840577896396</v>
      </c>
      <c r="AE40">
        <v>0.212144614017826</v>
      </c>
      <c r="AF40">
        <v>1.1918953717219201</v>
      </c>
      <c r="AG40">
        <v>0.232795394862365</v>
      </c>
      <c r="AH40">
        <v>0.74474602198536299</v>
      </c>
      <c r="AI40">
        <v>7.3630439923889901E-2</v>
      </c>
      <c r="AJ40">
        <v>-6.3021749262512898</v>
      </c>
      <c r="AK40">
        <v>23.46</v>
      </c>
      <c r="AL40">
        <v>23</v>
      </c>
      <c r="AM40" s="1">
        <v>2.3721839417300599E-14</v>
      </c>
      <c r="AN40" s="1">
        <v>2.0040167978788601E-12</v>
      </c>
      <c r="AO40">
        <v>1.12676</v>
      </c>
      <c r="AP40">
        <v>-1455.80240796404</v>
      </c>
      <c r="AQ40">
        <v>0.115832099857195</v>
      </c>
      <c r="AR40">
        <v>0.16462154750900801</v>
      </c>
      <c r="AS40">
        <v>0.17022704837531399</v>
      </c>
    </row>
    <row r="41" spans="1:45" x14ac:dyDescent="0.2">
      <c r="A41" t="s">
        <v>85</v>
      </c>
      <c r="B41" t="s">
        <v>86</v>
      </c>
      <c r="C41" t="s">
        <v>45</v>
      </c>
      <c r="D41">
        <v>142.02000000000001</v>
      </c>
      <c r="E41">
        <v>153.06</v>
      </c>
      <c r="F41">
        <v>2.4082108681344398E-3</v>
      </c>
      <c r="G41">
        <v>-135837.186497797</v>
      </c>
      <c r="H41">
        <v>5.3732191095181701E-2</v>
      </c>
      <c r="I41">
        <v>-1.2999999998553999</v>
      </c>
      <c r="J41">
        <v>1.2750000001575299</v>
      </c>
      <c r="K41">
        <v>0.21822559855797399</v>
      </c>
      <c r="L41">
        <v>-1.2999999998553999</v>
      </c>
      <c r="M41">
        <v>1.2750000001575299</v>
      </c>
      <c r="N41">
        <v>-1.2999999998553999</v>
      </c>
      <c r="O41">
        <v>1.2750000001575299</v>
      </c>
      <c r="P41">
        <v>2.2568927769635501</v>
      </c>
      <c r="Q41">
        <v>5.5950541836180603E-3</v>
      </c>
      <c r="R41">
        <v>-2.85557486052133E-3</v>
      </c>
      <c r="S41">
        <v>-4.4359909554657899E-2</v>
      </c>
      <c r="T41">
        <v>2.4082108681344502E-3</v>
      </c>
      <c r="U41">
        <v>-189107.913533841</v>
      </c>
      <c r="V41">
        <v>6.0621331995471699E-2</v>
      </c>
      <c r="W41">
        <v>-1.3299999998549801</v>
      </c>
      <c r="X41">
        <v>1.2600000001578799</v>
      </c>
      <c r="Y41">
        <v>0.18144927554439999</v>
      </c>
      <c r="Z41">
        <v>-1.3299999998549801</v>
      </c>
      <c r="AA41">
        <v>1.2600000001578799</v>
      </c>
      <c r="AB41">
        <v>-1.3299999998549801</v>
      </c>
      <c r="AC41">
        <v>1.2600000001578799</v>
      </c>
      <c r="AD41">
        <v>0.97376811595623303</v>
      </c>
      <c r="AE41">
        <v>-4.4359909554658003E-2</v>
      </c>
      <c r="AF41">
        <v>4.5499530906283798</v>
      </c>
      <c r="AG41">
        <v>4.2348249909891296</v>
      </c>
      <c r="AH41">
        <v>10.659835301817701</v>
      </c>
      <c r="AI41">
        <v>4.5796185886486702</v>
      </c>
      <c r="AJ41">
        <v>-1444.1276048597001</v>
      </c>
      <c r="AK41">
        <v>23.52</v>
      </c>
      <c r="AL41">
        <v>23.06</v>
      </c>
      <c r="AM41" s="1">
        <v>2.6859065090439102E-39</v>
      </c>
      <c r="AN41" s="1">
        <v>7.3064958337775207E-24</v>
      </c>
      <c r="AO41">
        <v>3.31948</v>
      </c>
      <c r="AP41">
        <v>-232504.54438241301</v>
      </c>
      <c r="AQ41">
        <v>6.8640967437446104E-2</v>
      </c>
      <c r="AR41">
        <v>6.4412564564239896E-2</v>
      </c>
      <c r="AS41">
        <v>7.3497529115540694E-2</v>
      </c>
    </row>
    <row r="42" spans="1:45" x14ac:dyDescent="0.2">
      <c r="A42" t="s">
        <v>87</v>
      </c>
      <c r="B42" t="s">
        <v>86</v>
      </c>
      <c r="C42" t="s">
        <v>45</v>
      </c>
      <c r="D42">
        <v>0</v>
      </c>
      <c r="E42">
        <v>0.06</v>
      </c>
      <c r="F42">
        <v>-5.8547246965230297E-3</v>
      </c>
      <c r="G42">
        <v>123.310758886504</v>
      </c>
      <c r="H42">
        <v>4.4778433092671703E-2</v>
      </c>
      <c r="I42">
        <v>0.33666666680977803</v>
      </c>
      <c r="J42">
        <v>1.3616666668241599</v>
      </c>
      <c r="K42">
        <v>0.298770037511777</v>
      </c>
      <c r="L42">
        <v>0.27166666680984197</v>
      </c>
      <c r="M42">
        <v>1.3616666668241599</v>
      </c>
      <c r="N42">
        <v>0.30333333347647501</v>
      </c>
      <c r="O42">
        <v>1.3616666668241599</v>
      </c>
      <c r="P42">
        <v>1.56427156861943</v>
      </c>
      <c r="Q42">
        <v>8.3464645031366205E-2</v>
      </c>
      <c r="R42">
        <v>-5.4318625986873202E-3</v>
      </c>
      <c r="S42">
        <v>-1.6745875880617201E-2</v>
      </c>
      <c r="T42">
        <v>-5.8547246965230497E-3</v>
      </c>
      <c r="U42">
        <v>116.391367695873</v>
      </c>
      <c r="V42">
        <v>5.31378349146472E-2</v>
      </c>
      <c r="W42">
        <v>0.30666666681020599</v>
      </c>
      <c r="X42">
        <v>1.34666666682451</v>
      </c>
      <c r="Y42">
        <v>0.29010869583329901</v>
      </c>
      <c r="Z42">
        <v>0.24166666681026899</v>
      </c>
      <c r="AA42">
        <v>1.34666666682451</v>
      </c>
      <c r="AB42">
        <v>0.27333333347690297</v>
      </c>
      <c r="AC42">
        <v>1.34666666682451</v>
      </c>
      <c r="AD42">
        <v>0.94192028989096799</v>
      </c>
      <c r="AE42">
        <v>-1.6745875880617302E-2</v>
      </c>
      <c r="AF42">
        <v>3.9400442341720998</v>
      </c>
      <c r="AG42">
        <v>3.7942579309929299</v>
      </c>
      <c r="AH42">
        <v>4.0844857166732398</v>
      </c>
      <c r="AI42">
        <v>3.9648620507564298</v>
      </c>
      <c r="AJ42">
        <v>1.28898897559652</v>
      </c>
      <c r="AK42">
        <v>23.588000000000001</v>
      </c>
      <c r="AL42">
        <v>23.128</v>
      </c>
      <c r="AM42">
        <v>0.959370177546509</v>
      </c>
      <c r="AN42">
        <v>0.98971052182357699</v>
      </c>
      <c r="AO42">
        <v>3.51634</v>
      </c>
      <c r="AP42">
        <v>207.52722507103999</v>
      </c>
      <c r="AQ42">
        <v>5.7927677398647702E-2</v>
      </c>
      <c r="AR42">
        <v>4.5673352184164601E-2</v>
      </c>
      <c r="AS42">
        <v>5.7385342450600903E-2</v>
      </c>
    </row>
    <row r="43" spans="1:45" x14ac:dyDescent="0.2">
      <c r="A43" t="s">
        <v>88</v>
      </c>
      <c r="B43" t="s">
        <v>86</v>
      </c>
      <c r="C43" t="s">
        <v>45</v>
      </c>
      <c r="D43">
        <v>0</v>
      </c>
      <c r="E43">
        <v>9.44</v>
      </c>
      <c r="F43">
        <v>-3.8241245972328197E-2</v>
      </c>
      <c r="G43">
        <v>107.677914208494</v>
      </c>
      <c r="H43">
        <v>7.4542469472939701E-2</v>
      </c>
      <c r="I43">
        <v>0.40666666680969599</v>
      </c>
      <c r="J43">
        <v>2.5616666668230201</v>
      </c>
      <c r="K43">
        <v>1.50354317651084</v>
      </c>
      <c r="L43">
        <v>0.40666666680969599</v>
      </c>
      <c r="M43">
        <v>2.5616666668230201</v>
      </c>
      <c r="N43">
        <v>0.40666666680969599</v>
      </c>
      <c r="O43">
        <v>2.5616666668230201</v>
      </c>
      <c r="P43">
        <v>2.2649561379949801</v>
      </c>
      <c r="Q43">
        <v>8.2893962908233601E-2</v>
      </c>
      <c r="R43">
        <v>-5.2840771085081603E-2</v>
      </c>
      <c r="S43">
        <v>-7.8290624449105103E-2</v>
      </c>
      <c r="T43">
        <v>-3.8241245972328197E-2</v>
      </c>
      <c r="U43">
        <v>104.284771013758</v>
      </c>
      <c r="V43">
        <v>7.5847310442173396E-2</v>
      </c>
      <c r="W43">
        <v>0.37666666681012401</v>
      </c>
      <c r="X43">
        <v>2.54666666682337</v>
      </c>
      <c r="Y43">
        <v>1.4761956523553901</v>
      </c>
      <c r="Z43">
        <v>0.37666666681012401</v>
      </c>
      <c r="AA43">
        <v>2.54666666682337</v>
      </c>
      <c r="AB43">
        <v>0.37666666681012401</v>
      </c>
      <c r="AC43">
        <v>2.54666666682337</v>
      </c>
      <c r="AD43">
        <v>1.5322826088625201</v>
      </c>
      <c r="AE43">
        <v>-7.8290624449105103E-2</v>
      </c>
      <c r="AF43">
        <v>3.9383546693573099</v>
      </c>
      <c r="AG43">
        <v>2.8437856515114102</v>
      </c>
      <c r="AH43">
        <v>4.0785033797368797</v>
      </c>
      <c r="AI43">
        <v>2.8165252973269701</v>
      </c>
      <c r="AJ43">
        <v>1.0258730017067099</v>
      </c>
      <c r="AK43">
        <v>23.5</v>
      </c>
      <c r="AL43">
        <v>23.04</v>
      </c>
      <c r="AM43">
        <v>0.64230250896804497</v>
      </c>
      <c r="AN43">
        <v>0.64536552918207601</v>
      </c>
      <c r="AO43">
        <v>1.6982599999999901</v>
      </c>
      <c r="AP43">
        <v>165.16555327478099</v>
      </c>
      <c r="AQ43">
        <v>7.8296596831427798E-2</v>
      </c>
      <c r="AR43">
        <v>6.7365691049574503E-2</v>
      </c>
      <c r="AS43">
        <v>7.2449526107648293E-2</v>
      </c>
    </row>
    <row r="44" spans="1:45" x14ac:dyDescent="0.2">
      <c r="A44" t="s">
        <v>89</v>
      </c>
      <c r="B44" t="s">
        <v>86</v>
      </c>
      <c r="C44" t="s">
        <v>45</v>
      </c>
      <c r="D44">
        <v>0</v>
      </c>
      <c r="E44">
        <v>9.24</v>
      </c>
      <c r="F44">
        <v>-3.0200567104787402E-3</v>
      </c>
      <c r="G44">
        <v>121.503556160852</v>
      </c>
      <c r="H44">
        <v>4.4044224674389697E-2</v>
      </c>
      <c r="I44">
        <v>-1.07999999985559</v>
      </c>
      <c r="J44">
        <v>1.3100000001575101</v>
      </c>
      <c r="K44">
        <v>0.183539745461202</v>
      </c>
      <c r="L44">
        <v>-1.07999999985559</v>
      </c>
      <c r="M44">
        <v>1.3100000001575101</v>
      </c>
      <c r="N44">
        <v>-1.07999999985559</v>
      </c>
      <c r="O44">
        <v>1.3100000001575101</v>
      </c>
      <c r="P44">
        <v>1.59486917222205</v>
      </c>
      <c r="Q44">
        <v>8.2899199302154405E-2</v>
      </c>
      <c r="R44">
        <v>-3.3100156323346203E-2</v>
      </c>
      <c r="S44">
        <v>-2.4558865137208199E-2</v>
      </c>
      <c r="T44">
        <v>-3.0200567104787701E-3</v>
      </c>
      <c r="U44">
        <v>117.35053826347099</v>
      </c>
      <c r="V44">
        <v>4.9221725081804203E-2</v>
      </c>
      <c r="W44">
        <v>-1.1099999998551699</v>
      </c>
      <c r="X44">
        <v>1.2950000001578601</v>
      </c>
      <c r="Y44">
        <v>0.164275362500342</v>
      </c>
      <c r="Z44">
        <v>-1.1099999998551699</v>
      </c>
      <c r="AA44">
        <v>1.2950000001578601</v>
      </c>
      <c r="AB44">
        <v>-1.1099999998551699</v>
      </c>
      <c r="AC44">
        <v>1.2950000001578601</v>
      </c>
      <c r="AD44">
        <v>0.79586956522437002</v>
      </c>
      <c r="AE44">
        <v>-2.4558865137208299E-2</v>
      </c>
      <c r="AF44">
        <v>3.8969137021204201</v>
      </c>
      <c r="AG44">
        <v>3.7203625503068301</v>
      </c>
      <c r="AH44">
        <v>4.0572118087115303</v>
      </c>
      <c r="AI44">
        <v>3.7628209596267999</v>
      </c>
      <c r="AJ44">
        <v>1.1122397571018601</v>
      </c>
      <c r="AK44">
        <v>23.46</v>
      </c>
      <c r="AL44">
        <v>23</v>
      </c>
      <c r="AM44">
        <v>0.70089541802764199</v>
      </c>
      <c r="AN44">
        <v>0.70702145845570397</v>
      </c>
      <c r="AO44">
        <v>1.7259599999999999</v>
      </c>
      <c r="AP44">
        <v>179.07060089340001</v>
      </c>
      <c r="AQ44">
        <v>6.9133701133960501E-2</v>
      </c>
      <c r="AR44">
        <v>4.6028812907691598E-2</v>
      </c>
      <c r="AS44">
        <v>5.41699218628773E-2</v>
      </c>
    </row>
    <row r="45" spans="1:45" x14ac:dyDescent="0.2">
      <c r="A45" t="s">
        <v>90</v>
      </c>
      <c r="B45" t="s">
        <v>86</v>
      </c>
      <c r="C45" t="s">
        <v>45</v>
      </c>
      <c r="D45">
        <v>0</v>
      </c>
      <c r="E45">
        <v>0</v>
      </c>
      <c r="F45">
        <v>-1.9769487735314499E-2</v>
      </c>
      <c r="G45">
        <v>133.23713148362501</v>
      </c>
      <c r="H45">
        <v>5.1739331317296397E-2</v>
      </c>
      <c r="I45">
        <v>0.223333333476539</v>
      </c>
      <c r="J45">
        <v>1.7533333334904599</v>
      </c>
      <c r="K45">
        <v>0.73550093342756795</v>
      </c>
      <c r="L45">
        <v>0.223333333476539</v>
      </c>
      <c r="M45">
        <v>1.7533333334904599</v>
      </c>
      <c r="N45">
        <v>0.223333333476539</v>
      </c>
      <c r="O45">
        <v>1.7533333334904599</v>
      </c>
      <c r="P45">
        <v>1.65848880271552</v>
      </c>
      <c r="Q45">
        <v>7.1070745434220498E-2</v>
      </c>
      <c r="R45">
        <v>-2.29695647011793E-2</v>
      </c>
      <c r="S45">
        <v>-3.7745754727827402E-2</v>
      </c>
      <c r="T45">
        <v>-1.97694877353146E-2</v>
      </c>
      <c r="U45">
        <v>123.691178215671</v>
      </c>
      <c r="V45">
        <v>5.7232826067616302E-2</v>
      </c>
      <c r="W45">
        <v>0.19333333347696599</v>
      </c>
      <c r="X45">
        <v>1.73833333349081</v>
      </c>
      <c r="Y45">
        <v>0.71971014510876996</v>
      </c>
      <c r="Z45">
        <v>0.19333333347696599</v>
      </c>
      <c r="AA45">
        <v>1.73833333349081</v>
      </c>
      <c r="AB45">
        <v>0.19333333347696599</v>
      </c>
      <c r="AC45">
        <v>1.73833333349081</v>
      </c>
      <c r="AD45">
        <v>1.05086956529686</v>
      </c>
      <c r="AE45">
        <v>-3.7745754727827499E-2</v>
      </c>
      <c r="AF45">
        <v>4.5584448833804698</v>
      </c>
      <c r="AG45">
        <v>3.9138452427087702</v>
      </c>
      <c r="AH45">
        <v>4.9388127486100899</v>
      </c>
      <c r="AI45">
        <v>3.9414050607450499</v>
      </c>
      <c r="AJ45">
        <v>1.4860760645326501</v>
      </c>
      <c r="AK45">
        <v>23.46</v>
      </c>
      <c r="AL45">
        <v>23</v>
      </c>
      <c r="AM45">
        <v>0.96602362738042402</v>
      </c>
      <c r="AN45">
        <v>0.96602362738042402</v>
      </c>
      <c r="AO45">
        <v>2.1280399999999999</v>
      </c>
      <c r="AP45">
        <v>233.31394213162599</v>
      </c>
      <c r="AQ45">
        <v>4.9283569875475698E-2</v>
      </c>
      <c r="AR45">
        <v>4.9351558820951498E-2</v>
      </c>
      <c r="AS45">
        <v>5.9501967129884002E-2</v>
      </c>
    </row>
    <row r="46" spans="1:45" x14ac:dyDescent="0.2">
      <c r="A46" t="s">
        <v>91</v>
      </c>
      <c r="B46" t="s">
        <v>86</v>
      </c>
      <c r="C46" t="s">
        <v>45</v>
      </c>
      <c r="D46">
        <v>0</v>
      </c>
      <c r="E46">
        <v>0</v>
      </c>
      <c r="F46">
        <v>-3.7428652342201801E-2</v>
      </c>
      <c r="G46">
        <v>102.939764910644</v>
      </c>
      <c r="H46">
        <v>7.1074771627894703E-2</v>
      </c>
      <c r="I46">
        <v>0.77333333347605704</v>
      </c>
      <c r="J46">
        <v>2.4466666668231398</v>
      </c>
      <c r="K46">
        <v>1.44528793386692</v>
      </c>
      <c r="L46">
        <v>0.77333333347605704</v>
      </c>
      <c r="M46">
        <v>2.4466666668231398</v>
      </c>
      <c r="N46">
        <v>0.77333333347605704</v>
      </c>
      <c r="O46">
        <v>2.4466666668231398</v>
      </c>
      <c r="P46">
        <v>2.1565604777607601</v>
      </c>
      <c r="Q46">
        <v>0.10074433214091399</v>
      </c>
      <c r="R46">
        <v>-3.7758854634321999E-2</v>
      </c>
      <c r="S46">
        <v>-7.1875881794176005E-2</v>
      </c>
      <c r="T46">
        <v>-3.7428652342201801E-2</v>
      </c>
      <c r="U46">
        <v>98.192876890563696</v>
      </c>
      <c r="V46">
        <v>7.4065649659973795E-2</v>
      </c>
      <c r="W46">
        <v>0.743333333476484</v>
      </c>
      <c r="X46">
        <v>2.4316666668234901</v>
      </c>
      <c r="Y46">
        <v>1.41945652192051</v>
      </c>
      <c r="Z46">
        <v>0.743333333476484</v>
      </c>
      <c r="AA46">
        <v>2.4316666668234901</v>
      </c>
      <c r="AB46">
        <v>0.743333333476484</v>
      </c>
      <c r="AC46">
        <v>2.4316666668234901</v>
      </c>
      <c r="AD46">
        <v>1.5036594204493301</v>
      </c>
      <c r="AE46">
        <v>-7.1875881794176102E-2</v>
      </c>
      <c r="AF46">
        <v>3.4906394884973002</v>
      </c>
      <c r="AG46">
        <v>2.8664721859074702</v>
      </c>
      <c r="AH46">
        <v>3.5276700309021498</v>
      </c>
      <c r="AI46">
        <v>2.9389091975740702</v>
      </c>
      <c r="AJ46">
        <v>1.1541647477038901</v>
      </c>
      <c r="AK46">
        <v>23.6</v>
      </c>
      <c r="AL46">
        <v>23.14</v>
      </c>
      <c r="AM46">
        <v>0.97726851201868703</v>
      </c>
      <c r="AN46">
        <v>0.97726851201868703</v>
      </c>
      <c r="AO46">
        <v>1.99614</v>
      </c>
      <c r="AP46">
        <v>185.82052438032699</v>
      </c>
      <c r="AQ46">
        <v>6.1671508114375197E-2</v>
      </c>
      <c r="AR46">
        <v>6.42930904562415E-2</v>
      </c>
      <c r="AS46">
        <v>7.2612168347746295E-2</v>
      </c>
    </row>
    <row r="47" spans="1:45" x14ac:dyDescent="0.2">
      <c r="A47" t="s">
        <v>92</v>
      </c>
      <c r="B47" t="s">
        <v>86</v>
      </c>
      <c r="C47" t="s">
        <v>45</v>
      </c>
      <c r="D47">
        <v>0</v>
      </c>
      <c r="E47">
        <v>0</v>
      </c>
      <c r="F47">
        <v>-3.04360341642147E-3</v>
      </c>
      <c r="G47">
        <v>127.162878215101</v>
      </c>
      <c r="H47">
        <v>4.1945782847011302E-2</v>
      </c>
      <c r="I47">
        <v>-0.61666666652270496</v>
      </c>
      <c r="J47">
        <v>1.168333333491</v>
      </c>
      <c r="K47">
        <v>0.14650746614621199</v>
      </c>
      <c r="L47">
        <v>-0.64833333318933895</v>
      </c>
      <c r="M47">
        <v>1.168333333491</v>
      </c>
      <c r="N47">
        <v>-0.61999999985603604</v>
      </c>
      <c r="O47">
        <v>1.168333333491</v>
      </c>
      <c r="P47">
        <v>1.5343341245711899</v>
      </c>
      <c r="Q47">
        <v>8.0703366948819397E-2</v>
      </c>
      <c r="R47">
        <v>-1.5748000131178299E-2</v>
      </c>
      <c r="S47">
        <v>-1.8851154051252102E-2</v>
      </c>
      <c r="T47">
        <v>-3.0436034164214999E-3</v>
      </c>
      <c r="U47">
        <v>120.004994457287</v>
      </c>
      <c r="V47">
        <v>5.0402889454295198E-2</v>
      </c>
      <c r="W47">
        <v>-0.646666666522278</v>
      </c>
      <c r="X47">
        <v>1.15333333349135</v>
      </c>
      <c r="Y47">
        <v>0.129275362500233</v>
      </c>
      <c r="Z47">
        <v>-0.67833333318891098</v>
      </c>
      <c r="AA47">
        <v>1.15333333349135</v>
      </c>
      <c r="AB47">
        <v>-0.64999999985560797</v>
      </c>
      <c r="AC47">
        <v>1.15333333349135</v>
      </c>
      <c r="AD47">
        <v>0.89884057970978104</v>
      </c>
      <c r="AE47">
        <v>-1.8851154051252102E-2</v>
      </c>
      <c r="AF47">
        <v>4.1148205937540698</v>
      </c>
      <c r="AG47">
        <v>3.9777785347425798</v>
      </c>
      <c r="AH47">
        <v>4.3332997883753004</v>
      </c>
      <c r="AI47">
        <v>4.1423273840065296</v>
      </c>
      <c r="AJ47">
        <v>1.38047132084409</v>
      </c>
      <c r="AK47">
        <v>23.527999999999999</v>
      </c>
      <c r="AL47">
        <v>23.068000000000001</v>
      </c>
      <c r="AM47">
        <v>0.98574012662533494</v>
      </c>
      <c r="AN47">
        <v>0.98574012662533494</v>
      </c>
      <c r="AO47">
        <v>1.9858199999999999</v>
      </c>
      <c r="AP47">
        <v>222.255882655899</v>
      </c>
      <c r="AQ47">
        <v>4.8531625818028501E-2</v>
      </c>
      <c r="AR47">
        <v>4.3938730903374502E-2</v>
      </c>
      <c r="AS47">
        <v>5.53398681835853E-2</v>
      </c>
    </row>
    <row r="48" spans="1:45" x14ac:dyDescent="0.2">
      <c r="A48" t="s">
        <v>93</v>
      </c>
      <c r="B48" t="s">
        <v>94</v>
      </c>
      <c r="C48" t="s">
        <v>45</v>
      </c>
      <c r="D48">
        <v>145.54</v>
      </c>
      <c r="E48">
        <v>189.3</v>
      </c>
      <c r="F48">
        <v>0.18482457025463001</v>
      </c>
      <c r="G48">
        <v>-1941.7703893100499</v>
      </c>
      <c r="H48">
        <v>0.25007416044356501</v>
      </c>
      <c r="I48">
        <v>-6.8033333331836099</v>
      </c>
      <c r="J48">
        <v>-6.3183333331687601</v>
      </c>
      <c r="K48">
        <v>-6.6496601886624296</v>
      </c>
      <c r="L48">
        <v>-6.8033333331836099</v>
      </c>
      <c r="M48">
        <v>-6.3183333331687601</v>
      </c>
      <c r="N48">
        <v>-6.8033333331836099</v>
      </c>
      <c r="O48">
        <v>-6.3183333331687601</v>
      </c>
      <c r="P48">
        <v>6.8937286451822102</v>
      </c>
      <c r="Q48">
        <v>3.6938787771115297E-2</v>
      </c>
      <c r="R48">
        <v>4.4500711258712397E-2</v>
      </c>
      <c r="S48">
        <v>0.27679073781711999</v>
      </c>
      <c r="T48">
        <v>0.18482457025463001</v>
      </c>
      <c r="U48">
        <v>-1848.6784658269</v>
      </c>
      <c r="V48">
        <v>0.24836106154315199</v>
      </c>
      <c r="W48">
        <v>-6.83333333318319</v>
      </c>
      <c r="X48">
        <v>-6.3333333331684099</v>
      </c>
      <c r="Y48">
        <v>-6.6413768114123801</v>
      </c>
      <c r="Z48">
        <v>-6.83333333318319</v>
      </c>
      <c r="AA48">
        <v>-6.3333333331684099</v>
      </c>
      <c r="AB48">
        <v>-6.83333333318319</v>
      </c>
      <c r="AC48">
        <v>-6.3333333331684099</v>
      </c>
      <c r="AD48">
        <v>6.6413768114123801</v>
      </c>
      <c r="AE48">
        <v>0.27679073781711999</v>
      </c>
      <c r="AF48" s="1">
        <v>4.0724517581376701E-6</v>
      </c>
      <c r="AG48" s="1">
        <v>4.7230971968153101E-10</v>
      </c>
      <c r="AH48">
        <v>8.6371759317786095E-2</v>
      </c>
      <c r="AI48">
        <v>1.2884298790677399E-4</v>
      </c>
      <c r="AJ48">
        <v>-8.6778074263480605</v>
      </c>
      <c r="AK48">
        <v>23.46</v>
      </c>
      <c r="AL48">
        <v>23</v>
      </c>
      <c r="AM48" s="1">
        <v>5.6998959642721395E-14</v>
      </c>
      <c r="AN48" s="1">
        <v>5.7629639524969399E-14</v>
      </c>
      <c r="AO48">
        <v>0.26854</v>
      </c>
      <c r="AP48">
        <v>-2004.5735154864001</v>
      </c>
      <c r="AQ48">
        <v>0.15081095993202401</v>
      </c>
      <c r="AR48">
        <v>0.220634213074347</v>
      </c>
      <c r="AS48">
        <v>0.21591361034566001</v>
      </c>
    </row>
    <row r="49" spans="1:45" x14ac:dyDescent="0.2">
      <c r="A49" t="s">
        <v>95</v>
      </c>
      <c r="B49" t="s">
        <v>94</v>
      </c>
      <c r="C49" t="s">
        <v>45</v>
      </c>
      <c r="D49">
        <v>169.26</v>
      </c>
      <c r="E49">
        <v>203.72</v>
      </c>
      <c r="F49">
        <v>-0.14024242069191101</v>
      </c>
      <c r="G49">
        <v>-1627.2555411291601</v>
      </c>
      <c r="H49">
        <v>0.18091358880049599</v>
      </c>
      <c r="I49">
        <v>3.1133333334739199</v>
      </c>
      <c r="J49">
        <v>4.6700000001544604</v>
      </c>
      <c r="K49">
        <v>5.4452989132234197</v>
      </c>
      <c r="L49">
        <v>3.1133333334739199</v>
      </c>
      <c r="M49">
        <v>4.6700000001544604</v>
      </c>
      <c r="N49">
        <v>3.1133333334739199</v>
      </c>
      <c r="O49">
        <v>4.6700000001544604</v>
      </c>
      <c r="P49">
        <v>6.2280079503130397</v>
      </c>
      <c r="Q49">
        <v>3.0187454827187099E-2</v>
      </c>
      <c r="R49">
        <v>-8.7396043566108403E-2</v>
      </c>
      <c r="S49">
        <v>-0.20930226341609001</v>
      </c>
      <c r="T49">
        <v>-0.14024242069191101</v>
      </c>
      <c r="U49">
        <v>-1534.1059626205299</v>
      </c>
      <c r="V49">
        <v>0.17908761793812999</v>
      </c>
      <c r="W49">
        <v>3.0833333334743398</v>
      </c>
      <c r="X49">
        <v>4.6550000001548097</v>
      </c>
      <c r="Y49">
        <v>5.1721739132257198</v>
      </c>
      <c r="Z49">
        <v>3.0833333334743398</v>
      </c>
      <c r="AA49">
        <v>4.6550000001548097</v>
      </c>
      <c r="AB49">
        <v>3.0833333334743398</v>
      </c>
      <c r="AC49">
        <v>4.6550000001548097</v>
      </c>
      <c r="AD49">
        <v>5.1721739132257198</v>
      </c>
      <c r="AE49">
        <v>-0.20930226341609001</v>
      </c>
      <c r="AF49">
        <v>9.2611646166177605E-2</v>
      </c>
      <c r="AG49">
        <v>8.9044015612408799E-4</v>
      </c>
      <c r="AH49">
        <v>1.2798625693046199</v>
      </c>
      <c r="AI49">
        <v>9.2132750063021098E-3</v>
      </c>
      <c r="AJ49">
        <v>-8.4497355988325999</v>
      </c>
      <c r="AK49">
        <v>23.18</v>
      </c>
      <c r="AL49">
        <v>23</v>
      </c>
      <c r="AM49" s="1">
        <v>4.9476391629860999E-15</v>
      </c>
      <c r="AN49" s="1">
        <v>2.23747860832638E-11</v>
      </c>
      <c r="AO49">
        <v>1.45228</v>
      </c>
      <c r="AP49">
        <v>-1951.88892333033</v>
      </c>
      <c r="AQ49">
        <v>0.12020387924941101</v>
      </c>
      <c r="AR49">
        <v>0.163810795259518</v>
      </c>
      <c r="AS49">
        <v>0.159704894551499</v>
      </c>
    </row>
    <row r="50" spans="1:45" x14ac:dyDescent="0.2">
      <c r="A50" t="s">
        <v>96</v>
      </c>
      <c r="B50" t="s">
        <v>94</v>
      </c>
      <c r="C50" t="s">
        <v>45</v>
      </c>
      <c r="D50">
        <v>45.62</v>
      </c>
      <c r="E50">
        <v>98.94</v>
      </c>
      <c r="F50">
        <v>1.6164474872018799E-2</v>
      </c>
      <c r="G50">
        <v>18.925317735701601</v>
      </c>
      <c r="H50">
        <v>2.94733592374746E-2</v>
      </c>
      <c r="I50">
        <v>-0.389166666522896</v>
      </c>
      <c r="J50">
        <v>-0.136666666507821</v>
      </c>
      <c r="K50">
        <v>-0.41997543350190503</v>
      </c>
      <c r="L50">
        <v>-0.48666666652280499</v>
      </c>
      <c r="M50">
        <v>-0.136666666507821</v>
      </c>
      <c r="N50">
        <v>-0.42666666652286001</v>
      </c>
      <c r="O50">
        <v>-0.136666666507821</v>
      </c>
      <c r="P50">
        <v>1.4320341041323501</v>
      </c>
      <c r="Q50">
        <v>3.6331894076036299E-2</v>
      </c>
      <c r="R50">
        <v>8.8170299534936995E-3</v>
      </c>
      <c r="S50">
        <v>-3.1991900932848501E-3</v>
      </c>
      <c r="T50">
        <v>1.6164474872018799E-2</v>
      </c>
      <c r="U50">
        <v>-195.09343342896801</v>
      </c>
      <c r="V50">
        <v>4.3991465025826702E-2</v>
      </c>
      <c r="W50">
        <v>-0.41916666652246898</v>
      </c>
      <c r="X50">
        <v>-0.15166666650747099</v>
      </c>
      <c r="Y50">
        <v>-0.44931159402097298</v>
      </c>
      <c r="Z50">
        <v>-0.51666666652237803</v>
      </c>
      <c r="AA50">
        <v>-0.15166666650747099</v>
      </c>
      <c r="AB50">
        <v>-0.45666666652243199</v>
      </c>
      <c r="AC50">
        <v>-0.15166666650747099</v>
      </c>
      <c r="AD50">
        <v>0.97358695645592597</v>
      </c>
      <c r="AE50">
        <v>-3.1991900932849E-3</v>
      </c>
      <c r="AF50">
        <v>7.7213009034303797</v>
      </c>
      <c r="AG50">
        <v>7.4823775010304896</v>
      </c>
      <c r="AH50">
        <v>9.5593728288008393</v>
      </c>
      <c r="AI50">
        <v>11.9541923806696</v>
      </c>
      <c r="AJ50">
        <v>0.77271775514188801</v>
      </c>
      <c r="AK50">
        <v>23.791999999999899</v>
      </c>
      <c r="AL50">
        <v>23.331999999999901</v>
      </c>
      <c r="AM50">
        <v>2.9569591230771901E-2</v>
      </c>
      <c r="AN50">
        <v>5.6900741535907601E-2</v>
      </c>
      <c r="AO50">
        <v>2.4201999999999999</v>
      </c>
      <c r="AP50">
        <v>178.49780143777599</v>
      </c>
      <c r="AQ50">
        <v>4.3156500728681803E-2</v>
      </c>
      <c r="AR50">
        <v>4.0882672847075099E-2</v>
      </c>
      <c r="AS50">
        <v>5.4910945130220601E-2</v>
      </c>
    </row>
    <row r="51" spans="1:45" x14ac:dyDescent="0.2">
      <c r="A51" t="s">
        <v>97</v>
      </c>
      <c r="B51" t="s">
        <v>98</v>
      </c>
      <c r="C51" t="s">
        <v>45</v>
      </c>
      <c r="D51">
        <v>14.92</v>
      </c>
      <c r="E51">
        <v>55</v>
      </c>
      <c r="F51">
        <v>2.3892319056336299E-2</v>
      </c>
      <c r="G51">
        <v>101.807396275969</v>
      </c>
      <c r="H51">
        <v>5.6070169515067297E-2</v>
      </c>
      <c r="I51">
        <v>-2.62499999985419</v>
      </c>
      <c r="J51">
        <v>-0.83333333317385405</v>
      </c>
      <c r="K51">
        <v>-0.57170042801125898</v>
      </c>
      <c r="L51">
        <v>-2.62499999985419</v>
      </c>
      <c r="M51">
        <v>-0.83333333317385405</v>
      </c>
      <c r="N51">
        <v>-2.62499999985419</v>
      </c>
      <c r="O51">
        <v>-0.83333333317385405</v>
      </c>
      <c r="P51">
        <v>2.27137355362636</v>
      </c>
      <c r="Q51">
        <v>5.3218023979551297E-2</v>
      </c>
      <c r="R51">
        <v>3.7663724598318002E-2</v>
      </c>
      <c r="S51">
        <v>-2.3892646420715601E-2</v>
      </c>
      <c r="T51">
        <v>2.3892319056336299E-2</v>
      </c>
      <c r="U51">
        <v>88.9700079049435</v>
      </c>
      <c r="V51">
        <v>5.7619307299724198E-2</v>
      </c>
      <c r="W51">
        <v>-2.6549999998537701</v>
      </c>
      <c r="X51">
        <v>-0.84833333317350401</v>
      </c>
      <c r="Y51">
        <v>-0.63275362300552296</v>
      </c>
      <c r="Z51">
        <v>-2.6549999998537701</v>
      </c>
      <c r="AA51">
        <v>-0.84833333317350401</v>
      </c>
      <c r="AB51">
        <v>-2.6549999998537701</v>
      </c>
      <c r="AC51">
        <v>-0.84833333317350401</v>
      </c>
      <c r="AD51">
        <v>1.1684057970352499</v>
      </c>
      <c r="AE51">
        <v>-2.3892646420715698E-2</v>
      </c>
      <c r="AF51">
        <v>3.84318332231895</v>
      </c>
      <c r="AG51">
        <v>6.1911984167799998</v>
      </c>
      <c r="AH51">
        <v>3.9505973858731802</v>
      </c>
      <c r="AI51">
        <v>6.6059325049941</v>
      </c>
      <c r="AJ51">
        <v>0.93194973980373896</v>
      </c>
      <c r="AK51">
        <v>23.52</v>
      </c>
      <c r="AL51">
        <v>23.06</v>
      </c>
      <c r="AM51">
        <v>0.119558133554376</v>
      </c>
      <c r="AN51">
        <v>0.175222530640647</v>
      </c>
      <c r="AO51">
        <v>1.7137800000000001</v>
      </c>
      <c r="AP51">
        <v>131.40491331232701</v>
      </c>
      <c r="AQ51">
        <v>7.5301982279121202E-2</v>
      </c>
      <c r="AR51">
        <v>6.6503891487068603E-2</v>
      </c>
      <c r="AS51">
        <v>7.1043073029259093E-2</v>
      </c>
    </row>
    <row r="52" spans="1:45" x14ac:dyDescent="0.2">
      <c r="A52" t="s">
        <v>99</v>
      </c>
      <c r="B52" t="s">
        <v>98</v>
      </c>
      <c r="C52" t="s">
        <v>45</v>
      </c>
      <c r="D52">
        <v>74.22</v>
      </c>
      <c r="E52">
        <v>111.9</v>
      </c>
      <c r="F52">
        <v>3.2149062078104099E-2</v>
      </c>
      <c r="G52">
        <v>29.8353745496408</v>
      </c>
      <c r="H52">
        <v>6.3934651721668095E-2</v>
      </c>
      <c r="I52">
        <v>-3.23333333318697</v>
      </c>
      <c r="J52">
        <v>-0.94666666650709397</v>
      </c>
      <c r="K52">
        <v>-0.71876646885398199</v>
      </c>
      <c r="L52">
        <v>-3.23333333318697</v>
      </c>
      <c r="M52">
        <v>-0.94666666650709397</v>
      </c>
      <c r="N52">
        <v>-3.23333333318697</v>
      </c>
      <c r="O52">
        <v>-0.94666666650709397</v>
      </c>
      <c r="P52">
        <v>2.8189899699196799</v>
      </c>
      <c r="Q52">
        <v>4.5979125507876903E-2</v>
      </c>
      <c r="R52">
        <v>7.1006214934982895E-2</v>
      </c>
      <c r="S52">
        <v>-3.2180271787481597E-2</v>
      </c>
      <c r="T52">
        <v>3.2149062078104099E-2</v>
      </c>
      <c r="U52">
        <v>15.3640482119414</v>
      </c>
      <c r="V52">
        <v>6.4977178049586901E-2</v>
      </c>
      <c r="W52">
        <v>-3.26333333318654</v>
      </c>
      <c r="X52">
        <v>-0.96166666650674404</v>
      </c>
      <c r="Y52">
        <v>-0.79605072445430702</v>
      </c>
      <c r="Z52">
        <v>-3.26333333318654</v>
      </c>
      <c r="AA52">
        <v>-0.96166666650674404</v>
      </c>
      <c r="AB52">
        <v>-3.26333333318654</v>
      </c>
      <c r="AC52">
        <v>-0.96166666650674404</v>
      </c>
      <c r="AD52">
        <v>1.2166304347088699</v>
      </c>
      <c r="AE52">
        <v>-3.2180271787481701E-2</v>
      </c>
      <c r="AF52">
        <v>3.09658397665171</v>
      </c>
      <c r="AG52">
        <v>6.2713801080726004</v>
      </c>
      <c r="AH52">
        <v>3.1454830293885299</v>
      </c>
      <c r="AI52">
        <v>6.81643670472097</v>
      </c>
      <c r="AJ52">
        <v>-1.1191204689315699</v>
      </c>
      <c r="AK52">
        <v>23.48</v>
      </c>
      <c r="AL52">
        <v>23.02</v>
      </c>
      <c r="AM52" s="1">
        <v>1.15516824295903E-5</v>
      </c>
      <c r="AN52">
        <v>2.03979126684243E-4</v>
      </c>
      <c r="AO52">
        <v>1.2994600000000001</v>
      </c>
      <c r="AP52">
        <v>-157.79598611935199</v>
      </c>
      <c r="AQ52">
        <v>0.109333484655397</v>
      </c>
      <c r="AR52">
        <v>8.0658365630508599E-2</v>
      </c>
      <c r="AS52">
        <v>8.3722977953254799E-2</v>
      </c>
    </row>
    <row r="53" spans="1:45" x14ac:dyDescent="0.2">
      <c r="A53" t="s">
        <v>100</v>
      </c>
      <c r="B53" t="s">
        <v>98</v>
      </c>
      <c r="C53" t="s">
        <v>45</v>
      </c>
      <c r="D53">
        <v>15.88</v>
      </c>
      <c r="E53">
        <v>50.44</v>
      </c>
      <c r="F53">
        <v>3.2173328571009997E-2</v>
      </c>
      <c r="G53">
        <v>95.515816994915497</v>
      </c>
      <c r="H53">
        <v>5.6662225081986602E-2</v>
      </c>
      <c r="I53">
        <v>-2.9183333331872401</v>
      </c>
      <c r="J53">
        <v>-1.08833333317364</v>
      </c>
      <c r="K53">
        <v>-0.89672650398837095</v>
      </c>
      <c r="L53">
        <v>-2.9183333331872401</v>
      </c>
      <c r="M53">
        <v>-1.08833333317364</v>
      </c>
      <c r="N53">
        <v>-2.9183333331872401</v>
      </c>
      <c r="O53">
        <v>-1.08833333317364</v>
      </c>
      <c r="P53">
        <v>2.4005208963553</v>
      </c>
      <c r="Q53">
        <v>5.5762609216509697E-2</v>
      </c>
      <c r="R53">
        <v>4.2981443524603598E-2</v>
      </c>
      <c r="S53">
        <v>-1.49935046967081E-2</v>
      </c>
      <c r="T53">
        <v>3.2173328571009997E-2</v>
      </c>
      <c r="U53">
        <v>82.437609391751295</v>
      </c>
      <c r="V53">
        <v>5.82334472715927E-2</v>
      </c>
      <c r="W53">
        <v>-2.9483333331868198</v>
      </c>
      <c r="X53">
        <v>-1.10333333317329</v>
      </c>
      <c r="Y53">
        <v>-0.94228260851267898</v>
      </c>
      <c r="Z53">
        <v>-2.9483333331868198</v>
      </c>
      <c r="AA53">
        <v>-1.10333333317329</v>
      </c>
      <c r="AB53">
        <v>-2.9483333331868198</v>
      </c>
      <c r="AC53">
        <v>-1.10333333317329</v>
      </c>
      <c r="AD53">
        <v>1.30460144918714</v>
      </c>
      <c r="AE53">
        <v>-1.4993504696708199E-2</v>
      </c>
      <c r="AF53">
        <v>3.4959809716873398</v>
      </c>
      <c r="AG53">
        <v>5.6421753867346203</v>
      </c>
      <c r="AH53">
        <v>3.6127635057378402</v>
      </c>
      <c r="AI53">
        <v>6.16256267016482</v>
      </c>
      <c r="AJ53">
        <v>0.89340738128654196</v>
      </c>
      <c r="AK53">
        <v>23.48</v>
      </c>
      <c r="AL53">
        <v>23.02</v>
      </c>
      <c r="AM53">
        <v>0.15234179110478699</v>
      </c>
      <c r="AN53">
        <v>0.20295656507944301</v>
      </c>
      <c r="AO53">
        <v>1.84836</v>
      </c>
      <c r="AP53">
        <v>125.970440761402</v>
      </c>
      <c r="AQ53">
        <v>7.8508154325253904E-2</v>
      </c>
      <c r="AR53">
        <v>6.9532683706600207E-2</v>
      </c>
      <c r="AS53">
        <v>7.4012434287388199E-2</v>
      </c>
    </row>
    <row r="54" spans="1:45" x14ac:dyDescent="0.2">
      <c r="A54" t="s">
        <v>101</v>
      </c>
      <c r="B54" t="s">
        <v>98</v>
      </c>
      <c r="C54" t="s">
        <v>45</v>
      </c>
      <c r="D54">
        <v>14.64</v>
      </c>
      <c r="E54">
        <v>55.64</v>
      </c>
      <c r="F54">
        <v>2.3388669382782699E-2</v>
      </c>
      <c r="G54">
        <v>104.966525737099</v>
      </c>
      <c r="H54">
        <v>5.5691116568785198E-2</v>
      </c>
      <c r="I54">
        <v>-2.5666666665208999</v>
      </c>
      <c r="J54">
        <v>-0.86333333317384497</v>
      </c>
      <c r="K54">
        <v>-0.53965195414216505</v>
      </c>
      <c r="L54">
        <v>-2.5666666665208999</v>
      </c>
      <c r="M54">
        <v>-0.86333333317384497</v>
      </c>
      <c r="N54">
        <v>-2.5666666665208999</v>
      </c>
      <c r="O54">
        <v>-0.86333333317384497</v>
      </c>
      <c r="P54">
        <v>2.20604321796782</v>
      </c>
      <c r="Q54">
        <v>5.2307120818859298E-2</v>
      </c>
      <c r="R54">
        <v>3.7044375159458298E-2</v>
      </c>
      <c r="S54">
        <v>-2.3348330436490299E-2</v>
      </c>
      <c r="T54">
        <v>2.3388669382782699E-2</v>
      </c>
      <c r="U54">
        <v>92.301977518805202</v>
      </c>
      <c r="V54">
        <v>5.7209077033115598E-2</v>
      </c>
      <c r="W54">
        <v>-2.5966666665204698</v>
      </c>
      <c r="X54">
        <v>-0.87833333317349505</v>
      </c>
      <c r="Y54">
        <v>-0.59985507228091595</v>
      </c>
      <c r="Z54">
        <v>-2.5966666665204698</v>
      </c>
      <c r="AA54">
        <v>-0.87833333317349505</v>
      </c>
      <c r="AB54">
        <v>-2.5966666665204698</v>
      </c>
      <c r="AC54">
        <v>-0.87833333317349505</v>
      </c>
      <c r="AD54">
        <v>1.16065217384685</v>
      </c>
      <c r="AE54">
        <v>-2.33483304364904E-2</v>
      </c>
      <c r="AF54">
        <v>3.8445212350594198</v>
      </c>
      <c r="AG54">
        <v>6.1606031899219698</v>
      </c>
      <c r="AH54">
        <v>3.96406163037868</v>
      </c>
      <c r="AI54">
        <v>6.5675975868566097</v>
      </c>
      <c r="AJ54">
        <v>0.95233674092548803</v>
      </c>
      <c r="AK54">
        <v>23.56</v>
      </c>
      <c r="AL54">
        <v>23.1</v>
      </c>
      <c r="AM54">
        <v>8.5932360141337996E-2</v>
      </c>
      <c r="AN54">
        <v>0.142551400168482</v>
      </c>
      <c r="AO54">
        <v>1.6298999999999999</v>
      </c>
      <c r="AP54">
        <v>134.27948047049301</v>
      </c>
      <c r="AQ54">
        <v>7.3740593061129206E-2</v>
      </c>
      <c r="AR54">
        <v>6.5467717815322402E-2</v>
      </c>
      <c r="AS54">
        <v>7.0061541034549493E-2</v>
      </c>
    </row>
    <row r="55" spans="1:45" x14ac:dyDescent="0.2">
      <c r="A55" t="s">
        <v>102</v>
      </c>
      <c r="B55" t="s">
        <v>98</v>
      </c>
      <c r="C55" t="s">
        <v>45</v>
      </c>
      <c r="D55">
        <v>17.02</v>
      </c>
      <c r="E55">
        <v>59.38</v>
      </c>
      <c r="F55">
        <v>2.7623533228130399E-2</v>
      </c>
      <c r="G55">
        <v>90.852719780755507</v>
      </c>
      <c r="H55">
        <v>5.6427779803923203E-2</v>
      </c>
      <c r="I55">
        <v>-2.8883333331872998</v>
      </c>
      <c r="J55">
        <v>-1.16333333317357</v>
      </c>
      <c r="K55">
        <v>-0.69082427517835698</v>
      </c>
      <c r="L55">
        <v>-2.8883333331872998</v>
      </c>
      <c r="M55">
        <v>-1.16333333317357</v>
      </c>
      <c r="N55">
        <v>-2.8883333331872998</v>
      </c>
      <c r="O55">
        <v>-1.16333333317357</v>
      </c>
      <c r="P55">
        <v>2.5549069228757499</v>
      </c>
      <c r="Q55">
        <v>5.2950218230176198E-2</v>
      </c>
      <c r="R55">
        <v>3.5933494965408298E-2</v>
      </c>
      <c r="S55">
        <v>-2.76300239558173E-2</v>
      </c>
      <c r="T55">
        <v>2.7623533228130399E-2</v>
      </c>
      <c r="U55">
        <v>64.572011772770296</v>
      </c>
      <c r="V55">
        <v>6.1611707552352797E-2</v>
      </c>
      <c r="W55">
        <v>-2.9183333331868702</v>
      </c>
      <c r="X55">
        <v>-1.17833333317322</v>
      </c>
      <c r="Y55">
        <v>-0.75623188387484896</v>
      </c>
      <c r="Z55">
        <v>-2.9183333331868702</v>
      </c>
      <c r="AA55">
        <v>-1.17833333317322</v>
      </c>
      <c r="AB55">
        <v>-2.9183333331868702</v>
      </c>
      <c r="AC55">
        <v>-1.17833333317322</v>
      </c>
      <c r="AD55">
        <v>1.29376811586836</v>
      </c>
      <c r="AE55">
        <v>-2.76300239558173E-2</v>
      </c>
      <c r="AF55">
        <v>4.2403380302532296</v>
      </c>
      <c r="AG55">
        <v>5.4181003697991503</v>
      </c>
      <c r="AH55">
        <v>3.9954458533388202</v>
      </c>
      <c r="AI55">
        <v>6.0955682421589197</v>
      </c>
      <c r="AJ55">
        <v>0.77038666099619202</v>
      </c>
      <c r="AK55">
        <v>23.56</v>
      </c>
      <c r="AL55">
        <v>23.1</v>
      </c>
      <c r="AM55">
        <v>2.2467833610214E-2</v>
      </c>
      <c r="AN55">
        <v>7.2729399292597696E-2</v>
      </c>
      <c r="AO55">
        <v>2.7182200000000001</v>
      </c>
      <c r="AP55">
        <v>108.624519200463</v>
      </c>
      <c r="AQ55">
        <v>8.0269842954382595E-2</v>
      </c>
      <c r="AR55">
        <v>7.2181926436675398E-2</v>
      </c>
      <c r="AS55">
        <v>7.9952032789062502E-2</v>
      </c>
    </row>
    <row r="56" spans="1:45" x14ac:dyDescent="0.2">
      <c r="A56" t="s">
        <v>103</v>
      </c>
      <c r="B56" t="s">
        <v>98</v>
      </c>
      <c r="C56" t="s">
        <v>45</v>
      </c>
      <c r="D56">
        <v>71.94</v>
      </c>
      <c r="E56">
        <v>114.14</v>
      </c>
      <c r="F56">
        <v>3.4012894801621001E-2</v>
      </c>
      <c r="G56">
        <v>24.6126075252951</v>
      </c>
      <c r="H56">
        <v>6.4651368760156994E-2</v>
      </c>
      <c r="I56">
        <v>-3.7883333331864901</v>
      </c>
      <c r="J56">
        <v>-1.0916666665069501</v>
      </c>
      <c r="K56">
        <v>-0.92943373938511398</v>
      </c>
      <c r="L56">
        <v>-3.7883333331864901</v>
      </c>
      <c r="M56">
        <v>-1.0916666665069501</v>
      </c>
      <c r="N56">
        <v>-3.7883333331864901</v>
      </c>
      <c r="O56">
        <v>-1.0916666665069501</v>
      </c>
      <c r="P56">
        <v>3.1931173317197099</v>
      </c>
      <c r="Q56">
        <v>4.48532369579559E-2</v>
      </c>
      <c r="R56">
        <v>7.24616710985376E-2</v>
      </c>
      <c r="S56">
        <v>-3.40213074432607E-2</v>
      </c>
      <c r="T56">
        <v>3.4012894801621001E-2</v>
      </c>
      <c r="U56">
        <v>-0.85256875156902201</v>
      </c>
      <c r="V56">
        <v>6.9147012409272804E-2</v>
      </c>
      <c r="W56">
        <v>-3.8183333331860601</v>
      </c>
      <c r="X56">
        <v>-1.1066666665066001</v>
      </c>
      <c r="Y56">
        <v>-1.0144202896714301</v>
      </c>
      <c r="Z56">
        <v>-3.8183333331860601</v>
      </c>
      <c r="AA56">
        <v>-1.1066666665066001</v>
      </c>
      <c r="AB56">
        <v>-3.8183333331860601</v>
      </c>
      <c r="AC56">
        <v>-1.1066666665066001</v>
      </c>
      <c r="AD56">
        <v>1.3883333332521099</v>
      </c>
      <c r="AE56">
        <v>-3.40213074432607E-2</v>
      </c>
      <c r="AF56">
        <v>2.93400408406103</v>
      </c>
      <c r="AG56">
        <v>5.8302079246469702</v>
      </c>
      <c r="AH56">
        <v>3.2037283756782702</v>
      </c>
      <c r="AI56">
        <v>6.5643439889351596</v>
      </c>
      <c r="AJ56">
        <v>-2.14078742868714</v>
      </c>
      <c r="AK56">
        <v>23.46</v>
      </c>
      <c r="AL56">
        <v>23</v>
      </c>
      <c r="AM56" s="1">
        <v>1.31896983462464E-7</v>
      </c>
      <c r="AN56" s="1">
        <v>4.3308558016999598E-5</v>
      </c>
      <c r="AO56">
        <v>1.38384</v>
      </c>
      <c r="AP56">
        <v>-301.85102744488699</v>
      </c>
      <c r="AQ56">
        <v>0.113192735915532</v>
      </c>
      <c r="AR56">
        <v>8.2896455883287798E-2</v>
      </c>
      <c r="AS56">
        <v>8.9087191204364702E-2</v>
      </c>
    </row>
    <row r="57" spans="1:45" x14ac:dyDescent="0.2">
      <c r="A57" t="s">
        <v>104</v>
      </c>
      <c r="B57" t="s">
        <v>98</v>
      </c>
      <c r="C57" t="s">
        <v>45</v>
      </c>
      <c r="D57">
        <v>8.34</v>
      </c>
      <c r="E57">
        <v>43.08</v>
      </c>
      <c r="F57">
        <v>2.5913615366205001E-2</v>
      </c>
      <c r="G57">
        <v>99.134144405167007</v>
      </c>
      <c r="H57">
        <v>5.4842587380321002E-2</v>
      </c>
      <c r="I57">
        <v>-2.9266666665205898</v>
      </c>
      <c r="J57">
        <v>-0.87166666650715796</v>
      </c>
      <c r="K57">
        <v>-0.73025581887630897</v>
      </c>
      <c r="L57">
        <v>-2.9266666665205898</v>
      </c>
      <c r="M57">
        <v>-0.87166666650715796</v>
      </c>
      <c r="N57">
        <v>-2.9266666665205898</v>
      </c>
      <c r="O57">
        <v>-0.87166666650715796</v>
      </c>
      <c r="P57">
        <v>2.5076291426427502</v>
      </c>
      <c r="Q57">
        <v>5.4669182145572599E-2</v>
      </c>
      <c r="R57">
        <v>3.3095389211383899E-2</v>
      </c>
      <c r="S57">
        <v>-2.5910998824302402E-2</v>
      </c>
      <c r="T57">
        <v>2.5913615366205001E-2</v>
      </c>
      <c r="U57">
        <v>73.495283163818996</v>
      </c>
      <c r="V57">
        <v>6.01928554838854E-2</v>
      </c>
      <c r="W57">
        <v>-2.9566666665201602</v>
      </c>
      <c r="X57">
        <v>-0.88666666650680703</v>
      </c>
      <c r="Y57">
        <v>-0.77887681141115495</v>
      </c>
      <c r="Z57">
        <v>-2.9566666665201602</v>
      </c>
      <c r="AA57">
        <v>-0.88666666650680703</v>
      </c>
      <c r="AB57">
        <v>-2.9566666665201602</v>
      </c>
      <c r="AC57">
        <v>-0.88666666650680703</v>
      </c>
      <c r="AD57">
        <v>1.2956884057234499</v>
      </c>
      <c r="AE57">
        <v>-2.5910998824302499E-2</v>
      </c>
      <c r="AF57">
        <v>3.83229817296617</v>
      </c>
      <c r="AG57">
        <v>5.9298045951381697</v>
      </c>
      <c r="AH57">
        <v>3.8283676981194299</v>
      </c>
      <c r="AI57">
        <v>6.5441337421130701</v>
      </c>
      <c r="AJ57">
        <v>1.0744365952436801</v>
      </c>
      <c r="AK57">
        <v>23.52</v>
      </c>
      <c r="AL57">
        <v>23.06</v>
      </c>
      <c r="AM57">
        <v>0.21986791281439999</v>
      </c>
      <c r="AN57">
        <v>0.27967189498848199</v>
      </c>
      <c r="AO57">
        <v>1.8809</v>
      </c>
      <c r="AP57">
        <v>151.49555992935899</v>
      </c>
      <c r="AQ57">
        <v>6.9864939299860096E-2</v>
      </c>
      <c r="AR57">
        <v>6.8123635759406997E-2</v>
      </c>
      <c r="AS57">
        <v>7.6431472432546402E-2</v>
      </c>
    </row>
    <row r="58" spans="1:45" x14ac:dyDescent="0.2">
      <c r="A58" t="s">
        <v>105</v>
      </c>
      <c r="B58" t="s">
        <v>98</v>
      </c>
      <c r="C58" t="s">
        <v>45</v>
      </c>
      <c r="D58">
        <v>14.46</v>
      </c>
      <c r="E58">
        <v>52.78</v>
      </c>
      <c r="F58">
        <v>2.7445493929373101E-2</v>
      </c>
      <c r="G58">
        <v>92.028524363246802</v>
      </c>
      <c r="H58">
        <v>5.5372866489837198E-2</v>
      </c>
      <c r="I58">
        <v>-2.8833333331872799</v>
      </c>
      <c r="J58">
        <v>-0.93166666650711205</v>
      </c>
      <c r="K58">
        <v>-0.69568936630702505</v>
      </c>
      <c r="L58">
        <v>-2.8833333331872799</v>
      </c>
      <c r="M58">
        <v>-0.93166666650711205</v>
      </c>
      <c r="N58">
        <v>-2.8833333331872799</v>
      </c>
      <c r="O58">
        <v>-0.93166666650711205</v>
      </c>
      <c r="P58">
        <v>2.6286691129893001</v>
      </c>
      <c r="Q58">
        <v>5.1495026127723602E-2</v>
      </c>
      <c r="R58">
        <v>3.4816608132293599E-2</v>
      </c>
      <c r="S58">
        <v>-2.7447726491451701E-2</v>
      </c>
      <c r="T58">
        <v>2.7445493929373101E-2</v>
      </c>
      <c r="U58">
        <v>64.320184223555998</v>
      </c>
      <c r="V58">
        <v>6.0607121394679199E-2</v>
      </c>
      <c r="W58">
        <v>-2.9133333331868498</v>
      </c>
      <c r="X58">
        <v>-0.94666666650676201</v>
      </c>
      <c r="Y58">
        <v>-0.76376811575889902</v>
      </c>
      <c r="Z58">
        <v>-2.9133333331868498</v>
      </c>
      <c r="AA58">
        <v>-0.94666666650676201</v>
      </c>
      <c r="AB58">
        <v>-2.9133333331868498</v>
      </c>
      <c r="AC58">
        <v>-0.94666666650676201</v>
      </c>
      <c r="AD58">
        <v>1.31710144921632</v>
      </c>
      <c r="AE58">
        <v>-2.7447726491451701E-2</v>
      </c>
      <c r="AF58">
        <v>3.9008272513885598</v>
      </c>
      <c r="AG58">
        <v>5.7726303640533203</v>
      </c>
      <c r="AH58">
        <v>3.8647970449842499</v>
      </c>
      <c r="AI58">
        <v>6.4255999830999198</v>
      </c>
      <c r="AJ58">
        <v>0.86879517078656399</v>
      </c>
      <c r="AK58">
        <v>23.62</v>
      </c>
      <c r="AL58">
        <v>23.16</v>
      </c>
      <c r="AM58">
        <v>5.5789177115965302E-2</v>
      </c>
      <c r="AN58">
        <v>0.115156598352245</v>
      </c>
      <c r="AO58">
        <v>1.8167199999999999</v>
      </c>
      <c r="AP58">
        <v>122.50011908090499</v>
      </c>
      <c r="AQ58">
        <v>7.4563145262130703E-2</v>
      </c>
      <c r="AR58">
        <v>7.1818539777158796E-2</v>
      </c>
      <c r="AS58">
        <v>7.9630665772439199E-2</v>
      </c>
    </row>
    <row r="59" spans="1:45" x14ac:dyDescent="0.2">
      <c r="A59" t="s">
        <v>106</v>
      </c>
      <c r="B59" t="s">
        <v>107</v>
      </c>
      <c r="C59" t="s">
        <v>45</v>
      </c>
      <c r="D59">
        <v>0</v>
      </c>
      <c r="E59">
        <v>1.08</v>
      </c>
      <c r="F59">
        <v>-3.6316726194186598E-2</v>
      </c>
      <c r="G59">
        <v>46.660956752163898</v>
      </c>
      <c r="H59">
        <v>7.0922017290578204E-2</v>
      </c>
      <c r="I59">
        <v>2.9600000001406901</v>
      </c>
      <c r="J59">
        <v>3.5500000001554599</v>
      </c>
      <c r="K59">
        <v>1.64185990356231</v>
      </c>
      <c r="L59">
        <v>2.9600000001406901</v>
      </c>
      <c r="M59">
        <v>3.5500000001554599</v>
      </c>
      <c r="N59">
        <v>2.9600000001406901</v>
      </c>
      <c r="O59">
        <v>3.5500000001554599</v>
      </c>
      <c r="P59">
        <v>2.32238996523055</v>
      </c>
      <c r="Q59">
        <v>0.135107217048821</v>
      </c>
      <c r="R59">
        <v>-1.9638293617567502E-2</v>
      </c>
      <c r="S59">
        <v>-3.6945638342907497E-2</v>
      </c>
      <c r="T59">
        <v>-3.6316726194186598E-2</v>
      </c>
      <c r="U59">
        <v>46.586995969771699</v>
      </c>
      <c r="V59">
        <v>7.0856587015365E-2</v>
      </c>
      <c r="W59">
        <v>2.9300000001411202</v>
      </c>
      <c r="X59">
        <v>3.5350000001558102</v>
      </c>
      <c r="Y59">
        <v>1.6881159422088601</v>
      </c>
      <c r="Z59">
        <v>2.9300000001411202</v>
      </c>
      <c r="AA59">
        <v>3.5350000001558102</v>
      </c>
      <c r="AB59">
        <v>2.9300000001411202</v>
      </c>
      <c r="AC59">
        <v>3.5350000001558102</v>
      </c>
      <c r="AD59">
        <v>1.6881159422088601</v>
      </c>
      <c r="AE59">
        <v>-3.6945638342907497E-2</v>
      </c>
      <c r="AF59">
        <v>1.87777734432184</v>
      </c>
      <c r="AG59">
        <v>1.41271232660929</v>
      </c>
      <c r="AH59">
        <v>1.8669496744323899</v>
      </c>
      <c r="AI59">
        <v>1.412649419688</v>
      </c>
      <c r="AJ59">
        <v>1.01673869611358</v>
      </c>
      <c r="AK59">
        <v>23.52</v>
      </c>
      <c r="AL59">
        <v>23.06</v>
      </c>
      <c r="AM59">
        <v>0.88013574861590604</v>
      </c>
      <c r="AN59">
        <v>0.89283803433019204</v>
      </c>
      <c r="AO59">
        <v>1.47976</v>
      </c>
      <c r="AP59">
        <v>232.833161410011</v>
      </c>
      <c r="AQ59">
        <v>5.2210877278564001E-2</v>
      </c>
      <c r="AR59">
        <v>6.2600220316386998E-2</v>
      </c>
      <c r="AS59">
        <v>6.3027429629128995E-2</v>
      </c>
    </row>
    <row r="60" spans="1:45" x14ac:dyDescent="0.2">
      <c r="A60" t="s">
        <v>108</v>
      </c>
      <c r="B60" t="s">
        <v>107</v>
      </c>
      <c r="C60" t="s">
        <v>45</v>
      </c>
      <c r="D60">
        <v>0</v>
      </c>
      <c r="E60">
        <v>0.02</v>
      </c>
      <c r="F60">
        <v>1.96669155630197E-2</v>
      </c>
      <c r="G60">
        <v>132.396588849739</v>
      </c>
      <c r="H60">
        <v>5.4747455321693901E-2</v>
      </c>
      <c r="I60">
        <v>1.4886111112531699</v>
      </c>
      <c r="J60">
        <v>-7.4166666507894594E-2</v>
      </c>
      <c r="K60">
        <v>-0.619419374726764</v>
      </c>
      <c r="L60">
        <v>1.23166666680896</v>
      </c>
      <c r="M60">
        <v>-0.16833333317447299</v>
      </c>
      <c r="N60">
        <v>1.67166666680856</v>
      </c>
      <c r="O60">
        <v>-0.13666666650784001</v>
      </c>
      <c r="P60">
        <v>1.5788768713925101</v>
      </c>
      <c r="Q60">
        <v>5.3842203333973798E-2</v>
      </c>
      <c r="R60">
        <v>6.8125593191584698E-3</v>
      </c>
      <c r="S60">
        <v>4.7012001025049197E-2</v>
      </c>
      <c r="T60">
        <v>1.9666915563019801E-2</v>
      </c>
      <c r="U60">
        <v>104.272141218168</v>
      </c>
      <c r="V60">
        <v>7.0399523415162701E-2</v>
      </c>
      <c r="W60">
        <v>1.45861111125359</v>
      </c>
      <c r="X60">
        <v>-8.9166666507544498E-2</v>
      </c>
      <c r="Y60">
        <v>-0.61676328484327403</v>
      </c>
      <c r="Z60">
        <v>1.2016666668093801</v>
      </c>
      <c r="AA60">
        <v>-0.18333333317412301</v>
      </c>
      <c r="AB60">
        <v>1.3633333334759099</v>
      </c>
      <c r="AC60">
        <v>-0.18333333317412301</v>
      </c>
      <c r="AD60">
        <v>1.1392512076640899</v>
      </c>
      <c r="AE60">
        <v>4.7012001025049197E-2</v>
      </c>
      <c r="AF60">
        <v>4.4774801253377099</v>
      </c>
      <c r="AG60">
        <v>4.8188453894262899</v>
      </c>
      <c r="AH60">
        <v>5.1324942315963504</v>
      </c>
      <c r="AI60">
        <v>5.9147000073117102</v>
      </c>
      <c r="AJ60">
        <v>1.589752696243</v>
      </c>
      <c r="AK60">
        <v>26.393999999999998</v>
      </c>
      <c r="AL60">
        <v>25.893999999999998</v>
      </c>
      <c r="AM60">
        <v>0.948574039117273</v>
      </c>
      <c r="AN60">
        <v>0.96321188009582104</v>
      </c>
      <c r="AO60">
        <v>6.0382999999999996</v>
      </c>
      <c r="AP60">
        <v>349.74559317346097</v>
      </c>
      <c r="AQ60">
        <v>4.6759488918819397E-2</v>
      </c>
      <c r="AR60">
        <v>5.1699348846036698E-2</v>
      </c>
      <c r="AS60">
        <v>7.0833503532988201E-2</v>
      </c>
    </row>
    <row r="61" spans="1:45" x14ac:dyDescent="0.2">
      <c r="A61" t="s">
        <v>109</v>
      </c>
      <c r="B61" t="s">
        <v>107</v>
      </c>
      <c r="C61" t="s">
        <v>45</v>
      </c>
      <c r="D61">
        <v>0</v>
      </c>
      <c r="E61">
        <v>0.06</v>
      </c>
      <c r="F61">
        <v>2.1711424467238401E-2</v>
      </c>
      <c r="G61">
        <v>130.41369555166301</v>
      </c>
      <c r="H61">
        <v>5.7735018848007101E-2</v>
      </c>
      <c r="I61">
        <v>1.7391666668085</v>
      </c>
      <c r="J61">
        <v>0.18666666682518099</v>
      </c>
      <c r="K61">
        <v>-0.68600598356894504</v>
      </c>
      <c r="L61">
        <v>1.6300000001419299</v>
      </c>
      <c r="M61">
        <v>0.18666666682518099</v>
      </c>
      <c r="N61">
        <v>1.84833333347507</v>
      </c>
      <c r="O61">
        <v>0.18666666682518099</v>
      </c>
      <c r="P61">
        <v>1.7777580607974299</v>
      </c>
      <c r="Q61">
        <v>5.5419742372902897E-2</v>
      </c>
      <c r="R61">
        <v>7.5209635942497504E-3</v>
      </c>
      <c r="S61">
        <v>5.3824375805101798E-2</v>
      </c>
      <c r="T61">
        <v>2.1711424467238401E-2</v>
      </c>
      <c r="U61">
        <v>103.188151898043</v>
      </c>
      <c r="V61">
        <v>7.2701841192336705E-2</v>
      </c>
      <c r="W61">
        <v>1.70916666680893</v>
      </c>
      <c r="X61">
        <v>0.171666666825531</v>
      </c>
      <c r="Y61">
        <v>-0.68282608677577605</v>
      </c>
      <c r="Z61">
        <v>1.60000000014236</v>
      </c>
      <c r="AA61">
        <v>0.171666666825531</v>
      </c>
      <c r="AB61">
        <v>1.7650000001422099</v>
      </c>
      <c r="AC61">
        <v>0.171666666825531</v>
      </c>
      <c r="AD61">
        <v>1.1604347825361601</v>
      </c>
      <c r="AE61">
        <v>5.3824375805101798E-2</v>
      </c>
      <c r="AF61">
        <v>4.8242173134675603</v>
      </c>
      <c r="AG61">
        <v>4.8808704859924301</v>
      </c>
      <c r="AH61">
        <v>5.2693213704344197</v>
      </c>
      <c r="AI61">
        <v>6.0710988209464603</v>
      </c>
      <c r="AJ61">
        <v>1.5560944015375999</v>
      </c>
      <c r="AK61">
        <v>24.116</v>
      </c>
      <c r="AL61">
        <v>23.655999999999999</v>
      </c>
      <c r="AM61">
        <v>0.91307871587848899</v>
      </c>
      <c r="AN61">
        <v>0.94973253014112802</v>
      </c>
      <c r="AO61">
        <v>3.1975199999999999</v>
      </c>
      <c r="AP61">
        <v>342.34076833827402</v>
      </c>
      <c r="AQ61">
        <v>4.8449028638783601E-2</v>
      </c>
      <c r="AR61">
        <v>5.3368899534862402E-2</v>
      </c>
      <c r="AS61">
        <v>7.2406117703847805E-2</v>
      </c>
    </row>
  </sheetData>
  <sortState xmlns:xlrd2="http://schemas.microsoft.com/office/spreadsheetml/2017/richdata2" ref="A2:AS59">
    <sortCondition ref="B2:B59"/>
    <sortCondition ref="A2:A59"/>
  </sortState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averaged_runs126</vt:lpstr>
      <vt:lpstr>averaged_runs245</vt:lpstr>
      <vt:lpstr>averaged_runs370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2025-07-05T21:43:17Z</dcterms:created>
  <dcterms:modified xsi:type="dcterms:W3CDTF">2025-11-22T05:21:18Z</dcterms:modified>
</cp:coreProperties>
</file>