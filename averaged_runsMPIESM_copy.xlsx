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/FaIR_fut/FaIR_fut/"/>
    </mc:Choice>
  </mc:AlternateContent>
  <xr:revisionPtr revIDLastSave="0" documentId="8_{4D1258D1-FCC9-E64F-AA92-ABF69AB8E342}" xr6:coauthVersionLast="47" xr6:coauthVersionMax="47" xr10:uidLastSave="{00000000-0000-0000-0000-000000000000}"/>
  <bookViews>
    <workbookView xWindow="14300" yWindow="500" windowWidth="26260" windowHeight="21220" activeTab="1" xr2:uid="{092845C9-5ABA-C74D-AA55-1C7EA8016735}"/>
  </bookViews>
  <sheets>
    <sheet name="averaged_runs126" sheetId="1" r:id="rId1"/>
    <sheet name="averaged_runs245" sheetId="2" r:id="rId2"/>
    <sheet name="averaged_runs370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2" l="1"/>
  <c r="H35" i="2"/>
  <c r="G35" i="2"/>
  <c r="G14" i="2"/>
  <c r="H14" i="2"/>
  <c r="I14" i="2"/>
  <c r="G15" i="2"/>
  <c r="H15" i="2"/>
  <c r="I15" i="2"/>
  <c r="G16" i="2"/>
  <c r="H16" i="2"/>
  <c r="I16" i="2"/>
  <c r="G17" i="2"/>
  <c r="H17" i="2"/>
  <c r="I17" i="2"/>
  <c r="G18" i="2"/>
  <c r="H18" i="2"/>
  <c r="I18" i="2"/>
  <c r="G19" i="2"/>
  <c r="H19" i="2"/>
  <c r="I19" i="2"/>
  <c r="G20" i="2"/>
  <c r="H20" i="2"/>
  <c r="I20" i="2"/>
  <c r="G21" i="2"/>
  <c r="H21" i="2"/>
  <c r="I21" i="2"/>
  <c r="G22" i="2"/>
  <c r="H22" i="2"/>
  <c r="I22" i="2"/>
  <c r="G23" i="2"/>
  <c r="H23" i="2"/>
  <c r="I23" i="2"/>
  <c r="G24" i="2"/>
  <c r="H24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H29" i="2"/>
  <c r="I29" i="2"/>
  <c r="G30" i="2"/>
  <c r="H30" i="2"/>
  <c r="I30" i="2"/>
  <c r="G31" i="2"/>
  <c r="H31" i="2"/>
  <c r="I31" i="2"/>
  <c r="G32" i="2"/>
  <c r="H32" i="2"/>
  <c r="I32" i="2"/>
  <c r="G33" i="2"/>
  <c r="H33" i="2"/>
  <c r="I33" i="2"/>
  <c r="G34" i="2"/>
  <c r="H34" i="2"/>
  <c r="I34" i="2"/>
  <c r="G36" i="2"/>
  <c r="H36" i="2"/>
  <c r="I36" i="2"/>
  <c r="G37" i="2"/>
  <c r="H37" i="2"/>
  <c r="I37" i="2"/>
  <c r="G38" i="2"/>
  <c r="H38" i="2"/>
  <c r="I38" i="2"/>
  <c r="G39" i="2"/>
  <c r="H39" i="2"/>
  <c r="I39" i="2"/>
  <c r="G40" i="2"/>
  <c r="H40" i="2"/>
  <c r="I40" i="2"/>
  <c r="G41" i="2"/>
  <c r="H41" i="2"/>
  <c r="I41" i="2"/>
  <c r="G42" i="2"/>
  <c r="H42" i="2"/>
  <c r="I42" i="2"/>
  <c r="G43" i="2"/>
  <c r="H43" i="2"/>
  <c r="I43" i="2"/>
  <c r="G44" i="2"/>
  <c r="H44" i="2"/>
  <c r="I44" i="2"/>
  <c r="G45" i="2"/>
  <c r="H45" i="2"/>
  <c r="I45" i="2"/>
  <c r="G46" i="2"/>
  <c r="H46" i="2"/>
  <c r="I46" i="2"/>
  <c r="G47" i="2"/>
  <c r="H47" i="2"/>
  <c r="I47" i="2"/>
  <c r="G48" i="2"/>
  <c r="H48" i="2"/>
  <c r="I48" i="2"/>
  <c r="G49" i="2"/>
  <c r="H49" i="2"/>
  <c r="I49" i="2"/>
  <c r="G50" i="2"/>
  <c r="H50" i="2"/>
  <c r="I50" i="2"/>
  <c r="G51" i="2"/>
  <c r="H51" i="2"/>
  <c r="I51" i="2"/>
  <c r="G52" i="2"/>
  <c r="H52" i="2"/>
  <c r="I52" i="2"/>
  <c r="G53" i="2"/>
  <c r="H53" i="2"/>
  <c r="I53" i="2"/>
  <c r="G54" i="2"/>
  <c r="H54" i="2"/>
  <c r="I54" i="2"/>
  <c r="G55" i="2"/>
  <c r="H55" i="2"/>
  <c r="I55" i="2"/>
  <c r="G56" i="2"/>
  <c r="H56" i="2"/>
  <c r="I56" i="2"/>
  <c r="G57" i="2"/>
  <c r="H57" i="2"/>
  <c r="I57" i="2"/>
  <c r="G58" i="2"/>
  <c r="H58" i="2"/>
  <c r="I58" i="2"/>
  <c r="G59" i="2"/>
  <c r="H59" i="2"/>
  <c r="I59" i="2"/>
  <c r="G60" i="2"/>
  <c r="H60" i="2"/>
  <c r="I60" i="2"/>
  <c r="G61" i="2"/>
  <c r="H61" i="2"/>
  <c r="I61" i="2"/>
  <c r="I13" i="2"/>
  <c r="H13" i="2"/>
  <c r="G1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2" i="2"/>
  <c r="G7" i="2"/>
  <c r="H7" i="2"/>
  <c r="I7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3" i="2"/>
  <c r="F4" i="2"/>
  <c r="F5" i="2"/>
  <c r="F6" i="2"/>
  <c r="F7" i="2"/>
  <c r="F8" i="2"/>
  <c r="F9" i="2"/>
  <c r="F10" i="2"/>
  <c r="F11" i="2"/>
  <c r="F2" i="2"/>
  <c r="I3" i="2"/>
  <c r="H3" i="2"/>
  <c r="G3" i="2"/>
  <c r="C3" i="2" l="1"/>
  <c r="C5" i="2"/>
  <c r="C7" i="2"/>
  <c r="C8" i="2"/>
  <c r="C9" i="2"/>
  <c r="C10" i="2"/>
  <c r="C11" i="2"/>
  <c r="C12" i="2"/>
  <c r="C14" i="2"/>
  <c r="C15" i="2"/>
  <c r="C16" i="2"/>
  <c r="C17" i="2"/>
  <c r="C18" i="2"/>
  <c r="C19" i="2"/>
  <c r="C20" i="2"/>
  <c r="C21" i="2"/>
  <c r="C22" i="2"/>
  <c r="C26" i="2"/>
  <c r="C27" i="2"/>
  <c r="C29" i="2"/>
  <c r="C30" i="2"/>
  <c r="C32" i="2"/>
  <c r="C33" i="2"/>
  <c r="C34" i="2"/>
  <c r="C36" i="2"/>
  <c r="C37" i="2"/>
  <c r="C40" i="2"/>
  <c r="C42" i="2"/>
  <c r="C43" i="2"/>
  <c r="C44" i="2"/>
  <c r="C45" i="2"/>
  <c r="C46" i="2"/>
  <c r="C47" i="2"/>
  <c r="C49" i="2"/>
  <c r="C50" i="2"/>
  <c r="C52" i="2"/>
  <c r="C53" i="2"/>
  <c r="C54" i="2"/>
  <c r="C55" i="2"/>
  <c r="C56" i="2"/>
  <c r="C57" i="2"/>
  <c r="C58" i="2"/>
  <c r="C60" i="2"/>
  <c r="C61" i="2"/>
  <c r="C6" i="2"/>
  <c r="C13" i="2"/>
  <c r="C59" i="2"/>
  <c r="C41" i="2"/>
  <c r="C51" i="2"/>
  <c r="C2" i="2"/>
  <c r="C28" i="2"/>
  <c r="C31" i="2"/>
  <c r="C48" i="2"/>
  <c r="C35" i="2"/>
  <c r="C39" i="2"/>
  <c r="G12" i="2" l="1"/>
  <c r="H12" i="2"/>
  <c r="I12" i="2"/>
  <c r="E64" i="2"/>
</calcChain>
</file>

<file path=xl/sharedStrings.xml><?xml version="1.0" encoding="utf-8"?>
<sst xmlns="http://schemas.openxmlformats.org/spreadsheetml/2006/main" count="675" uniqueCount="117">
  <si>
    <t>method_name</t>
  </si>
  <si>
    <t>method_class</t>
  </si>
  <si>
    <t>c/r</t>
  </si>
  <si>
    <t>smooth_r</t>
  </si>
  <si>
    <t>avg_unc.(1se)</t>
  </si>
  <si>
    <t>#q&lt;0.5</t>
  </si>
  <si>
    <t>#q&lt;0.1</t>
  </si>
  <si>
    <t>q_min</t>
  </si>
  <si>
    <t>q_small5</t>
  </si>
  <si>
    <t>log-likeli</t>
  </si>
  <si>
    <t>RMS</t>
  </si>
  <si>
    <t>bias</t>
  </si>
  <si>
    <t>tlog-l</t>
  </si>
  <si>
    <t>100log-l</t>
  </si>
  <si>
    <t>100RMS</t>
  </si>
  <si>
    <t>100bias</t>
  </si>
  <si>
    <t>l15</t>
  </si>
  <si>
    <t>l20</t>
  </si>
  <si>
    <t>bias50</t>
  </si>
  <si>
    <t>Edyrs15</t>
  </si>
  <si>
    <t>Edyrs20</t>
  </si>
  <si>
    <t>Mdyrs15</t>
  </si>
  <si>
    <t>Mdyrs20</t>
  </si>
  <si>
    <t>Fdyrs15</t>
  </si>
  <si>
    <t>Fdyrs20</t>
  </si>
  <si>
    <t>EdyrsA</t>
  </si>
  <si>
    <t>RMSyrsA</t>
  </si>
  <si>
    <t>ncEdyrs</t>
  </si>
  <si>
    <t>e100log-l</t>
  </si>
  <si>
    <t>e100RMS</t>
  </si>
  <si>
    <t>e100bias</t>
  </si>
  <si>
    <t>el15</t>
  </si>
  <si>
    <t>el20</t>
  </si>
  <si>
    <t>ebias50</t>
  </si>
  <si>
    <t>eEdyrs15</t>
  </si>
  <si>
    <t>eEdyrs20</t>
  </si>
  <si>
    <t>eMdyrs15</t>
  </si>
  <si>
    <t>eMdyrs20</t>
  </si>
  <si>
    <t>eFdyrs15</t>
  </si>
  <si>
    <t>eFdyrs20</t>
  </si>
  <si>
    <t>eEdyrsA</t>
  </si>
  <si>
    <t>eRMSyrsA</t>
  </si>
  <si>
    <t>nceEdyrs</t>
  </si>
  <si>
    <t>lag10y</t>
  </si>
  <si>
    <t>42/1_Run_Means</t>
  </si>
  <si>
    <t>c</t>
  </si>
  <si>
    <t>lag5y</t>
  </si>
  <si>
    <t>raw1y</t>
  </si>
  <si>
    <t>Bayes_seq_CP</t>
  </si>
  <si>
    <t>42/2_LT_Fits</t>
  </si>
  <si>
    <t>butterworth</t>
  </si>
  <si>
    <t>hinge75meet</t>
  </si>
  <si>
    <t>OLS_hinge75</t>
  </si>
  <si>
    <t>OLS_refit</t>
  </si>
  <si>
    <t>quartic</t>
  </si>
  <si>
    <t>TheilSen_h7075</t>
  </si>
  <si>
    <t>etrend15y</t>
  </si>
  <si>
    <t>42/3_ST_Fits</t>
  </si>
  <si>
    <t>etrend30y</t>
  </si>
  <si>
    <t>etrend30y_3CS</t>
  </si>
  <si>
    <t>lowess1dg20wnc</t>
  </si>
  <si>
    <t>lowess1dt10wnc</t>
  </si>
  <si>
    <t>lowess1dt20wAR</t>
  </si>
  <si>
    <t>lowess1dt20wARMA</t>
  </si>
  <si>
    <t>lowess1dt20wnc</t>
  </si>
  <si>
    <t>lowess1dt30wnc</t>
  </si>
  <si>
    <t>lowess2dt20wnc</t>
  </si>
  <si>
    <t>offset11y</t>
  </si>
  <si>
    <t>opt_clim_norm</t>
  </si>
  <si>
    <t>cubic_spline</t>
  </si>
  <si>
    <t>42/4_GAM_AR1</t>
  </si>
  <si>
    <t>GAM_AR0</t>
  </si>
  <si>
    <t>GAM_AR1</t>
  </si>
  <si>
    <t>Kal_flexLin</t>
  </si>
  <si>
    <t>42/5_Kalman</t>
  </si>
  <si>
    <t>Kal_flexLin_ocn</t>
  </si>
  <si>
    <t>Kalman_RW</t>
  </si>
  <si>
    <t>Kalman_RW_ocn</t>
  </si>
  <si>
    <t>removeGreensfx</t>
  </si>
  <si>
    <t>42/6_Remove_IV</t>
  </si>
  <si>
    <t>removeMEI_cons</t>
  </si>
  <si>
    <t>removeMEI_volc_cons</t>
  </si>
  <si>
    <t>cons_hArrh_CO2forc</t>
  </si>
  <si>
    <t>43/0_Linear</t>
  </si>
  <si>
    <t>OLS_refit_CO2forc</t>
  </si>
  <si>
    <t>FaIR_all</t>
  </si>
  <si>
    <t>43/1_ERF_FaIR</t>
  </si>
  <si>
    <t>FaIR_all_unB</t>
  </si>
  <si>
    <t>FaIR_anthro</t>
  </si>
  <si>
    <t>FaIR_anthro_unB</t>
  </si>
  <si>
    <t>FaIR_comb_unB</t>
  </si>
  <si>
    <t>FaIR_nonat</t>
  </si>
  <si>
    <t>FaIR_nonat_unB</t>
  </si>
  <si>
    <t>EBMKF_ta</t>
  </si>
  <si>
    <t>43/2_Kalman</t>
  </si>
  <si>
    <t>EBMKF_ta2</t>
  </si>
  <si>
    <t>EBMKF_ta4</t>
  </si>
  <si>
    <t>GWI_anthro</t>
  </si>
  <si>
    <t>43/3_Human_Induced</t>
  </si>
  <si>
    <t>GWI_anthro_AR6</t>
  </si>
  <si>
    <t>GWI_anthro_CGWL</t>
  </si>
  <si>
    <t>GWI_anthro_SR15</t>
  </si>
  <si>
    <t>GWI_tot</t>
  </si>
  <si>
    <t>GWI_tot_AR6</t>
  </si>
  <si>
    <t>GWI_tot_CGWL</t>
  </si>
  <si>
    <t>GWI_tot_SR15</t>
  </si>
  <si>
    <t>CGWL10y_pUKCP</t>
  </si>
  <si>
    <t>44/44_EarthModel_CGWL</t>
  </si>
  <si>
    <t>CGWL10y_sfUKCP</t>
  </si>
  <si>
    <t>CGWL10y_sUKCP</t>
  </si>
  <si>
    <t>lowess1dt26wnc</t>
  </si>
  <si>
    <t>lowess1dt36wnc</t>
  </si>
  <si>
    <t>lowess2dt30wnc</t>
  </si>
  <si>
    <t>min_month_proj</t>
  </si>
  <si>
    <t>removeMEI_volc_refit</t>
  </si>
  <si>
    <t>75RMS</t>
  </si>
  <si>
    <t>e75RMS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</si>
</sst>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0" x14ac:knownFonts="1">
    <font>
      <sz val="12"/>
      <color theme="1"/>
      <name val="Aptos Narrow"/>
      <family val="2"/>
      <scheme val="minor"/>
    </font>
    <font>
      <sz val="12"/>
      <color indexed="8"/>
      <name val="Aptos Narrow"/>
      <family val="2"/>
    </font>
    <font>
      <b/>
      <sz val="15"/>
      <color indexed="56"/>
      <name val="Aptos Narrow"/>
      <family val="2"/>
    </font>
    <font>
      <b/>
      <sz val="13"/>
      <color indexed="56"/>
      <name val="Aptos Narrow"/>
      <family val="2"/>
    </font>
    <font>
      <b/>
      <sz val="11"/>
      <color indexed="56"/>
      <name val="Aptos Narrow"/>
      <family val="2"/>
    </font>
    <font>
      <sz val="12"/>
      <color indexed="52"/>
      <name val="Aptos Narrow"/>
      <family val="2"/>
    </font>
    <font>
      <sz val="18"/>
      <color indexed="56"/>
      <name val="Aptos Display"/>
      <family val="2"/>
      <charset val="1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indexed="5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1"/>
      <color indexed="56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8"/>
      </patternFill>
    </fill>
    <fill>
      <patternFill patternType="solid">
        <fgColor indexed="25"/>
      </patternFill>
    </fill>
    <fill>
      <patternFill patternType="solid">
        <fgColor indexed="11"/>
      </patternFill>
    </fill>
    <fill>
      <patternFill patternType="solid">
        <fgColor indexed="21"/>
      </patternFill>
    </fill>
    <fill>
      <patternFill patternType="solid">
        <fgColor indexed="53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2">
    <xf numFmtId="0" fontId="0" fillId="0" borderId="0"/>
    <xf numFmtId="0" fontId="7" fillId="2" borderId="0" applyNumberFormat="0" applyBorder="0" applyAlignment="0" applyProtection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3" borderId="0" applyNumberFormat="0" applyBorder="0" applyAlignment="0" applyProtection="0"/>
    <xf numFmtId="0" fontId="7" fillId="6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3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7" borderId="0" applyNumberFormat="0" applyBorder="0" applyAlignment="0" applyProtection="0"/>
    <xf numFmtId="0" fontId="9" fillId="5" borderId="0" applyNumberFormat="0" applyBorder="0" applyAlignment="0" applyProtection="0"/>
    <xf numFmtId="0" fontId="10" fillId="3" borderId="5" applyNumberFormat="0" applyAlignment="0" applyProtection="0"/>
    <xf numFmtId="0" fontId="11" fillId="22" borderId="6" applyNumberFormat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4" fillId="0" borderId="7" applyNumberFormat="0" applyFill="0" applyAlignment="0" applyProtection="0"/>
    <xf numFmtId="0" fontId="4" fillId="0" borderId="0" applyNumberFormat="0" applyFill="0" applyBorder="0" applyAlignment="0" applyProtection="0"/>
    <xf numFmtId="0" fontId="15" fillId="3" borderId="5" applyNumberFormat="0" applyAlignment="0" applyProtection="0"/>
    <xf numFmtId="0" fontId="5" fillId="0" borderId="3" applyNumberFormat="0" applyFill="0" applyAlignment="0" applyProtection="0"/>
    <xf numFmtId="0" fontId="16" fillId="23" borderId="0" applyNumberFormat="0" applyBorder="0" applyAlignment="0" applyProtection="0"/>
    <xf numFmtId="0" fontId="1" fillId="24" borderId="8" applyNumberFormat="0" applyFont="0" applyAlignment="0" applyProtection="0"/>
    <xf numFmtId="0" fontId="17" fillId="3" borderId="9" applyNumberFormat="0" applyAlignment="0" applyProtection="0"/>
    <xf numFmtId="0" fontId="6" fillId="0" borderId="0" applyNumberFormat="0" applyFill="0" applyBorder="0" applyAlignment="0" applyProtection="0"/>
    <xf numFmtId="0" fontId="18" fillId="0" borderId="4" applyNumberFormat="0" applyFill="0" applyAlignment="0" applyProtection="0"/>
    <xf numFmtId="0" fontId="19" fillId="0" borderId="0" applyNumberFormat="0" applyFill="0" applyBorder="0" applyAlignment="0" applyProtection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866F-3047-264B-9015-13D126F5F4B1}">
  <dimension ref="A1:AS61"/>
  <sheetViews>
    <sheetView topLeftCell="AJ1" workbookViewId="0">
      <pane ySplit="1" topLeftCell="A2" activePane="bottomLeft" state="frozen"/>
      <selection pane="bottomLeft" activeCell="AV25" sqref="AV2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19</v>
      </c>
      <c r="I1" t="s">
        <v>20</v>
      </c>
      <c r="J1" t="s">
        <v>25</v>
      </c>
      <c r="K1" t="s">
        <v>23</v>
      </c>
      <c r="L1" t="s">
        <v>24</v>
      </c>
      <c r="M1" t="s">
        <v>21</v>
      </c>
      <c r="N1" t="s">
        <v>22</v>
      </c>
      <c r="O1" t="s">
        <v>26</v>
      </c>
      <c r="P1" t="s">
        <v>4</v>
      </c>
      <c r="Q1" t="s">
        <v>11</v>
      </c>
      <c r="R1" t="s">
        <v>18</v>
      </c>
      <c r="S1" t="s">
        <v>30</v>
      </c>
      <c r="T1" t="s">
        <v>28</v>
      </c>
      <c r="U1" t="s">
        <v>34</v>
      </c>
      <c r="V1" t="s">
        <v>35</v>
      </c>
      <c r="W1" t="s">
        <v>40</v>
      </c>
      <c r="X1" t="s">
        <v>38</v>
      </c>
      <c r="Y1" t="s">
        <v>39</v>
      </c>
      <c r="Z1" t="s">
        <v>36</v>
      </c>
      <c r="AA1" t="s">
        <v>37</v>
      </c>
      <c r="AB1" t="s">
        <v>41</v>
      </c>
      <c r="AC1" t="s">
        <v>33</v>
      </c>
      <c r="AD1" t="s">
        <v>31</v>
      </c>
      <c r="AE1" t="s">
        <v>32</v>
      </c>
      <c r="AF1" t="s">
        <v>16</v>
      </c>
      <c r="AG1" t="s">
        <v>17</v>
      </c>
      <c r="AH1" t="s">
        <v>9</v>
      </c>
      <c r="AI1" t="s">
        <v>27</v>
      </c>
      <c r="AJ1" t="s">
        <v>42</v>
      </c>
      <c r="AK1" t="s">
        <v>7</v>
      </c>
      <c r="AL1" t="s">
        <v>8</v>
      </c>
      <c r="AM1" t="s">
        <v>3</v>
      </c>
      <c r="AN1" t="s">
        <v>12</v>
      </c>
      <c r="AO1" t="s">
        <v>10</v>
      </c>
      <c r="AP1" t="s">
        <v>14</v>
      </c>
      <c r="AQ1" t="s">
        <v>115</v>
      </c>
      <c r="AR1" t="s">
        <v>29</v>
      </c>
      <c r="AS1" t="s">
        <v>116</v>
      </c>
    </row>
    <row r="2" spans="1:45" x14ac:dyDescent="0.2">
      <c r="A2" t="s">
        <v>43</v>
      </c>
      <c r="B2" t="s">
        <v>44</v>
      </c>
      <c r="C2" t="s">
        <v>45</v>
      </c>
      <c r="D2">
        <v>25.98</v>
      </c>
      <c r="E2">
        <v>97.58</v>
      </c>
      <c r="F2">
        <v>-3.5121449834697803E-2</v>
      </c>
      <c r="G2">
        <v>69.573513375395706</v>
      </c>
      <c r="H2">
        <v>5.5281944445914899</v>
      </c>
      <c r="I2">
        <v>-1</v>
      </c>
      <c r="J2">
        <v>4.7041402117790696</v>
      </c>
      <c r="K2">
        <v>3.93666666681517</v>
      </c>
      <c r="L2">
        <v>-1</v>
      </c>
      <c r="M2">
        <v>7.13666666681224</v>
      </c>
      <c r="N2">
        <v>-1</v>
      </c>
      <c r="O2">
        <v>5.2674046549305</v>
      </c>
      <c r="P2">
        <v>3.8675018421119298E-2</v>
      </c>
      <c r="Q2">
        <v>-2.9860932869651299E-2</v>
      </c>
      <c r="R2">
        <v>5.6395683288573799E-3</v>
      </c>
      <c r="S2">
        <v>-3.5121449834697803E-2</v>
      </c>
      <c r="T2">
        <v>-30.858008316080898</v>
      </c>
      <c r="U2">
        <v>5.7506944445886097</v>
      </c>
      <c r="V2">
        <v>-1</v>
      </c>
      <c r="W2">
        <v>4.90243055569319</v>
      </c>
      <c r="X2">
        <v>4.2500000001453602</v>
      </c>
      <c r="Y2">
        <v>-1</v>
      </c>
      <c r="Z2">
        <v>6.5633333334765798</v>
      </c>
      <c r="AA2">
        <v>-1</v>
      </c>
      <c r="AB2">
        <v>4.9544675927187001</v>
      </c>
      <c r="AC2">
        <v>5.6395683288573903E-3</v>
      </c>
      <c r="AD2">
        <v>5.2478780790165001</v>
      </c>
      <c r="AE2">
        <v>0</v>
      </c>
      <c r="AF2">
        <v>4.9003634520214003</v>
      </c>
      <c r="AG2">
        <v>0</v>
      </c>
      <c r="AH2">
        <v>1.0311161712265799</v>
      </c>
      <c r="AI2">
        <v>7.5679999999999996</v>
      </c>
      <c r="AJ2">
        <v>7.58</v>
      </c>
      <c r="AK2">
        <v>8.6516322243523902E-3</v>
      </c>
      <c r="AL2">
        <v>1.77686166610059E-2</v>
      </c>
      <c r="AM2">
        <v>2.8985799999999999</v>
      </c>
      <c r="AN2">
        <v>238.18783555333999</v>
      </c>
      <c r="AO2">
        <v>5.8968735303780502E-2</v>
      </c>
      <c r="AP2">
        <v>6.1551364682012201E-2</v>
      </c>
      <c r="AQ2">
        <v>4.7594498868862203E-2</v>
      </c>
      <c r="AR2">
        <v>7.8256925713879405E-2</v>
      </c>
      <c r="AS2">
        <v>6.7446138110884804E-2</v>
      </c>
    </row>
    <row r="3" spans="1:45" x14ac:dyDescent="0.2">
      <c r="A3" t="s">
        <v>46</v>
      </c>
      <c r="B3" t="s">
        <v>44</v>
      </c>
      <c r="C3" t="s">
        <v>45</v>
      </c>
      <c r="D3">
        <v>24.32</v>
      </c>
      <c r="E3">
        <v>75.239999999999995</v>
      </c>
      <c r="F3">
        <v>-9.8237310792063104E-3</v>
      </c>
      <c r="G3">
        <v>63.338513244790001</v>
      </c>
      <c r="H3">
        <v>3.6112777779265999</v>
      </c>
      <c r="I3">
        <v>-1</v>
      </c>
      <c r="J3">
        <v>2.5874080689238301</v>
      </c>
      <c r="K3">
        <v>-0.96499999984701301</v>
      </c>
      <c r="L3">
        <v>-1</v>
      </c>
      <c r="M3">
        <v>6.6216666668127404</v>
      </c>
      <c r="N3">
        <v>-1</v>
      </c>
      <c r="O3">
        <v>3.8046754124068398</v>
      </c>
      <c r="P3">
        <v>4.7763976608298203E-2</v>
      </c>
      <c r="Q3">
        <v>-1.33273045980223E-2</v>
      </c>
      <c r="R3">
        <v>5.7650712728499901E-3</v>
      </c>
      <c r="S3">
        <v>-9.8237310792063607E-3</v>
      </c>
      <c r="T3">
        <v>-31.529043772592001</v>
      </c>
      <c r="U3">
        <v>3.8437777779237101</v>
      </c>
      <c r="V3">
        <v>-1</v>
      </c>
      <c r="W3">
        <v>2.8786574075473501</v>
      </c>
      <c r="X3">
        <v>-0.63333333318350404</v>
      </c>
      <c r="Y3">
        <v>-1</v>
      </c>
      <c r="Z3">
        <v>6.1250000001436602</v>
      </c>
      <c r="AA3">
        <v>-1</v>
      </c>
      <c r="AB3">
        <v>3.4886574074836698</v>
      </c>
      <c r="AC3">
        <v>5.7650712728499996E-3</v>
      </c>
      <c r="AD3">
        <v>4.9881462850346798</v>
      </c>
      <c r="AE3">
        <v>0</v>
      </c>
      <c r="AF3">
        <v>5.9248678265399199</v>
      </c>
      <c r="AG3">
        <v>0</v>
      </c>
      <c r="AH3">
        <v>0.80247023940996898</v>
      </c>
      <c r="AI3">
        <v>10.561999999999999</v>
      </c>
      <c r="AJ3">
        <v>10.811999999999999</v>
      </c>
      <c r="AK3">
        <v>6.4298488272633201E-4</v>
      </c>
      <c r="AL3">
        <v>5.1331553761453296E-3</v>
      </c>
      <c r="AM3">
        <v>5.6612199999999904</v>
      </c>
      <c r="AN3">
        <v>185.37062530370201</v>
      </c>
      <c r="AO3">
        <v>6.5011771569141993E-2</v>
      </c>
      <c r="AP3">
        <v>5.7838619899282302E-2</v>
      </c>
      <c r="AQ3">
        <v>5.4920578898138603E-2</v>
      </c>
      <c r="AR3">
        <v>7.5251812872381196E-2</v>
      </c>
      <c r="AS3">
        <v>7.2948764287426193E-2</v>
      </c>
    </row>
    <row r="4" spans="1:45" x14ac:dyDescent="0.2">
      <c r="A4" t="s">
        <v>67</v>
      </c>
      <c r="B4" t="s">
        <v>44</v>
      </c>
      <c r="C4" t="s">
        <v>45</v>
      </c>
      <c r="D4">
        <v>127.04</v>
      </c>
      <c r="E4">
        <v>189.14</v>
      </c>
      <c r="F4">
        <v>6.9619464992166799E-2</v>
      </c>
      <c r="G4">
        <v>-140.04663559705099</v>
      </c>
      <c r="H4">
        <v>-4.2383333331774002</v>
      </c>
      <c r="I4">
        <v>-1</v>
      </c>
      <c r="J4">
        <v>-3.1003544972097901</v>
      </c>
      <c r="K4">
        <v>-4.3149999998439998</v>
      </c>
      <c r="L4">
        <v>-1</v>
      </c>
      <c r="M4">
        <v>-4.3149999998439998</v>
      </c>
      <c r="N4">
        <v>-1</v>
      </c>
      <c r="O4">
        <v>5.0475019200153604</v>
      </c>
      <c r="P4">
        <v>3.7443796197439802E-2</v>
      </c>
      <c r="Q4">
        <v>7.6804219917349897E-2</v>
      </c>
      <c r="R4">
        <v>0.11512772989273</v>
      </c>
      <c r="S4">
        <v>6.9619464992166799E-2</v>
      </c>
      <c r="T4">
        <v>-215.89314384375601</v>
      </c>
      <c r="U4">
        <v>-3.72833333317796</v>
      </c>
      <c r="V4">
        <v>-1</v>
      </c>
      <c r="W4">
        <v>-3.5484259257792199</v>
      </c>
      <c r="X4">
        <v>-3.8049999998445498</v>
      </c>
      <c r="Y4">
        <v>-1</v>
      </c>
      <c r="Z4">
        <v>-3.7349999998446202</v>
      </c>
      <c r="AA4">
        <v>-1</v>
      </c>
      <c r="AB4">
        <v>4.1553703702518003</v>
      </c>
      <c r="AC4">
        <v>0.11512772989273</v>
      </c>
      <c r="AD4">
        <v>4.2997589865265304</v>
      </c>
      <c r="AE4">
        <v>0</v>
      </c>
      <c r="AF4">
        <v>5.0149542724279099</v>
      </c>
      <c r="AG4">
        <v>0</v>
      </c>
      <c r="AH4">
        <v>-1.45050032350558</v>
      </c>
      <c r="AI4">
        <v>6.5279999999999996</v>
      </c>
      <c r="AJ4">
        <v>6.6679999999999904</v>
      </c>
      <c r="AK4" s="1">
        <v>1.3697827625005299E-6</v>
      </c>
      <c r="AL4" s="1">
        <v>5.8065816385359399E-6</v>
      </c>
      <c r="AM4">
        <v>2.6264999999999898</v>
      </c>
      <c r="AN4">
        <v>-335.06557472979</v>
      </c>
      <c r="AO4">
        <v>9.30103193956274E-2</v>
      </c>
      <c r="AP4">
        <v>8.7836835008033104E-2</v>
      </c>
      <c r="AQ4">
        <v>0.10040616796412</v>
      </c>
      <c r="AR4">
        <v>9.9748191129863703E-2</v>
      </c>
      <c r="AS4">
        <v>0.110730325867269</v>
      </c>
    </row>
    <row r="5" spans="1:45" x14ac:dyDescent="0.2">
      <c r="A5" t="s">
        <v>47</v>
      </c>
      <c r="B5" t="s">
        <v>44</v>
      </c>
      <c r="C5" t="s">
        <v>45</v>
      </c>
      <c r="D5">
        <v>0.04</v>
      </c>
      <c r="E5">
        <v>0.68</v>
      </c>
      <c r="F5">
        <v>6.7338295559306203E-3</v>
      </c>
      <c r="G5">
        <v>65.576951829836204</v>
      </c>
      <c r="H5">
        <v>3.3243148149638699</v>
      </c>
      <c r="I5">
        <v>-1</v>
      </c>
      <c r="J5">
        <v>1.0225472475596999</v>
      </c>
      <c r="K5">
        <v>-9.7233333331723699</v>
      </c>
      <c r="L5">
        <v>-1</v>
      </c>
      <c r="M5">
        <v>12.135000000141</v>
      </c>
      <c r="N5">
        <v>-1</v>
      </c>
      <c r="O5">
        <v>3.3697366235765398</v>
      </c>
      <c r="P5">
        <v>0.12803787132590699</v>
      </c>
      <c r="Q5">
        <v>-2.6166940324030401E-4</v>
      </c>
      <c r="R5">
        <v>2.7164812088012499E-3</v>
      </c>
      <c r="S5">
        <v>6.7338295559306498E-3</v>
      </c>
      <c r="T5">
        <v>58.224082154012201</v>
      </c>
      <c r="U5">
        <v>3.77993518533374</v>
      </c>
      <c r="V5">
        <v>-1</v>
      </c>
      <c r="W5">
        <v>1.0340868608127201</v>
      </c>
      <c r="X5">
        <v>-9.2133333331729297</v>
      </c>
      <c r="Y5">
        <v>-1</v>
      </c>
      <c r="Z5">
        <v>14.170000000139099</v>
      </c>
      <c r="AA5">
        <v>-1</v>
      </c>
      <c r="AB5">
        <v>2.5110249118602002</v>
      </c>
      <c r="AC5">
        <v>2.7164812088012399E-3</v>
      </c>
      <c r="AD5">
        <v>2.3580099028999499</v>
      </c>
      <c r="AE5">
        <v>0</v>
      </c>
      <c r="AF5">
        <v>2.2811302719689799</v>
      </c>
      <c r="AG5">
        <v>0</v>
      </c>
      <c r="AH5">
        <v>0.69741762350030001</v>
      </c>
      <c r="AI5">
        <v>28.571999999999999</v>
      </c>
      <c r="AJ5">
        <v>29.608000000000001</v>
      </c>
      <c r="AK5">
        <v>0.64924814362110495</v>
      </c>
      <c r="AL5">
        <v>0.86565754770320602</v>
      </c>
      <c r="AM5">
        <v>28.952680000000001</v>
      </c>
      <c r="AN5">
        <v>161.103471028569</v>
      </c>
      <c r="AO5">
        <v>0.11944902180379401</v>
      </c>
      <c r="AP5">
        <v>0.11805461668093201</v>
      </c>
      <c r="AQ5">
        <v>0.11668998166717701</v>
      </c>
      <c r="AR5">
        <v>0.12748525041605599</v>
      </c>
      <c r="AS5">
        <v>0.12651053690963801</v>
      </c>
    </row>
    <row r="6" spans="1:45" x14ac:dyDescent="0.2">
      <c r="A6" t="s">
        <v>48</v>
      </c>
      <c r="B6" t="s">
        <v>49</v>
      </c>
      <c r="C6" t="s">
        <v>45</v>
      </c>
      <c r="D6">
        <v>74</v>
      </c>
      <c r="E6">
        <v>122.8</v>
      </c>
      <c r="F6">
        <v>3.5395698831771898E-2</v>
      </c>
      <c r="G6">
        <v>-44.889883418988198</v>
      </c>
      <c r="H6">
        <v>-2.0249999998460702</v>
      </c>
      <c r="I6">
        <v>-1</v>
      </c>
      <c r="J6">
        <v>-1.33550925911498</v>
      </c>
      <c r="K6">
        <v>-3.0399999998451501</v>
      </c>
      <c r="L6">
        <v>-1</v>
      </c>
      <c r="M6">
        <v>-1.7033333331797</v>
      </c>
      <c r="N6">
        <v>-1</v>
      </c>
      <c r="O6">
        <v>4.0891372002814999</v>
      </c>
      <c r="P6">
        <v>3.3354072673267197E-2</v>
      </c>
      <c r="Q6">
        <v>-3.8869490829291798E-3</v>
      </c>
      <c r="R6">
        <v>7.8477585334777694E-2</v>
      </c>
      <c r="S6">
        <v>3.5395698831771898E-2</v>
      </c>
      <c r="T6">
        <v>-149.79257640763501</v>
      </c>
      <c r="U6">
        <v>-1.7674999998464</v>
      </c>
      <c r="V6">
        <v>-1</v>
      </c>
      <c r="W6">
        <v>-1.2939351850405401</v>
      </c>
      <c r="X6">
        <v>-2.5299999998457099</v>
      </c>
      <c r="Y6">
        <v>-1</v>
      </c>
      <c r="Z6">
        <v>-1.2249999998468899</v>
      </c>
      <c r="AA6">
        <v>-1</v>
      </c>
      <c r="AB6">
        <v>3.3082870369823798</v>
      </c>
      <c r="AC6">
        <v>7.8477585334777805E-2</v>
      </c>
      <c r="AD6">
        <v>4.4214040218160804</v>
      </c>
      <c r="AE6">
        <v>0</v>
      </c>
      <c r="AF6">
        <v>5.3629124524261798</v>
      </c>
      <c r="AG6">
        <v>0</v>
      </c>
      <c r="AH6">
        <v>-1.0426048340549501</v>
      </c>
      <c r="AI6">
        <v>6.5439999999999996</v>
      </c>
      <c r="AJ6">
        <v>6.76</v>
      </c>
      <c r="AK6" s="1">
        <v>8.6671144070985208E-6</v>
      </c>
      <c r="AL6" s="1">
        <v>1.9159150275955E-5</v>
      </c>
      <c r="AM6">
        <v>2.5196999999999998</v>
      </c>
      <c r="AN6">
        <v>-200.18012813855</v>
      </c>
      <c r="AO6">
        <v>7.6146427820352205E-2</v>
      </c>
      <c r="AP6">
        <v>7.5182759353947595E-2</v>
      </c>
      <c r="AQ6">
        <v>8.0409333228794594E-2</v>
      </c>
      <c r="AR6">
        <v>9.0008229051418101E-2</v>
      </c>
      <c r="AS6">
        <v>9.3449131075681799E-2</v>
      </c>
    </row>
    <row r="7" spans="1:45" x14ac:dyDescent="0.2">
      <c r="A7" t="s">
        <v>50</v>
      </c>
      <c r="B7" t="s">
        <v>49</v>
      </c>
      <c r="C7" t="s">
        <v>45</v>
      </c>
      <c r="D7">
        <v>0.88</v>
      </c>
      <c r="E7">
        <v>1.56</v>
      </c>
      <c r="F7">
        <v>-1.17333785960037E-2</v>
      </c>
      <c r="G7">
        <v>94.6358198114538</v>
      </c>
      <c r="H7">
        <v>2.3696111112610501</v>
      </c>
      <c r="I7">
        <v>-1</v>
      </c>
      <c r="J7">
        <v>1.64663492077655</v>
      </c>
      <c r="K7">
        <v>-2.6133333331788502</v>
      </c>
      <c r="L7">
        <v>-1</v>
      </c>
      <c r="M7">
        <v>5.7583333334801896</v>
      </c>
      <c r="N7">
        <v>-1</v>
      </c>
      <c r="O7">
        <v>3.1699473372854299</v>
      </c>
      <c r="P7">
        <v>0.13135761726068201</v>
      </c>
      <c r="Q7">
        <v>-1.8319566230965201E-2</v>
      </c>
      <c r="R7">
        <v>-2.7805052205690899E-3</v>
      </c>
      <c r="S7">
        <v>-1.1733378596003799E-2</v>
      </c>
      <c r="T7">
        <v>74.855207859744397</v>
      </c>
      <c r="U7">
        <v>2.27419444459438</v>
      </c>
      <c r="V7">
        <v>-1</v>
      </c>
      <c r="W7">
        <v>1.71395370384514</v>
      </c>
      <c r="X7">
        <v>-2.1033333331794002</v>
      </c>
      <c r="Y7">
        <v>-1</v>
      </c>
      <c r="Z7">
        <v>4.6066666668144904</v>
      </c>
      <c r="AA7">
        <v>-1</v>
      </c>
      <c r="AB7">
        <v>2.9267314815299899</v>
      </c>
      <c r="AC7">
        <v>-2.7805052205690998E-3</v>
      </c>
      <c r="AD7">
        <v>2.8813949070569098</v>
      </c>
      <c r="AE7">
        <v>0</v>
      </c>
      <c r="AF7">
        <v>3.1768844756024399</v>
      </c>
      <c r="AG7">
        <v>0</v>
      </c>
      <c r="AH7">
        <v>0.97177758746050402</v>
      </c>
      <c r="AI7">
        <v>12.745999999999899</v>
      </c>
      <c r="AJ7">
        <v>13.075999999999899</v>
      </c>
      <c r="AK7">
        <v>0.370327589815999</v>
      </c>
      <c r="AL7">
        <v>0.92358471999330205</v>
      </c>
      <c r="AM7">
        <v>8.8232400000000002</v>
      </c>
      <c r="AN7">
        <v>137.99241741939099</v>
      </c>
      <c r="AO7">
        <v>6.20608483589037E-2</v>
      </c>
      <c r="AP7">
        <v>5.5378953286356197E-2</v>
      </c>
      <c r="AQ7">
        <v>5.1943547468361703E-2</v>
      </c>
      <c r="AR7">
        <v>7.5122646862994899E-2</v>
      </c>
      <c r="AS7">
        <v>7.3267585739407295E-2</v>
      </c>
    </row>
    <row r="8" spans="1:45" x14ac:dyDescent="0.2">
      <c r="A8" t="s">
        <v>51</v>
      </c>
      <c r="B8" t="s">
        <v>49</v>
      </c>
      <c r="C8" t="s">
        <v>45</v>
      </c>
      <c r="D8">
        <v>50.34</v>
      </c>
      <c r="E8">
        <v>74.959999999999994</v>
      </c>
      <c r="F8">
        <v>0.15264622873460101</v>
      </c>
      <c r="G8">
        <v>-373.74808590583501</v>
      </c>
      <c r="H8">
        <v>-5.3499999998430399</v>
      </c>
      <c r="I8">
        <v>-1</v>
      </c>
      <c r="J8">
        <v>-3.8740634919175601</v>
      </c>
      <c r="K8">
        <v>-5.3499999998430399</v>
      </c>
      <c r="L8">
        <v>-1</v>
      </c>
      <c r="M8">
        <v>-5.3499999998430399</v>
      </c>
      <c r="N8">
        <v>-1</v>
      </c>
      <c r="O8">
        <v>6.2833379662629296</v>
      </c>
      <c r="P8">
        <v>6.6111897245183904E-2</v>
      </c>
      <c r="Q8">
        <v>9.03283948856618E-2</v>
      </c>
      <c r="R8">
        <v>0.30027985682772801</v>
      </c>
      <c r="S8">
        <v>0.15264622873460101</v>
      </c>
      <c r="T8">
        <v>-391.42794657884201</v>
      </c>
      <c r="U8">
        <v>-4.8399999998435996</v>
      </c>
      <c r="V8">
        <v>-1</v>
      </c>
      <c r="W8">
        <v>-4.2680555554082096</v>
      </c>
      <c r="X8">
        <v>-4.8399999998435996</v>
      </c>
      <c r="Y8">
        <v>-1</v>
      </c>
      <c r="Z8">
        <v>-4.8399999998435996</v>
      </c>
      <c r="AA8">
        <v>-1</v>
      </c>
      <c r="AB8">
        <v>4.4941666665535402</v>
      </c>
      <c r="AC8">
        <v>0.30027985682772801</v>
      </c>
      <c r="AD8">
        <v>2.9859622494780198</v>
      </c>
      <c r="AE8">
        <v>0</v>
      </c>
      <c r="AF8">
        <v>2.9621524243808799</v>
      </c>
      <c r="AG8">
        <v>0</v>
      </c>
      <c r="AH8">
        <v>-1.9111685571424899</v>
      </c>
      <c r="AI8">
        <v>5.88</v>
      </c>
      <c r="AJ8">
        <v>6</v>
      </c>
      <c r="AK8" s="1">
        <v>3.8112199276750299E-8</v>
      </c>
      <c r="AL8" s="1">
        <v>8.9933926503535702E-8</v>
      </c>
      <c r="AM8">
        <v>1.69648</v>
      </c>
      <c r="AN8">
        <v>-298.14229491422901</v>
      </c>
      <c r="AO8">
        <v>0.170385999529511</v>
      </c>
      <c r="AP8">
        <v>0.217253386248111</v>
      </c>
      <c r="AQ8">
        <v>0.25372762830489298</v>
      </c>
      <c r="AR8">
        <v>0.22044437667970401</v>
      </c>
      <c r="AS8">
        <v>0.25563477568311299</v>
      </c>
    </row>
    <row r="9" spans="1:45" x14ac:dyDescent="0.2">
      <c r="A9" t="s">
        <v>52</v>
      </c>
      <c r="B9" t="s">
        <v>49</v>
      </c>
      <c r="C9" t="s">
        <v>45</v>
      </c>
      <c r="D9">
        <v>59.94</v>
      </c>
      <c r="E9">
        <v>99.7</v>
      </c>
      <c r="F9">
        <v>0.111050449196999</v>
      </c>
      <c r="G9">
        <v>-987.96726816326895</v>
      </c>
      <c r="H9">
        <v>-4.01333333317758</v>
      </c>
      <c r="I9">
        <v>-1</v>
      </c>
      <c r="J9">
        <v>-2.7450714284264999</v>
      </c>
      <c r="K9">
        <v>-4.01333333317758</v>
      </c>
      <c r="L9">
        <v>-1</v>
      </c>
      <c r="M9">
        <v>-4.01333333317758</v>
      </c>
      <c r="N9">
        <v>-1</v>
      </c>
      <c r="O9">
        <v>5.2695910962917196</v>
      </c>
      <c r="P9">
        <v>3.8055601309112098E-2</v>
      </c>
      <c r="Q9">
        <v>6.0938062368948699E-2</v>
      </c>
      <c r="R9">
        <v>0.22978881943184301</v>
      </c>
      <c r="S9">
        <v>0.111050449196999</v>
      </c>
      <c r="T9">
        <v>-1053.4342654755201</v>
      </c>
      <c r="U9">
        <v>-3.5033333331781402</v>
      </c>
      <c r="V9">
        <v>-1</v>
      </c>
      <c r="W9">
        <v>-3.1172222220759198</v>
      </c>
      <c r="X9">
        <v>-3.5033333331781402</v>
      </c>
      <c r="Y9">
        <v>-1</v>
      </c>
      <c r="Z9">
        <v>-3.5033333331781402</v>
      </c>
      <c r="AA9">
        <v>-1</v>
      </c>
      <c r="AB9">
        <v>3.7199999998990601</v>
      </c>
      <c r="AC9">
        <v>0.22978881943184301</v>
      </c>
      <c r="AD9">
        <v>3.50699127424088</v>
      </c>
      <c r="AE9">
        <v>0</v>
      </c>
      <c r="AF9">
        <v>3.72760931868455</v>
      </c>
      <c r="AG9">
        <v>0</v>
      </c>
      <c r="AH9">
        <v>-6.1874545118042503</v>
      </c>
      <c r="AI9">
        <v>5.88</v>
      </c>
      <c r="AJ9">
        <v>6</v>
      </c>
      <c r="AK9" s="1">
        <v>5.6596064512588303E-17</v>
      </c>
      <c r="AL9" s="1">
        <v>8.5939631896869403E-16</v>
      </c>
      <c r="AM9">
        <v>2.0554600000000001</v>
      </c>
      <c r="AN9">
        <v>-965.24290384146298</v>
      </c>
      <c r="AO9">
        <v>0.13428300795234499</v>
      </c>
      <c r="AP9">
        <v>0.16727605380687799</v>
      </c>
      <c r="AQ9">
        <v>0.19441841876619001</v>
      </c>
      <c r="AR9">
        <v>0.171459507110681</v>
      </c>
      <c r="AS9">
        <v>0.19704624895682199</v>
      </c>
    </row>
    <row r="10" spans="1:45" x14ac:dyDescent="0.2">
      <c r="A10" t="s">
        <v>53</v>
      </c>
      <c r="B10" t="s">
        <v>49</v>
      </c>
      <c r="C10" t="s">
        <v>45</v>
      </c>
      <c r="D10">
        <v>108.74</v>
      </c>
      <c r="E10">
        <v>126.72</v>
      </c>
      <c r="F10">
        <v>-9.2704767663976603E-2</v>
      </c>
      <c r="G10">
        <v>-1638.0176523130899</v>
      </c>
      <c r="H10">
        <v>12.743333333473799</v>
      </c>
      <c r="I10">
        <v>-1</v>
      </c>
      <c r="J10">
        <v>12.8007777779092</v>
      </c>
      <c r="K10">
        <v>12.743333333473799</v>
      </c>
      <c r="L10">
        <v>-1</v>
      </c>
      <c r="M10">
        <v>12.743333333473799</v>
      </c>
      <c r="N10">
        <v>-1</v>
      </c>
      <c r="O10">
        <v>13.346531578222001</v>
      </c>
      <c r="P10">
        <v>2.9751833495789502E-2</v>
      </c>
      <c r="Q10">
        <v>-6.8471539939359796E-2</v>
      </c>
      <c r="R10">
        <v>6.8994970746734496E-2</v>
      </c>
      <c r="S10">
        <v>-9.2704767663976603E-2</v>
      </c>
      <c r="T10">
        <v>-1710.2393739675899</v>
      </c>
      <c r="U10">
        <v>13.253333333473201</v>
      </c>
      <c r="V10">
        <v>-1</v>
      </c>
      <c r="W10">
        <v>12.6713888890208</v>
      </c>
      <c r="X10">
        <v>13.253333333473201</v>
      </c>
      <c r="Y10">
        <v>-1</v>
      </c>
      <c r="Z10">
        <v>13.253333333473201</v>
      </c>
      <c r="AA10">
        <v>-1</v>
      </c>
      <c r="AB10">
        <v>12.6713888890208</v>
      </c>
      <c r="AC10">
        <v>6.8994970746734399E-2</v>
      </c>
      <c r="AD10">
        <v>1.4743574117838699E-3</v>
      </c>
      <c r="AE10">
        <v>0</v>
      </c>
      <c r="AF10">
        <v>0.10978853026792</v>
      </c>
      <c r="AG10">
        <v>0</v>
      </c>
      <c r="AH10">
        <v>-12.563827823855</v>
      </c>
      <c r="AI10">
        <v>5.9</v>
      </c>
      <c r="AJ10">
        <v>6</v>
      </c>
      <c r="AK10" s="1">
        <v>3.3503900312488399E-16</v>
      </c>
      <c r="AL10" s="1">
        <v>1.20292711401911E-14</v>
      </c>
      <c r="AM10">
        <v>0.76103999999999905</v>
      </c>
      <c r="AN10">
        <v>-1771.49972316355</v>
      </c>
      <c r="AO10">
        <v>0.16503284185490699</v>
      </c>
      <c r="AP10">
        <v>0.19372691012144599</v>
      </c>
      <c r="AQ10">
        <v>0.17402959336455801</v>
      </c>
      <c r="AR10">
        <v>0.19518546646225601</v>
      </c>
      <c r="AS10">
        <v>0.17520197943385701</v>
      </c>
    </row>
    <row r="11" spans="1:45" x14ac:dyDescent="0.2">
      <c r="A11" t="s">
        <v>54</v>
      </c>
      <c r="B11" t="s">
        <v>49</v>
      </c>
      <c r="C11" t="s">
        <v>45</v>
      </c>
      <c r="D11">
        <v>33.36</v>
      </c>
      <c r="E11">
        <v>90.02</v>
      </c>
      <c r="F11">
        <v>7.5744050512035394E-2</v>
      </c>
      <c r="G11">
        <v>4.79649346693592</v>
      </c>
      <c r="H11">
        <v>-9.22916666650619</v>
      </c>
      <c r="I11">
        <v>-1</v>
      </c>
      <c r="J11">
        <v>-7.1887447088466399</v>
      </c>
      <c r="K11">
        <v>-9.3933333331727091</v>
      </c>
      <c r="L11">
        <v>-1</v>
      </c>
      <c r="M11">
        <v>-9.3933333331727091</v>
      </c>
      <c r="N11">
        <v>-1</v>
      </c>
      <c r="O11">
        <v>8.9793476301338</v>
      </c>
      <c r="P11">
        <v>5.1222182570427398E-2</v>
      </c>
      <c r="Q11">
        <v>3.3631701675350199E-2</v>
      </c>
      <c r="R11">
        <v>5.6870041126300903E-2</v>
      </c>
      <c r="S11">
        <v>7.5744050512035394E-2</v>
      </c>
      <c r="T11">
        <v>-46.605256462129901</v>
      </c>
      <c r="U11">
        <v>-8.7191666665067409</v>
      </c>
      <c r="V11">
        <v>-1</v>
      </c>
      <c r="W11">
        <v>-7.3450925924438604</v>
      </c>
      <c r="X11">
        <v>-8.88333333317326</v>
      </c>
      <c r="Y11">
        <v>-1</v>
      </c>
      <c r="Z11">
        <v>-8.88333333317326</v>
      </c>
      <c r="AA11">
        <v>-1</v>
      </c>
      <c r="AB11">
        <v>7.6839814813496599</v>
      </c>
      <c r="AC11">
        <v>5.6870041126300903E-2</v>
      </c>
      <c r="AD11">
        <v>1.68394505923085</v>
      </c>
      <c r="AE11">
        <v>0</v>
      </c>
      <c r="AF11">
        <v>1.7228225052552699</v>
      </c>
      <c r="AG11">
        <v>0</v>
      </c>
      <c r="AH11">
        <v>0.36834861831590199</v>
      </c>
      <c r="AI11">
        <v>6.3159999999999998</v>
      </c>
      <c r="AJ11">
        <v>6.556</v>
      </c>
      <c r="AK11">
        <v>1.2165960273857799E-2</v>
      </c>
      <c r="AL11">
        <v>3.10408287872419E-2</v>
      </c>
      <c r="AM11">
        <v>3.0356999999999998</v>
      </c>
      <c r="AN11">
        <v>51.937155182542199</v>
      </c>
      <c r="AO11">
        <v>9.2381196613550695E-2</v>
      </c>
      <c r="AP11">
        <v>9.8568600449505897E-2</v>
      </c>
      <c r="AQ11">
        <v>0.103710675009677</v>
      </c>
      <c r="AR11">
        <v>0.111591155082737</v>
      </c>
      <c r="AS11">
        <v>0.114944786492372</v>
      </c>
    </row>
    <row r="12" spans="1:45" x14ac:dyDescent="0.2">
      <c r="A12" t="s">
        <v>55</v>
      </c>
      <c r="B12" t="s">
        <v>49</v>
      </c>
      <c r="C12" t="s">
        <v>45</v>
      </c>
      <c r="D12">
        <v>71.62</v>
      </c>
      <c r="E12">
        <v>107.2</v>
      </c>
      <c r="F12">
        <v>0.14301039293899501</v>
      </c>
      <c r="G12">
        <v>-2100.8046783449799</v>
      </c>
      <c r="H12">
        <v>-4.6499999998436499</v>
      </c>
      <c r="I12">
        <v>-1</v>
      </c>
      <c r="J12">
        <v>-2.3432936506496</v>
      </c>
      <c r="K12">
        <v>-4.6499999998436499</v>
      </c>
      <c r="L12">
        <v>-1</v>
      </c>
      <c r="M12">
        <v>-4.6499999998436499</v>
      </c>
      <c r="N12">
        <v>-1</v>
      </c>
      <c r="O12">
        <v>6.4475273681607002</v>
      </c>
      <c r="P12">
        <v>3.8914040370314297E-2</v>
      </c>
      <c r="Q12">
        <v>7.7480719803173698E-2</v>
      </c>
      <c r="R12">
        <v>0.31958925311283698</v>
      </c>
      <c r="S12">
        <v>0.14301039293899501</v>
      </c>
      <c r="T12">
        <v>-2168.31636785512</v>
      </c>
      <c r="U12">
        <v>-4.1399999998442096</v>
      </c>
      <c r="V12">
        <v>-1</v>
      </c>
      <c r="W12">
        <v>-2.9036111109649898</v>
      </c>
      <c r="X12">
        <v>-4.1399999998442096</v>
      </c>
      <c r="Y12">
        <v>-1</v>
      </c>
      <c r="Z12">
        <v>-4.1399999998442096</v>
      </c>
      <c r="AA12">
        <v>-1</v>
      </c>
      <c r="AB12">
        <v>3.67472222215001</v>
      </c>
      <c r="AC12">
        <v>0.31958925311283698</v>
      </c>
      <c r="AD12">
        <v>3.4342557397864302</v>
      </c>
      <c r="AE12">
        <v>0</v>
      </c>
      <c r="AF12">
        <v>2.5638725161961302</v>
      </c>
      <c r="AG12">
        <v>0</v>
      </c>
      <c r="AH12">
        <v>-12.9182546504837</v>
      </c>
      <c r="AI12">
        <v>5.86</v>
      </c>
      <c r="AJ12">
        <v>6</v>
      </c>
      <c r="AK12" s="1">
        <v>5.9611332459979397E-33</v>
      </c>
      <c r="AL12" s="1">
        <v>6.40121186624665E-26</v>
      </c>
      <c r="AM12">
        <v>2.03348</v>
      </c>
      <c r="AN12">
        <v>-2015.2477254754699</v>
      </c>
      <c r="AO12">
        <v>0.186229377894188</v>
      </c>
      <c r="AP12">
        <v>0.238357685373319</v>
      </c>
      <c r="AQ12">
        <v>0.27552541840223699</v>
      </c>
      <c r="AR12">
        <v>0.24080703476972201</v>
      </c>
      <c r="AS12">
        <v>0.27693349914409898</v>
      </c>
    </row>
    <row r="13" spans="1:45" x14ac:dyDescent="0.2">
      <c r="A13" t="s">
        <v>56</v>
      </c>
      <c r="B13" t="s">
        <v>57</v>
      </c>
      <c r="C13" t="s">
        <v>45</v>
      </c>
      <c r="D13">
        <v>5.46</v>
      </c>
      <c r="E13">
        <v>31.34</v>
      </c>
      <c r="F13">
        <v>1.1758057754118201E-2</v>
      </c>
      <c r="G13">
        <v>125.00340297273701</v>
      </c>
      <c r="H13">
        <v>1.39208333348415</v>
      </c>
      <c r="I13">
        <v>-1</v>
      </c>
      <c r="J13">
        <v>5.9099867867903499E-2</v>
      </c>
      <c r="K13">
        <v>-3.6566666665112701</v>
      </c>
      <c r="L13">
        <v>-1</v>
      </c>
      <c r="M13">
        <v>3.9166666668151899</v>
      </c>
      <c r="N13">
        <v>-1</v>
      </c>
      <c r="O13">
        <v>3.09870703972779</v>
      </c>
      <c r="P13">
        <v>5.8801633224649402E-2</v>
      </c>
      <c r="Q13">
        <v>3.1823378592658999E-4</v>
      </c>
      <c r="R13">
        <v>9.6860303759574908E-3</v>
      </c>
      <c r="S13">
        <v>1.17580577541183E-2</v>
      </c>
      <c r="T13">
        <v>81.508230699165097</v>
      </c>
      <c r="U13">
        <v>1.3323611112618901</v>
      </c>
      <c r="V13">
        <v>-1</v>
      </c>
      <c r="W13">
        <v>0.28420833347654401</v>
      </c>
      <c r="X13">
        <v>-3.1466666665118201</v>
      </c>
      <c r="Y13">
        <v>-1</v>
      </c>
      <c r="Z13">
        <v>2.67500000014955</v>
      </c>
      <c r="AA13">
        <v>-1</v>
      </c>
      <c r="AB13">
        <v>2.9270231481569602</v>
      </c>
      <c r="AC13">
        <v>9.6860303759574995E-3</v>
      </c>
      <c r="AD13">
        <v>4.2229298632313901</v>
      </c>
      <c r="AE13">
        <v>0</v>
      </c>
      <c r="AF13">
        <v>5.2251694517204603</v>
      </c>
      <c r="AG13">
        <v>0</v>
      </c>
      <c r="AH13">
        <v>1.1671167635705599</v>
      </c>
      <c r="AI13">
        <v>10.587999999999999</v>
      </c>
      <c r="AJ13">
        <v>10.857999999999899</v>
      </c>
      <c r="AK13">
        <v>0.13390210588544299</v>
      </c>
      <c r="AL13">
        <v>0.21580287053027</v>
      </c>
      <c r="AM13">
        <v>5.6942599999999999</v>
      </c>
      <c r="AN13">
        <v>264.935505330517</v>
      </c>
      <c r="AO13">
        <v>6.7006275715076696E-2</v>
      </c>
      <c r="AP13">
        <v>5.8229286178652397E-2</v>
      </c>
      <c r="AQ13">
        <v>5.4974864609975603E-2</v>
      </c>
      <c r="AR13">
        <v>7.9611691505472995E-2</v>
      </c>
      <c r="AS13">
        <v>7.7418155775828099E-2</v>
      </c>
    </row>
    <row r="14" spans="1:45" x14ac:dyDescent="0.2">
      <c r="A14" t="s">
        <v>58</v>
      </c>
      <c r="B14" t="s">
        <v>57</v>
      </c>
      <c r="C14" t="s">
        <v>45</v>
      </c>
      <c r="D14">
        <v>5.26</v>
      </c>
      <c r="E14">
        <v>37.82</v>
      </c>
      <c r="F14">
        <v>2.11490920946471E-2</v>
      </c>
      <c r="G14">
        <v>141.37147468436001</v>
      </c>
      <c r="H14">
        <v>-1.9202777776239499</v>
      </c>
      <c r="I14">
        <v>-1</v>
      </c>
      <c r="J14">
        <v>-1.42781613742174</v>
      </c>
      <c r="K14">
        <v>-2.67999999984547</v>
      </c>
      <c r="L14">
        <v>-1</v>
      </c>
      <c r="M14">
        <v>-2.1683333331792798</v>
      </c>
      <c r="N14">
        <v>-1</v>
      </c>
      <c r="O14">
        <v>3.0552171632726499</v>
      </c>
      <c r="P14">
        <v>4.4317707093517497E-2</v>
      </c>
      <c r="Q14">
        <v>1.56444608186851E-3</v>
      </c>
      <c r="R14">
        <v>3.2173752283665397E-2</v>
      </c>
      <c r="S14">
        <v>2.11490920946471E-2</v>
      </c>
      <c r="T14">
        <v>83.827104579523805</v>
      </c>
      <c r="U14">
        <v>-1.65694444429095</v>
      </c>
      <c r="V14">
        <v>-1</v>
      </c>
      <c r="W14">
        <v>-1.34821296281873</v>
      </c>
      <c r="X14">
        <v>-2.1699999998460302</v>
      </c>
      <c r="Y14">
        <v>-1</v>
      </c>
      <c r="Z14">
        <v>-1.35833333318011</v>
      </c>
      <c r="AA14">
        <v>-1</v>
      </c>
      <c r="AB14">
        <v>3.12048148143798</v>
      </c>
      <c r="AC14">
        <v>3.2173752283665397E-2</v>
      </c>
      <c r="AD14">
        <v>4.3901275998816196</v>
      </c>
      <c r="AE14">
        <v>0</v>
      </c>
      <c r="AF14">
        <v>6.3123706399288304</v>
      </c>
      <c r="AG14">
        <v>0</v>
      </c>
      <c r="AH14">
        <v>1.3952579707170201</v>
      </c>
      <c r="AI14">
        <v>7.4160000000000004</v>
      </c>
      <c r="AJ14">
        <v>7.6120000000000001</v>
      </c>
      <c r="AK14">
        <v>0.13991995515925401</v>
      </c>
      <c r="AL14">
        <v>0.17627084878337301</v>
      </c>
      <c r="AM14">
        <v>2.9706000000000001</v>
      </c>
      <c r="AN14">
        <v>295.794689792008</v>
      </c>
      <c r="AO14">
        <v>5.5157589900404903E-2</v>
      </c>
      <c r="AP14">
        <v>4.9285168052452803E-2</v>
      </c>
      <c r="AQ14">
        <v>4.94894685634421E-2</v>
      </c>
      <c r="AR14">
        <v>6.9825931891241297E-2</v>
      </c>
      <c r="AS14">
        <v>6.9538544582735895E-2</v>
      </c>
    </row>
    <row r="15" spans="1:45" x14ac:dyDescent="0.2">
      <c r="A15" t="s">
        <v>59</v>
      </c>
      <c r="B15" t="s">
        <v>57</v>
      </c>
      <c r="C15" t="s">
        <v>45</v>
      </c>
      <c r="D15">
        <v>13.64</v>
      </c>
      <c r="E15">
        <v>62.38</v>
      </c>
      <c r="F15">
        <v>-2.10717480472535E-3</v>
      </c>
      <c r="G15">
        <v>95.618417667591601</v>
      </c>
      <c r="H15">
        <v>-1.9202777776239499</v>
      </c>
      <c r="I15">
        <v>-1</v>
      </c>
      <c r="J15">
        <v>-0.429961640068171</v>
      </c>
      <c r="K15">
        <v>-2.67999999984547</v>
      </c>
      <c r="L15">
        <v>-1</v>
      </c>
      <c r="M15">
        <v>-2.1683333331792798</v>
      </c>
      <c r="N15">
        <v>-1</v>
      </c>
      <c r="O15">
        <v>3.0863072541980698</v>
      </c>
      <c r="P15">
        <v>4.4317707093517497E-2</v>
      </c>
      <c r="Q15">
        <v>-8.4181967853149096E-3</v>
      </c>
      <c r="R15">
        <v>3.2173752283665397E-2</v>
      </c>
      <c r="S15">
        <v>-2.1071748047253799E-3</v>
      </c>
      <c r="T15">
        <v>61.217837957741501</v>
      </c>
      <c r="U15">
        <v>-1.65694444429095</v>
      </c>
      <c r="V15">
        <v>-1</v>
      </c>
      <c r="W15">
        <v>-0.35200925911595399</v>
      </c>
      <c r="X15">
        <v>-2.1699999998460302</v>
      </c>
      <c r="Y15">
        <v>-1</v>
      </c>
      <c r="Z15">
        <v>-1.35833333318011</v>
      </c>
      <c r="AA15">
        <v>-1</v>
      </c>
      <c r="AB15">
        <v>2.44325925923359</v>
      </c>
      <c r="AC15">
        <v>3.2173752283665397E-2</v>
      </c>
      <c r="AD15">
        <v>4.3901275998816196</v>
      </c>
      <c r="AE15">
        <v>0</v>
      </c>
      <c r="AF15">
        <v>6.3123706399288304</v>
      </c>
      <c r="AG15">
        <v>0</v>
      </c>
      <c r="AH15">
        <v>1.1794416640341401</v>
      </c>
      <c r="AI15">
        <v>7.4359999999999999</v>
      </c>
      <c r="AJ15">
        <v>7.6319999999999997</v>
      </c>
      <c r="AK15">
        <v>5.4108477999962698E-2</v>
      </c>
      <c r="AL15">
        <v>7.8540078494472601E-2</v>
      </c>
      <c r="AM15">
        <v>3.1564800000000002</v>
      </c>
      <c r="AN15">
        <v>250.04163277523901</v>
      </c>
      <c r="AO15">
        <v>6.3937745835882506E-2</v>
      </c>
      <c r="AP15">
        <v>6.9750320815693698E-2</v>
      </c>
      <c r="AQ15">
        <v>4.94894685634421E-2</v>
      </c>
      <c r="AR15">
        <v>7.7845210229731898E-2</v>
      </c>
      <c r="AS15">
        <v>6.9538544582735895E-2</v>
      </c>
    </row>
    <row r="16" spans="1:45" x14ac:dyDescent="0.2">
      <c r="A16" t="s">
        <v>60</v>
      </c>
      <c r="B16" t="s">
        <v>57</v>
      </c>
      <c r="C16" t="s">
        <v>45</v>
      </c>
      <c r="D16">
        <v>3.88</v>
      </c>
      <c r="E16">
        <v>35.44</v>
      </c>
      <c r="F16">
        <v>2.8230902139957E-2</v>
      </c>
      <c r="G16">
        <v>105.486328531525</v>
      </c>
      <c r="H16">
        <v>-2.84416666651199</v>
      </c>
      <c r="I16">
        <v>-1</v>
      </c>
      <c r="J16">
        <v>-1.72941269826858</v>
      </c>
      <c r="K16">
        <v>-2.9883333331785198</v>
      </c>
      <c r="L16">
        <v>-1</v>
      </c>
      <c r="M16">
        <v>-2.91499999984525</v>
      </c>
      <c r="N16">
        <v>-1</v>
      </c>
      <c r="O16">
        <v>3.75678747428111</v>
      </c>
      <c r="P16">
        <v>6.0919559110226298E-2</v>
      </c>
      <c r="Q16" s="1">
        <v>9.4877465495191201E-5</v>
      </c>
      <c r="R16">
        <v>5.9978499531745798E-2</v>
      </c>
      <c r="S16">
        <v>2.8230902139957E-2</v>
      </c>
      <c r="T16">
        <v>45.2630181620248</v>
      </c>
      <c r="U16">
        <v>-2.33416666651254</v>
      </c>
      <c r="V16">
        <v>-1</v>
      </c>
      <c r="W16">
        <v>-1.79938888874425</v>
      </c>
      <c r="X16">
        <v>-2.47833333317908</v>
      </c>
      <c r="Y16">
        <v>-1</v>
      </c>
      <c r="Z16">
        <v>-2.31999999984588</v>
      </c>
      <c r="AA16">
        <v>-1</v>
      </c>
      <c r="AB16">
        <v>3.20688888881089</v>
      </c>
      <c r="AC16">
        <v>5.9978499531745798E-2</v>
      </c>
      <c r="AD16">
        <v>4.7908571402664499</v>
      </c>
      <c r="AE16">
        <v>0</v>
      </c>
      <c r="AF16">
        <v>6.3310690975229802</v>
      </c>
      <c r="AG16">
        <v>0</v>
      </c>
      <c r="AH16">
        <v>1.25352968930006</v>
      </c>
      <c r="AI16">
        <v>6.2359999999999998</v>
      </c>
      <c r="AJ16">
        <v>6.3959999999999999</v>
      </c>
      <c r="AK16">
        <v>0.14600712937301599</v>
      </c>
      <c r="AL16">
        <v>0.19435393077558899</v>
      </c>
      <c r="AM16">
        <v>2.5173399999999999</v>
      </c>
      <c r="AN16">
        <v>289.56535822831398</v>
      </c>
      <c r="AO16">
        <v>5.7657318800768402E-2</v>
      </c>
      <c r="AP16">
        <v>5.8174740817546998E-2</v>
      </c>
      <c r="AQ16">
        <v>6.0840214462116897E-2</v>
      </c>
      <c r="AR16">
        <v>7.4180492517186003E-2</v>
      </c>
      <c r="AS16">
        <v>7.5483230360132395E-2</v>
      </c>
    </row>
    <row r="17" spans="1:45" x14ac:dyDescent="0.2">
      <c r="A17" t="s">
        <v>61</v>
      </c>
      <c r="B17" t="s">
        <v>57</v>
      </c>
      <c r="C17" t="s">
        <v>45</v>
      </c>
      <c r="D17">
        <v>85.76</v>
      </c>
      <c r="E17">
        <v>149.96</v>
      </c>
      <c r="F17">
        <v>8.6466495021358392E-3</v>
      </c>
      <c r="G17">
        <v>-267.81661787715097</v>
      </c>
      <c r="H17">
        <v>2.11251388903906</v>
      </c>
      <c r="I17">
        <v>-1</v>
      </c>
      <c r="J17">
        <v>0.518685053052651</v>
      </c>
      <c r="K17">
        <v>-6.3666666665087597</v>
      </c>
      <c r="L17">
        <v>-1</v>
      </c>
      <c r="M17">
        <v>6.2500000001464198</v>
      </c>
      <c r="N17">
        <v>-1</v>
      </c>
      <c r="O17">
        <v>3.5539061811411998</v>
      </c>
      <c r="P17">
        <v>4.7316349947284203E-2</v>
      </c>
      <c r="Q17">
        <v>-1.7437832034031801E-4</v>
      </c>
      <c r="R17">
        <v>4.42662936449048E-3</v>
      </c>
      <c r="S17">
        <v>8.6466495021358704E-3</v>
      </c>
      <c r="T17">
        <v>-421.24776921744302</v>
      </c>
      <c r="U17">
        <v>2.87291666681605</v>
      </c>
      <c r="V17">
        <v>-1</v>
      </c>
      <c r="W17">
        <v>0.84828637580407895</v>
      </c>
      <c r="X17">
        <v>-5.8566666665093097</v>
      </c>
      <c r="Y17">
        <v>-1</v>
      </c>
      <c r="Z17">
        <v>9.4533333334767509</v>
      </c>
      <c r="AA17">
        <v>-1</v>
      </c>
      <c r="AB17">
        <v>2.6958260582272899</v>
      </c>
      <c r="AC17">
        <v>4.42662936449048E-3</v>
      </c>
      <c r="AD17">
        <v>5.1523858195521104</v>
      </c>
      <c r="AE17">
        <v>0</v>
      </c>
      <c r="AF17">
        <v>4.2940178492150496</v>
      </c>
      <c r="AG17">
        <v>0</v>
      </c>
      <c r="AH17">
        <v>-1.6010680544482101</v>
      </c>
      <c r="AI17">
        <v>15.495999999999899</v>
      </c>
      <c r="AJ17">
        <v>16.175999999999998</v>
      </c>
      <c r="AK17" s="1">
        <v>4.0214616791767303E-11</v>
      </c>
      <c r="AL17" s="1">
        <v>5.6470738096846497E-8</v>
      </c>
      <c r="AM17">
        <v>10.368359999999999</v>
      </c>
      <c r="AN17">
        <v>-369.84672057753698</v>
      </c>
      <c r="AO17">
        <v>9.4254731798927197E-2</v>
      </c>
      <c r="AP17">
        <v>8.7968014220597093E-2</v>
      </c>
      <c r="AQ17">
        <v>8.4773742296624599E-2</v>
      </c>
      <c r="AR17">
        <v>0.10023516207388999</v>
      </c>
      <c r="AS17">
        <v>9.7656047493577994E-2</v>
      </c>
    </row>
    <row r="18" spans="1:45" x14ac:dyDescent="0.2">
      <c r="A18" t="s">
        <v>62</v>
      </c>
      <c r="B18" t="s">
        <v>57</v>
      </c>
      <c r="C18" t="s">
        <v>45</v>
      </c>
      <c r="D18">
        <v>66.2</v>
      </c>
      <c r="E18">
        <v>133.96</v>
      </c>
      <c r="F18">
        <v>1.18281453389387E-2</v>
      </c>
      <c r="G18">
        <v>-36.1895196250209</v>
      </c>
      <c r="H18">
        <v>1.03861111126226</v>
      </c>
      <c r="I18">
        <v>-1</v>
      </c>
      <c r="J18">
        <v>9.3746031889030301E-2</v>
      </c>
      <c r="K18">
        <v>-3.7516666665111398</v>
      </c>
      <c r="L18">
        <v>-1</v>
      </c>
      <c r="M18">
        <v>3.43500000014898</v>
      </c>
      <c r="N18">
        <v>-1</v>
      </c>
      <c r="O18">
        <v>3.0709890275557399</v>
      </c>
      <c r="P18">
        <v>3.9974790096723299E-2</v>
      </c>
      <c r="Q18" s="1">
        <v>7.3250986482322294E-5</v>
      </c>
      <c r="R18">
        <v>9.7109801173209699E-3</v>
      </c>
      <c r="S18">
        <v>1.18281453389387E-2</v>
      </c>
      <c r="T18">
        <v>-302.52047624277202</v>
      </c>
      <c r="U18">
        <v>0.98930555570666601</v>
      </c>
      <c r="V18">
        <v>-1</v>
      </c>
      <c r="W18">
        <v>0.32661574088391199</v>
      </c>
      <c r="X18">
        <v>-3.2416666665117</v>
      </c>
      <c r="Y18">
        <v>-1</v>
      </c>
      <c r="Z18">
        <v>2.5716666668163399</v>
      </c>
      <c r="AA18">
        <v>-1</v>
      </c>
      <c r="AB18">
        <v>2.90592129630513</v>
      </c>
      <c r="AC18">
        <v>9.7109801173209803E-3</v>
      </c>
      <c r="AD18">
        <v>5.2698698894171701</v>
      </c>
      <c r="AE18">
        <v>0</v>
      </c>
      <c r="AF18">
        <v>7.3566913930608999</v>
      </c>
      <c r="AG18">
        <v>0</v>
      </c>
      <c r="AH18">
        <v>-3.6407371039575802E-2</v>
      </c>
      <c r="AI18">
        <v>10.522</v>
      </c>
      <c r="AJ18">
        <v>10.891999999999999</v>
      </c>
      <c r="AK18" s="1">
        <v>5.4079570317731601E-6</v>
      </c>
      <c r="AL18" s="1">
        <v>7.2170938413726996E-5</v>
      </c>
      <c r="AM18">
        <v>5.5424199999999999</v>
      </c>
      <c r="AN18">
        <v>-8.41010271014202</v>
      </c>
      <c r="AO18">
        <v>6.5678611138972595E-2</v>
      </c>
      <c r="AP18">
        <v>5.6796223475886198E-2</v>
      </c>
      <c r="AQ18">
        <v>5.40012572643827E-2</v>
      </c>
      <c r="AR18">
        <v>7.7765425111599298E-2</v>
      </c>
      <c r="AS18">
        <v>7.5919261692971196E-2</v>
      </c>
    </row>
    <row r="19" spans="1:45" x14ac:dyDescent="0.2">
      <c r="A19" t="s">
        <v>63</v>
      </c>
      <c r="B19" t="s">
        <v>57</v>
      </c>
      <c r="C19" t="s">
        <v>45</v>
      </c>
      <c r="D19">
        <v>52.68</v>
      </c>
      <c r="E19">
        <v>118.74</v>
      </c>
      <c r="F19">
        <v>1.18281453389387E-2</v>
      </c>
      <c r="G19">
        <v>16.491595364870602</v>
      </c>
      <c r="H19">
        <v>1.0381944445956</v>
      </c>
      <c r="I19">
        <v>-1</v>
      </c>
      <c r="J19">
        <v>9.3090608608605199E-2</v>
      </c>
      <c r="K19">
        <v>-3.74999999984448</v>
      </c>
      <c r="L19">
        <v>-1</v>
      </c>
      <c r="M19">
        <v>3.4333333334823202</v>
      </c>
      <c r="N19">
        <v>-1</v>
      </c>
      <c r="O19">
        <v>3.07129909555217</v>
      </c>
      <c r="P19">
        <v>3.6076089930615403E-2</v>
      </c>
      <c r="Q19">
        <v>9.6132624038493004E-4</v>
      </c>
      <c r="R19">
        <v>9.7109801173209699E-3</v>
      </c>
      <c r="S19">
        <v>1.18281453389387E-2</v>
      </c>
      <c r="T19">
        <v>-190.980182606157</v>
      </c>
      <c r="U19">
        <v>0.98888888904000005</v>
      </c>
      <c r="V19">
        <v>-1</v>
      </c>
      <c r="W19">
        <v>0.32644444458761301</v>
      </c>
      <c r="X19">
        <v>-3.2399999998450402</v>
      </c>
      <c r="Y19">
        <v>-1</v>
      </c>
      <c r="Z19">
        <v>2.5700000001496699</v>
      </c>
      <c r="AA19">
        <v>-1</v>
      </c>
      <c r="AB19">
        <v>2.9084351851940098</v>
      </c>
      <c r="AC19">
        <v>9.7109801173209803E-3</v>
      </c>
      <c r="AD19">
        <v>5.2406172094947499</v>
      </c>
      <c r="AE19">
        <v>0</v>
      </c>
      <c r="AF19">
        <v>7.0980344971996496</v>
      </c>
      <c r="AG19">
        <v>0</v>
      </c>
      <c r="AH19">
        <v>0.34060890199787802</v>
      </c>
      <c r="AI19">
        <v>10.522</v>
      </c>
      <c r="AJ19">
        <v>10.891999999999999</v>
      </c>
      <c r="AK19" s="1">
        <v>5.5347567375003998E-5</v>
      </c>
      <c r="AL19">
        <v>5.0882561743996598E-4</v>
      </c>
      <c r="AM19">
        <v>5.4875400000000001</v>
      </c>
      <c r="AN19">
        <v>73.533182310436999</v>
      </c>
      <c r="AO19">
        <v>6.6049510652895896E-2</v>
      </c>
      <c r="AP19">
        <v>5.6796223475886198E-2</v>
      </c>
      <c r="AQ19">
        <v>5.40012572643827E-2</v>
      </c>
      <c r="AR19">
        <v>7.7765425111599298E-2</v>
      </c>
      <c r="AS19">
        <v>7.5919261692971196E-2</v>
      </c>
    </row>
    <row r="20" spans="1:45" x14ac:dyDescent="0.2">
      <c r="A20" t="s">
        <v>64</v>
      </c>
      <c r="B20" t="s">
        <v>57</v>
      </c>
      <c r="C20" t="s">
        <v>45</v>
      </c>
      <c r="D20">
        <v>14.66</v>
      </c>
      <c r="E20">
        <v>56.18</v>
      </c>
      <c r="F20">
        <v>1.18281453389387E-2</v>
      </c>
      <c r="G20">
        <v>101.434358397621</v>
      </c>
      <c r="H20">
        <v>1.0345833334844801</v>
      </c>
      <c r="I20">
        <v>-1</v>
      </c>
      <c r="J20">
        <v>9.2831349349345393E-2</v>
      </c>
      <c r="K20">
        <v>-3.75333333317782</v>
      </c>
      <c r="L20">
        <v>-1</v>
      </c>
      <c r="M20">
        <v>3.2216666668158198</v>
      </c>
      <c r="N20">
        <v>-1</v>
      </c>
      <c r="O20">
        <v>3.0698740519274499</v>
      </c>
      <c r="P20">
        <v>5.7502055828489503E-2</v>
      </c>
      <c r="Q20" s="1">
        <v>7.3250986482322294E-5</v>
      </c>
      <c r="R20">
        <v>9.7109801173209699E-3</v>
      </c>
      <c r="S20">
        <v>1.18281453389387E-2</v>
      </c>
      <c r="T20">
        <v>-0.94252405377626503</v>
      </c>
      <c r="U20">
        <v>0.98472222237332496</v>
      </c>
      <c r="V20">
        <v>-1</v>
      </c>
      <c r="W20">
        <v>0.32633333347650001</v>
      </c>
      <c r="X20">
        <v>-3.2433333331783798</v>
      </c>
      <c r="Y20">
        <v>-1</v>
      </c>
      <c r="Z20">
        <v>2.563333333483</v>
      </c>
      <c r="AA20">
        <v>-1</v>
      </c>
      <c r="AB20">
        <v>2.9079629629717898</v>
      </c>
      <c r="AC20">
        <v>9.7109801173209803E-3</v>
      </c>
      <c r="AD20">
        <v>4.9743380297395001</v>
      </c>
      <c r="AE20">
        <v>0</v>
      </c>
      <c r="AF20">
        <v>6.4067665256358897</v>
      </c>
      <c r="AG20">
        <v>0</v>
      </c>
      <c r="AH20">
        <v>1.07953662344515</v>
      </c>
      <c r="AI20">
        <v>10.522</v>
      </c>
      <c r="AJ20">
        <v>10.891999999999999</v>
      </c>
      <c r="AK20">
        <v>1.9618320281702399E-2</v>
      </c>
      <c r="AL20">
        <v>4.9030002919398297E-2</v>
      </c>
      <c r="AM20">
        <v>5.5424199999999999</v>
      </c>
      <c r="AN20">
        <v>249.37296001582999</v>
      </c>
      <c r="AO20">
        <v>6.5678611138972595E-2</v>
      </c>
      <c r="AP20">
        <v>5.6796223475886198E-2</v>
      </c>
      <c r="AQ20">
        <v>5.40012572643827E-2</v>
      </c>
      <c r="AR20">
        <v>7.7765425111599298E-2</v>
      </c>
      <c r="AS20">
        <v>7.5919261692971196E-2</v>
      </c>
    </row>
    <row r="21" spans="1:45" x14ac:dyDescent="0.2">
      <c r="A21" t="s">
        <v>110</v>
      </c>
      <c r="B21" t="s">
        <v>57</v>
      </c>
      <c r="C21" t="s">
        <v>45</v>
      </c>
      <c r="D21">
        <v>4.54</v>
      </c>
      <c r="E21">
        <v>23.92</v>
      </c>
      <c r="F21">
        <v>1.39375492111666E-2</v>
      </c>
      <c r="G21">
        <v>135.97144372993199</v>
      </c>
      <c r="H21">
        <v>0.24763888904074399</v>
      </c>
      <c r="I21">
        <v>-1</v>
      </c>
      <c r="J21">
        <v>-0.32072883583547301</v>
      </c>
      <c r="K21">
        <v>-3.0416666665118099</v>
      </c>
      <c r="L21">
        <v>-1</v>
      </c>
      <c r="M21">
        <v>1.4416666668174301</v>
      </c>
      <c r="N21">
        <v>-1</v>
      </c>
      <c r="O21">
        <v>3.1316189896573601</v>
      </c>
      <c r="P21">
        <v>6.0057442600147802E-2</v>
      </c>
      <c r="Q21">
        <v>1.6449091036634201E-4</v>
      </c>
      <c r="R21">
        <v>1.45846424102782E-2</v>
      </c>
      <c r="S21">
        <v>1.39375492111666E-2</v>
      </c>
      <c r="T21">
        <v>47.221461092963303</v>
      </c>
      <c r="U21">
        <v>0.62819444459586304</v>
      </c>
      <c r="V21">
        <v>-1</v>
      </c>
      <c r="W21">
        <v>-4.0740740597706E-2</v>
      </c>
      <c r="X21">
        <v>-2.5316666665123599</v>
      </c>
      <c r="Y21">
        <v>-1</v>
      </c>
      <c r="Z21">
        <v>2.06166666681679</v>
      </c>
      <c r="AA21">
        <v>-1</v>
      </c>
      <c r="AB21">
        <v>2.82960185183159</v>
      </c>
      <c r="AC21">
        <v>1.45846424102782E-2</v>
      </c>
      <c r="AD21">
        <v>5.07357082006087</v>
      </c>
      <c r="AE21">
        <v>0</v>
      </c>
      <c r="AF21">
        <v>6.8257097342642101</v>
      </c>
      <c r="AG21">
        <v>0</v>
      </c>
      <c r="AH21">
        <v>1.32973740269219</v>
      </c>
      <c r="AI21">
        <v>8.9779999999999998</v>
      </c>
      <c r="AJ21">
        <v>9.3360000000000003</v>
      </c>
      <c r="AK21">
        <v>0.117816145347812</v>
      </c>
      <c r="AL21">
        <v>0.26284249039593499</v>
      </c>
      <c r="AM21">
        <v>4.4163999999999897</v>
      </c>
      <c r="AN21">
        <v>307.16934002189703</v>
      </c>
      <c r="AO21">
        <v>5.83045282874863E-2</v>
      </c>
      <c r="AP21">
        <v>4.8676209278811902E-2</v>
      </c>
      <c r="AQ21">
        <v>4.7374891265258103E-2</v>
      </c>
      <c r="AR21">
        <v>7.2060214869467107E-2</v>
      </c>
      <c r="AS21">
        <v>7.1362531744834007E-2</v>
      </c>
    </row>
    <row r="22" spans="1:45" x14ac:dyDescent="0.2">
      <c r="A22" t="s">
        <v>65</v>
      </c>
      <c r="B22" t="s">
        <v>57</v>
      </c>
      <c r="C22" t="s">
        <v>45</v>
      </c>
      <c r="D22">
        <v>2.82</v>
      </c>
      <c r="E22">
        <v>12.9</v>
      </c>
      <c r="F22">
        <v>1.5579215117863201E-2</v>
      </c>
      <c r="G22">
        <v>144.423735805691</v>
      </c>
      <c r="H22">
        <v>-0.39930555540311402</v>
      </c>
      <c r="I22">
        <v>-1</v>
      </c>
      <c r="J22">
        <v>-0.57204431202571604</v>
      </c>
      <c r="K22">
        <v>-2.7633333331787302</v>
      </c>
      <c r="L22">
        <v>-1</v>
      </c>
      <c r="M22">
        <v>0.55166666681825505</v>
      </c>
      <c r="N22">
        <v>-1</v>
      </c>
      <c r="O22">
        <v>3.02722561553799</v>
      </c>
      <c r="P22">
        <v>6.1299395470188901E-2</v>
      </c>
      <c r="Q22">
        <v>2.4434534171462402E-4</v>
      </c>
      <c r="R22">
        <v>1.8617557525634699E-2</v>
      </c>
      <c r="S22">
        <v>1.5579215117863201E-2</v>
      </c>
      <c r="T22">
        <v>63.521864789875103</v>
      </c>
      <c r="U22">
        <v>-0.16027777762564399</v>
      </c>
      <c r="V22">
        <v>-1</v>
      </c>
      <c r="W22">
        <v>-0.44712499985658899</v>
      </c>
      <c r="X22">
        <v>-2.2533333331792802</v>
      </c>
      <c r="Y22">
        <v>-1</v>
      </c>
      <c r="Z22">
        <v>1.1050000001509901</v>
      </c>
      <c r="AA22">
        <v>-1</v>
      </c>
      <c r="AB22">
        <v>2.95263425923314</v>
      </c>
      <c r="AC22">
        <v>1.8617557525634699E-2</v>
      </c>
      <c r="AD22">
        <v>4.8747160744700002</v>
      </c>
      <c r="AE22">
        <v>0</v>
      </c>
      <c r="AF22">
        <v>6.8225149123589404</v>
      </c>
      <c r="AG22">
        <v>0</v>
      </c>
      <c r="AH22">
        <v>1.40213916319859</v>
      </c>
      <c r="AI22">
        <v>8.3239999999999998</v>
      </c>
      <c r="AJ22">
        <v>8.56</v>
      </c>
      <c r="AK22">
        <v>0.238603256452594</v>
      </c>
      <c r="AL22">
        <v>0.39737811545846102</v>
      </c>
      <c r="AM22">
        <v>3.9070399999999998</v>
      </c>
      <c r="AN22">
        <v>323.89414669887401</v>
      </c>
      <c r="AO22">
        <v>5.5289798937192998E-2</v>
      </c>
      <c r="AP22">
        <v>4.61149191979199E-2</v>
      </c>
      <c r="AQ22">
        <v>4.5626800195880203E-2</v>
      </c>
      <c r="AR22">
        <v>6.9833726320325903E-2</v>
      </c>
      <c r="AS22">
        <v>6.9596407143306394E-2</v>
      </c>
    </row>
    <row r="23" spans="1:45" x14ac:dyDescent="0.2">
      <c r="A23" t="s">
        <v>111</v>
      </c>
      <c r="B23" t="s">
        <v>57</v>
      </c>
      <c r="C23" t="s">
        <v>45</v>
      </c>
      <c r="D23">
        <v>1.56</v>
      </c>
      <c r="E23">
        <v>7.64</v>
      </c>
      <c r="F23">
        <v>1.8426494952086502E-2</v>
      </c>
      <c r="G23">
        <v>147.64164583002301</v>
      </c>
      <c r="H23">
        <v>-1.17013888873575</v>
      </c>
      <c r="I23">
        <v>-1</v>
      </c>
      <c r="J23">
        <v>-1.01332605805707</v>
      </c>
      <c r="K23">
        <v>-2.5566666665122701</v>
      </c>
      <c r="L23">
        <v>-1</v>
      </c>
      <c r="M23">
        <v>-0.90666666651376504</v>
      </c>
      <c r="N23">
        <v>-1</v>
      </c>
      <c r="O23">
        <v>2.7909696581902699</v>
      </c>
      <c r="P23">
        <v>6.2719312525474399E-2</v>
      </c>
      <c r="Q23">
        <v>3.99678487917306E-4</v>
      </c>
      <c r="R23">
        <v>2.56172891259192E-2</v>
      </c>
      <c r="S23">
        <v>1.8426494952086502E-2</v>
      </c>
      <c r="T23">
        <v>76.996152296968106</v>
      </c>
      <c r="U23">
        <v>-0.92333333318051103</v>
      </c>
      <c r="V23">
        <v>-1</v>
      </c>
      <c r="W23">
        <v>-0.96633796281909201</v>
      </c>
      <c r="X23">
        <v>-2.0466666665128201</v>
      </c>
      <c r="Y23">
        <v>-1</v>
      </c>
      <c r="Z23">
        <v>4.8333333485279503E-2</v>
      </c>
      <c r="AA23">
        <v>-1</v>
      </c>
      <c r="AB23">
        <v>3.0561527777458299</v>
      </c>
      <c r="AC23">
        <v>2.56172891259192E-2</v>
      </c>
      <c r="AD23">
        <v>4.6539591636736297</v>
      </c>
      <c r="AE23">
        <v>0</v>
      </c>
      <c r="AF23">
        <v>6.7115896605234102</v>
      </c>
      <c r="AG23">
        <v>0</v>
      </c>
      <c r="AH23">
        <v>1.4457950240002899</v>
      </c>
      <c r="AI23">
        <v>7.8579999999999997</v>
      </c>
      <c r="AJ23">
        <v>8.0739999999999998</v>
      </c>
      <c r="AK23">
        <v>0.39780067298149802</v>
      </c>
      <c r="AL23">
        <v>0.56611841986989497</v>
      </c>
      <c r="AM23">
        <v>3.3547199999999999</v>
      </c>
      <c r="AN23">
        <v>333.97865054406702</v>
      </c>
      <c r="AO23">
        <v>5.2754825926758599E-2</v>
      </c>
      <c r="AP23">
        <v>4.5069608908100099E-2</v>
      </c>
      <c r="AQ23">
        <v>4.5509369827099799E-2</v>
      </c>
      <c r="AR23">
        <v>6.8051653856187597E-2</v>
      </c>
      <c r="AS23">
        <v>6.8169198245243895E-2</v>
      </c>
    </row>
    <row r="24" spans="1:45" x14ac:dyDescent="0.2">
      <c r="A24" t="s">
        <v>66</v>
      </c>
      <c r="B24" t="s">
        <v>57</v>
      </c>
      <c r="C24" t="s">
        <v>45</v>
      </c>
      <c r="D24">
        <v>29.8</v>
      </c>
      <c r="E24">
        <v>87.44</v>
      </c>
      <c r="F24">
        <v>8.38193394325586E-3</v>
      </c>
      <c r="G24">
        <v>12.948505025390199</v>
      </c>
      <c r="H24">
        <v>2.1472916668168098</v>
      </c>
      <c r="I24">
        <v>-1</v>
      </c>
      <c r="J24">
        <v>0.38478095252371403</v>
      </c>
      <c r="K24">
        <v>-6.2683333331755202</v>
      </c>
      <c r="L24">
        <v>-1</v>
      </c>
      <c r="M24">
        <v>6.6750000001460403</v>
      </c>
      <c r="N24">
        <v>-1</v>
      </c>
      <c r="O24">
        <v>3.70611445822504</v>
      </c>
      <c r="P24">
        <v>7.2070249860073099E-2</v>
      </c>
      <c r="Q24">
        <v>-2.9683663636485299E-4</v>
      </c>
      <c r="R24">
        <v>3.1052086353301799E-3</v>
      </c>
      <c r="S24">
        <v>8.3819339432558895E-3</v>
      </c>
      <c r="T24">
        <v>-40.574434712825003</v>
      </c>
      <c r="U24">
        <v>2.42916666681647</v>
      </c>
      <c r="V24">
        <v>-1</v>
      </c>
      <c r="W24">
        <v>0.50698082024883195</v>
      </c>
      <c r="X24">
        <v>-5.7583333331760702</v>
      </c>
      <c r="Y24">
        <v>-1</v>
      </c>
      <c r="Z24">
        <v>9.4066666668101497</v>
      </c>
      <c r="AA24">
        <v>-1</v>
      </c>
      <c r="AB24">
        <v>2.5796673280571998</v>
      </c>
      <c r="AC24">
        <v>3.1052086353301799E-3</v>
      </c>
      <c r="AD24">
        <v>4.3596720616258704</v>
      </c>
      <c r="AE24">
        <v>0</v>
      </c>
      <c r="AF24">
        <v>3.8520763442054702</v>
      </c>
      <c r="AG24">
        <v>0</v>
      </c>
      <c r="AH24">
        <v>0.435343118254503</v>
      </c>
      <c r="AI24">
        <v>15.651999999999999</v>
      </c>
      <c r="AJ24">
        <v>16.224</v>
      </c>
      <c r="AK24">
        <v>8.43656597743429E-4</v>
      </c>
      <c r="AL24">
        <v>7.7804306498476397E-3</v>
      </c>
      <c r="AM24">
        <v>10.61594</v>
      </c>
      <c r="AN24">
        <v>100.56426031679</v>
      </c>
      <c r="AO24">
        <v>9.5919513831278197E-2</v>
      </c>
      <c r="AP24">
        <v>9.0073766354780496E-2</v>
      </c>
      <c r="AQ24">
        <v>8.4516532337217204E-2</v>
      </c>
      <c r="AR24">
        <v>0.102063294401581</v>
      </c>
      <c r="AS24">
        <v>9.7366390434226402E-2</v>
      </c>
    </row>
    <row r="25" spans="1:45" x14ac:dyDescent="0.2">
      <c r="A25" t="s">
        <v>112</v>
      </c>
      <c r="B25" t="s">
        <v>57</v>
      </c>
      <c r="C25" t="s">
        <v>45</v>
      </c>
      <c r="D25">
        <v>4.9400000000000004</v>
      </c>
      <c r="E25">
        <v>26.6</v>
      </c>
      <c r="F25">
        <v>8.9598752247107595E-3</v>
      </c>
      <c r="G25">
        <v>100.60830830299</v>
      </c>
      <c r="H25">
        <v>1.4904166668173999</v>
      </c>
      <c r="I25">
        <v>-1</v>
      </c>
      <c r="J25">
        <v>0.29969246046030101</v>
      </c>
      <c r="K25">
        <v>-4.9283333331767398</v>
      </c>
      <c r="L25">
        <v>-1</v>
      </c>
      <c r="M25">
        <v>3.5816666668154999</v>
      </c>
      <c r="N25">
        <v>-1</v>
      </c>
      <c r="O25">
        <v>3.40343361311283</v>
      </c>
      <c r="P25">
        <v>7.9689959225924506E-2</v>
      </c>
      <c r="Q25" s="1">
        <v>-8.31676907113225E-5</v>
      </c>
      <c r="R25">
        <v>3.1385490298271E-3</v>
      </c>
      <c r="S25">
        <v>8.9598752247107907E-3</v>
      </c>
      <c r="T25">
        <v>51.472692951220402</v>
      </c>
      <c r="U25">
        <v>1.7133611112615501</v>
      </c>
      <c r="V25">
        <v>-1</v>
      </c>
      <c r="W25">
        <v>0.57774867739162095</v>
      </c>
      <c r="X25">
        <v>-4.4183333331772898</v>
      </c>
      <c r="Y25">
        <v>-1</v>
      </c>
      <c r="Z25">
        <v>5.0016666668141303</v>
      </c>
      <c r="AA25">
        <v>-1</v>
      </c>
      <c r="AB25">
        <v>2.4298875661525701</v>
      </c>
      <c r="AC25">
        <v>3.1385490298271E-3</v>
      </c>
      <c r="AD25">
        <v>4.4646683264338201</v>
      </c>
      <c r="AE25">
        <v>0</v>
      </c>
      <c r="AF25">
        <v>4.9533172158117402</v>
      </c>
      <c r="AG25">
        <v>0</v>
      </c>
      <c r="AH25">
        <v>1.0009450252637999</v>
      </c>
      <c r="AI25">
        <v>12.39</v>
      </c>
      <c r="AJ25">
        <v>12.923999999999999</v>
      </c>
      <c r="AK25">
        <v>0.115159572162056</v>
      </c>
      <c r="AL25">
        <v>0.219545146349795</v>
      </c>
      <c r="AM25">
        <v>7.6597</v>
      </c>
      <c r="AN25">
        <v>231.21830083593801</v>
      </c>
      <c r="AO25">
        <v>8.0370561760680595E-2</v>
      </c>
      <c r="AP25">
        <v>7.0129662958593297E-2</v>
      </c>
      <c r="AQ25">
        <v>6.5480861987688405E-2</v>
      </c>
      <c r="AR25">
        <v>8.7897893492689505E-2</v>
      </c>
      <c r="AS25">
        <v>8.4526297350157403E-2</v>
      </c>
    </row>
    <row r="26" spans="1:45" x14ac:dyDescent="0.2">
      <c r="A26" t="s">
        <v>113</v>
      </c>
      <c r="B26" t="s">
        <v>57</v>
      </c>
      <c r="C26" t="s">
        <v>45</v>
      </c>
      <c r="D26">
        <v>1.52</v>
      </c>
      <c r="E26">
        <v>8.16</v>
      </c>
      <c r="F26">
        <v>5.3219537903039398E-2</v>
      </c>
      <c r="G26">
        <v>73.2214010287843</v>
      </c>
      <c r="H26">
        <v>-0.61805555540290602</v>
      </c>
      <c r="I26">
        <v>-1</v>
      </c>
      <c r="J26">
        <v>-2.0134748675799399</v>
      </c>
      <c r="K26">
        <v>-7.1133333331747597</v>
      </c>
      <c r="L26">
        <v>-1</v>
      </c>
      <c r="M26">
        <v>5.6666666818691799E-2</v>
      </c>
      <c r="N26">
        <v>-1</v>
      </c>
      <c r="O26">
        <v>4.6156825440804399</v>
      </c>
      <c r="P26">
        <v>0.14172000207853999</v>
      </c>
      <c r="Q26">
        <v>4.5695440706425797E-2</v>
      </c>
      <c r="R26">
        <v>4.1059095262385603E-2</v>
      </c>
      <c r="S26">
        <v>5.3219537903039398E-2</v>
      </c>
      <c r="T26">
        <v>55.646362417480802</v>
      </c>
      <c r="U26">
        <v>-0.77033333318063302</v>
      </c>
      <c r="V26">
        <v>-1</v>
      </c>
      <c r="W26">
        <v>-2.0318749998546699</v>
      </c>
      <c r="X26">
        <v>-6.6033333331753203</v>
      </c>
      <c r="Y26">
        <v>-1</v>
      </c>
      <c r="Z26">
        <v>0.65166666681808205</v>
      </c>
      <c r="AA26">
        <v>-1</v>
      </c>
      <c r="AB26">
        <v>3.3925694443782302</v>
      </c>
      <c r="AC26">
        <v>4.1059095262385603E-2</v>
      </c>
      <c r="AD26">
        <v>2.73262185631115</v>
      </c>
      <c r="AE26">
        <v>0</v>
      </c>
      <c r="AF26">
        <v>3.1294571609833399</v>
      </c>
      <c r="AG26">
        <v>0</v>
      </c>
      <c r="AH26">
        <v>0.68142707572054895</v>
      </c>
      <c r="AI26">
        <v>10.958</v>
      </c>
      <c r="AJ26">
        <v>11.286</v>
      </c>
      <c r="AK26">
        <v>0.41246732645044298</v>
      </c>
      <c r="AL26">
        <v>0.50645207447986096</v>
      </c>
      <c r="AM26">
        <v>10.517480000000001</v>
      </c>
      <c r="AN26">
        <v>151.276810809962</v>
      </c>
      <c r="AO26">
        <v>0.109250866598933</v>
      </c>
      <c r="AP26">
        <v>0.108859536300702</v>
      </c>
      <c r="AQ26">
        <v>0.100810330929562</v>
      </c>
      <c r="AR26">
        <v>0.12229384617766501</v>
      </c>
      <c r="AS26">
        <v>0.115254739836429</v>
      </c>
    </row>
    <row r="27" spans="1:45" x14ac:dyDescent="0.2">
      <c r="A27" t="s">
        <v>68</v>
      </c>
      <c r="B27" t="s">
        <v>57</v>
      </c>
      <c r="C27" t="s">
        <v>45</v>
      </c>
      <c r="D27">
        <v>40.799999999999997</v>
      </c>
      <c r="E27">
        <v>84.82</v>
      </c>
      <c r="F27">
        <v>-1.18807837467937E-2</v>
      </c>
      <c r="G27">
        <v>-3519.38676565782</v>
      </c>
      <c r="H27">
        <v>1.5870277779284201</v>
      </c>
      <c r="I27">
        <v>-1</v>
      </c>
      <c r="J27">
        <v>1.4209666668066201</v>
      </c>
      <c r="K27">
        <v>-2.81833333317867</v>
      </c>
      <c r="L27">
        <v>-1</v>
      </c>
      <c r="M27">
        <v>2.6000000001497399</v>
      </c>
      <c r="N27">
        <v>-1</v>
      </c>
      <c r="O27">
        <v>4.7399007592444402</v>
      </c>
      <c r="P27">
        <v>4.9600979203145198E-2</v>
      </c>
      <c r="Q27">
        <v>-1.46717059649616E-2</v>
      </c>
      <c r="R27">
        <v>4.2679974436759796E-3</v>
      </c>
      <c r="S27">
        <v>-1.20410745157039E-2</v>
      </c>
      <c r="T27">
        <v>-2369.1271497694502</v>
      </c>
      <c r="U27">
        <v>2.26188888903883</v>
      </c>
      <c r="V27">
        <v>-1</v>
      </c>
      <c r="W27">
        <v>1.24468088638429</v>
      </c>
      <c r="X27">
        <v>-2.30833333317922</v>
      </c>
      <c r="Y27">
        <v>-1</v>
      </c>
      <c r="Z27">
        <v>3.1133333334825202</v>
      </c>
      <c r="AA27">
        <v>-1</v>
      </c>
      <c r="AB27">
        <v>3.4205552248976199</v>
      </c>
      <c r="AC27">
        <v>3.6091170283158399E-3</v>
      </c>
      <c r="AD27">
        <v>4.3693179009167897</v>
      </c>
      <c r="AE27">
        <v>0</v>
      </c>
      <c r="AF27">
        <v>4.6784264456935896</v>
      </c>
      <c r="AG27">
        <v>0</v>
      </c>
      <c r="AH27">
        <v>-1513.43733928606</v>
      </c>
      <c r="AI27">
        <v>14.515999999999901</v>
      </c>
      <c r="AJ27">
        <v>14.874000000000001</v>
      </c>
      <c r="AK27" s="1">
        <v>1.7911023796502201E-10</v>
      </c>
      <c r="AL27">
        <v>2.18714679184533E-4</v>
      </c>
      <c r="AM27">
        <v>12.0504</v>
      </c>
      <c r="AN27">
        <v>-349575.681251114</v>
      </c>
      <c r="AO27">
        <v>8.3838363574684993E-2</v>
      </c>
      <c r="AP27">
        <v>8.9029583308134694E-2</v>
      </c>
      <c r="AQ27">
        <v>7.4833337712874398E-2</v>
      </c>
      <c r="AR27">
        <v>0.100788061010089</v>
      </c>
      <c r="AS27">
        <v>8.7343935637993197E-2</v>
      </c>
    </row>
    <row r="28" spans="1:45" x14ac:dyDescent="0.2">
      <c r="A28" t="s">
        <v>69</v>
      </c>
      <c r="B28" t="s">
        <v>70</v>
      </c>
      <c r="C28" t="s">
        <v>45</v>
      </c>
      <c r="D28">
        <v>1.8</v>
      </c>
      <c r="E28">
        <v>8.36</v>
      </c>
      <c r="F28">
        <v>3.7157195054556202E-3</v>
      </c>
      <c r="G28">
        <v>118.533434271844</v>
      </c>
      <c r="H28">
        <v>1.7409166668171501</v>
      </c>
      <c r="I28">
        <v>-1</v>
      </c>
      <c r="J28">
        <v>1.31197367739048</v>
      </c>
      <c r="K28">
        <v>-1.26499999984677</v>
      </c>
      <c r="L28">
        <v>-1</v>
      </c>
      <c r="M28">
        <v>3.3366666668157001</v>
      </c>
      <c r="N28">
        <v>-1</v>
      </c>
      <c r="O28">
        <v>3.8253818332148</v>
      </c>
      <c r="P28">
        <v>8.6375263950416503E-2</v>
      </c>
      <c r="Q28">
        <v>-1.7334109151284499E-3</v>
      </c>
      <c r="R28">
        <v>1.9393336169160402E-2</v>
      </c>
      <c r="S28">
        <v>3.7157195054556202E-3</v>
      </c>
      <c r="T28">
        <v>96.045022984219898</v>
      </c>
      <c r="U28">
        <v>2.09013888903897</v>
      </c>
      <c r="V28">
        <v>-1</v>
      </c>
      <c r="W28">
        <v>1.4953055556971799</v>
      </c>
      <c r="X28">
        <v>-0.75499999984733202</v>
      </c>
      <c r="Y28">
        <v>-1</v>
      </c>
      <c r="Z28">
        <v>3.4250000001488599</v>
      </c>
      <c r="AA28">
        <v>-1</v>
      </c>
      <c r="AB28">
        <v>3.1311851852048198</v>
      </c>
      <c r="AC28">
        <v>1.9393336169160402E-2</v>
      </c>
      <c r="AD28">
        <v>3.7137288741980701</v>
      </c>
      <c r="AE28">
        <v>0</v>
      </c>
      <c r="AF28">
        <v>4.1634638995342899</v>
      </c>
      <c r="AG28">
        <v>0</v>
      </c>
      <c r="AH28">
        <v>0.99345215719959701</v>
      </c>
      <c r="AI28">
        <v>9.86</v>
      </c>
      <c r="AJ28">
        <v>10.236000000000001</v>
      </c>
      <c r="AK28">
        <v>0.19099543116839901</v>
      </c>
      <c r="AL28">
        <v>0.48878708311951402</v>
      </c>
      <c r="AM28">
        <v>8.4968199999999996</v>
      </c>
      <c r="AN28">
        <v>209.61840516911499</v>
      </c>
      <c r="AO28">
        <v>9.1650707701382894E-2</v>
      </c>
      <c r="AP28">
        <v>6.2861916704272894E-2</v>
      </c>
      <c r="AQ28">
        <v>5.8405385319698397E-2</v>
      </c>
      <c r="AR28">
        <v>8.3589954922406104E-2</v>
      </c>
      <c r="AS28">
        <v>8.1370530483536402E-2</v>
      </c>
    </row>
    <row r="29" spans="1:45" x14ac:dyDescent="0.2">
      <c r="A29" t="s">
        <v>71</v>
      </c>
      <c r="B29" t="s">
        <v>70</v>
      </c>
      <c r="C29" t="s">
        <v>45</v>
      </c>
      <c r="D29">
        <v>8.94</v>
      </c>
      <c r="E29">
        <v>44.82</v>
      </c>
      <c r="F29">
        <v>2.08328173186479E-2</v>
      </c>
      <c r="G29">
        <v>144.31007340636199</v>
      </c>
      <c r="H29">
        <v>-1.47277777762435</v>
      </c>
      <c r="I29">
        <v>-1</v>
      </c>
      <c r="J29">
        <v>-1.2349629628188199</v>
      </c>
      <c r="K29">
        <v>-2.6116666665122099</v>
      </c>
      <c r="L29">
        <v>-1</v>
      </c>
      <c r="M29">
        <v>-0.87833333318045304</v>
      </c>
      <c r="N29">
        <v>-1</v>
      </c>
      <c r="O29">
        <v>3.2078125635624901</v>
      </c>
      <c r="P29">
        <v>5.0085617837695502E-2</v>
      </c>
      <c r="Q29">
        <v>2.2126717243942202E-3</v>
      </c>
      <c r="R29">
        <v>3.0530893438032499E-2</v>
      </c>
      <c r="S29">
        <v>2.08328173186479E-2</v>
      </c>
      <c r="T29">
        <v>89.103919792436301</v>
      </c>
      <c r="U29">
        <v>-1.08111111095813</v>
      </c>
      <c r="V29">
        <v>-1</v>
      </c>
      <c r="W29">
        <v>-1.1145277776337601</v>
      </c>
      <c r="X29">
        <v>-2.1016666665127599</v>
      </c>
      <c r="Y29">
        <v>-1</v>
      </c>
      <c r="Z29">
        <v>-0.48999999984755899</v>
      </c>
      <c r="AA29">
        <v>-1</v>
      </c>
      <c r="AB29">
        <v>3.0355648147828802</v>
      </c>
      <c r="AC29">
        <v>3.0530893438032499E-2</v>
      </c>
      <c r="AD29">
        <v>4.5839929910755304</v>
      </c>
      <c r="AE29">
        <v>0</v>
      </c>
      <c r="AF29">
        <v>6.0239405836553797</v>
      </c>
      <c r="AG29">
        <v>0</v>
      </c>
      <c r="AH29">
        <v>1.16280354250402</v>
      </c>
      <c r="AI29">
        <v>7.7720000000000002</v>
      </c>
      <c r="AJ29">
        <v>7.99</v>
      </c>
      <c r="AK29">
        <v>3.9308961959099602E-2</v>
      </c>
      <c r="AL29">
        <v>0.108514392912616</v>
      </c>
      <c r="AM29">
        <v>5.39452</v>
      </c>
      <c r="AN29">
        <v>246.51435101085301</v>
      </c>
      <c r="AO29">
        <v>6.8973480983603896E-2</v>
      </c>
      <c r="AP29">
        <v>4.8771326429472801E-2</v>
      </c>
      <c r="AQ29">
        <v>4.9512157556286997E-2</v>
      </c>
      <c r="AR29">
        <v>7.0533295689058001E-2</v>
      </c>
      <c r="AS29">
        <v>7.0739457293320804E-2</v>
      </c>
    </row>
    <row r="30" spans="1:45" x14ac:dyDescent="0.2">
      <c r="A30" t="s">
        <v>72</v>
      </c>
      <c r="B30" t="s">
        <v>70</v>
      </c>
      <c r="C30" t="s">
        <v>45</v>
      </c>
      <c r="D30">
        <v>11.16</v>
      </c>
      <c r="E30">
        <v>39.28</v>
      </c>
      <c r="F30">
        <v>2.1847962868200899E-2</v>
      </c>
      <c r="G30">
        <v>126.57912862402701</v>
      </c>
      <c r="H30">
        <v>-2.2716666665124898</v>
      </c>
      <c r="I30">
        <v>-1</v>
      </c>
      <c r="J30">
        <v>-1.16816005276584</v>
      </c>
      <c r="K30">
        <v>-3.4666666665113999</v>
      </c>
      <c r="L30">
        <v>-1</v>
      </c>
      <c r="M30">
        <v>-2.0949999998459701</v>
      </c>
      <c r="N30">
        <v>-1</v>
      </c>
      <c r="O30">
        <v>2.7824820991474599</v>
      </c>
      <c r="P30">
        <v>5.3571451716742803E-2</v>
      </c>
      <c r="Q30">
        <v>-6.1290237888545901E-3</v>
      </c>
      <c r="R30">
        <v>4.6461406988488801E-2</v>
      </c>
      <c r="S30">
        <v>2.1847962868200899E-2</v>
      </c>
      <c r="T30">
        <v>95.502251378323393</v>
      </c>
      <c r="U30">
        <v>-2.1183333331793901</v>
      </c>
      <c r="V30">
        <v>-1</v>
      </c>
      <c r="W30">
        <v>-1.1064652776332899</v>
      </c>
      <c r="X30">
        <v>-2.9566666665119499</v>
      </c>
      <c r="Y30">
        <v>-1</v>
      </c>
      <c r="Z30">
        <v>-2.0349999998461299</v>
      </c>
      <c r="AA30">
        <v>-1</v>
      </c>
      <c r="AB30">
        <v>2.8658541666353701</v>
      </c>
      <c r="AC30">
        <v>4.6461406988488801E-2</v>
      </c>
      <c r="AD30">
        <v>4.3532322163310599</v>
      </c>
      <c r="AE30">
        <v>0</v>
      </c>
      <c r="AF30">
        <v>5.1174363364793303</v>
      </c>
      <c r="AG30">
        <v>0</v>
      </c>
      <c r="AH30">
        <v>1.08560812128331</v>
      </c>
      <c r="AI30">
        <v>8.9719999999999995</v>
      </c>
      <c r="AJ30">
        <v>9.2880000000000003</v>
      </c>
      <c r="AK30">
        <v>5.8123027707289603E-2</v>
      </c>
      <c r="AL30">
        <v>0.10425524011666</v>
      </c>
      <c r="AM30">
        <v>6.1826599999999896</v>
      </c>
      <c r="AN30">
        <v>230.14892171206199</v>
      </c>
      <c r="AO30">
        <v>6.5993620919160695E-2</v>
      </c>
      <c r="AP30">
        <v>5.8719099132771603E-2</v>
      </c>
      <c r="AQ30">
        <v>5.7475802831718298E-2</v>
      </c>
      <c r="AR30">
        <v>7.6623886300181798E-2</v>
      </c>
      <c r="AS30">
        <v>7.3648362844712406E-2</v>
      </c>
    </row>
    <row r="31" spans="1:45" x14ac:dyDescent="0.2">
      <c r="A31" t="s">
        <v>73</v>
      </c>
      <c r="B31" t="s">
        <v>74</v>
      </c>
      <c r="C31" t="s">
        <v>45</v>
      </c>
      <c r="D31">
        <v>0.8</v>
      </c>
      <c r="E31">
        <v>9.5399999999999991</v>
      </c>
      <c r="F31">
        <v>1.6746472713925899E-2</v>
      </c>
      <c r="G31">
        <v>150.70976645360801</v>
      </c>
      <c r="H31">
        <v>-0.87938888873601995</v>
      </c>
      <c r="I31">
        <v>-1</v>
      </c>
      <c r="J31">
        <v>-0.52151600514741703</v>
      </c>
      <c r="K31">
        <v>-3.21333333317834</v>
      </c>
      <c r="L31">
        <v>-1</v>
      </c>
      <c r="M31">
        <v>-0.38333333318090801</v>
      </c>
      <c r="N31">
        <v>-1</v>
      </c>
      <c r="O31">
        <v>2.5684829588600802</v>
      </c>
      <c r="P31">
        <v>5.1925582581174697E-2</v>
      </c>
      <c r="Q31">
        <v>8.8264280146327595E-4</v>
      </c>
      <c r="R31">
        <v>2.1606020331403498E-2</v>
      </c>
      <c r="S31">
        <v>1.6746472713926E-2</v>
      </c>
      <c r="T31">
        <v>101.774338432107</v>
      </c>
      <c r="U31">
        <v>-0.58777777762526495</v>
      </c>
      <c r="V31">
        <v>-1</v>
      </c>
      <c r="W31">
        <v>-0.36933796281963399</v>
      </c>
      <c r="X31">
        <v>-2.70333333317889</v>
      </c>
      <c r="Y31">
        <v>-1</v>
      </c>
      <c r="Z31">
        <v>9.6666666818546201E-2</v>
      </c>
      <c r="AA31">
        <v>-1</v>
      </c>
      <c r="AB31">
        <v>2.9099953703557699</v>
      </c>
      <c r="AC31">
        <v>2.1606020331403498E-2</v>
      </c>
      <c r="AD31">
        <v>4.8292293377160602</v>
      </c>
      <c r="AE31">
        <v>0</v>
      </c>
      <c r="AF31">
        <v>6.0257809160664397</v>
      </c>
      <c r="AG31">
        <v>0</v>
      </c>
      <c r="AH31">
        <v>1.52114041684052</v>
      </c>
      <c r="AI31">
        <v>9.1240000000000006</v>
      </c>
      <c r="AJ31">
        <v>9.34</v>
      </c>
      <c r="AK31">
        <v>0.36239195917150302</v>
      </c>
      <c r="AL31">
        <v>0.54019200956125901</v>
      </c>
      <c r="AM31">
        <v>4.6320399999999999</v>
      </c>
      <c r="AN31">
        <v>351.38343629016202</v>
      </c>
      <c r="AO31">
        <v>5.25594901092876E-2</v>
      </c>
      <c r="AP31">
        <v>4.6004481884062101E-2</v>
      </c>
      <c r="AQ31">
        <v>4.65432263707923E-2</v>
      </c>
      <c r="AR31">
        <v>6.8581654635371303E-2</v>
      </c>
      <c r="AS31">
        <v>6.8827032638752894E-2</v>
      </c>
    </row>
    <row r="32" spans="1:45" x14ac:dyDescent="0.2">
      <c r="A32" t="s">
        <v>75</v>
      </c>
      <c r="B32" t="s">
        <v>74</v>
      </c>
      <c r="C32" t="s">
        <v>45</v>
      </c>
      <c r="D32">
        <v>8.74</v>
      </c>
      <c r="E32">
        <v>78.319999999999993</v>
      </c>
      <c r="F32">
        <v>5.3774083818022997E-2</v>
      </c>
      <c r="G32">
        <v>84.855787007329695</v>
      </c>
      <c r="H32">
        <v>-4.4916666665104898</v>
      </c>
      <c r="I32">
        <v>-1</v>
      </c>
      <c r="J32">
        <v>-3.5915138887425599</v>
      </c>
      <c r="K32">
        <v>-5.4649999998429397</v>
      </c>
      <c r="L32">
        <v>-1</v>
      </c>
      <c r="M32">
        <v>-5.0216666665100096</v>
      </c>
      <c r="N32">
        <v>-1</v>
      </c>
      <c r="O32">
        <v>4.8333847024792096</v>
      </c>
      <c r="P32">
        <v>4.7839523002126898E-2</v>
      </c>
      <c r="Q32">
        <v>1.9166146465816401E-2</v>
      </c>
      <c r="R32">
        <v>6.6754193996265407E-2</v>
      </c>
      <c r="S32">
        <v>5.3774083818022997E-2</v>
      </c>
      <c r="T32">
        <v>31.1759959036551</v>
      </c>
      <c r="U32">
        <v>-3.9816666665110398</v>
      </c>
      <c r="V32">
        <v>-1</v>
      </c>
      <c r="W32">
        <v>-3.3617777776312399</v>
      </c>
      <c r="X32">
        <v>-4.9549999998434897</v>
      </c>
      <c r="Y32">
        <v>-1</v>
      </c>
      <c r="Z32">
        <v>-4.2183333331775001</v>
      </c>
      <c r="AA32">
        <v>-1</v>
      </c>
      <c r="AB32">
        <v>4.0657592591522604</v>
      </c>
      <c r="AC32">
        <v>6.6754193996265407E-2</v>
      </c>
      <c r="AD32">
        <v>3.3749808626718498</v>
      </c>
      <c r="AE32">
        <v>0</v>
      </c>
      <c r="AF32">
        <v>4.1837321366599198</v>
      </c>
      <c r="AG32">
        <v>0</v>
      </c>
      <c r="AH32">
        <v>1.20901616475047</v>
      </c>
      <c r="AI32">
        <v>8.3260000000000005</v>
      </c>
      <c r="AJ32">
        <v>8.6660000000000004</v>
      </c>
      <c r="AK32">
        <v>5.21100641897825E-2</v>
      </c>
      <c r="AL32">
        <v>0.104681220443318</v>
      </c>
      <c r="AM32">
        <v>4.87174</v>
      </c>
      <c r="AN32">
        <v>279.28273405735803</v>
      </c>
      <c r="AO32">
        <v>6.2680310574728698E-2</v>
      </c>
      <c r="AP32">
        <v>7.0995043313251002E-2</v>
      </c>
      <c r="AQ32">
        <v>7.6048708104285795E-2</v>
      </c>
      <c r="AR32">
        <v>8.6098489735737804E-2</v>
      </c>
      <c r="AS32">
        <v>9.0214989411801297E-2</v>
      </c>
    </row>
    <row r="33" spans="1:45" x14ac:dyDescent="0.2">
      <c r="A33" t="s">
        <v>76</v>
      </c>
      <c r="B33" t="s">
        <v>74</v>
      </c>
      <c r="C33" t="s">
        <v>45</v>
      </c>
      <c r="D33">
        <v>1.2</v>
      </c>
      <c r="E33">
        <v>10.3</v>
      </c>
      <c r="F33">
        <v>-1.45157533280173E-2</v>
      </c>
      <c r="G33">
        <v>137.25528513899599</v>
      </c>
      <c r="H33">
        <v>2.7800000001495602</v>
      </c>
      <c r="I33">
        <v>-1</v>
      </c>
      <c r="J33">
        <v>2.65265939167509</v>
      </c>
      <c r="K33">
        <v>-0.70333333318058899</v>
      </c>
      <c r="L33">
        <v>-1</v>
      </c>
      <c r="M33">
        <v>5.4916666668137601</v>
      </c>
      <c r="N33">
        <v>-1</v>
      </c>
      <c r="O33">
        <v>3.4722253089419999</v>
      </c>
      <c r="P33">
        <v>5.3934803694378697E-2</v>
      </c>
      <c r="Q33">
        <v>-1.7270521507027198E-2</v>
      </c>
      <c r="R33">
        <v>9.2789112807378192E-3</v>
      </c>
      <c r="S33">
        <v>-1.4515753328017401E-2</v>
      </c>
      <c r="T33">
        <v>100.727447097059</v>
      </c>
      <c r="U33">
        <v>3.0002777779270402</v>
      </c>
      <c r="V33">
        <v>-1</v>
      </c>
      <c r="W33">
        <v>2.8342824075482902</v>
      </c>
      <c r="X33">
        <v>-0.19333333318114401</v>
      </c>
      <c r="Y33">
        <v>-1</v>
      </c>
      <c r="Z33">
        <v>4.6150000001477904</v>
      </c>
      <c r="AA33">
        <v>-1</v>
      </c>
      <c r="AB33">
        <v>3.3212731482197202</v>
      </c>
      <c r="AC33">
        <v>9.2789112807378296E-3</v>
      </c>
      <c r="AD33">
        <v>5.0304667212030303</v>
      </c>
      <c r="AE33">
        <v>0</v>
      </c>
      <c r="AF33">
        <v>5.4498368621369799</v>
      </c>
      <c r="AG33">
        <v>0</v>
      </c>
      <c r="AH33">
        <v>1.42719800535637</v>
      </c>
      <c r="AI33">
        <v>10.795999999999999</v>
      </c>
      <c r="AJ33">
        <v>11.05</v>
      </c>
      <c r="AK33">
        <v>0.286222375551133</v>
      </c>
      <c r="AL33">
        <v>0.48250617979481197</v>
      </c>
      <c r="AM33">
        <v>6.1009599999999997</v>
      </c>
      <c r="AN33">
        <v>329.68273923732198</v>
      </c>
      <c r="AO33">
        <v>5.7629343590388203E-2</v>
      </c>
      <c r="AP33">
        <v>5.3538241063858502E-2</v>
      </c>
      <c r="AQ33">
        <v>4.9045782939585301E-2</v>
      </c>
      <c r="AR33">
        <v>7.1537655761831798E-2</v>
      </c>
      <c r="AS33">
        <v>6.8150148688464696E-2</v>
      </c>
    </row>
    <row r="34" spans="1:45" x14ac:dyDescent="0.2">
      <c r="A34" t="s">
        <v>77</v>
      </c>
      <c r="B34" t="s">
        <v>74</v>
      </c>
      <c r="C34" t="s">
        <v>45</v>
      </c>
      <c r="D34">
        <v>24.56</v>
      </c>
      <c r="E34">
        <v>91.14</v>
      </c>
      <c r="F34">
        <v>6.7320935968670295E-2</v>
      </c>
      <c r="G34">
        <v>26.2215448884923</v>
      </c>
      <c r="H34">
        <v>-4.4877777776215897</v>
      </c>
      <c r="I34">
        <v>-1</v>
      </c>
      <c r="J34">
        <v>-3.12711111096512</v>
      </c>
      <c r="K34">
        <v>-5.9999999998424398</v>
      </c>
      <c r="L34">
        <v>-1</v>
      </c>
      <c r="M34">
        <v>-5.3949999998429901</v>
      </c>
      <c r="N34">
        <v>-1</v>
      </c>
      <c r="O34">
        <v>4.9345094339205904</v>
      </c>
      <c r="P34">
        <v>5.1085138775808198E-2</v>
      </c>
      <c r="Q34">
        <v>1.50526132449123E-2</v>
      </c>
      <c r="R34">
        <v>0.11089323446325999</v>
      </c>
      <c r="S34">
        <v>6.7320935968670295E-2</v>
      </c>
      <c r="T34">
        <v>-13.7850550981754</v>
      </c>
      <c r="U34">
        <v>-3.9777777776221499</v>
      </c>
      <c r="V34">
        <v>-1</v>
      </c>
      <c r="W34">
        <v>-3.3010740739275901</v>
      </c>
      <c r="X34">
        <v>-5.4899999998429996</v>
      </c>
      <c r="Y34">
        <v>-1</v>
      </c>
      <c r="Z34">
        <v>-4.4699999998439299</v>
      </c>
      <c r="AA34">
        <v>-1</v>
      </c>
      <c r="AB34">
        <v>4.0042962961950899</v>
      </c>
      <c r="AC34">
        <v>0.11089323446325999</v>
      </c>
      <c r="AD34">
        <v>3.2671320658592999</v>
      </c>
      <c r="AE34">
        <v>0</v>
      </c>
      <c r="AF34">
        <v>3.6440678066710301</v>
      </c>
      <c r="AG34">
        <v>0</v>
      </c>
      <c r="AH34">
        <v>0.89461345715302498</v>
      </c>
      <c r="AI34">
        <v>9.26799999999999</v>
      </c>
      <c r="AJ34">
        <v>9.5879999999999992</v>
      </c>
      <c r="AK34">
        <v>9.7658867293985395E-3</v>
      </c>
      <c r="AL34">
        <v>2.21749125147492E-2</v>
      </c>
      <c r="AM34">
        <v>6.8068399999999896</v>
      </c>
      <c r="AN34">
        <v>206.655708602348</v>
      </c>
      <c r="AO34">
        <v>7.6942743175230005E-2</v>
      </c>
      <c r="AP34">
        <v>9.4661710854093306E-2</v>
      </c>
      <c r="AQ34">
        <v>0.106335855327473</v>
      </c>
      <c r="AR34">
        <v>0.105664644278537</v>
      </c>
      <c r="AS34">
        <v>0.116212075651615</v>
      </c>
    </row>
    <row r="35" spans="1:45" x14ac:dyDescent="0.2">
      <c r="A35" t="s">
        <v>78</v>
      </c>
      <c r="B35" t="s">
        <v>79</v>
      </c>
      <c r="C35" t="s">
        <v>45</v>
      </c>
      <c r="D35">
        <v>2.82</v>
      </c>
      <c r="E35">
        <v>30.48</v>
      </c>
      <c r="F35">
        <v>-9.9188295039501304E-3</v>
      </c>
      <c r="G35">
        <v>116.34015384178601</v>
      </c>
      <c r="H35">
        <v>3.7637777779264501</v>
      </c>
      <c r="I35">
        <v>-1</v>
      </c>
      <c r="J35">
        <v>2.62281408744232</v>
      </c>
      <c r="K35">
        <v>-2.3483333331791099</v>
      </c>
      <c r="L35">
        <v>-1</v>
      </c>
      <c r="M35">
        <v>8.81333333347742</v>
      </c>
      <c r="N35">
        <v>-1</v>
      </c>
      <c r="O35">
        <v>3.7881592866484901</v>
      </c>
      <c r="P35">
        <v>0.06</v>
      </c>
      <c r="Q35">
        <v>-1.33026450580363E-2</v>
      </c>
      <c r="R35">
        <v>5.5163892507552699E-3</v>
      </c>
      <c r="S35">
        <v>-9.9188295039501703E-3</v>
      </c>
      <c r="T35">
        <v>87.244163095144202</v>
      </c>
      <c r="U35">
        <v>4.11072222237049</v>
      </c>
      <c r="V35">
        <v>-1</v>
      </c>
      <c r="W35">
        <v>2.7444024472309199</v>
      </c>
      <c r="X35">
        <v>-1.8383333331796701</v>
      </c>
      <c r="Y35">
        <v>-1</v>
      </c>
      <c r="Z35">
        <v>9.23000000014361</v>
      </c>
      <c r="AA35">
        <v>-1</v>
      </c>
      <c r="AB35">
        <v>3.4404778439983001</v>
      </c>
      <c r="AC35">
        <v>5.5163892507552803E-3</v>
      </c>
      <c r="AD35">
        <v>4.3463533988564897</v>
      </c>
      <c r="AE35">
        <v>0</v>
      </c>
      <c r="AF35">
        <v>4.2162326600336</v>
      </c>
      <c r="AG35">
        <v>0</v>
      </c>
      <c r="AH35">
        <v>1.15366622585985</v>
      </c>
      <c r="AI35">
        <v>15.735999999999899</v>
      </c>
      <c r="AJ35">
        <v>16.21</v>
      </c>
      <c r="AK35">
        <v>9.6928736579310407E-2</v>
      </c>
      <c r="AL35">
        <v>0.222662655564278</v>
      </c>
      <c r="AM35">
        <v>14.268319999999999</v>
      </c>
      <c r="AN35">
        <v>266.49689817362503</v>
      </c>
      <c r="AO35">
        <v>7.3032889135016904E-2</v>
      </c>
      <c r="AP35">
        <v>6.6597781288704694E-2</v>
      </c>
      <c r="AQ35">
        <v>6.4842693218633105E-2</v>
      </c>
      <c r="AR35">
        <v>8.2081452468541496E-2</v>
      </c>
      <c r="AS35">
        <v>8.0606969323987698E-2</v>
      </c>
    </row>
    <row r="36" spans="1:45" x14ac:dyDescent="0.2">
      <c r="A36" t="s">
        <v>80</v>
      </c>
      <c r="B36" t="s">
        <v>79</v>
      </c>
      <c r="C36" t="s">
        <v>45</v>
      </c>
      <c r="D36">
        <v>28.28</v>
      </c>
      <c r="E36">
        <v>59.88</v>
      </c>
      <c r="F36">
        <v>-5.4984813450376001E-2</v>
      </c>
      <c r="G36">
        <v>-79.356138953886202</v>
      </c>
      <c r="H36">
        <v>8.5376785715729095</v>
      </c>
      <c r="I36">
        <v>-1</v>
      </c>
      <c r="J36">
        <v>5.1375726002896096</v>
      </c>
      <c r="K36">
        <v>-0.638333333180644</v>
      </c>
      <c r="L36">
        <v>-1</v>
      </c>
      <c r="M36">
        <v>16.9550000001367</v>
      </c>
      <c r="N36">
        <v>-1</v>
      </c>
      <c r="O36">
        <v>6.3919773733175402</v>
      </c>
      <c r="P36">
        <v>9.2819875579481306E-2</v>
      </c>
      <c r="Q36">
        <v>8.7613334708581405E-4</v>
      </c>
      <c r="R36">
        <v>-8.0197161952360096E-2</v>
      </c>
      <c r="S36">
        <v>-5.4984813450376001E-2</v>
      </c>
      <c r="T36">
        <v>-137.435092344623</v>
      </c>
      <c r="U36">
        <v>9.1451779101965993</v>
      </c>
      <c r="V36">
        <v>-1</v>
      </c>
      <c r="W36">
        <v>5.3666549824990604</v>
      </c>
      <c r="X36">
        <v>-0.12833333318119899</v>
      </c>
      <c r="Y36">
        <v>-1</v>
      </c>
      <c r="Z36">
        <v>18.306666666801998</v>
      </c>
      <c r="AA36">
        <v>-1</v>
      </c>
      <c r="AB36">
        <v>5.5447594798304403</v>
      </c>
      <c r="AC36">
        <v>-8.0197161952360096E-2</v>
      </c>
      <c r="AD36">
        <v>2.2865082649805899</v>
      </c>
      <c r="AE36">
        <v>0</v>
      </c>
      <c r="AF36">
        <v>2.6694409173622899</v>
      </c>
      <c r="AG36">
        <v>0</v>
      </c>
      <c r="AH36">
        <v>-0.15461523093160601</v>
      </c>
      <c r="AI36">
        <v>20.234000000000002</v>
      </c>
      <c r="AJ36">
        <v>20.148</v>
      </c>
      <c r="AK36" s="1">
        <v>5.3299800432715405E-10</v>
      </c>
      <c r="AL36" s="1">
        <v>7.6160283961323696E-5</v>
      </c>
      <c r="AM36">
        <v>21.276419999999899</v>
      </c>
      <c r="AN36">
        <v>-35.716118345201103</v>
      </c>
      <c r="AO36">
        <v>9.3695022488218205E-2</v>
      </c>
      <c r="AP36">
        <v>9.3122676264836196E-2</v>
      </c>
      <c r="AQ36">
        <v>9.8432480571199896E-2</v>
      </c>
      <c r="AR36">
        <v>0.10448899055854199</v>
      </c>
      <c r="AS36">
        <v>0.10936235070509601</v>
      </c>
    </row>
    <row r="37" spans="1:45" x14ac:dyDescent="0.2">
      <c r="A37" t="s">
        <v>81</v>
      </c>
      <c r="B37" t="s">
        <v>79</v>
      </c>
      <c r="C37" t="s">
        <v>45</v>
      </c>
      <c r="D37">
        <v>7.44</v>
      </c>
      <c r="E37">
        <v>32.26</v>
      </c>
      <c r="F37">
        <v>-3.16172006828912E-2</v>
      </c>
      <c r="G37">
        <v>90.521631131910098</v>
      </c>
      <c r="H37">
        <v>8.1424589948536799</v>
      </c>
      <c r="I37">
        <v>-1</v>
      </c>
      <c r="J37">
        <v>2.8127030519168299</v>
      </c>
      <c r="K37">
        <v>-2.0433333331794001</v>
      </c>
      <c r="L37">
        <v>-1</v>
      </c>
      <c r="M37">
        <v>18.535000000135199</v>
      </c>
      <c r="N37">
        <v>-1</v>
      </c>
      <c r="O37">
        <v>5.8790565693249901</v>
      </c>
      <c r="P37">
        <v>7.9604151222519404E-2</v>
      </c>
      <c r="Q37">
        <v>8.04323214325426E-3</v>
      </c>
      <c r="R37">
        <v>-6.9714232775147697E-2</v>
      </c>
      <c r="S37">
        <v>-3.16172006828912E-2</v>
      </c>
      <c r="T37">
        <v>74.179130382133494</v>
      </c>
      <c r="U37">
        <v>8.5083148149590695</v>
      </c>
      <c r="V37">
        <v>-1</v>
      </c>
      <c r="W37">
        <v>3.06097396598775</v>
      </c>
      <c r="X37">
        <v>-1.5333333331799599</v>
      </c>
      <c r="Y37">
        <v>-1</v>
      </c>
      <c r="Z37">
        <v>18.696666666801601</v>
      </c>
      <c r="AA37">
        <v>-1</v>
      </c>
      <c r="AB37">
        <v>3.7654043010095002</v>
      </c>
      <c r="AC37">
        <v>-6.9714232775147697E-2</v>
      </c>
      <c r="AD37">
        <v>3.19002592170364</v>
      </c>
      <c r="AE37">
        <v>0</v>
      </c>
      <c r="AF37">
        <v>3.3057978245301798</v>
      </c>
      <c r="AG37">
        <v>0</v>
      </c>
      <c r="AH37">
        <v>0.66682636555641495</v>
      </c>
      <c r="AI37">
        <v>23.855999999999899</v>
      </c>
      <c r="AJ37">
        <v>24.123999999999999</v>
      </c>
      <c r="AK37">
        <v>1.9669186730614099E-2</v>
      </c>
      <c r="AL37">
        <v>0.107530882567097</v>
      </c>
      <c r="AM37">
        <v>25.23556</v>
      </c>
      <c r="AN37">
        <v>80.019163866769802</v>
      </c>
      <c r="AO37">
        <v>0.115546138658657</v>
      </c>
      <c r="AP37">
        <v>8.9096988394054805E-2</v>
      </c>
      <c r="AQ37">
        <v>9.1299150644988405E-2</v>
      </c>
      <c r="AR37">
        <v>0.100734761070141</v>
      </c>
      <c r="AS37">
        <v>0.102581591043394</v>
      </c>
    </row>
    <row r="38" spans="1:45" x14ac:dyDescent="0.2">
      <c r="A38" t="s">
        <v>114</v>
      </c>
      <c r="B38" t="s">
        <v>79</v>
      </c>
      <c r="C38" t="s">
        <v>45</v>
      </c>
      <c r="D38">
        <v>5.66</v>
      </c>
      <c r="E38">
        <v>24.8</v>
      </c>
      <c r="F38">
        <v>-8.2807129960895606E-2</v>
      </c>
      <c r="G38">
        <v>19.944693082151002</v>
      </c>
      <c r="H38">
        <v>8.0681762266959893</v>
      </c>
      <c r="I38">
        <v>-1</v>
      </c>
      <c r="J38">
        <v>6.2532739416500203</v>
      </c>
      <c r="K38">
        <v>-5.6033333331761002</v>
      </c>
      <c r="L38">
        <v>-1</v>
      </c>
      <c r="M38">
        <v>20.638333333466601</v>
      </c>
      <c r="N38">
        <v>-1</v>
      </c>
      <c r="O38">
        <v>7.0286305817817798</v>
      </c>
      <c r="P38">
        <v>0.12957749793706</v>
      </c>
      <c r="Q38">
        <v>-7.6693583309468197E-2</v>
      </c>
      <c r="R38">
        <v>-0.107514049759868</v>
      </c>
      <c r="S38">
        <v>-8.2807129960895606E-2</v>
      </c>
      <c r="T38">
        <v>14.5865990169552</v>
      </c>
      <c r="U38">
        <v>8.7199857505048293</v>
      </c>
      <c r="V38">
        <v>-1</v>
      </c>
      <c r="W38">
        <v>6.23036215341663</v>
      </c>
      <c r="X38">
        <v>-5.0933333331766599</v>
      </c>
      <c r="Y38">
        <v>-1</v>
      </c>
      <c r="Z38">
        <v>20.846666666799699</v>
      </c>
      <c r="AA38">
        <v>-1</v>
      </c>
      <c r="AB38">
        <v>6.23036215341663</v>
      </c>
      <c r="AC38">
        <v>-0.107514049759868</v>
      </c>
      <c r="AD38">
        <v>1.96067482861275</v>
      </c>
      <c r="AE38">
        <v>0</v>
      </c>
      <c r="AF38">
        <v>1.94686579869413</v>
      </c>
      <c r="AG38">
        <v>0</v>
      </c>
      <c r="AH38">
        <v>0.23062961109166699</v>
      </c>
      <c r="AI38">
        <v>36.65</v>
      </c>
      <c r="AJ38">
        <v>37.158000000000001</v>
      </c>
      <c r="AK38">
        <v>0.11093875426694499</v>
      </c>
      <c r="AL38">
        <v>0.21681797617951901</v>
      </c>
      <c r="AM38">
        <v>48.386139999999997</v>
      </c>
      <c r="AN38">
        <v>23.754849942441702</v>
      </c>
      <c r="AO38">
        <v>0.17053280173243901</v>
      </c>
      <c r="AP38">
        <v>0.17008573905862701</v>
      </c>
      <c r="AQ38">
        <v>0.17718174303974499</v>
      </c>
      <c r="AR38">
        <v>0.17606411897302701</v>
      </c>
      <c r="AS38">
        <v>0.182965134697155</v>
      </c>
    </row>
    <row r="39" spans="1:45" x14ac:dyDescent="0.2">
      <c r="A39" t="s">
        <v>82</v>
      </c>
      <c r="B39" t="s">
        <v>83</v>
      </c>
      <c r="C39" t="s">
        <v>45</v>
      </c>
      <c r="D39">
        <v>39.92</v>
      </c>
      <c r="E39">
        <v>49.8</v>
      </c>
      <c r="F39">
        <v>0.163135208590973</v>
      </c>
      <c r="G39">
        <v>-10.305005167909499</v>
      </c>
      <c r="H39">
        <v>-12.019999999839801</v>
      </c>
      <c r="I39">
        <v>-1</v>
      </c>
      <c r="J39">
        <v>-6.4815238093820904</v>
      </c>
      <c r="K39">
        <v>-12.2199999998398</v>
      </c>
      <c r="L39">
        <v>-1</v>
      </c>
      <c r="M39">
        <v>-12.2199999998398</v>
      </c>
      <c r="N39">
        <v>-1</v>
      </c>
      <c r="O39">
        <v>10.9921850132272</v>
      </c>
      <c r="P39">
        <v>0.20958072871962599</v>
      </c>
      <c r="Q39">
        <v>9.6973424310871206E-2</v>
      </c>
      <c r="R39">
        <v>0.21338796198396401</v>
      </c>
      <c r="S39">
        <v>0.163135208590973</v>
      </c>
      <c r="T39">
        <v>-9.6622102631657594</v>
      </c>
      <c r="U39">
        <v>-12.5933333331699</v>
      </c>
      <c r="V39">
        <v>-1</v>
      </c>
      <c r="W39">
        <v>-9.2880555554041102</v>
      </c>
      <c r="X39">
        <v>-12.5933333331699</v>
      </c>
      <c r="Y39">
        <v>-1</v>
      </c>
      <c r="Z39">
        <v>-12.5933333331699</v>
      </c>
      <c r="AA39">
        <v>-1</v>
      </c>
      <c r="AB39">
        <v>9.2880555554041102</v>
      </c>
      <c r="AC39">
        <v>0.21338796198396401</v>
      </c>
      <c r="AD39">
        <v>0.76525250847391602</v>
      </c>
      <c r="AE39">
        <v>0</v>
      </c>
      <c r="AF39">
        <v>0.76657987289038498</v>
      </c>
      <c r="AG39">
        <v>0</v>
      </c>
      <c r="AH39">
        <v>-2.1746322016985999</v>
      </c>
      <c r="AI39">
        <v>5.62</v>
      </c>
      <c r="AJ39">
        <v>5.98</v>
      </c>
      <c r="AK39" s="1">
        <v>7.02056841734777E-7</v>
      </c>
      <c r="AL39">
        <v>1.9380323350720201E-4</v>
      </c>
      <c r="AM39">
        <v>0.22333999999999901</v>
      </c>
      <c r="AN39">
        <v>-502.34003859237799</v>
      </c>
      <c r="AO39">
        <v>0.13469730017300799</v>
      </c>
      <c r="AP39">
        <v>0.18890854965638301</v>
      </c>
      <c r="AQ39">
        <v>0.21662730006877201</v>
      </c>
      <c r="AR39">
        <v>0.18344201093250601</v>
      </c>
      <c r="AS39">
        <v>0.21192950546790501</v>
      </c>
    </row>
    <row r="40" spans="1:45" x14ac:dyDescent="0.2">
      <c r="A40" t="s">
        <v>84</v>
      </c>
      <c r="B40" t="s">
        <v>83</v>
      </c>
      <c r="C40" t="s">
        <v>45</v>
      </c>
      <c r="D40">
        <v>114.46</v>
      </c>
      <c r="E40">
        <v>174.1</v>
      </c>
      <c r="F40">
        <v>3.6806414054960997E-2</v>
      </c>
      <c r="G40">
        <v>-80.910343477489803</v>
      </c>
      <c r="H40">
        <v>-7.5516666665077201</v>
      </c>
      <c r="I40">
        <v>-1</v>
      </c>
      <c r="J40">
        <v>-4.7452883596431601</v>
      </c>
      <c r="K40">
        <v>-7.5516666665077201</v>
      </c>
      <c r="L40">
        <v>-1</v>
      </c>
      <c r="M40">
        <v>-7.5516666665077201</v>
      </c>
      <c r="N40">
        <v>-1</v>
      </c>
      <c r="O40">
        <v>7.2447105944175396</v>
      </c>
      <c r="P40">
        <v>2.4150595475887202E-2</v>
      </c>
      <c r="Q40">
        <v>1.8340029582759699E-2</v>
      </c>
      <c r="R40">
        <v>2.9565180704547101E-2</v>
      </c>
      <c r="S40">
        <v>3.6806414054960997E-2</v>
      </c>
      <c r="T40">
        <v>-183.18662465920499</v>
      </c>
      <c r="U40">
        <v>-7.0416666665082799</v>
      </c>
      <c r="V40">
        <v>-1</v>
      </c>
      <c r="W40">
        <v>-4.98601851837289</v>
      </c>
      <c r="X40">
        <v>-7.0416666665082799</v>
      </c>
      <c r="Y40">
        <v>-1</v>
      </c>
      <c r="Z40">
        <v>-7.0416666665082799</v>
      </c>
      <c r="AA40">
        <v>-1</v>
      </c>
      <c r="AB40">
        <v>6.0943518517291499</v>
      </c>
      <c r="AC40">
        <v>2.9565180704547001E-2</v>
      </c>
      <c r="AD40">
        <v>1.98856464847855</v>
      </c>
      <c r="AE40">
        <v>0</v>
      </c>
      <c r="AF40">
        <v>1.7799987357981499</v>
      </c>
      <c r="AG40">
        <v>0</v>
      </c>
      <c r="AH40">
        <v>-2.4786315110417498</v>
      </c>
      <c r="AI40">
        <v>5.86</v>
      </c>
      <c r="AJ40">
        <v>5.94</v>
      </c>
      <c r="AK40" s="1">
        <v>4.7590072221875297E-7</v>
      </c>
      <c r="AL40" s="1">
        <v>4.6231898840701498E-6</v>
      </c>
      <c r="AM40">
        <v>0.99412</v>
      </c>
      <c r="AN40">
        <v>-572.56387905064503</v>
      </c>
      <c r="AO40">
        <v>6.8487009794177905E-2</v>
      </c>
      <c r="AP40">
        <v>6.8413360920327002E-2</v>
      </c>
      <c r="AQ40">
        <v>7.3001405947689793E-2</v>
      </c>
      <c r="AR40">
        <v>7.8535242770743696E-2</v>
      </c>
      <c r="AS40">
        <v>8.0243458578739602E-2</v>
      </c>
    </row>
    <row r="41" spans="1:45" x14ac:dyDescent="0.2">
      <c r="A41" t="s">
        <v>85</v>
      </c>
      <c r="B41" t="s">
        <v>86</v>
      </c>
      <c r="C41" t="s">
        <v>45</v>
      </c>
      <c r="D41">
        <v>139.1</v>
      </c>
      <c r="E41">
        <v>151.6</v>
      </c>
      <c r="F41">
        <v>6.0594982396583397E-2</v>
      </c>
      <c r="G41">
        <v>-284578.78290258901</v>
      </c>
      <c r="H41">
        <v>-9.0466666665063702</v>
      </c>
      <c r="I41">
        <v>-1</v>
      </c>
      <c r="J41">
        <v>-6.7582744707512399</v>
      </c>
      <c r="K41">
        <v>-9.8066666665056808</v>
      </c>
      <c r="L41">
        <v>-1</v>
      </c>
      <c r="M41">
        <v>-9.0316666665063892</v>
      </c>
      <c r="N41">
        <v>-1</v>
      </c>
      <c r="O41">
        <v>8.5611659880598303</v>
      </c>
      <c r="P41">
        <v>5.5611590563340698E-3</v>
      </c>
      <c r="Q41">
        <v>3.3445234033443898E-2</v>
      </c>
      <c r="R41">
        <v>6.38330659096519E-3</v>
      </c>
      <c r="S41">
        <v>6.0594982396583397E-2</v>
      </c>
      <c r="T41">
        <v>-337552.23653248203</v>
      </c>
      <c r="U41">
        <v>-8.7024999998401107</v>
      </c>
      <c r="V41">
        <v>-1</v>
      </c>
      <c r="W41">
        <v>-6.3904166665197497</v>
      </c>
      <c r="X41">
        <v>-9.2966666665062299</v>
      </c>
      <c r="Y41">
        <v>-1</v>
      </c>
      <c r="Z41">
        <v>-8.5516666665069003</v>
      </c>
      <c r="AA41">
        <v>-1</v>
      </c>
      <c r="AB41">
        <v>6.7737499998833703</v>
      </c>
      <c r="AC41">
        <v>6.38330659096519E-3</v>
      </c>
      <c r="AD41">
        <v>5.0888724606456401</v>
      </c>
      <c r="AE41">
        <v>0</v>
      </c>
      <c r="AF41">
        <v>3.1746835146658801</v>
      </c>
      <c r="AG41">
        <v>0</v>
      </c>
      <c r="AH41">
        <v>-2293.8704001259898</v>
      </c>
      <c r="AI41">
        <v>7</v>
      </c>
      <c r="AJ41">
        <v>7.0979999999999999</v>
      </c>
      <c r="AK41" s="1">
        <v>2.69892589091945E-36</v>
      </c>
      <c r="AL41" s="1">
        <v>2.5540613063955399E-32</v>
      </c>
      <c r="AM41">
        <v>2.94964</v>
      </c>
      <c r="AN41">
        <v>-369313.134420285</v>
      </c>
      <c r="AO41">
        <v>8.0494674533080304E-2</v>
      </c>
      <c r="AP41">
        <v>8.7931092768461505E-2</v>
      </c>
      <c r="AQ41">
        <v>7.5685550610173999E-2</v>
      </c>
      <c r="AR41">
        <v>9.4778495737337098E-2</v>
      </c>
      <c r="AS41">
        <v>8.2553573207361494E-2</v>
      </c>
    </row>
    <row r="42" spans="1:45" x14ac:dyDescent="0.2">
      <c r="A42" t="s">
        <v>87</v>
      </c>
      <c r="B42" t="s">
        <v>86</v>
      </c>
      <c r="C42" t="s">
        <v>45</v>
      </c>
      <c r="D42">
        <v>0</v>
      </c>
      <c r="E42">
        <v>0.02</v>
      </c>
      <c r="F42">
        <v>2.7106482396583399E-2</v>
      </c>
      <c r="G42">
        <v>112.190622295605</v>
      </c>
      <c r="H42">
        <v>-3.7974999998444501</v>
      </c>
      <c r="I42">
        <v>-1</v>
      </c>
      <c r="J42">
        <v>-2.7652910051533102</v>
      </c>
      <c r="K42">
        <v>-5.3399999998430498</v>
      </c>
      <c r="L42">
        <v>-1</v>
      </c>
      <c r="M42">
        <v>-4.2766666665106703</v>
      </c>
      <c r="N42">
        <v>-1</v>
      </c>
      <c r="O42">
        <v>8.3978728004822099</v>
      </c>
      <c r="P42">
        <v>8.3793630335174396E-2</v>
      </c>
      <c r="Q42">
        <v>1.3597528014929301E-3</v>
      </c>
      <c r="R42">
        <v>-2.7105193409034702E-2</v>
      </c>
      <c r="S42">
        <v>2.7106482396583399E-2</v>
      </c>
      <c r="T42">
        <v>104.40717778672401</v>
      </c>
      <c r="U42">
        <v>-3.6012499998447201</v>
      </c>
      <c r="V42">
        <v>-1</v>
      </c>
      <c r="W42">
        <v>-2.6250972220858602</v>
      </c>
      <c r="X42">
        <v>-4.8299999998436096</v>
      </c>
      <c r="Y42">
        <v>-1</v>
      </c>
      <c r="Z42">
        <v>-3.9649999998443799</v>
      </c>
      <c r="AA42">
        <v>-1</v>
      </c>
      <c r="AB42">
        <v>4.37676388882275</v>
      </c>
      <c r="AC42">
        <v>-2.7105193409034799E-2</v>
      </c>
      <c r="AD42">
        <v>3.9308098556387998</v>
      </c>
      <c r="AE42">
        <v>0</v>
      </c>
      <c r="AF42">
        <v>4.0756132232269104</v>
      </c>
      <c r="AG42">
        <v>0</v>
      </c>
      <c r="AH42">
        <v>1.18651915365689</v>
      </c>
      <c r="AI42">
        <v>6.6239999999999997</v>
      </c>
      <c r="AJ42">
        <v>6.6339999999999897</v>
      </c>
      <c r="AK42">
        <v>0.92904043190307595</v>
      </c>
      <c r="AL42">
        <v>0.97059554101243195</v>
      </c>
      <c r="AM42">
        <v>3.2153999999999998</v>
      </c>
      <c r="AN42">
        <v>191.02958373876001</v>
      </c>
      <c r="AO42">
        <v>7.1832698867353606E-2</v>
      </c>
      <c r="AP42">
        <v>6.9245119479496894E-2</v>
      </c>
      <c r="AQ42">
        <v>6.2967919567622502E-2</v>
      </c>
      <c r="AR42">
        <v>7.77558534806638E-2</v>
      </c>
      <c r="AS42">
        <v>7.1075655275294997E-2</v>
      </c>
    </row>
    <row r="43" spans="1:45" x14ac:dyDescent="0.2">
      <c r="A43" t="s">
        <v>88</v>
      </c>
      <c r="B43" t="s">
        <v>86</v>
      </c>
      <c r="C43" t="s">
        <v>45</v>
      </c>
      <c r="D43">
        <v>0</v>
      </c>
      <c r="E43">
        <v>5.84</v>
      </c>
      <c r="F43">
        <v>2.6749688132647598E-2</v>
      </c>
      <c r="G43">
        <v>119.122898845653</v>
      </c>
      <c r="H43">
        <v>-4.7177777776214098</v>
      </c>
      <c r="I43">
        <v>-1</v>
      </c>
      <c r="J43">
        <v>-2.4390277776399398</v>
      </c>
      <c r="K43">
        <v>-5.6166666665094898</v>
      </c>
      <c r="L43">
        <v>-1</v>
      </c>
      <c r="M43">
        <v>-4.6816666665103197</v>
      </c>
      <c r="N43">
        <v>-1</v>
      </c>
      <c r="O43">
        <v>7.7047967196342304</v>
      </c>
      <c r="P43">
        <v>8.2432520992155506E-2</v>
      </c>
      <c r="Q43">
        <v>-1.2376938440542599E-2</v>
      </c>
      <c r="R43">
        <v>-1.1779667179008701E-2</v>
      </c>
      <c r="S43">
        <v>2.6749688132647598E-2</v>
      </c>
      <c r="T43">
        <v>114.381860792944</v>
      </c>
      <c r="U43">
        <v>-4.4319444442884297</v>
      </c>
      <c r="V43">
        <v>-1</v>
      </c>
      <c r="W43">
        <v>-2.3087499998634602</v>
      </c>
      <c r="X43">
        <v>-5.1066666665100398</v>
      </c>
      <c r="Y43">
        <v>-1</v>
      </c>
      <c r="Z43">
        <v>-4.5183333331772397</v>
      </c>
      <c r="AA43">
        <v>-1</v>
      </c>
      <c r="AB43">
        <v>3.9859722221607599</v>
      </c>
      <c r="AC43">
        <v>-1.17796671790088E-2</v>
      </c>
      <c r="AD43">
        <v>3.7173804671969202</v>
      </c>
      <c r="AE43">
        <v>0</v>
      </c>
      <c r="AF43">
        <v>3.9850715300605999</v>
      </c>
      <c r="AG43">
        <v>0</v>
      </c>
      <c r="AH43">
        <v>1.1158160757572499</v>
      </c>
      <c r="AI43">
        <v>6.41</v>
      </c>
      <c r="AJ43">
        <v>6.4660000000000002</v>
      </c>
      <c r="AK43">
        <v>0.73469508122249005</v>
      </c>
      <c r="AL43">
        <v>0.73469508122249005</v>
      </c>
      <c r="AM43">
        <v>1.5832599999999999</v>
      </c>
      <c r="AN43">
        <v>179.646388196918</v>
      </c>
      <c r="AO43">
        <v>7.3392659294958099E-2</v>
      </c>
      <c r="AP43">
        <v>6.0986399118336997E-2</v>
      </c>
      <c r="AQ43">
        <v>6.1297941408735401E-2</v>
      </c>
      <c r="AR43">
        <v>6.6620159896622302E-2</v>
      </c>
      <c r="AS43">
        <v>6.6279752712423298E-2</v>
      </c>
    </row>
    <row r="44" spans="1:45" x14ac:dyDescent="0.2">
      <c r="A44" t="s">
        <v>89</v>
      </c>
      <c r="B44" t="s">
        <v>86</v>
      </c>
      <c r="C44" t="s">
        <v>45</v>
      </c>
      <c r="D44">
        <v>0</v>
      </c>
      <c r="E44">
        <v>8.36</v>
      </c>
      <c r="F44">
        <v>1.92996881326476E-2</v>
      </c>
      <c r="G44">
        <v>120.119221135589</v>
      </c>
      <c r="H44">
        <v>-3.7440277776222501</v>
      </c>
      <c r="I44">
        <v>-1</v>
      </c>
      <c r="J44">
        <v>-1.7183009257901201</v>
      </c>
      <c r="K44">
        <v>-4.8133333331768204</v>
      </c>
      <c r="L44">
        <v>-1</v>
      </c>
      <c r="M44">
        <v>-4.1349999998441103</v>
      </c>
      <c r="N44">
        <v>-1</v>
      </c>
      <c r="O44">
        <v>7.8952940639379099</v>
      </c>
      <c r="P44">
        <v>8.2432520992155506E-2</v>
      </c>
      <c r="Q44">
        <v>-1.9826938440542601E-2</v>
      </c>
      <c r="R44">
        <v>-1.9229667179008699E-2</v>
      </c>
      <c r="S44">
        <v>1.92996881326476E-2</v>
      </c>
      <c r="T44">
        <v>115.59404543338501</v>
      </c>
      <c r="U44">
        <v>-3.3301388887338299</v>
      </c>
      <c r="V44">
        <v>-1</v>
      </c>
      <c r="W44">
        <v>-1.5282407406063301</v>
      </c>
      <c r="X44">
        <v>-4.3033333331773704</v>
      </c>
      <c r="Y44">
        <v>-1</v>
      </c>
      <c r="Z44">
        <v>-3.5466666665113999</v>
      </c>
      <c r="AA44">
        <v>-1</v>
      </c>
      <c r="AB44">
        <v>3.61138888884929</v>
      </c>
      <c r="AC44">
        <v>-1.9229667179008699E-2</v>
      </c>
      <c r="AD44">
        <v>3.77314945459158</v>
      </c>
      <c r="AE44">
        <v>0</v>
      </c>
      <c r="AF44">
        <v>4.00080960770745</v>
      </c>
      <c r="AG44">
        <v>0</v>
      </c>
      <c r="AH44">
        <v>1.0829727145939501</v>
      </c>
      <c r="AI44">
        <v>6.39</v>
      </c>
      <c r="AJ44">
        <v>6.4479999999999897</v>
      </c>
      <c r="AK44">
        <v>0.682185065421133</v>
      </c>
      <c r="AL44">
        <v>0.68677959574217995</v>
      </c>
      <c r="AM44">
        <v>1.5832599999999999</v>
      </c>
      <c r="AN44">
        <v>174.35860704962599</v>
      </c>
      <c r="AO44">
        <v>7.5009341559234305E-2</v>
      </c>
      <c r="AP44">
        <v>5.81057056083535E-2</v>
      </c>
      <c r="AQ44">
        <v>5.9151021794495197E-2</v>
      </c>
      <c r="AR44">
        <v>6.3993576642308994E-2</v>
      </c>
      <c r="AS44">
        <v>6.4299388628540496E-2</v>
      </c>
    </row>
    <row r="45" spans="1:45" x14ac:dyDescent="0.2">
      <c r="A45" t="s">
        <v>90</v>
      </c>
      <c r="B45" t="s">
        <v>86</v>
      </c>
      <c r="C45" t="s">
        <v>45</v>
      </c>
      <c r="D45">
        <v>0</v>
      </c>
      <c r="E45">
        <v>0.06</v>
      </c>
      <c r="F45">
        <v>2.1807336112419199E-2</v>
      </c>
      <c r="G45">
        <v>127.81937211707999</v>
      </c>
      <c r="H45">
        <v>-4.2388888887329097</v>
      </c>
      <c r="I45">
        <v>-1</v>
      </c>
      <c r="J45">
        <v>-2.2543313490686301</v>
      </c>
      <c r="K45">
        <v>-5.0983333331765799</v>
      </c>
      <c r="L45">
        <v>-1</v>
      </c>
      <c r="M45">
        <v>-4.4366666665105097</v>
      </c>
      <c r="N45">
        <v>-1</v>
      </c>
      <c r="O45">
        <v>7.5798874557906801</v>
      </c>
      <c r="P45">
        <v>7.1457482131925001E-2</v>
      </c>
      <c r="Q45">
        <v>-1.58422680392572E-3</v>
      </c>
      <c r="R45">
        <v>-1.7565796554213899E-2</v>
      </c>
      <c r="S45">
        <v>2.18073361124193E-2</v>
      </c>
      <c r="T45">
        <v>118.22091968468099</v>
      </c>
      <c r="U45">
        <v>-4.0088888887332201</v>
      </c>
      <c r="V45">
        <v>-1</v>
      </c>
      <c r="W45">
        <v>-2.081249338488</v>
      </c>
      <c r="X45">
        <v>-4.5883333331771397</v>
      </c>
      <c r="Y45">
        <v>-1</v>
      </c>
      <c r="Z45">
        <v>-4.2399999998441302</v>
      </c>
      <c r="AA45">
        <v>-1</v>
      </c>
      <c r="AB45">
        <v>4.1715271163557901</v>
      </c>
      <c r="AC45">
        <v>-1.7565796554213999E-2</v>
      </c>
      <c r="AD45">
        <v>4.39599823654203</v>
      </c>
      <c r="AE45">
        <v>0</v>
      </c>
      <c r="AF45">
        <v>4.6618844448771899</v>
      </c>
      <c r="AG45">
        <v>0</v>
      </c>
      <c r="AH45">
        <v>1.40519144977305</v>
      </c>
      <c r="AI45">
        <v>6.452</v>
      </c>
      <c r="AJ45">
        <v>6.5060000000000002</v>
      </c>
      <c r="AK45">
        <v>0.95421842163095605</v>
      </c>
      <c r="AL45">
        <v>0.96026337944761497</v>
      </c>
      <c r="AM45">
        <v>2.0021800000000001</v>
      </c>
      <c r="AN45">
        <v>220.61505761436899</v>
      </c>
      <c r="AO45">
        <v>5.5894377456342702E-2</v>
      </c>
      <c r="AP45">
        <v>5.74660872586246E-2</v>
      </c>
      <c r="AQ45">
        <v>5.7246554847885003E-2</v>
      </c>
      <c r="AR45">
        <v>6.6507689843305406E-2</v>
      </c>
      <c r="AS45">
        <v>6.5149963386417195E-2</v>
      </c>
    </row>
    <row r="46" spans="1:45" x14ac:dyDescent="0.2">
      <c r="A46" t="s">
        <v>91</v>
      </c>
      <c r="B46" t="s">
        <v>86</v>
      </c>
      <c r="C46" t="s">
        <v>45</v>
      </c>
      <c r="D46">
        <v>0</v>
      </c>
      <c r="E46">
        <v>0</v>
      </c>
      <c r="F46">
        <v>2.4510498873221601E-2</v>
      </c>
      <c r="G46">
        <v>108.40821709207999</v>
      </c>
      <c r="H46">
        <v>-4.5229166665104596</v>
      </c>
      <c r="I46">
        <v>-1</v>
      </c>
      <c r="J46">
        <v>-2.76896428557373</v>
      </c>
      <c r="K46">
        <v>-5.6766666665093997</v>
      </c>
      <c r="L46">
        <v>-1</v>
      </c>
      <c r="M46">
        <v>-4.64666666651034</v>
      </c>
      <c r="N46">
        <v>-1</v>
      </c>
      <c r="O46">
        <v>7.2060038243553501</v>
      </c>
      <c r="P46">
        <v>0.101233526324536</v>
      </c>
      <c r="Q46">
        <v>-6.2150192900871002E-4</v>
      </c>
      <c r="R46">
        <v>-1.4012992470289001E-2</v>
      </c>
      <c r="S46">
        <v>2.4510498873221601E-2</v>
      </c>
      <c r="T46">
        <v>103.516056528633</v>
      </c>
      <c r="U46">
        <v>-4.1883333331775203</v>
      </c>
      <c r="V46">
        <v>-1</v>
      </c>
      <c r="W46">
        <v>-2.5720343913952401</v>
      </c>
      <c r="X46">
        <v>-5.1666666665099603</v>
      </c>
      <c r="Y46">
        <v>-1</v>
      </c>
      <c r="Z46">
        <v>-4.2849999998441</v>
      </c>
      <c r="AA46">
        <v>-1</v>
      </c>
      <c r="AB46">
        <v>4.3187010581235104</v>
      </c>
      <c r="AC46">
        <v>-1.4012992470289001E-2</v>
      </c>
      <c r="AD46">
        <v>3.3404684083735199</v>
      </c>
      <c r="AE46">
        <v>0</v>
      </c>
      <c r="AF46">
        <v>3.4615447452401198</v>
      </c>
      <c r="AG46">
        <v>0</v>
      </c>
      <c r="AH46">
        <v>1.17339184182503</v>
      </c>
      <c r="AI46">
        <v>6.8739999999999997</v>
      </c>
      <c r="AJ46">
        <v>6.95</v>
      </c>
      <c r="AK46">
        <v>0.99034568039956805</v>
      </c>
      <c r="AL46">
        <v>0.99034568039956805</v>
      </c>
      <c r="AM46">
        <v>1.9985200000000001</v>
      </c>
      <c r="AN46">
        <v>188.91608653383</v>
      </c>
      <c r="AO46">
        <v>5.9054743759799397E-2</v>
      </c>
      <c r="AP46">
        <v>5.8964834996901701E-2</v>
      </c>
      <c r="AQ46">
        <v>5.8514582148916403E-2</v>
      </c>
      <c r="AR46">
        <v>6.7802264827025005E-2</v>
      </c>
      <c r="AS46">
        <v>6.6361213946859607E-2</v>
      </c>
    </row>
    <row r="47" spans="1:45" x14ac:dyDescent="0.2">
      <c r="A47" t="s">
        <v>92</v>
      </c>
      <c r="B47" t="s">
        <v>86</v>
      </c>
      <c r="C47" t="s">
        <v>45</v>
      </c>
      <c r="D47">
        <v>0</v>
      </c>
      <c r="E47">
        <v>0</v>
      </c>
      <c r="F47">
        <v>1.92713488732216E-2</v>
      </c>
      <c r="G47">
        <v>122.189762973843</v>
      </c>
      <c r="H47">
        <v>-3.8638888887333001</v>
      </c>
      <c r="I47">
        <v>-1</v>
      </c>
      <c r="J47">
        <v>-2.08287301573499</v>
      </c>
      <c r="K47">
        <v>-5.1749999998432399</v>
      </c>
      <c r="L47">
        <v>-1</v>
      </c>
      <c r="M47">
        <v>-4.0416666665109098</v>
      </c>
      <c r="N47">
        <v>-1</v>
      </c>
      <c r="O47">
        <v>7.6175809743406102</v>
      </c>
      <c r="P47">
        <v>8.1092660958686405E-2</v>
      </c>
      <c r="Q47">
        <v>-3.0209573557766498E-3</v>
      </c>
      <c r="R47">
        <v>-1.9252142470288999E-2</v>
      </c>
      <c r="S47">
        <v>1.92713488732216E-2</v>
      </c>
      <c r="T47">
        <v>114.596022070449</v>
      </c>
      <c r="U47">
        <v>-3.6327777776224899</v>
      </c>
      <c r="V47">
        <v>-1</v>
      </c>
      <c r="W47">
        <v>-1.90876388875224</v>
      </c>
      <c r="X47">
        <v>-4.6649999998437899</v>
      </c>
      <c r="Y47">
        <v>-1</v>
      </c>
      <c r="Z47">
        <v>-3.8249999998445401</v>
      </c>
      <c r="AA47">
        <v>-1</v>
      </c>
      <c r="AB47">
        <v>3.9870972221765499</v>
      </c>
      <c r="AC47">
        <v>-1.9252142470288999E-2</v>
      </c>
      <c r="AD47">
        <v>4.0269516770009801</v>
      </c>
      <c r="AE47">
        <v>0</v>
      </c>
      <c r="AF47">
        <v>4.2292765879738097</v>
      </c>
      <c r="AG47">
        <v>0</v>
      </c>
      <c r="AH47">
        <v>1.3252777033454799</v>
      </c>
      <c r="AI47">
        <v>6.5720000000000001</v>
      </c>
      <c r="AJ47">
        <v>6.6459999999999999</v>
      </c>
      <c r="AK47">
        <v>0.98254214788905103</v>
      </c>
      <c r="AL47">
        <v>0.98254214788905103</v>
      </c>
      <c r="AM47">
        <v>1.9520999999999999</v>
      </c>
      <c r="AN47">
        <v>213.36971023862299</v>
      </c>
      <c r="AO47">
        <v>5.7055526969097103E-2</v>
      </c>
      <c r="AP47">
        <v>5.6986595779981997E-2</v>
      </c>
      <c r="AQ47">
        <v>5.7161083668455799E-2</v>
      </c>
      <c r="AR47">
        <v>6.6089087208504094E-2</v>
      </c>
      <c r="AS47">
        <v>6.5170882137583402E-2</v>
      </c>
    </row>
    <row r="48" spans="1:45" x14ac:dyDescent="0.2">
      <c r="A48" t="s">
        <v>93</v>
      </c>
      <c r="B48" t="s">
        <v>94</v>
      </c>
      <c r="C48" t="s">
        <v>45</v>
      </c>
      <c r="D48">
        <v>144.72</v>
      </c>
      <c r="E48">
        <v>189.06</v>
      </c>
      <c r="F48">
        <v>0.192684576705589</v>
      </c>
      <c r="G48">
        <v>-2124.76698475474</v>
      </c>
      <c r="H48">
        <v>-12.599999999842201</v>
      </c>
      <c r="I48">
        <v>-1</v>
      </c>
      <c r="J48">
        <v>-6.5485238093843803</v>
      </c>
      <c r="K48">
        <v>-12.999999999842199</v>
      </c>
      <c r="L48">
        <v>-1</v>
      </c>
      <c r="M48">
        <v>-12.999999999842199</v>
      </c>
      <c r="N48">
        <v>-1</v>
      </c>
      <c r="O48">
        <v>11.8748688274237</v>
      </c>
      <c r="P48">
        <v>3.6926549131348803E-2</v>
      </c>
      <c r="Q48">
        <v>4.8793121770120497E-2</v>
      </c>
      <c r="R48">
        <v>0.27210360723566501</v>
      </c>
      <c r="S48">
        <v>0.192684576705589</v>
      </c>
      <c r="T48">
        <v>-2022.1626632391501</v>
      </c>
      <c r="U48">
        <v>-14.249999999835101</v>
      </c>
      <c r="V48">
        <v>-1</v>
      </c>
      <c r="W48">
        <v>-10.458333333180301</v>
      </c>
      <c r="X48">
        <v>-14.249999999835101</v>
      </c>
      <c r="Y48">
        <v>-1</v>
      </c>
      <c r="Z48">
        <v>-14.249999999835101</v>
      </c>
      <c r="AA48">
        <v>-1</v>
      </c>
      <c r="AB48">
        <v>10.458333333180301</v>
      </c>
      <c r="AC48">
        <v>0.27210360723566501</v>
      </c>
      <c r="AD48" s="1">
        <v>6.3817722048698096E-13</v>
      </c>
      <c r="AE48">
        <v>0</v>
      </c>
      <c r="AF48">
        <v>1.69981949479315E-3</v>
      </c>
      <c r="AG48">
        <v>0</v>
      </c>
      <c r="AH48">
        <v>-9.4591534962234203</v>
      </c>
      <c r="AI48">
        <v>5.52</v>
      </c>
      <c r="AJ48">
        <v>6</v>
      </c>
      <c r="AK48" s="1">
        <v>2.1313347510852899E-13</v>
      </c>
      <c r="AL48" s="1">
        <v>6.50514821560065E-13</v>
      </c>
      <c r="AM48">
        <v>0.26779999999999998</v>
      </c>
      <c r="AN48">
        <v>-2185.06445762761</v>
      </c>
      <c r="AO48">
        <v>0.15580817528743199</v>
      </c>
      <c r="AP48">
        <v>0.22835104257855399</v>
      </c>
      <c r="AQ48">
        <v>0.26241469911002102</v>
      </c>
      <c r="AR48">
        <v>0.22338475421183901</v>
      </c>
      <c r="AS48">
        <v>0.25818988179154001</v>
      </c>
    </row>
    <row r="49" spans="1:45" x14ac:dyDescent="0.2">
      <c r="A49" t="s">
        <v>95</v>
      </c>
      <c r="B49" t="s">
        <v>94</v>
      </c>
      <c r="C49" t="s">
        <v>45</v>
      </c>
      <c r="D49">
        <v>159.63999999999999</v>
      </c>
      <c r="E49">
        <v>200.4</v>
      </c>
      <c r="F49">
        <v>-9.0471629269450599E-2</v>
      </c>
      <c r="G49">
        <v>-524.15449644796001</v>
      </c>
      <c r="H49">
        <v>19.9475000000897</v>
      </c>
      <c r="I49">
        <v>-1</v>
      </c>
      <c r="J49">
        <v>9.1190515874074105</v>
      </c>
      <c r="K49">
        <v>15.488333333424</v>
      </c>
      <c r="L49">
        <v>-1</v>
      </c>
      <c r="M49">
        <v>17.575000000088799</v>
      </c>
      <c r="N49">
        <v>-1</v>
      </c>
      <c r="O49">
        <v>13.155107508467299</v>
      </c>
      <c r="P49">
        <v>3.0172543429662E-2</v>
      </c>
      <c r="Q49">
        <v>-6.7831638666434796E-2</v>
      </c>
      <c r="R49">
        <v>-0.115529038920257</v>
      </c>
      <c r="S49">
        <v>-9.0471629269450599E-2</v>
      </c>
      <c r="T49">
        <v>-421.070570026366</v>
      </c>
      <c r="U49">
        <v>19.5433333334236</v>
      </c>
      <c r="V49">
        <v>-1</v>
      </c>
      <c r="W49">
        <v>9.4395833334371098</v>
      </c>
      <c r="X49">
        <v>15.2066666667577</v>
      </c>
      <c r="Y49">
        <v>-1</v>
      </c>
      <c r="Z49">
        <v>17.051666666756098</v>
      </c>
      <c r="AA49">
        <v>-1</v>
      </c>
      <c r="AB49">
        <v>9.4395833334371098</v>
      </c>
      <c r="AC49">
        <v>-0.115529038920257</v>
      </c>
      <c r="AD49">
        <v>0.30193370516027601</v>
      </c>
      <c r="AE49">
        <v>0</v>
      </c>
      <c r="AF49">
        <v>0.93674330255090399</v>
      </c>
      <c r="AG49">
        <v>0</v>
      </c>
      <c r="AH49">
        <v>-3.6309945481288901</v>
      </c>
      <c r="AI49">
        <v>5.1219999999999999</v>
      </c>
      <c r="AJ49">
        <v>5.1159999999999997</v>
      </c>
      <c r="AK49">
        <v>7.1297284295627095E-4</v>
      </c>
      <c r="AL49">
        <v>1.0353964656769599E-3</v>
      </c>
      <c r="AM49">
        <v>1.4295800000000001</v>
      </c>
      <c r="AN49">
        <v>-838.75974061777299</v>
      </c>
      <c r="AO49">
        <v>9.0671594222102497E-2</v>
      </c>
      <c r="AP49">
        <v>0.10445080923236399</v>
      </c>
      <c r="AQ49">
        <v>0.105387144934424</v>
      </c>
      <c r="AR49">
        <v>9.7259232224067696E-2</v>
      </c>
      <c r="AS49">
        <v>9.8512207545059599E-2</v>
      </c>
    </row>
    <row r="50" spans="1:45" x14ac:dyDescent="0.2">
      <c r="A50" t="s">
        <v>96</v>
      </c>
      <c r="B50" t="s">
        <v>94</v>
      </c>
      <c r="C50" t="s">
        <v>45</v>
      </c>
      <c r="D50">
        <v>4.9000000000000004</v>
      </c>
      <c r="E50">
        <v>38.82</v>
      </c>
      <c r="F50">
        <v>2.50605838236727E-2</v>
      </c>
      <c r="G50">
        <v>143.81760420311599</v>
      </c>
      <c r="H50">
        <v>-1.14444444429129</v>
      </c>
      <c r="I50">
        <v>-1</v>
      </c>
      <c r="J50">
        <v>-1.8411832009134199</v>
      </c>
      <c r="K50">
        <v>-2.7383333331787401</v>
      </c>
      <c r="L50">
        <v>-1</v>
      </c>
      <c r="M50">
        <v>-0.66999999984728598</v>
      </c>
      <c r="N50">
        <v>-1</v>
      </c>
      <c r="O50">
        <v>3.2830167364758802</v>
      </c>
      <c r="P50">
        <v>4.3790589181495698E-2</v>
      </c>
      <c r="Q50">
        <v>1.7064510441555599E-2</v>
      </c>
      <c r="R50">
        <v>1.17554160243592E-2</v>
      </c>
      <c r="S50">
        <v>2.50605838236727E-2</v>
      </c>
      <c r="T50">
        <v>62.740009917854998</v>
      </c>
      <c r="U50">
        <v>-0.84161111095832597</v>
      </c>
      <c r="V50">
        <v>-1</v>
      </c>
      <c r="W50">
        <v>-1.45166666652281</v>
      </c>
      <c r="X50">
        <v>-2.2283333331792901</v>
      </c>
      <c r="Y50">
        <v>-1</v>
      </c>
      <c r="Z50">
        <v>-0.63833333318074403</v>
      </c>
      <c r="AA50">
        <v>-1</v>
      </c>
      <c r="AB50">
        <v>3.1009074073404901</v>
      </c>
      <c r="AC50">
        <v>1.17554160243592E-2</v>
      </c>
      <c r="AD50">
        <v>7.1327626375673399</v>
      </c>
      <c r="AE50">
        <v>0</v>
      </c>
      <c r="AF50">
        <v>9.0601527915517401</v>
      </c>
      <c r="AG50">
        <v>0</v>
      </c>
      <c r="AH50">
        <v>1.6712575302339301</v>
      </c>
      <c r="AI50">
        <v>8.1479999999999997</v>
      </c>
      <c r="AJ50">
        <v>8.3639999999999901</v>
      </c>
      <c r="AK50">
        <v>9.71260024347399E-2</v>
      </c>
      <c r="AL50">
        <v>0.16619514012912601</v>
      </c>
      <c r="AM50">
        <v>2.73814</v>
      </c>
      <c r="AN50">
        <v>386.06048948403799</v>
      </c>
      <c r="AO50">
        <v>4.0810311810225201E-2</v>
      </c>
      <c r="AP50">
        <v>4.14550484967314E-2</v>
      </c>
      <c r="AQ50">
        <v>3.5818757452349602E-2</v>
      </c>
      <c r="AR50">
        <v>5.6733470850933998E-2</v>
      </c>
      <c r="AS50">
        <v>5.2766009781153901E-2</v>
      </c>
    </row>
    <row r="51" spans="1:45" x14ac:dyDescent="0.2">
      <c r="A51" t="s">
        <v>97</v>
      </c>
      <c r="B51" t="s">
        <v>98</v>
      </c>
      <c r="C51" t="s">
        <v>45</v>
      </c>
      <c r="D51">
        <v>1.96</v>
      </c>
      <c r="E51">
        <v>17.2</v>
      </c>
      <c r="F51">
        <v>6.6837680960412996E-3</v>
      </c>
      <c r="G51">
        <v>147.090603326289</v>
      </c>
      <c r="H51">
        <v>1.6341666668172601</v>
      </c>
      <c r="I51">
        <v>-1</v>
      </c>
      <c r="J51">
        <v>1.15739947103268</v>
      </c>
      <c r="K51">
        <v>1.6233333334839399</v>
      </c>
      <c r="L51">
        <v>-1</v>
      </c>
      <c r="M51">
        <v>1.64500000015058</v>
      </c>
      <c r="N51">
        <v>-1</v>
      </c>
      <c r="O51">
        <v>6.6907119273635596</v>
      </c>
      <c r="P51">
        <v>5.5211843554085302E-2</v>
      </c>
      <c r="Q51">
        <v>1.2915105368009499E-2</v>
      </c>
      <c r="R51">
        <v>-6.1226793417262504E-3</v>
      </c>
      <c r="S51">
        <v>6.6837680960412796E-3</v>
      </c>
      <c r="T51">
        <v>141.981503065678</v>
      </c>
      <c r="U51">
        <v>2.1441666668166999</v>
      </c>
      <c r="V51">
        <v>-1</v>
      </c>
      <c r="W51">
        <v>1.1621296297625301</v>
      </c>
      <c r="X51">
        <v>2.1333333334833799</v>
      </c>
      <c r="Y51">
        <v>-1</v>
      </c>
      <c r="Z51">
        <v>2.1333333334833799</v>
      </c>
      <c r="AA51">
        <v>-1</v>
      </c>
      <c r="AB51">
        <v>4.1207407407513896</v>
      </c>
      <c r="AC51">
        <v>-6.1226793417262599E-3</v>
      </c>
      <c r="AD51">
        <v>6.5041288951719398</v>
      </c>
      <c r="AE51">
        <v>0</v>
      </c>
      <c r="AF51">
        <v>6.6615405424859802</v>
      </c>
      <c r="AG51">
        <v>0</v>
      </c>
      <c r="AH51">
        <v>1.4610213652997901</v>
      </c>
      <c r="AI51">
        <v>5.7639999999999896</v>
      </c>
      <c r="AJ51">
        <v>5.8239999999999998</v>
      </c>
      <c r="AK51">
        <v>0.45394515146084402</v>
      </c>
      <c r="AL51">
        <v>0.56248485852215102</v>
      </c>
      <c r="AM51">
        <v>1.5384599999999999</v>
      </c>
      <c r="AN51">
        <v>206.00401250727001</v>
      </c>
      <c r="AO51">
        <v>5.56851408481348E-2</v>
      </c>
      <c r="AP51">
        <v>4.76940121394617E-2</v>
      </c>
      <c r="AQ51">
        <v>4.2146557206388199E-2</v>
      </c>
      <c r="AR51">
        <v>5.1347413468163197E-2</v>
      </c>
      <c r="AS51">
        <v>4.1203341342584097E-2</v>
      </c>
    </row>
    <row r="52" spans="1:45" x14ac:dyDescent="0.2">
      <c r="A52" t="s">
        <v>99</v>
      </c>
      <c r="B52" t="s">
        <v>98</v>
      </c>
      <c r="C52" t="s">
        <v>45</v>
      </c>
      <c r="D52">
        <v>0.4</v>
      </c>
      <c r="E52">
        <v>8.92</v>
      </c>
      <c r="F52">
        <v>-1.1423037146723099E-2</v>
      </c>
      <c r="G52">
        <v>142.12455476427201</v>
      </c>
      <c r="H52">
        <v>3.2800000001490699</v>
      </c>
      <c r="I52">
        <v>-1</v>
      </c>
      <c r="J52">
        <v>3.2139880953742401</v>
      </c>
      <c r="K52">
        <v>3.2800000001490699</v>
      </c>
      <c r="L52">
        <v>-1</v>
      </c>
      <c r="M52">
        <v>3.2800000001490699</v>
      </c>
      <c r="N52">
        <v>-1</v>
      </c>
      <c r="O52">
        <v>5.3223851568370097</v>
      </c>
      <c r="P52">
        <v>4.7729645021717101E-2</v>
      </c>
      <c r="Q52">
        <v>-8.4944781062515403E-3</v>
      </c>
      <c r="R52">
        <v>1.1516393911768801E-2</v>
      </c>
      <c r="S52">
        <v>-1.14230371467232E-2</v>
      </c>
      <c r="T52">
        <v>136.73739102121999</v>
      </c>
      <c r="U52">
        <v>3.7900000001485199</v>
      </c>
      <c r="V52">
        <v>-1</v>
      </c>
      <c r="W52">
        <v>3.1351388890252201</v>
      </c>
      <c r="X52">
        <v>3.7900000001485199</v>
      </c>
      <c r="Y52">
        <v>-1</v>
      </c>
      <c r="Z52">
        <v>3.7900000001485199</v>
      </c>
      <c r="AA52">
        <v>-1</v>
      </c>
      <c r="AB52">
        <v>3.97902777782152</v>
      </c>
      <c r="AC52">
        <v>1.1516393911768801E-2</v>
      </c>
      <c r="AD52">
        <v>5.8866486258979203</v>
      </c>
      <c r="AE52">
        <v>0</v>
      </c>
      <c r="AF52">
        <v>5.5778329636876602</v>
      </c>
      <c r="AG52">
        <v>0</v>
      </c>
      <c r="AH52">
        <v>1.5893878411517399</v>
      </c>
      <c r="AI52">
        <v>5.8</v>
      </c>
      <c r="AJ52">
        <v>5.88</v>
      </c>
      <c r="AK52">
        <v>0.59408991411882595</v>
      </c>
      <c r="AL52">
        <v>0.62437938363590695</v>
      </c>
      <c r="AM52">
        <v>1.1518999999999999</v>
      </c>
      <c r="AN52">
        <v>224.10368560239601</v>
      </c>
      <c r="AO52">
        <v>4.8076839103844297E-2</v>
      </c>
      <c r="AP52">
        <v>4.9234100781813797E-2</v>
      </c>
      <c r="AQ52">
        <v>4.7182451029606699E-2</v>
      </c>
      <c r="AR52">
        <v>5.1807221497143098E-2</v>
      </c>
      <c r="AS52">
        <v>4.5926642206291897E-2</v>
      </c>
    </row>
    <row r="53" spans="1:45" x14ac:dyDescent="0.2">
      <c r="A53" t="s">
        <v>100</v>
      </c>
      <c r="B53" t="s">
        <v>98</v>
      </c>
      <c r="C53" t="s">
        <v>45</v>
      </c>
      <c r="D53">
        <v>2.14</v>
      </c>
      <c r="E53">
        <v>20.66</v>
      </c>
      <c r="F53">
        <v>8.3340434119565793E-3</v>
      </c>
      <c r="G53">
        <v>145.005889407756</v>
      </c>
      <c r="H53">
        <v>1.8016666668171399</v>
      </c>
      <c r="I53">
        <v>-1</v>
      </c>
      <c r="J53">
        <v>1.1998214287055899</v>
      </c>
      <c r="K53">
        <v>1.8016666668171399</v>
      </c>
      <c r="L53">
        <v>-1</v>
      </c>
      <c r="M53">
        <v>1.8016666668171399</v>
      </c>
      <c r="N53">
        <v>-1</v>
      </c>
      <c r="O53">
        <v>6.7608394820747799</v>
      </c>
      <c r="P53">
        <v>5.6685811854951897E-2</v>
      </c>
      <c r="Q53">
        <v>1.7365171614612498E-2</v>
      </c>
      <c r="R53">
        <v>-7.6915678045705697E-3</v>
      </c>
      <c r="S53">
        <v>8.3340434119565793E-3</v>
      </c>
      <c r="T53">
        <v>140.117611958433</v>
      </c>
      <c r="U53">
        <v>2.3116666668165902</v>
      </c>
      <c r="V53">
        <v>-1</v>
      </c>
      <c r="W53">
        <v>1.2116203705022699</v>
      </c>
      <c r="X53">
        <v>2.3116666668165902</v>
      </c>
      <c r="Y53">
        <v>-1</v>
      </c>
      <c r="Z53">
        <v>2.3116666668165902</v>
      </c>
      <c r="AA53">
        <v>-1</v>
      </c>
      <c r="AB53">
        <v>4.28717592593547</v>
      </c>
      <c r="AC53">
        <v>-7.6915678045705897E-3</v>
      </c>
      <c r="AD53">
        <v>6.4207566951744699</v>
      </c>
      <c r="AE53">
        <v>0</v>
      </c>
      <c r="AF53">
        <v>6.6082217616436001</v>
      </c>
      <c r="AG53">
        <v>0</v>
      </c>
      <c r="AH53">
        <v>1.39747552401431</v>
      </c>
      <c r="AI53">
        <v>5.78</v>
      </c>
      <c r="AJ53">
        <v>5.74</v>
      </c>
      <c r="AK53">
        <v>0.44890464919256101</v>
      </c>
      <c r="AL53">
        <v>0.55424837980407604</v>
      </c>
      <c r="AM53">
        <v>1.6811</v>
      </c>
      <c r="AN53">
        <v>197.044048886018</v>
      </c>
      <c r="AO53">
        <v>6.0376623003950997E-2</v>
      </c>
      <c r="AP53">
        <v>4.9598061243788197E-2</v>
      </c>
      <c r="AQ53">
        <v>4.22356300687175E-2</v>
      </c>
      <c r="AR53">
        <v>5.3122471623208302E-2</v>
      </c>
      <c r="AS53">
        <v>4.1233347149552499E-2</v>
      </c>
    </row>
    <row r="54" spans="1:45" x14ac:dyDescent="0.2">
      <c r="A54" t="s">
        <v>101</v>
      </c>
      <c r="B54" t="s">
        <v>98</v>
      </c>
      <c r="C54" t="s">
        <v>45</v>
      </c>
      <c r="D54">
        <v>1.74</v>
      </c>
      <c r="E54">
        <v>15.4</v>
      </c>
      <c r="F54">
        <v>6.66532895829059E-3</v>
      </c>
      <c r="G54">
        <v>147.53054988321</v>
      </c>
      <c r="H54">
        <v>1.2950000001508699</v>
      </c>
      <c r="I54">
        <v>-1</v>
      </c>
      <c r="J54">
        <v>1.10707010595291</v>
      </c>
      <c r="K54">
        <v>1.2950000001508699</v>
      </c>
      <c r="L54">
        <v>-1</v>
      </c>
      <c r="M54">
        <v>1.2950000001508699</v>
      </c>
      <c r="N54">
        <v>-1</v>
      </c>
      <c r="O54">
        <v>6.70785716136412</v>
      </c>
      <c r="P54">
        <v>5.4436844224938198E-2</v>
      </c>
      <c r="Q54">
        <v>1.03954777252394E-2</v>
      </c>
      <c r="R54">
        <v>-6.1205995122786804E-3</v>
      </c>
      <c r="S54">
        <v>6.66532895829057E-3</v>
      </c>
      <c r="T54">
        <v>141.59265677203999</v>
      </c>
      <c r="U54">
        <v>1.8050000001503199</v>
      </c>
      <c r="V54">
        <v>-1</v>
      </c>
      <c r="W54">
        <v>1.1388425927250401</v>
      </c>
      <c r="X54">
        <v>1.8050000001503199</v>
      </c>
      <c r="Y54">
        <v>-1</v>
      </c>
      <c r="Z54">
        <v>1.8050000001503199</v>
      </c>
      <c r="AA54">
        <v>-1</v>
      </c>
      <c r="AB54">
        <v>4.1426388888990298</v>
      </c>
      <c r="AC54">
        <v>-6.1205995122787004E-3</v>
      </c>
      <c r="AD54">
        <v>6.5319207570214601</v>
      </c>
      <c r="AE54">
        <v>0</v>
      </c>
      <c r="AF54">
        <v>6.7595949083357398</v>
      </c>
      <c r="AG54">
        <v>0</v>
      </c>
      <c r="AH54">
        <v>1.4989056655033099</v>
      </c>
      <c r="AI54">
        <v>5.72</v>
      </c>
      <c r="AJ54">
        <v>5.78</v>
      </c>
      <c r="AK54">
        <v>0.48519344825014199</v>
      </c>
      <c r="AL54">
        <v>0.57039547071461905</v>
      </c>
      <c r="AM54">
        <v>1.4594</v>
      </c>
      <c r="AN54">
        <v>211.345698835967</v>
      </c>
      <c r="AO54">
        <v>5.3395525961823599E-2</v>
      </c>
      <c r="AP54">
        <v>4.7040189601856797E-2</v>
      </c>
      <c r="AQ54">
        <v>4.2665330341359699E-2</v>
      </c>
      <c r="AR54">
        <v>5.0832898676550498E-2</v>
      </c>
      <c r="AS54">
        <v>4.1841023854032697E-2</v>
      </c>
    </row>
    <row r="55" spans="1:45" x14ac:dyDescent="0.2">
      <c r="A55" t="s">
        <v>102</v>
      </c>
      <c r="B55" t="s">
        <v>98</v>
      </c>
      <c r="C55" t="s">
        <v>45</v>
      </c>
      <c r="D55">
        <v>3.16</v>
      </c>
      <c r="E55">
        <v>15.08</v>
      </c>
      <c r="F55">
        <v>9.3843291270373705E-3</v>
      </c>
      <c r="G55">
        <v>146.82829884118399</v>
      </c>
      <c r="H55">
        <v>2.0233333334835999</v>
      </c>
      <c r="I55">
        <v>-1</v>
      </c>
      <c r="J55">
        <v>0.73035317473816797</v>
      </c>
      <c r="K55">
        <v>1.84000000015043</v>
      </c>
      <c r="L55">
        <v>-1</v>
      </c>
      <c r="M55">
        <v>2.0966666668168701</v>
      </c>
      <c r="N55">
        <v>-1</v>
      </c>
      <c r="O55">
        <v>6.6317966582401198</v>
      </c>
      <c r="P55">
        <v>5.4479999362536197E-2</v>
      </c>
      <c r="Q55">
        <v>9.1272458946360605E-3</v>
      </c>
      <c r="R55">
        <v>-8.7900008408171807E-3</v>
      </c>
      <c r="S55">
        <v>9.3843291270373705E-3</v>
      </c>
      <c r="T55">
        <v>127.130833456251</v>
      </c>
      <c r="U55">
        <v>2.5333333334830401</v>
      </c>
      <c r="V55">
        <v>-1</v>
      </c>
      <c r="W55">
        <v>0.84250000013366899</v>
      </c>
      <c r="X55">
        <v>2.35000000014987</v>
      </c>
      <c r="Y55">
        <v>-1</v>
      </c>
      <c r="Z55">
        <v>2.5866666668163201</v>
      </c>
      <c r="AA55">
        <v>-1</v>
      </c>
      <c r="AB55">
        <v>4.2452777777897399</v>
      </c>
      <c r="AC55">
        <v>-8.7900008408171894E-3</v>
      </c>
      <c r="AD55">
        <v>6.1578582429924102</v>
      </c>
      <c r="AE55">
        <v>0</v>
      </c>
      <c r="AF55">
        <v>6.6995494385011503</v>
      </c>
      <c r="AG55">
        <v>0</v>
      </c>
      <c r="AH55">
        <v>1.3668990950975899</v>
      </c>
      <c r="AI55">
        <v>5.98</v>
      </c>
      <c r="AJ55">
        <v>6.02</v>
      </c>
      <c r="AK55">
        <v>7.4862352921648306E-2</v>
      </c>
      <c r="AL55">
        <v>0.384688835359635</v>
      </c>
      <c r="AM55">
        <v>2.5628600000000001</v>
      </c>
      <c r="AN55">
        <v>192.73277240876001</v>
      </c>
      <c r="AO55">
        <v>6.1153479298059497E-2</v>
      </c>
      <c r="AP55">
        <v>4.9304533619276003E-2</v>
      </c>
      <c r="AQ55">
        <v>4.0139026945382301E-2</v>
      </c>
      <c r="AR55">
        <v>5.9020537332974098E-2</v>
      </c>
      <c r="AS55">
        <v>4.7349894274344599E-2</v>
      </c>
    </row>
    <row r="56" spans="1:45" x14ac:dyDescent="0.2">
      <c r="A56" t="s">
        <v>103</v>
      </c>
      <c r="B56" t="s">
        <v>98</v>
      </c>
      <c r="C56" t="s">
        <v>45</v>
      </c>
      <c r="D56">
        <v>3.34</v>
      </c>
      <c r="E56">
        <v>18.98</v>
      </c>
      <c r="F56">
        <v>-1.1676134224828501E-2</v>
      </c>
      <c r="G56">
        <v>147.967134184456</v>
      </c>
      <c r="H56">
        <v>3.1116666668159398</v>
      </c>
      <c r="I56">
        <v>-1</v>
      </c>
      <c r="J56">
        <v>2.5648134922006598</v>
      </c>
      <c r="K56">
        <v>3.1116666668159398</v>
      </c>
      <c r="L56">
        <v>-1</v>
      </c>
      <c r="M56">
        <v>3.1116666668159398</v>
      </c>
      <c r="N56">
        <v>-1</v>
      </c>
      <c r="O56">
        <v>4.8022518290725698</v>
      </c>
      <c r="P56">
        <v>4.6045086191215799E-2</v>
      </c>
      <c r="Q56">
        <v>-9.0917982128161101E-3</v>
      </c>
      <c r="R56">
        <v>1.07418366328614E-2</v>
      </c>
      <c r="S56">
        <v>-1.1676134224828501E-2</v>
      </c>
      <c r="T56">
        <v>127.92148441286901</v>
      </c>
      <c r="U56">
        <v>3.6216666668153898</v>
      </c>
      <c r="V56">
        <v>-1</v>
      </c>
      <c r="W56">
        <v>2.58393518532203</v>
      </c>
      <c r="X56">
        <v>3.6216666668153898</v>
      </c>
      <c r="Y56">
        <v>-1</v>
      </c>
      <c r="Z56">
        <v>3.6216666668153898</v>
      </c>
      <c r="AA56">
        <v>-1</v>
      </c>
      <c r="AB56">
        <v>4.1672685185678304</v>
      </c>
      <c r="AC56">
        <v>1.07418366328614E-2</v>
      </c>
      <c r="AD56">
        <v>5.9365099960802201</v>
      </c>
      <c r="AE56">
        <v>0</v>
      </c>
      <c r="AF56">
        <v>6.2706097197312296</v>
      </c>
      <c r="AG56">
        <v>0</v>
      </c>
      <c r="AH56">
        <v>1.43816603271926</v>
      </c>
      <c r="AI56">
        <v>5.94</v>
      </c>
      <c r="AJ56">
        <v>6.08</v>
      </c>
      <c r="AK56">
        <v>0.19300664517206101</v>
      </c>
      <c r="AL56">
        <v>0.33007641953487898</v>
      </c>
      <c r="AM56">
        <v>1.2498</v>
      </c>
      <c r="AN56">
        <v>202.781410613416</v>
      </c>
      <c r="AO56">
        <v>5.1367334541710399E-2</v>
      </c>
      <c r="AP56">
        <v>4.6434517278393199E-2</v>
      </c>
      <c r="AQ56">
        <v>4.3716499158274497E-2</v>
      </c>
      <c r="AR56">
        <v>5.5753883119822503E-2</v>
      </c>
      <c r="AS56">
        <v>5.0039037715170501E-2</v>
      </c>
    </row>
    <row r="57" spans="1:45" x14ac:dyDescent="0.2">
      <c r="A57" t="s">
        <v>104</v>
      </c>
      <c r="B57" t="s">
        <v>98</v>
      </c>
      <c r="C57" t="s">
        <v>45</v>
      </c>
      <c r="D57">
        <v>0.7</v>
      </c>
      <c r="E57">
        <v>9.1</v>
      </c>
      <c r="F57">
        <v>9.1599873935639797E-3</v>
      </c>
      <c r="G57">
        <v>148.75734123609601</v>
      </c>
      <c r="H57">
        <v>1.8083333334837699</v>
      </c>
      <c r="I57">
        <v>-1</v>
      </c>
      <c r="J57">
        <v>0.63391269854832899</v>
      </c>
      <c r="K57">
        <v>1.8083333334837699</v>
      </c>
      <c r="L57">
        <v>-1</v>
      </c>
      <c r="M57">
        <v>1.8083333334837699</v>
      </c>
      <c r="N57">
        <v>-1</v>
      </c>
      <c r="O57">
        <v>6.6717949553724303</v>
      </c>
      <c r="P57">
        <v>5.5331652015993799E-2</v>
      </c>
      <c r="Q57">
        <v>1.39551786546241E-2</v>
      </c>
      <c r="R57">
        <v>-8.9292481044410902E-3</v>
      </c>
      <c r="S57">
        <v>9.1599873935639693E-3</v>
      </c>
      <c r="T57">
        <v>129.94761837600299</v>
      </c>
      <c r="U57">
        <v>2.3183333334832201</v>
      </c>
      <c r="V57">
        <v>-1</v>
      </c>
      <c r="W57">
        <v>0.73791666679854395</v>
      </c>
      <c r="X57">
        <v>2.3183333334832201</v>
      </c>
      <c r="Y57">
        <v>-1</v>
      </c>
      <c r="Z57">
        <v>2.3183333334832201</v>
      </c>
      <c r="AA57">
        <v>-1</v>
      </c>
      <c r="AB57">
        <v>4.3659722222273798</v>
      </c>
      <c r="AC57">
        <v>-8.9292481044411006E-3</v>
      </c>
      <c r="AD57">
        <v>6.25690126111538</v>
      </c>
      <c r="AE57">
        <v>0</v>
      </c>
      <c r="AF57">
        <v>6.7957355808375803</v>
      </c>
      <c r="AG57">
        <v>0</v>
      </c>
      <c r="AH57">
        <v>1.5254186922657</v>
      </c>
      <c r="AI57">
        <v>5.76</v>
      </c>
      <c r="AJ57">
        <v>5.68</v>
      </c>
      <c r="AK57">
        <v>0.67446508604295496</v>
      </c>
      <c r="AL57">
        <v>0.71027503292447902</v>
      </c>
      <c r="AM57">
        <v>1.7247399999999999</v>
      </c>
      <c r="AN57">
        <v>215.084035609463</v>
      </c>
      <c r="AO57">
        <v>5.29452735849111E-2</v>
      </c>
      <c r="AP57">
        <v>4.7924826086253799E-2</v>
      </c>
      <c r="AQ57">
        <v>3.9585073275757901E-2</v>
      </c>
      <c r="AR57">
        <v>5.7875181795104098E-2</v>
      </c>
      <c r="AS57">
        <v>4.6817342493047399E-2</v>
      </c>
    </row>
    <row r="58" spans="1:45" x14ac:dyDescent="0.2">
      <c r="A58" t="s">
        <v>105</v>
      </c>
      <c r="B58" t="s">
        <v>98</v>
      </c>
      <c r="C58" t="s">
        <v>45</v>
      </c>
      <c r="D58">
        <v>2.48</v>
      </c>
      <c r="E58">
        <v>11.04</v>
      </c>
      <c r="F58">
        <v>8.8243630088350299E-3</v>
      </c>
      <c r="G58">
        <v>148.61915304758401</v>
      </c>
      <c r="H58">
        <v>1.70000000015054</v>
      </c>
      <c r="I58">
        <v>-1</v>
      </c>
      <c r="J58">
        <v>0.66384920648237999</v>
      </c>
      <c r="K58">
        <v>1.70000000015054</v>
      </c>
      <c r="L58">
        <v>-1</v>
      </c>
      <c r="M58">
        <v>1.70000000015054</v>
      </c>
      <c r="N58">
        <v>-1</v>
      </c>
      <c r="O58">
        <v>7.1425011835887497</v>
      </c>
      <c r="P58">
        <v>5.3153613061433701E-2</v>
      </c>
      <c r="Q58">
        <v>6.1190930238646402E-3</v>
      </c>
      <c r="R58">
        <v>-9.1567525474708904E-3</v>
      </c>
      <c r="S58">
        <v>8.8243630088350403E-3</v>
      </c>
      <c r="T58">
        <v>128.39747537084301</v>
      </c>
      <c r="U58">
        <v>2.2100000001499902</v>
      </c>
      <c r="V58">
        <v>-1</v>
      </c>
      <c r="W58">
        <v>0.75569444457630497</v>
      </c>
      <c r="X58">
        <v>2.2100000001499902</v>
      </c>
      <c r="Y58">
        <v>-1</v>
      </c>
      <c r="Z58">
        <v>2.2100000001499902</v>
      </c>
      <c r="AA58">
        <v>-1</v>
      </c>
      <c r="AB58">
        <v>4.4587500000050797</v>
      </c>
      <c r="AC58">
        <v>-9.1567525474709095E-3</v>
      </c>
      <c r="AD58">
        <v>6.2375823185937396</v>
      </c>
      <c r="AE58">
        <v>0</v>
      </c>
      <c r="AF58">
        <v>6.8273524027264001</v>
      </c>
      <c r="AG58">
        <v>0</v>
      </c>
      <c r="AH58">
        <v>1.4530395393359199</v>
      </c>
      <c r="AI58">
        <v>5.78</v>
      </c>
      <c r="AJ58">
        <v>5.8</v>
      </c>
      <c r="AK58">
        <v>0.34951757156325702</v>
      </c>
      <c r="AL58">
        <v>0.48651642587288801</v>
      </c>
      <c r="AM58">
        <v>1.6581999999999999</v>
      </c>
      <c r="AN58">
        <v>204.87857504636401</v>
      </c>
      <c r="AO58">
        <v>5.3958887596351902E-2</v>
      </c>
      <c r="AP58">
        <v>4.8083148029298001E-2</v>
      </c>
      <c r="AQ58">
        <v>4.0070094459657597E-2</v>
      </c>
      <c r="AR58">
        <v>5.81226490926798E-2</v>
      </c>
      <c r="AS58">
        <v>4.7374621110763897E-2</v>
      </c>
    </row>
    <row r="59" spans="1:45" x14ac:dyDescent="0.2">
      <c r="A59" t="s">
        <v>106</v>
      </c>
      <c r="B59" t="s">
        <v>107</v>
      </c>
      <c r="C59" t="s">
        <v>45</v>
      </c>
      <c r="D59">
        <v>0</v>
      </c>
      <c r="E59">
        <v>1.68</v>
      </c>
      <c r="F59">
        <v>5.4982960143785703E-2</v>
      </c>
      <c r="G59">
        <v>54.627176931099498</v>
      </c>
      <c r="H59">
        <v>-3.6008333331779401</v>
      </c>
      <c r="I59">
        <v>-1</v>
      </c>
      <c r="J59">
        <v>-2.4027341268390101</v>
      </c>
      <c r="K59">
        <v>-3.6349999998445699</v>
      </c>
      <c r="L59">
        <v>-1</v>
      </c>
      <c r="M59">
        <v>-3.6349999998445699</v>
      </c>
      <c r="N59">
        <v>-1</v>
      </c>
      <c r="O59">
        <v>4.0773128603674902</v>
      </c>
      <c r="P59">
        <v>0.12821124074575599</v>
      </c>
      <c r="Q59">
        <v>1.1669053967009201E-2</v>
      </c>
      <c r="R59">
        <v>0.108758793316389</v>
      </c>
      <c r="S59">
        <v>5.4982960143785703E-2</v>
      </c>
      <c r="T59">
        <v>54.541355038730003</v>
      </c>
      <c r="U59">
        <v>-3.0908333331784901</v>
      </c>
      <c r="V59">
        <v>-1</v>
      </c>
      <c r="W59">
        <v>-2.51486111096535</v>
      </c>
      <c r="X59">
        <v>-3.1249999998451301</v>
      </c>
      <c r="Y59">
        <v>-1</v>
      </c>
      <c r="Z59">
        <v>-3.1249999998451301</v>
      </c>
      <c r="AA59">
        <v>-1</v>
      </c>
      <c r="AB59">
        <v>2.6765277776605698</v>
      </c>
      <c r="AC59">
        <v>0.108758793316389</v>
      </c>
      <c r="AD59">
        <v>1.7563441315422801</v>
      </c>
      <c r="AE59">
        <v>0</v>
      </c>
      <c r="AF59">
        <v>1.7739886012849799</v>
      </c>
      <c r="AG59">
        <v>0</v>
      </c>
      <c r="AH59">
        <v>1.0471070871613899</v>
      </c>
      <c r="AI59">
        <v>6.0039999999999996</v>
      </c>
      <c r="AJ59">
        <v>6.1440000000000001</v>
      </c>
      <c r="AK59">
        <v>0.85804837403615497</v>
      </c>
      <c r="AL59">
        <v>0.867997151813933</v>
      </c>
      <c r="AM59">
        <v>1.4762</v>
      </c>
      <c r="AN59">
        <v>239.78752295995901</v>
      </c>
      <c r="AO59">
        <v>6.4920275235026095E-2</v>
      </c>
      <c r="AP59">
        <v>8.5019439917558698E-2</v>
      </c>
      <c r="AQ59">
        <v>9.8031505758408799E-2</v>
      </c>
      <c r="AR59">
        <v>8.5277021170447595E-2</v>
      </c>
      <c r="AS59">
        <v>9.82299316095048E-2</v>
      </c>
    </row>
    <row r="60" spans="1:45" x14ac:dyDescent="0.2">
      <c r="A60" t="s">
        <v>108</v>
      </c>
      <c r="B60" t="s">
        <v>107</v>
      </c>
      <c r="C60" t="s">
        <v>45</v>
      </c>
      <c r="D60">
        <v>0</v>
      </c>
      <c r="E60">
        <v>0.02</v>
      </c>
      <c r="F60">
        <v>2.5888255419356E-2</v>
      </c>
      <c r="G60">
        <v>142.37017456805299</v>
      </c>
      <c r="H60">
        <v>-0.66208333318063906</v>
      </c>
      <c r="I60">
        <v>-1</v>
      </c>
      <c r="J60">
        <v>-0.99117129615226796</v>
      </c>
      <c r="K60">
        <v>-3.4349999998447598</v>
      </c>
      <c r="L60">
        <v>-1</v>
      </c>
      <c r="M60">
        <v>-0.76666666651386495</v>
      </c>
      <c r="N60">
        <v>-1</v>
      </c>
      <c r="O60">
        <v>2.9788862044792501</v>
      </c>
      <c r="P60">
        <v>5.2446139030666403E-2</v>
      </c>
      <c r="Q60">
        <v>8.7232083058450798E-3</v>
      </c>
      <c r="R60">
        <v>2.9452223526803999E-2</v>
      </c>
      <c r="S60">
        <v>2.5888255419356E-2</v>
      </c>
      <c r="T60">
        <v>112.626622319633</v>
      </c>
      <c r="U60">
        <v>-0.40736111095874</v>
      </c>
      <c r="V60">
        <v>-1</v>
      </c>
      <c r="W60">
        <v>-0.85331481467104398</v>
      </c>
      <c r="X60">
        <v>-2.92499999984532</v>
      </c>
      <c r="Y60">
        <v>-1</v>
      </c>
      <c r="Z60">
        <v>-5.1666666514611201E-2</v>
      </c>
      <c r="AA60">
        <v>-1</v>
      </c>
      <c r="AB60">
        <v>3.1292870370050201</v>
      </c>
      <c r="AC60">
        <v>2.9452223526803999E-2</v>
      </c>
      <c r="AD60">
        <v>4.2484282507739302</v>
      </c>
      <c r="AE60">
        <v>0</v>
      </c>
      <c r="AF60">
        <v>5.3960283415320998</v>
      </c>
      <c r="AG60">
        <v>0</v>
      </c>
      <c r="AH60">
        <v>1.63326130478973</v>
      </c>
      <c r="AI60">
        <v>10.244</v>
      </c>
      <c r="AJ60">
        <v>10.357999999999899</v>
      </c>
      <c r="AK60">
        <v>0.96116282704762002</v>
      </c>
      <c r="AL60">
        <v>0.97241478473270004</v>
      </c>
      <c r="AM60">
        <v>5.8141600000000002</v>
      </c>
      <c r="AN60">
        <v>359.31748705374201</v>
      </c>
      <c r="AO60">
        <v>4.3800537705338601E-2</v>
      </c>
      <c r="AP60">
        <v>4.5200201799908003E-2</v>
      </c>
      <c r="AQ60">
        <v>4.4329383322635703E-2</v>
      </c>
      <c r="AR60">
        <v>6.63434471284894E-2</v>
      </c>
      <c r="AS60">
        <v>6.5815622849318203E-2</v>
      </c>
    </row>
    <row r="61" spans="1:45" x14ac:dyDescent="0.2">
      <c r="A61" t="s">
        <v>109</v>
      </c>
      <c r="B61" t="s">
        <v>107</v>
      </c>
      <c r="C61" t="s">
        <v>45</v>
      </c>
      <c r="D61">
        <v>0</v>
      </c>
      <c r="E61">
        <v>0</v>
      </c>
      <c r="F61">
        <v>2.8280885179391001E-2</v>
      </c>
      <c r="G61">
        <v>142.67152894577501</v>
      </c>
      <c r="H61">
        <v>-0.48124999984750799</v>
      </c>
      <c r="I61">
        <v>-1</v>
      </c>
      <c r="J61">
        <v>-1.08609060832154</v>
      </c>
      <c r="K61">
        <v>-1.89666666651287</v>
      </c>
      <c r="L61">
        <v>-1</v>
      </c>
      <c r="M61">
        <v>-0.58666666651407395</v>
      </c>
      <c r="N61">
        <v>-1</v>
      </c>
      <c r="O61">
        <v>3.1663477678921899</v>
      </c>
      <c r="P61">
        <v>5.3819166699085597E-2</v>
      </c>
      <c r="Q61">
        <v>9.2253538521218804E-3</v>
      </c>
      <c r="R61">
        <v>3.2671797777477002E-2</v>
      </c>
      <c r="S61">
        <v>2.8280885179391001E-2</v>
      </c>
      <c r="T61">
        <v>113.498350473166</v>
      </c>
      <c r="U61">
        <v>-9.87499998479483E-2</v>
      </c>
      <c r="V61">
        <v>-1</v>
      </c>
      <c r="W61">
        <v>-1.1022222220782301</v>
      </c>
      <c r="X61">
        <v>-1.38666666651342</v>
      </c>
      <c r="Y61">
        <v>-1</v>
      </c>
      <c r="Z61">
        <v>0.53333333348480605</v>
      </c>
      <c r="AA61">
        <v>-1</v>
      </c>
      <c r="AB61">
        <v>3.3702314814492502</v>
      </c>
      <c r="AC61">
        <v>3.2671797777477002E-2</v>
      </c>
      <c r="AD61">
        <v>3.99407333184383</v>
      </c>
      <c r="AE61">
        <v>0</v>
      </c>
      <c r="AF61">
        <v>5.2838371399634303</v>
      </c>
      <c r="AG61">
        <v>0</v>
      </c>
      <c r="AH61">
        <v>1.61226073707571</v>
      </c>
      <c r="AI61">
        <v>8.1620000000000008</v>
      </c>
      <c r="AJ61">
        <v>8.2200000000000006</v>
      </c>
      <c r="AK61">
        <v>0.96644384147047402</v>
      </c>
      <c r="AL61">
        <v>0.96700373327254197</v>
      </c>
      <c r="AM61">
        <v>3.18711999999999</v>
      </c>
      <c r="AN61">
        <v>354.69736215665802</v>
      </c>
      <c r="AO61">
        <v>4.4294225781524497E-2</v>
      </c>
      <c r="AP61">
        <v>4.4035906456359498E-2</v>
      </c>
      <c r="AQ61">
        <v>4.3403379107182199E-2</v>
      </c>
      <c r="AR61">
        <v>6.60369021970338E-2</v>
      </c>
      <c r="AS61">
        <v>6.5338326182704298E-2</v>
      </c>
    </row>
  </sheetData>
  <sortState xmlns:xlrd2="http://schemas.microsoft.com/office/spreadsheetml/2017/richdata2" ref="A2:AT59">
    <sortCondition ref="B2:B59"/>
    <sortCondition ref="A2:A59"/>
  </sortState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011B1-42B9-1D42-B5F5-1A04FB10AC06}">
  <dimension ref="A1:AZ64"/>
  <sheetViews>
    <sheetView tabSelected="1" workbookViewId="0">
      <pane ySplit="1" topLeftCell="A2" activePane="bottomLeft" state="frozen"/>
      <selection pane="bottomLeft" activeCell="I17" sqref="I17"/>
    </sheetView>
  </sheetViews>
  <sheetFormatPr baseColWidth="10" defaultRowHeight="16" x14ac:dyDescent="0.2"/>
  <cols>
    <col min="1" max="1" width="21.33203125" customWidth="1"/>
    <col min="2" max="2" width="19.33203125" customWidth="1"/>
    <col min="3" max="3" width="5.83203125" customWidth="1"/>
    <col min="4" max="4" width="6.83203125" customWidth="1"/>
    <col min="5" max="5" width="6.33203125" customWidth="1"/>
    <col min="6" max="9" width="7.1640625" customWidth="1"/>
    <col min="10" max="10" width="7.5" customWidth="1"/>
  </cols>
  <sheetData>
    <row r="1" spans="1:52" x14ac:dyDescent="0.2">
      <c r="A1" t="s">
        <v>0</v>
      </c>
      <c r="B1" t="s">
        <v>1</v>
      </c>
      <c r="C1">
        <v>0.06</v>
      </c>
      <c r="J1" t="s">
        <v>2</v>
      </c>
      <c r="K1" t="s">
        <v>6</v>
      </c>
      <c r="L1" t="s">
        <v>5</v>
      </c>
      <c r="M1" t="s">
        <v>15</v>
      </c>
      <c r="N1" t="s">
        <v>13</v>
      </c>
      <c r="O1" t="s">
        <v>19</v>
      </c>
      <c r="P1" t="s">
        <v>20</v>
      </c>
      <c r="Q1" t="s">
        <v>25</v>
      </c>
      <c r="R1" t="s">
        <v>23</v>
      </c>
      <c r="S1" t="s">
        <v>24</v>
      </c>
      <c r="T1" t="s">
        <v>21</v>
      </c>
      <c r="U1" t="s">
        <v>22</v>
      </c>
      <c r="V1" t="s">
        <v>26</v>
      </c>
      <c r="W1" t="s">
        <v>4</v>
      </c>
      <c r="X1" t="s">
        <v>11</v>
      </c>
      <c r="Y1" t="s">
        <v>18</v>
      </c>
      <c r="Z1" t="s">
        <v>30</v>
      </c>
      <c r="AA1" t="s">
        <v>28</v>
      </c>
      <c r="AB1" t="s">
        <v>34</v>
      </c>
      <c r="AC1" t="s">
        <v>35</v>
      </c>
      <c r="AD1" t="s">
        <v>40</v>
      </c>
      <c r="AE1" t="s">
        <v>38</v>
      </c>
      <c r="AF1" t="s">
        <v>39</v>
      </c>
      <c r="AG1" t="s">
        <v>36</v>
      </c>
      <c r="AH1" t="s">
        <v>37</v>
      </c>
      <c r="AI1" t="s">
        <v>41</v>
      </c>
      <c r="AJ1" t="s">
        <v>33</v>
      </c>
      <c r="AK1" t="s">
        <v>31</v>
      </c>
      <c r="AL1" t="s">
        <v>32</v>
      </c>
      <c r="AM1" t="s">
        <v>16</v>
      </c>
      <c r="AN1" t="s">
        <v>17</v>
      </c>
      <c r="AO1" t="s">
        <v>9</v>
      </c>
      <c r="AP1" t="s">
        <v>27</v>
      </c>
      <c r="AQ1" t="s">
        <v>42</v>
      </c>
      <c r="AR1" t="s">
        <v>7</v>
      </c>
      <c r="AS1" t="s">
        <v>8</v>
      </c>
      <c r="AT1" t="s">
        <v>3</v>
      </c>
      <c r="AU1" t="s">
        <v>12</v>
      </c>
      <c r="AV1" t="s">
        <v>10</v>
      </c>
      <c r="AW1" t="s">
        <v>14</v>
      </c>
      <c r="AX1" t="s">
        <v>115</v>
      </c>
      <c r="AY1" t="s">
        <v>29</v>
      </c>
      <c r="AZ1" t="s">
        <v>116</v>
      </c>
    </row>
    <row r="2" spans="1:52" x14ac:dyDescent="0.2">
      <c r="A2" t="s">
        <v>43</v>
      </c>
      <c r="B2" t="s">
        <v>44</v>
      </c>
      <c r="C2">
        <f ca="1">IF(ISNUMBER(D2),SUM(INDIRECT(_xlfn.CONCAT("e",ROW(),":e",ROW()+D2-1))),"")</f>
        <v>0</v>
      </c>
      <c r="D2">
        <v>4</v>
      </c>
      <c r="E2">
        <f>AND(AX2&lt;$C$1,averaged_runs370!AQ2&lt;$C$1,averaged_runs126!AQ2&lt;$C$1)*1</f>
        <v>0</v>
      </c>
      <c r="F2" s="2">
        <f>IF(TRUE,SQRT(averaged_runs126!AQ2^2/2+averaged_runs370!AQ2^2/2+AX2^2*0),"")</f>
        <v>0.11094764784781588</v>
      </c>
      <c r="G2" s="2"/>
      <c r="H2" s="2"/>
      <c r="I2" s="2"/>
      <c r="J2" t="s">
        <v>45</v>
      </c>
      <c r="K2">
        <v>56.36</v>
      </c>
      <c r="L2">
        <v>146.24</v>
      </c>
      <c r="M2">
        <v>-7.9159696429640297E-2</v>
      </c>
      <c r="N2">
        <v>-73.534173020772997</v>
      </c>
      <c r="O2">
        <v>4.7475000001412404</v>
      </c>
      <c r="P2">
        <v>4.0108333334971098</v>
      </c>
      <c r="Q2">
        <v>4.4035149574291497</v>
      </c>
      <c r="R2">
        <v>4.7216666668079403</v>
      </c>
      <c r="S2">
        <v>3.9050000001638701</v>
      </c>
      <c r="T2">
        <v>4.7733333334745502</v>
      </c>
      <c r="U2">
        <v>4.1166666668303504</v>
      </c>
      <c r="V2">
        <v>4.6448561980571696</v>
      </c>
      <c r="W2">
        <v>3.9112734590564198E-2</v>
      </c>
      <c r="X2">
        <v>-4.7209333043416499E-2</v>
      </c>
      <c r="Y2">
        <v>-6.5017191529273904E-2</v>
      </c>
      <c r="Z2">
        <v>-7.9159696429640297E-2</v>
      </c>
      <c r="AA2">
        <v>-147.084285028583</v>
      </c>
      <c r="AB2">
        <v>4.7775000001412904</v>
      </c>
      <c r="AC2">
        <v>4.0475000001635699</v>
      </c>
      <c r="AD2">
        <v>4.4530555557192599</v>
      </c>
      <c r="AE2">
        <v>4.7516666668079797</v>
      </c>
      <c r="AF2">
        <v>3.9416666668303302</v>
      </c>
      <c r="AG2">
        <v>4.8033333334746002</v>
      </c>
      <c r="AH2">
        <v>4.1533333334968097</v>
      </c>
      <c r="AI2">
        <v>4.4530555557192599</v>
      </c>
      <c r="AJ2">
        <v>-6.5017191529273904E-2</v>
      </c>
      <c r="AK2">
        <v>2.1132038226023599</v>
      </c>
      <c r="AL2">
        <v>3.04396234208996</v>
      </c>
      <c r="AM2">
        <v>0.93529634497087399</v>
      </c>
      <c r="AN2">
        <v>1.8720752612514</v>
      </c>
      <c r="AO2">
        <v>0.41160237730377502</v>
      </c>
      <c r="AP2">
        <v>14.603999999999999</v>
      </c>
      <c r="AQ2">
        <v>14.964</v>
      </c>
      <c r="AR2">
        <v>3.16248883301823E-4</v>
      </c>
      <c r="AS2">
        <v>1.79769066977791E-3</v>
      </c>
      <c r="AT2">
        <v>2.9049800000000001</v>
      </c>
      <c r="AU2">
        <v>95.080149157172102</v>
      </c>
      <c r="AV2">
        <v>7.0229371366615806E-2</v>
      </c>
      <c r="AW2">
        <v>8.6496580981422003E-2</v>
      </c>
      <c r="AX2">
        <v>8.4744435225951001E-2</v>
      </c>
      <c r="AY2">
        <v>9.6463926433327199E-2</v>
      </c>
      <c r="AZ2">
        <v>9.4112938093159904E-2</v>
      </c>
    </row>
    <row r="3" spans="1:52" x14ac:dyDescent="0.2">
      <c r="A3" t="s">
        <v>46</v>
      </c>
      <c r="B3" t="s">
        <v>44</v>
      </c>
      <c r="C3" t="str">
        <f t="shared" ref="C3:C61" ca="1" si="0">IF(ISNUMBER(D3),SUM(INDIRECT(_xlfn.CONCAT("e",ROW(),":e",ROW()+D3-1))),"")</f>
        <v/>
      </c>
      <c r="E3">
        <f>AND(AX3&lt;$C$1,averaged_runs370!AQ3&lt;$C$1,averaged_runs126!AQ3&lt;$C$1)*1</f>
        <v>0</v>
      </c>
      <c r="F3" s="2">
        <f>IF(TRUE,SQRT(averaged_runs126!AQ3^2/2+averaged_runs370!AQ3^2/2+AX3^2*0),"")</f>
        <v>7.0692940169256605E-2</v>
      </c>
      <c r="G3" s="2">
        <f>IF(TRUE,averaged_runs126!AQ3,"")</f>
        <v>5.4920578898138603E-2</v>
      </c>
      <c r="H3" s="2">
        <f>IF(TRUE,AX3,"")</f>
        <v>6.1261305289732802E-2</v>
      </c>
      <c r="I3" s="2">
        <f>IF(TRUE,averaged_runs370!AQ3,"")</f>
        <v>8.3538695183977593E-2</v>
      </c>
      <c r="J3" t="s">
        <v>45</v>
      </c>
      <c r="K3">
        <v>26.36</v>
      </c>
      <c r="L3">
        <v>80.12</v>
      </c>
      <c r="M3">
        <v>-3.1352728592170399E-2</v>
      </c>
      <c r="N3">
        <v>47.236120198668402</v>
      </c>
      <c r="O3">
        <v>2.34416666681012</v>
      </c>
      <c r="P3">
        <v>1.88000000016568</v>
      </c>
      <c r="Q3">
        <v>2.0394627596282202</v>
      </c>
      <c r="R3">
        <v>1.8800000001438799</v>
      </c>
      <c r="S3">
        <v>0.79833333350000402</v>
      </c>
      <c r="T3">
        <v>2.7250000001431101</v>
      </c>
      <c r="U3">
        <v>3.0033333334979901</v>
      </c>
      <c r="V3">
        <v>2.7023587450774098</v>
      </c>
      <c r="W3">
        <v>4.7655882809651003E-2</v>
      </c>
      <c r="X3">
        <v>-2.1808424830402101E-2</v>
      </c>
      <c r="Y3">
        <v>-2.5380273222923199E-2</v>
      </c>
      <c r="Z3">
        <v>-3.1352728592170399E-2</v>
      </c>
      <c r="AA3">
        <v>-22.569760493890701</v>
      </c>
      <c r="AB3">
        <v>2.37416666681017</v>
      </c>
      <c r="AC3">
        <v>1.9166666668321399</v>
      </c>
      <c r="AD3">
        <v>2.0282440477848298</v>
      </c>
      <c r="AE3">
        <v>1.9100000001439199</v>
      </c>
      <c r="AF3">
        <v>0.83500000016646403</v>
      </c>
      <c r="AG3">
        <v>2.8383333334764198</v>
      </c>
      <c r="AH3">
        <v>2.7550000001647099</v>
      </c>
      <c r="AI3">
        <v>2.1887202382208</v>
      </c>
      <c r="AJ3">
        <v>-2.5380273222923199E-2</v>
      </c>
      <c r="AK3">
        <v>4.3375363218688596</v>
      </c>
      <c r="AL3">
        <v>4.1206300633631496</v>
      </c>
      <c r="AM3">
        <v>4.1252922440630204</v>
      </c>
      <c r="AN3">
        <v>5.7312457874890299</v>
      </c>
      <c r="AO3">
        <v>0.73276291020597895</v>
      </c>
      <c r="AP3">
        <v>18.268000000000001</v>
      </c>
      <c r="AQ3">
        <v>18.867999999999999</v>
      </c>
      <c r="AR3" s="1">
        <v>1.8491638040616299E-5</v>
      </c>
      <c r="AS3">
        <v>2.6641236646024898E-3</v>
      </c>
      <c r="AT3">
        <v>5.6479999999999997</v>
      </c>
      <c r="AU3">
        <v>169.26823225758099</v>
      </c>
      <c r="AV3">
        <v>6.6737622434884999E-2</v>
      </c>
      <c r="AW3">
        <v>6.2629871812526494E-2</v>
      </c>
      <c r="AX3">
        <v>6.1261305289732802E-2</v>
      </c>
      <c r="AY3">
        <v>7.5129675857467507E-2</v>
      </c>
      <c r="AZ3">
        <v>7.3537171903035797E-2</v>
      </c>
    </row>
    <row r="4" spans="1:52" x14ac:dyDescent="0.2">
      <c r="A4" t="s">
        <v>67</v>
      </c>
      <c r="B4" t="s">
        <v>44</v>
      </c>
      <c r="E4">
        <f>AND(AX4&lt;$C$1,averaged_runs370!AQ4&lt;$C$1,averaged_runs126!AQ4&lt;$C$1)*1</f>
        <v>0</v>
      </c>
      <c r="F4" s="2">
        <f>IF(TRUE,SQRT(averaged_runs126!AQ4^2/2+averaged_runs370!AQ4^2/2+AX4^2*0),"")</f>
        <v>8.3323020113757987E-2</v>
      </c>
      <c r="G4" s="2"/>
      <c r="H4" s="2"/>
      <c r="I4" s="2"/>
      <c r="J4" t="s">
        <v>45</v>
      </c>
      <c r="K4">
        <v>81.96</v>
      </c>
      <c r="L4">
        <v>150.28</v>
      </c>
      <c r="M4">
        <v>2.1231483260353699E-2</v>
      </c>
      <c r="N4">
        <v>150.984201900404</v>
      </c>
      <c r="O4">
        <v>-0.20416666652090401</v>
      </c>
      <c r="P4">
        <v>-0.85916666649846696</v>
      </c>
      <c r="Q4">
        <v>-1.1924816848155699</v>
      </c>
      <c r="R4">
        <v>-0.26999999985418</v>
      </c>
      <c r="S4">
        <v>-0.94166666649839503</v>
      </c>
      <c r="T4">
        <v>-0.20666666652090401</v>
      </c>
      <c r="U4">
        <v>-0.94166666649839503</v>
      </c>
      <c r="V4">
        <v>2.4059104539931999</v>
      </c>
      <c r="W4">
        <v>3.8004065816966602E-2</v>
      </c>
      <c r="X4">
        <v>5.7742287719968997E-2</v>
      </c>
      <c r="Y4">
        <v>3.6628983438014899E-2</v>
      </c>
      <c r="Z4">
        <v>2.12314832603538E-2</v>
      </c>
      <c r="AA4">
        <v>87.652824075427304</v>
      </c>
      <c r="AB4">
        <v>-0.17416666652085899</v>
      </c>
      <c r="AC4">
        <v>-0.82249999983200694</v>
      </c>
      <c r="AD4">
        <v>-1.37059523792798</v>
      </c>
      <c r="AE4">
        <v>-0.239999999854135</v>
      </c>
      <c r="AF4">
        <v>-0.90499999983193402</v>
      </c>
      <c r="AG4">
        <v>-0.17666666652085899</v>
      </c>
      <c r="AH4">
        <v>-0.90499999983193402</v>
      </c>
      <c r="AI4">
        <v>1.7746428570153401</v>
      </c>
      <c r="AJ4">
        <v>3.6628983438014899E-2</v>
      </c>
      <c r="AK4">
        <v>6.8400180350255804</v>
      </c>
      <c r="AL4">
        <v>5.8816435340626896</v>
      </c>
      <c r="AM4">
        <v>8.6823250213711791</v>
      </c>
      <c r="AN4">
        <v>8.0488892029906296</v>
      </c>
      <c r="AO4">
        <v>-0.19062656810534401</v>
      </c>
      <c r="AP4">
        <v>14.228</v>
      </c>
      <c r="AQ4">
        <v>14.788</v>
      </c>
      <c r="AR4" s="1">
        <v>1.2653197732232E-5</v>
      </c>
      <c r="AS4" s="1">
        <v>6.1371359504868196E-5</v>
      </c>
      <c r="AT4">
        <v>2.6505200000000002</v>
      </c>
      <c r="AU4">
        <v>-44.0347372323345</v>
      </c>
      <c r="AV4">
        <v>7.90721056430706E-2</v>
      </c>
      <c r="AW4">
        <v>4.0333047175309798E-2</v>
      </c>
      <c r="AX4">
        <v>4.1896051951424498E-2</v>
      </c>
      <c r="AY4">
        <v>5.8084791084340497E-2</v>
      </c>
      <c r="AZ4">
        <v>5.7866681015352403E-2</v>
      </c>
    </row>
    <row r="5" spans="1:52" x14ac:dyDescent="0.2">
      <c r="A5" t="s">
        <v>47</v>
      </c>
      <c r="B5" t="s">
        <v>44</v>
      </c>
      <c r="C5" t="str">
        <f t="shared" ca="1" si="0"/>
        <v/>
      </c>
      <c r="E5">
        <f>AND(AX5&lt;$C$1,averaged_runs370!AQ5&lt;$C$1,averaged_runs126!AQ5&lt;$C$1)*1</f>
        <v>0</v>
      </c>
      <c r="F5" s="2">
        <f>IF(TRUE,SQRT(averaged_runs126!AQ5^2/2+averaged_runs370!AQ5^2/2+AX5^2*0),"")</f>
        <v>0.11467031603120298</v>
      </c>
      <c r="G5" s="2"/>
      <c r="H5" s="2"/>
      <c r="I5" s="2"/>
      <c r="J5" t="s">
        <v>45</v>
      </c>
      <c r="K5">
        <v>0.04</v>
      </c>
      <c r="L5">
        <v>0.9</v>
      </c>
      <c r="M5">
        <v>4.4324491574213604E-3</v>
      </c>
      <c r="N5">
        <v>67.196780804344797</v>
      </c>
      <c r="O5">
        <v>-0.23044444429868399</v>
      </c>
      <c r="P5">
        <v>1.2215000001662899</v>
      </c>
      <c r="Q5">
        <v>-0.14221879889151301</v>
      </c>
      <c r="R5">
        <v>-5.1183333331831102</v>
      </c>
      <c r="S5">
        <v>-5.2933333331611196</v>
      </c>
      <c r="T5">
        <v>-1.4233333331864799</v>
      </c>
      <c r="U5">
        <v>5.0100000001628402</v>
      </c>
      <c r="V5">
        <v>2.5098658435838299</v>
      </c>
      <c r="W5">
        <v>0.12719177191939601</v>
      </c>
      <c r="X5">
        <v>-1.1682738026530201E-3</v>
      </c>
      <c r="Y5">
        <v>4.6354122161864804E-3</v>
      </c>
      <c r="Z5">
        <v>4.4324491574214203E-3</v>
      </c>
      <c r="AA5">
        <v>61.748864400032403</v>
      </c>
      <c r="AB5">
        <v>-0.200444444298639</v>
      </c>
      <c r="AC5">
        <v>1.25816666683275</v>
      </c>
      <c r="AD5">
        <v>-0.29429124132905599</v>
      </c>
      <c r="AE5">
        <v>-5.08833333318307</v>
      </c>
      <c r="AF5">
        <v>-5.2566666664946604</v>
      </c>
      <c r="AG5">
        <v>-0.85499999985360697</v>
      </c>
      <c r="AH5">
        <v>5.5066666668288704</v>
      </c>
      <c r="AI5">
        <v>1.3885551303447701</v>
      </c>
      <c r="AJ5">
        <v>4.6354122161865099E-3</v>
      </c>
      <c r="AK5">
        <v>2.29448885044226</v>
      </c>
      <c r="AL5">
        <v>2.3055705226512102</v>
      </c>
      <c r="AM5">
        <v>2.5264418351578701</v>
      </c>
      <c r="AN5">
        <v>2.2546285066980398</v>
      </c>
      <c r="AO5">
        <v>0.70481869537039499</v>
      </c>
      <c r="AP5">
        <v>47.667999999999999</v>
      </c>
      <c r="AQ5">
        <v>49.628</v>
      </c>
      <c r="AR5">
        <v>0.62227743348933595</v>
      </c>
      <c r="AS5">
        <v>0.879302106931795</v>
      </c>
      <c r="AT5">
        <v>29.131920000000001</v>
      </c>
      <c r="AU5">
        <v>162.81311863056101</v>
      </c>
      <c r="AV5">
        <v>0.118533651196634</v>
      </c>
      <c r="AW5">
        <v>0.115688841762287</v>
      </c>
      <c r="AX5">
        <v>0.113604910564311</v>
      </c>
      <c r="AY5">
        <v>0.122833650719058</v>
      </c>
      <c r="AZ5">
        <v>0.120814373948469</v>
      </c>
    </row>
    <row r="6" spans="1:52" x14ac:dyDescent="0.2">
      <c r="A6" t="s">
        <v>48</v>
      </c>
      <c r="B6" t="s">
        <v>49</v>
      </c>
      <c r="C6">
        <f t="shared" ca="1" si="0"/>
        <v>0</v>
      </c>
      <c r="D6">
        <v>7</v>
      </c>
      <c r="E6">
        <f>AND(AX6&lt;$C$1,averaged_runs370!AQ6&lt;$C$1,averaged_runs126!AQ6&lt;$C$1)*1</f>
        <v>0</v>
      </c>
      <c r="F6" s="2">
        <f>IF(TRUE,SQRT(averaged_runs126!AQ6^2/2+averaged_runs370!AQ6^2/2+AX6^2*0),"")</f>
        <v>8.9831562685022737E-2</v>
      </c>
      <c r="G6" s="2"/>
      <c r="H6" s="2"/>
      <c r="I6" s="2"/>
      <c r="J6" t="s">
        <v>45</v>
      </c>
      <c r="K6">
        <v>65.3</v>
      </c>
      <c r="L6">
        <v>119.4</v>
      </c>
      <c r="M6">
        <v>-4.7566755528292599E-3</v>
      </c>
      <c r="N6">
        <v>40.9845361566964</v>
      </c>
      <c r="O6">
        <v>1.3766666668109699</v>
      </c>
      <c r="P6">
        <v>0.68000000016677398</v>
      </c>
      <c r="Q6">
        <v>0.21592338233799799</v>
      </c>
      <c r="R6">
        <v>1.3766666668109699</v>
      </c>
      <c r="S6">
        <v>0.68000000016677398</v>
      </c>
      <c r="T6">
        <v>1.3766666668109699</v>
      </c>
      <c r="U6">
        <v>0.68000000016677398</v>
      </c>
      <c r="V6">
        <v>2.5733033174767601</v>
      </c>
      <c r="W6">
        <v>3.0850559306930599E-2</v>
      </c>
      <c r="X6">
        <v>-2.2917501525630799E-2</v>
      </c>
      <c r="Y6">
        <v>2.77680602630614E-2</v>
      </c>
      <c r="Z6">
        <v>-4.7566755528292504E-3</v>
      </c>
      <c r="AA6">
        <v>-23.3645664234236</v>
      </c>
      <c r="AB6">
        <v>1.4066666668110199</v>
      </c>
      <c r="AC6">
        <v>0.71666666683323399</v>
      </c>
      <c r="AD6">
        <v>-7.0158729993073599E-2</v>
      </c>
      <c r="AE6">
        <v>1.4066666668110199</v>
      </c>
      <c r="AF6">
        <v>0.71666666683323399</v>
      </c>
      <c r="AG6">
        <v>1.4066666668110199</v>
      </c>
      <c r="AH6">
        <v>0.71666666683323399</v>
      </c>
      <c r="AI6">
        <v>1.3548015872745001</v>
      </c>
      <c r="AJ6">
        <v>2.77680602630615E-2</v>
      </c>
      <c r="AK6">
        <v>6.8996275297944596</v>
      </c>
      <c r="AL6">
        <v>8.4338494109825302</v>
      </c>
      <c r="AM6">
        <v>6.8206613289762803</v>
      </c>
      <c r="AN6">
        <v>9.2740340688078096</v>
      </c>
      <c r="AO6">
        <v>-0.59534223209825998</v>
      </c>
      <c r="AP6">
        <v>13.72</v>
      </c>
      <c r="AQ6">
        <v>14.18</v>
      </c>
      <c r="AR6" s="1">
        <v>4.28524074418778E-7</v>
      </c>
      <c r="AS6" s="1">
        <v>5.4452897255206204E-6</v>
      </c>
      <c r="AT6">
        <v>2.1726399999999999</v>
      </c>
      <c r="AU6">
        <v>-114.30570856286499</v>
      </c>
      <c r="AV6">
        <v>6.8089157262028202E-2</v>
      </c>
      <c r="AW6">
        <v>5.6572509060408803E-2</v>
      </c>
      <c r="AX6">
        <v>5.5469976670726902E-2</v>
      </c>
      <c r="AY6">
        <v>6.7274870688425206E-2</v>
      </c>
      <c r="AZ6">
        <v>6.2539266779648606E-2</v>
      </c>
    </row>
    <row r="7" spans="1:52" x14ac:dyDescent="0.2">
      <c r="A7" t="s">
        <v>50</v>
      </c>
      <c r="B7" t="s">
        <v>49</v>
      </c>
      <c r="C7" t="str">
        <f t="shared" ca="1" si="0"/>
        <v/>
      </c>
      <c r="E7">
        <f>AND(AX7&lt;$C$1,averaged_runs370!AQ7&lt;$C$1,averaged_runs126!AQ7&lt;$C$1)*1</f>
        <v>0</v>
      </c>
      <c r="F7" s="2">
        <f>IF(TRUE,SQRT(averaged_runs126!AQ7^2/2+averaged_runs370!AQ7^2/2+AX7^2*0),"")</f>
        <v>6.7739669897140781E-2</v>
      </c>
      <c r="G7" s="2">
        <f>IF(TRUE,averaged_runs126!AQ7,"")</f>
        <v>5.1943547468361703E-2</v>
      </c>
      <c r="H7" s="2">
        <f t="shared" ref="H4:H7" si="1">IF(TRUE,AX7,"")</f>
        <v>5.96506270650905E-2</v>
      </c>
      <c r="I7" s="2">
        <f>IF(TRUE,averaged_runs370!AQ7,"")</f>
        <v>8.0493438440342804E-2</v>
      </c>
      <c r="J7" t="s">
        <v>45</v>
      </c>
      <c r="K7">
        <v>0.72</v>
      </c>
      <c r="L7">
        <v>1.38</v>
      </c>
      <c r="M7">
        <v>-2.6180824631985702E-2</v>
      </c>
      <c r="N7">
        <v>74.840518825419807</v>
      </c>
      <c r="O7">
        <v>1.9308333334771299</v>
      </c>
      <c r="P7">
        <v>0.70416666683343898</v>
      </c>
      <c r="Q7">
        <v>1.3603395911304099</v>
      </c>
      <c r="R7">
        <v>0.81666666681147904</v>
      </c>
      <c r="S7">
        <v>-0.55166666649873997</v>
      </c>
      <c r="T7">
        <v>2.71333333347643</v>
      </c>
      <c r="U7">
        <v>0.83000000016664599</v>
      </c>
      <c r="V7">
        <v>2.1761724257404298</v>
      </c>
      <c r="W7">
        <v>0.14636477580398399</v>
      </c>
      <c r="X7">
        <v>-2.7578140803319801E-2</v>
      </c>
      <c r="Y7">
        <v>-2.0863499437785898E-2</v>
      </c>
      <c r="Z7">
        <v>-2.6180824631985702E-2</v>
      </c>
      <c r="AA7">
        <v>67.736382117808503</v>
      </c>
      <c r="AB7">
        <v>1.9608333334771799</v>
      </c>
      <c r="AC7">
        <v>0.74083333349989899</v>
      </c>
      <c r="AD7">
        <v>1.3274107144526901</v>
      </c>
      <c r="AE7">
        <v>0.84666666681152403</v>
      </c>
      <c r="AF7">
        <v>-0.51499999983227995</v>
      </c>
      <c r="AG7">
        <v>2.5100000001433602</v>
      </c>
      <c r="AH7">
        <v>0.750000000166546</v>
      </c>
      <c r="AI7">
        <v>1.77076388897523</v>
      </c>
      <c r="AJ7">
        <v>-2.0863499437785898E-2</v>
      </c>
      <c r="AK7">
        <v>2.1827705490699101</v>
      </c>
      <c r="AL7">
        <v>2.09666630760145</v>
      </c>
      <c r="AM7">
        <v>2.2786430508953801</v>
      </c>
      <c r="AN7">
        <v>2.1033824056492398</v>
      </c>
      <c r="AO7">
        <v>0.83237405938984199</v>
      </c>
      <c r="AP7">
        <v>23.57</v>
      </c>
      <c r="AQ7">
        <v>24.41</v>
      </c>
      <c r="AR7">
        <v>0.41185022256824</v>
      </c>
      <c r="AS7">
        <v>0.91143554199827803</v>
      </c>
      <c r="AT7">
        <v>10.132099999999999</v>
      </c>
      <c r="AU7">
        <v>118.197116433357</v>
      </c>
      <c r="AV7">
        <v>6.5223975328643796E-2</v>
      </c>
      <c r="AW7">
        <v>6.07872487743027E-2</v>
      </c>
      <c r="AX7">
        <v>5.96506270650905E-2</v>
      </c>
      <c r="AY7">
        <v>7.4541291415409702E-2</v>
      </c>
      <c r="AZ7">
        <v>7.3424923271338399E-2</v>
      </c>
    </row>
    <row r="8" spans="1:52" x14ac:dyDescent="0.2">
      <c r="A8" t="s">
        <v>51</v>
      </c>
      <c r="B8" t="s">
        <v>49</v>
      </c>
      <c r="C8" t="str">
        <f t="shared" ca="1" si="0"/>
        <v/>
      </c>
      <c r="E8">
        <f>AND(AX8&lt;$C$1,averaged_runs370!AQ8&lt;$C$1,averaged_runs126!AQ8&lt;$C$1)*1</f>
        <v>0</v>
      </c>
      <c r="F8" s="2">
        <f>IF(TRUE,SQRT(averaged_runs126!AQ8^2/2+averaged_runs370!AQ8^2/2+AX8^2*0),"")</f>
        <v>0.23061438028097908</v>
      </c>
      <c r="G8" s="2"/>
      <c r="H8" s="2"/>
      <c r="I8" s="2"/>
      <c r="J8" t="s">
        <v>45</v>
      </c>
      <c r="K8">
        <v>9.32</v>
      </c>
      <c r="L8">
        <v>24.46</v>
      </c>
      <c r="M8">
        <v>1.5763385047118599E-2</v>
      </c>
      <c r="N8">
        <v>112.113357101094</v>
      </c>
      <c r="O8">
        <v>0.31500000014528201</v>
      </c>
      <c r="P8">
        <v>0.43000000016701001</v>
      </c>
      <c r="Q8">
        <v>-0.64522893756386501</v>
      </c>
      <c r="R8">
        <v>0.31500000014528201</v>
      </c>
      <c r="S8">
        <v>0.43000000016701001</v>
      </c>
      <c r="T8">
        <v>0.31500000014528201</v>
      </c>
      <c r="U8">
        <v>0.43000000016701001</v>
      </c>
      <c r="V8">
        <v>2.7317445323190199</v>
      </c>
      <c r="W8">
        <v>6.0235763358432302E-2</v>
      </c>
      <c r="X8">
        <v>1.0480069401296799E-2</v>
      </c>
      <c r="Y8">
        <v>4.0835027596657802E-2</v>
      </c>
      <c r="Z8">
        <v>1.5763385047118599E-2</v>
      </c>
      <c r="AA8">
        <v>98.225899439317899</v>
      </c>
      <c r="AB8">
        <v>0.345000000145328</v>
      </c>
      <c r="AC8">
        <v>0.46666666683347102</v>
      </c>
      <c r="AD8">
        <v>-0.96833333316730497</v>
      </c>
      <c r="AE8">
        <v>0.345000000145328</v>
      </c>
      <c r="AF8">
        <v>0.46666666683347102</v>
      </c>
      <c r="AG8">
        <v>0.345000000145328</v>
      </c>
      <c r="AH8">
        <v>0.46666666683347102</v>
      </c>
      <c r="AI8">
        <v>1.9340476189935301</v>
      </c>
      <c r="AJ8">
        <v>4.0835027596657802E-2</v>
      </c>
      <c r="AK8">
        <v>5.3977786651777198</v>
      </c>
      <c r="AL8">
        <v>6.2053783755490199</v>
      </c>
      <c r="AM8">
        <v>6.1416524690731098</v>
      </c>
      <c r="AN8">
        <v>6.5542457338229596</v>
      </c>
      <c r="AO8">
        <v>1.2033278723891001</v>
      </c>
      <c r="AP8">
        <v>13.56</v>
      </c>
      <c r="AQ8">
        <v>14</v>
      </c>
      <c r="AR8">
        <v>5.9934119268161501E-2</v>
      </c>
      <c r="AS8">
        <v>0.146061163505674</v>
      </c>
      <c r="AT8">
        <v>1.70804</v>
      </c>
      <c r="AU8">
        <v>187.71914809270001</v>
      </c>
      <c r="AV8">
        <v>5.8141163438072699E-2</v>
      </c>
      <c r="AW8">
        <v>5.6797018856679302E-2</v>
      </c>
      <c r="AX8">
        <v>6.18245219263392E-2</v>
      </c>
      <c r="AY8">
        <v>6.6056330882797706E-2</v>
      </c>
      <c r="AZ8">
        <v>6.6831760251953906E-2</v>
      </c>
    </row>
    <row r="9" spans="1:52" x14ac:dyDescent="0.2">
      <c r="A9" t="s">
        <v>52</v>
      </c>
      <c r="B9" t="s">
        <v>49</v>
      </c>
      <c r="C9" t="str">
        <f t="shared" ca="1" si="0"/>
        <v/>
      </c>
      <c r="E9">
        <f>AND(AX9&lt;$C$1,averaged_runs370!AQ9&lt;$C$1,averaged_runs126!AQ9&lt;$C$1)*1</f>
        <v>0</v>
      </c>
      <c r="F9" s="2">
        <f>IF(TRUE,SQRT(averaged_runs126!AQ9^2/2+averaged_runs370!AQ9^2/2+AX9^2*0),"")</f>
        <v>0.18079242459191269</v>
      </c>
      <c r="G9" s="2"/>
      <c r="H9" s="2"/>
      <c r="I9" s="2"/>
      <c r="J9" t="s">
        <v>45</v>
      </c>
      <c r="K9">
        <v>24.86</v>
      </c>
      <c r="L9">
        <v>65.599999999999994</v>
      </c>
      <c r="M9">
        <v>4.8653681866726002E-3</v>
      </c>
      <c r="N9">
        <v>57.838239081945403</v>
      </c>
      <c r="O9">
        <v>0.94666666681134304</v>
      </c>
      <c r="P9">
        <v>0.60166666683355197</v>
      </c>
      <c r="Q9">
        <v>-0.18165750899271699</v>
      </c>
      <c r="R9">
        <v>0.94666666681134304</v>
      </c>
      <c r="S9">
        <v>0.60166666683355197</v>
      </c>
      <c r="T9">
        <v>0.94666666681134304</v>
      </c>
      <c r="U9">
        <v>0.60166666683355197</v>
      </c>
      <c r="V9">
        <v>2.6074644984032398</v>
      </c>
      <c r="W9">
        <v>3.5928333381716297E-2</v>
      </c>
      <c r="X9">
        <v>-1.0032348870751299E-3</v>
      </c>
      <c r="Y9">
        <v>3.4039933833463702E-2</v>
      </c>
      <c r="Z9">
        <v>4.8653681866726002E-3</v>
      </c>
      <c r="AA9">
        <v>19.114791614808102</v>
      </c>
      <c r="AB9">
        <v>0.97666666681138803</v>
      </c>
      <c r="AC9">
        <v>0.63833333350001298</v>
      </c>
      <c r="AD9">
        <v>-0.49833333316755202</v>
      </c>
      <c r="AE9">
        <v>0.97666666681138803</v>
      </c>
      <c r="AF9">
        <v>0.63833333350001298</v>
      </c>
      <c r="AG9">
        <v>0.97666666681138803</v>
      </c>
      <c r="AH9">
        <v>0.63833333350001298</v>
      </c>
      <c r="AI9">
        <v>1.4514285713813999</v>
      </c>
      <c r="AJ9">
        <v>3.4039933833463702E-2</v>
      </c>
      <c r="AK9">
        <v>7.60514720532995</v>
      </c>
      <c r="AL9">
        <v>8.7446504495097397</v>
      </c>
      <c r="AM9">
        <v>8.16041850786449</v>
      </c>
      <c r="AN9">
        <v>9.6588589956106201</v>
      </c>
      <c r="AO9">
        <v>0.51642694489584495</v>
      </c>
      <c r="AP9">
        <v>13.56</v>
      </c>
      <c r="AQ9">
        <v>14</v>
      </c>
      <c r="AR9">
        <v>2.6220635992576499E-4</v>
      </c>
      <c r="AS9">
        <v>5.5938011686916802E-3</v>
      </c>
      <c r="AT9">
        <v>2.07002</v>
      </c>
      <c r="AU9">
        <v>80.562603403751794</v>
      </c>
      <c r="AV9">
        <v>5.83326574910943E-2</v>
      </c>
      <c r="AW9">
        <v>5.3875809179652803E-2</v>
      </c>
      <c r="AX9">
        <v>5.6864151734293898E-2</v>
      </c>
      <c r="AY9">
        <v>6.2753007218237802E-2</v>
      </c>
      <c r="AZ9">
        <v>6.1647790144507802E-2</v>
      </c>
    </row>
    <row r="10" spans="1:52" x14ac:dyDescent="0.2">
      <c r="A10" t="s">
        <v>53</v>
      </c>
      <c r="B10" t="s">
        <v>49</v>
      </c>
      <c r="C10" t="str">
        <f t="shared" ca="1" si="0"/>
        <v/>
      </c>
      <c r="E10">
        <f>AND(AX10&lt;$C$1,averaged_runs370!AQ10&lt;$C$1,averaged_runs126!AQ10&lt;$C$1)*1</f>
        <v>0</v>
      </c>
      <c r="F10" s="2">
        <f>IF(TRUE,SQRT(averaged_runs126!AQ10^2/2+averaged_runs370!AQ10^2/2+AX10^2*0),"")</f>
        <v>0.38688191466749233</v>
      </c>
      <c r="G10" s="2"/>
      <c r="H10" s="2"/>
      <c r="I10" s="2"/>
      <c r="J10" t="s">
        <v>45</v>
      </c>
      <c r="K10">
        <v>119.68</v>
      </c>
      <c r="L10">
        <v>131.52000000000001</v>
      </c>
      <c r="M10">
        <v>-0.26133151845938501</v>
      </c>
      <c r="N10">
        <v>-2762.1689262715099</v>
      </c>
      <c r="O10">
        <v>14.7733333334654</v>
      </c>
      <c r="P10">
        <v>15.791666666819699</v>
      </c>
      <c r="Q10">
        <v>14.567060439717901</v>
      </c>
      <c r="R10">
        <v>14.7733333334654</v>
      </c>
      <c r="S10">
        <v>15.791666666819699</v>
      </c>
      <c r="T10">
        <v>14.7733333334654</v>
      </c>
      <c r="U10">
        <v>15.791666666819699</v>
      </c>
      <c r="V10">
        <v>14.677585301453</v>
      </c>
      <c r="W10">
        <v>3.17808560134537E-2</v>
      </c>
      <c r="X10">
        <v>-0.17730157059455201</v>
      </c>
      <c r="Y10">
        <v>-0.25446109365053199</v>
      </c>
      <c r="Z10">
        <v>-0.26133151845938501</v>
      </c>
      <c r="AA10">
        <v>-2812.8081833075998</v>
      </c>
      <c r="AB10">
        <v>14.8033333334654</v>
      </c>
      <c r="AC10">
        <v>15.8283333334861</v>
      </c>
      <c r="AD10">
        <v>14.5544047620582</v>
      </c>
      <c r="AE10">
        <v>14.8033333334654</v>
      </c>
      <c r="AF10">
        <v>15.8283333334861</v>
      </c>
      <c r="AG10">
        <v>14.8033333334654</v>
      </c>
      <c r="AH10">
        <v>15.8283333334861</v>
      </c>
      <c r="AI10">
        <v>14.5544047620582</v>
      </c>
      <c r="AJ10">
        <v>-0.25446109365053199</v>
      </c>
      <c r="AK10" s="1">
        <v>9.7039439588969392E-7</v>
      </c>
      <c r="AL10" s="1">
        <v>6.8004588520990503E-11</v>
      </c>
      <c r="AM10" s="1">
        <v>1.27545340034031E-12</v>
      </c>
      <c r="AN10" s="1">
        <v>4.0067898939066799E-12</v>
      </c>
      <c r="AO10">
        <v>-20.536531894482099</v>
      </c>
      <c r="AP10">
        <v>13.54</v>
      </c>
      <c r="AQ10">
        <v>13.74</v>
      </c>
      <c r="AR10" s="1">
        <v>1.07109266358932E-16</v>
      </c>
      <c r="AS10" s="1">
        <v>1.08021085692783E-16</v>
      </c>
      <c r="AT10">
        <v>0.76527999999999996</v>
      </c>
      <c r="AU10">
        <v>-2895.6509971219698</v>
      </c>
      <c r="AV10">
        <v>0.221574509963023</v>
      </c>
      <c r="AW10">
        <v>0.267208183113958</v>
      </c>
      <c r="AX10">
        <v>0.27638972637450598</v>
      </c>
      <c r="AY10">
        <v>0.268393818927254</v>
      </c>
      <c r="AZ10">
        <v>0.27713201871599502</v>
      </c>
    </row>
    <row r="11" spans="1:52" x14ac:dyDescent="0.2">
      <c r="A11" t="s">
        <v>54</v>
      </c>
      <c r="B11" t="s">
        <v>49</v>
      </c>
      <c r="C11" t="str">
        <f t="shared" ca="1" si="0"/>
        <v/>
      </c>
      <c r="E11">
        <f>AND(AX11&lt;$C$1,averaged_runs370!AQ11&lt;$C$1,averaged_runs126!AQ11&lt;$C$1)*1</f>
        <v>0</v>
      </c>
      <c r="F11" s="2">
        <f>IF(TRUE,SQRT(averaged_runs126!AQ11^2/2+averaged_runs370!AQ11^2/2+AX11^2*0),"")</f>
        <v>8.6769308527904501E-2</v>
      </c>
      <c r="G11" s="2"/>
      <c r="H11" s="2"/>
      <c r="I11" s="2"/>
      <c r="J11" t="s">
        <v>45</v>
      </c>
      <c r="K11">
        <v>23.8</v>
      </c>
      <c r="L11">
        <v>91.32</v>
      </c>
      <c r="M11">
        <v>7.2308042606347003E-2</v>
      </c>
      <c r="N11">
        <v>35.061108721902997</v>
      </c>
      <c r="O11">
        <v>-4.3916666665170698</v>
      </c>
      <c r="P11">
        <v>-3.9824999998289599</v>
      </c>
      <c r="Q11">
        <v>-4.48326007309179</v>
      </c>
      <c r="R11">
        <v>-4.4766666665169899</v>
      </c>
      <c r="S11">
        <v>-4.0349999998289103</v>
      </c>
      <c r="T11">
        <v>-4.4766666665169899</v>
      </c>
      <c r="U11">
        <v>-4.0349999998289103</v>
      </c>
      <c r="V11">
        <v>5.1608140970592098</v>
      </c>
      <c r="W11">
        <v>5.0127230900367997E-2</v>
      </c>
      <c r="X11">
        <v>3.1414136289409499E-2</v>
      </c>
      <c r="Y11">
        <v>7.3613094955370398E-2</v>
      </c>
      <c r="Z11">
        <v>7.2308042606347003E-2</v>
      </c>
      <c r="AA11">
        <v>-8.7166270508288495</v>
      </c>
      <c r="AB11">
        <v>-4.3616666665170198</v>
      </c>
      <c r="AC11">
        <v>-3.9458333331625002</v>
      </c>
      <c r="AD11">
        <v>-4.5186904760212103</v>
      </c>
      <c r="AE11">
        <v>-4.4466666665169399</v>
      </c>
      <c r="AF11">
        <v>-3.9983333331624502</v>
      </c>
      <c r="AG11">
        <v>-4.4233333331836304</v>
      </c>
      <c r="AH11">
        <v>-3.8933333331625501</v>
      </c>
      <c r="AI11">
        <v>4.5841666665100398</v>
      </c>
      <c r="AJ11">
        <v>7.3613094955370398E-2</v>
      </c>
      <c r="AK11">
        <v>2.5516916521892599</v>
      </c>
      <c r="AL11">
        <v>3.0833669101784702</v>
      </c>
      <c r="AM11">
        <v>2.7022597026344801</v>
      </c>
      <c r="AN11">
        <v>2.3752616269126898</v>
      </c>
      <c r="AO11">
        <v>0.58245117916059796</v>
      </c>
      <c r="AP11">
        <v>14.112</v>
      </c>
      <c r="AQ11">
        <v>14.632</v>
      </c>
      <c r="AR11">
        <v>3.4689385955943397E-2</v>
      </c>
      <c r="AS11">
        <v>7.0498763137485307E-2</v>
      </c>
      <c r="AT11">
        <v>3.0484599999999999</v>
      </c>
      <c r="AU11">
        <v>82.125616261644396</v>
      </c>
      <c r="AV11">
        <v>8.3762639676407499E-2</v>
      </c>
      <c r="AW11">
        <v>8.5811067533146296E-2</v>
      </c>
      <c r="AX11">
        <v>8.7840559282344299E-2</v>
      </c>
      <c r="AY11">
        <v>9.68711686891785E-2</v>
      </c>
      <c r="AZ11">
        <v>9.7034364167692802E-2</v>
      </c>
    </row>
    <row r="12" spans="1:52" x14ac:dyDescent="0.2">
      <c r="A12" t="s">
        <v>55</v>
      </c>
      <c r="B12" t="s">
        <v>49</v>
      </c>
      <c r="C12" t="str">
        <f t="shared" ca="1" si="0"/>
        <v/>
      </c>
      <c r="E12">
        <f>AND(AX12&lt;$C$1,averaged_runs370!AQ12&lt;$C$1,averaged_runs126!AQ12&lt;$C$1)*1</f>
        <v>0</v>
      </c>
      <c r="F12" s="2">
        <f>IF(TRUE,SQRT(averaged_runs126!AQ12^2/2+averaged_runs370!AQ12^2/2+AX12^2*0),"")</f>
        <v>0.27033028393286285</v>
      </c>
      <c r="G12" s="2" t="str">
        <f>IF(E12,averaged_runs126!AP11,"")</f>
        <v/>
      </c>
      <c r="H12" s="2" t="str">
        <f t="shared" ref="H12" si="2">IF(E12,AW12,"")</f>
        <v/>
      </c>
      <c r="I12" s="2" t="str">
        <f>IF(E12,averaged_runs370!AP11,"")</f>
        <v/>
      </c>
      <c r="J12" t="s">
        <v>45</v>
      </c>
      <c r="K12">
        <v>33.020000000000003</v>
      </c>
      <c r="L12">
        <v>81.180000000000007</v>
      </c>
      <c r="M12">
        <v>-1.7170924957490601E-2</v>
      </c>
      <c r="N12">
        <v>-10.384010902115399</v>
      </c>
      <c r="O12">
        <v>1.1316666668111801</v>
      </c>
      <c r="P12">
        <v>1.90833333349901</v>
      </c>
      <c r="Q12">
        <v>0.79717032983490299</v>
      </c>
      <c r="R12">
        <v>1.1316666668111801</v>
      </c>
      <c r="S12">
        <v>1.90833333349901</v>
      </c>
      <c r="T12">
        <v>1.1316666668111801</v>
      </c>
      <c r="U12">
        <v>1.90833333349901</v>
      </c>
      <c r="V12">
        <v>3.1506196786115801</v>
      </c>
      <c r="W12">
        <v>3.6615848964981899E-2</v>
      </c>
      <c r="X12">
        <v>-1.5958382303109999E-2</v>
      </c>
      <c r="Y12">
        <v>1.03482774731391E-2</v>
      </c>
      <c r="Z12">
        <v>-1.7170924957490601E-2</v>
      </c>
      <c r="AA12">
        <v>-37.409047078281503</v>
      </c>
      <c r="AB12">
        <v>1.1616666668112301</v>
      </c>
      <c r="AC12">
        <v>1.9450000001654699</v>
      </c>
      <c r="AD12">
        <v>0.486785714451202</v>
      </c>
      <c r="AE12">
        <v>1.1616666668112301</v>
      </c>
      <c r="AF12">
        <v>1.9450000001654699</v>
      </c>
      <c r="AG12">
        <v>1.1616666668112301</v>
      </c>
      <c r="AH12">
        <v>1.9450000001654699</v>
      </c>
      <c r="AI12">
        <v>1.8220238095755901</v>
      </c>
      <c r="AJ12">
        <v>1.03482774731391E-2</v>
      </c>
      <c r="AK12">
        <v>5.4229342567051999</v>
      </c>
      <c r="AL12">
        <v>5.6121797354530401</v>
      </c>
      <c r="AM12">
        <v>5.70116228446763</v>
      </c>
      <c r="AN12">
        <v>5.4487195613708197</v>
      </c>
      <c r="AO12">
        <v>0.48187783312436699</v>
      </c>
      <c r="AP12">
        <v>13.56</v>
      </c>
      <c r="AQ12">
        <v>14</v>
      </c>
      <c r="AR12">
        <v>4.34333475244837E-3</v>
      </c>
      <c r="AS12">
        <v>2.7364613299456601E-2</v>
      </c>
      <c r="AT12">
        <v>2.1061999999999999</v>
      </c>
      <c r="AU12">
        <v>75.172941967401201</v>
      </c>
      <c r="AV12">
        <v>6.7066301508137E-2</v>
      </c>
      <c r="AW12">
        <v>7.1212754195910499E-2</v>
      </c>
      <c r="AX12">
        <v>6.7585355647627604E-2</v>
      </c>
      <c r="AY12">
        <v>7.6679243871692504E-2</v>
      </c>
      <c r="AZ12">
        <v>6.9316195429191693E-2</v>
      </c>
    </row>
    <row r="13" spans="1:52" x14ac:dyDescent="0.2">
      <c r="A13" t="s">
        <v>56</v>
      </c>
      <c r="B13" t="s">
        <v>57</v>
      </c>
      <c r="C13">
        <f t="shared" ca="1" si="0"/>
        <v>9</v>
      </c>
      <c r="D13">
        <v>15</v>
      </c>
      <c r="E13">
        <f>AND(AX13&lt;$C$1,averaged_runs370!AQ13&lt;$C$1,averaged_runs126!AQ13&lt;$C$1)*1</f>
        <v>1</v>
      </c>
      <c r="F13" s="2">
        <f>IF(TRUE,SQRT(averaged_runs126!AQ13^2/2+averaged_runs370!AQ13^2/2+AX13^2*0),"")</f>
        <v>5.3572969240950376E-2</v>
      </c>
      <c r="G13" s="2">
        <f>IF(E13,averaged_runs126!AQ13,"")</f>
        <v>5.4974864609975603E-2</v>
      </c>
      <c r="H13" s="2">
        <f>IF(E13,AX13,"")</f>
        <v>5.3863839374024197E-2</v>
      </c>
      <c r="I13" s="2">
        <f>IF(E13,averaged_runs370!AQ13,"")</f>
        <v>5.2133389758373498E-2</v>
      </c>
      <c r="J13" t="s">
        <v>45</v>
      </c>
      <c r="K13">
        <v>5.74</v>
      </c>
      <c r="L13">
        <v>31.54</v>
      </c>
      <c r="M13">
        <v>6.4456428878908898E-3</v>
      </c>
      <c r="N13">
        <v>126.553277677838</v>
      </c>
      <c r="O13">
        <v>0.190833333478691</v>
      </c>
      <c r="P13">
        <v>-0.66944444427642102</v>
      </c>
      <c r="Q13">
        <v>-0.22955967626827001</v>
      </c>
      <c r="R13">
        <v>-0.546666666520641</v>
      </c>
      <c r="S13">
        <v>-1.4549999998312599</v>
      </c>
      <c r="T13">
        <v>0.22166666681199701</v>
      </c>
      <c r="U13">
        <v>-0.86999999983178899</v>
      </c>
      <c r="V13">
        <v>2.0126308330945202</v>
      </c>
      <c r="W13">
        <v>5.8315207148338703E-2</v>
      </c>
      <c r="X13">
        <v>-1.8114127022966699E-3</v>
      </c>
      <c r="Y13">
        <v>8.8992033243178708E-3</v>
      </c>
      <c r="Z13">
        <v>6.4456428878909497E-3</v>
      </c>
      <c r="AA13">
        <v>92.9899575365381</v>
      </c>
      <c r="AB13">
        <v>0.22083333347873699</v>
      </c>
      <c r="AC13">
        <v>-0.63277777760996101</v>
      </c>
      <c r="AD13">
        <v>-0.31903769824517803</v>
      </c>
      <c r="AE13">
        <v>-0.51666666652059501</v>
      </c>
      <c r="AF13">
        <v>-1.4183333331648</v>
      </c>
      <c r="AG13">
        <v>0.37000000014527301</v>
      </c>
      <c r="AH13">
        <v>-1.1549999998317</v>
      </c>
      <c r="AI13">
        <v>1.34725198409965</v>
      </c>
      <c r="AJ13">
        <v>8.8992033243178899E-3</v>
      </c>
      <c r="AK13">
        <v>4.4774012637422196</v>
      </c>
      <c r="AL13">
        <v>3.9537691989014201</v>
      </c>
      <c r="AM13">
        <v>5.0718088657729101</v>
      </c>
      <c r="AN13">
        <v>5.1720804376383596</v>
      </c>
      <c r="AO13">
        <v>1.17394440544325</v>
      </c>
      <c r="AP13">
        <v>18.37</v>
      </c>
      <c r="AQ13">
        <v>19.11</v>
      </c>
      <c r="AR13">
        <v>0.12771396914616001</v>
      </c>
      <c r="AS13">
        <v>0.227927350748101</v>
      </c>
      <c r="AT13">
        <v>5.7125599999999999</v>
      </c>
      <c r="AU13">
        <v>266.48538003561799</v>
      </c>
      <c r="AV13">
        <v>6.6750262658773707E-2</v>
      </c>
      <c r="AW13">
        <v>5.7491124263331E-2</v>
      </c>
      <c r="AX13">
        <v>5.3863839374024197E-2</v>
      </c>
      <c r="AY13">
        <v>7.4454188461713297E-2</v>
      </c>
      <c r="AZ13">
        <v>7.1320253557555099E-2</v>
      </c>
    </row>
    <row r="14" spans="1:52" x14ac:dyDescent="0.2">
      <c r="A14" t="s">
        <v>58</v>
      </c>
      <c r="B14" t="s">
        <v>57</v>
      </c>
      <c r="C14" t="str">
        <f t="shared" ca="1" si="0"/>
        <v/>
      </c>
      <c r="E14">
        <f>AND(AX14&lt;$C$1,averaged_runs370!AQ14&lt;$C$1,averaged_runs126!AQ14&lt;$C$1)*1</f>
        <v>1</v>
      </c>
      <c r="F14" s="2">
        <f>IF(TRUE,SQRT(averaged_runs126!AQ14^2/2+averaged_runs370!AQ14^2/2+AX14^2*0),"")</f>
        <v>4.7945421362648954E-2</v>
      </c>
      <c r="G14" s="2">
        <f>IF(E14,averaged_runs126!AQ14,"")</f>
        <v>4.94894685634421E-2</v>
      </c>
      <c r="H14" s="2">
        <f t="shared" ref="H14:H61" si="3">IF(E14,AX14,"")</f>
        <v>4.1947523767869803E-2</v>
      </c>
      <c r="I14" s="2">
        <f>IF(E14,averaged_runs370!AQ14,"")</f>
        <v>4.6349966133666001E-2</v>
      </c>
      <c r="J14" t="s">
        <v>45</v>
      </c>
      <c r="K14">
        <v>4.3600000000000003</v>
      </c>
      <c r="L14">
        <v>30.12</v>
      </c>
      <c r="M14">
        <v>6.1584544321273199E-3</v>
      </c>
      <c r="N14">
        <v>155.58585440688299</v>
      </c>
      <c r="O14">
        <v>0.80916666681146499</v>
      </c>
      <c r="P14">
        <v>-0.82749999983183398</v>
      </c>
      <c r="Q14">
        <v>-0.54364926723287799</v>
      </c>
      <c r="R14">
        <v>0.71000000014489095</v>
      </c>
      <c r="S14">
        <v>-0.86833333316512795</v>
      </c>
      <c r="T14">
        <v>0.90833333347804002</v>
      </c>
      <c r="U14">
        <v>-0.78666666649854</v>
      </c>
      <c r="V14">
        <v>2.3076840153060401</v>
      </c>
      <c r="W14">
        <v>4.4016722793026701E-2</v>
      </c>
      <c r="X14">
        <v>-4.8702144242130201E-3</v>
      </c>
      <c r="Y14">
        <v>2.0527255219797699E-2</v>
      </c>
      <c r="Z14">
        <v>6.1584544321273702E-3</v>
      </c>
      <c r="AA14">
        <v>109.54081854130899</v>
      </c>
      <c r="AB14">
        <v>0.83916666681151098</v>
      </c>
      <c r="AC14">
        <v>-0.79083333316537396</v>
      </c>
      <c r="AD14">
        <v>-0.60904761887998604</v>
      </c>
      <c r="AE14">
        <v>0.74000000014493705</v>
      </c>
      <c r="AF14">
        <v>-0.83166666649866705</v>
      </c>
      <c r="AG14">
        <v>0.85333333347816698</v>
      </c>
      <c r="AH14">
        <v>-0.74999999983207999</v>
      </c>
      <c r="AI14">
        <v>1.41031746027021</v>
      </c>
      <c r="AJ14">
        <v>2.0527255219797799E-2</v>
      </c>
      <c r="AK14">
        <v>5.6050676443612604</v>
      </c>
      <c r="AL14">
        <v>4.7312608437837103</v>
      </c>
      <c r="AM14">
        <v>6.3213684794460701</v>
      </c>
      <c r="AN14">
        <v>6.58879933462637</v>
      </c>
      <c r="AO14">
        <v>1.4623069316723101</v>
      </c>
      <c r="AP14">
        <v>14.632</v>
      </c>
      <c r="AQ14">
        <v>15.252000000000001</v>
      </c>
      <c r="AR14">
        <v>0.15992458134231599</v>
      </c>
      <c r="AS14">
        <v>0.20983237224646101</v>
      </c>
      <c r="AT14">
        <v>2.97912</v>
      </c>
      <c r="AU14">
        <v>310.00906951453101</v>
      </c>
      <c r="AV14">
        <v>5.29254635473086E-2</v>
      </c>
      <c r="AW14">
        <v>4.3208599840796502E-2</v>
      </c>
      <c r="AX14">
        <v>4.1947523767869803E-2</v>
      </c>
      <c r="AY14">
        <v>6.0780724480303E-2</v>
      </c>
      <c r="AZ14">
        <v>5.8603537004123803E-2</v>
      </c>
    </row>
    <row r="15" spans="1:52" x14ac:dyDescent="0.2">
      <c r="A15" t="s">
        <v>59</v>
      </c>
      <c r="B15" t="s">
        <v>57</v>
      </c>
      <c r="C15" t="str">
        <f t="shared" ca="1" si="0"/>
        <v/>
      </c>
      <c r="E15">
        <f>AND(AX15&lt;$C$1,averaged_runs370!AQ15&lt;$C$1,averaged_runs126!AQ15&lt;$C$1)*1</f>
        <v>1</v>
      </c>
      <c r="F15" s="2">
        <f>IF(TRUE,SQRT(averaged_runs126!AQ15^2/2+averaged_runs370!AQ15^2/2+AX15^2*0),"")</f>
        <v>4.7945421362648954E-2</v>
      </c>
      <c r="G15" s="2">
        <f>IF(E15,averaged_runs126!AQ15,"")</f>
        <v>4.94894685634421E-2</v>
      </c>
      <c r="H15" s="2">
        <f t="shared" si="3"/>
        <v>4.1947523767869803E-2</v>
      </c>
      <c r="I15" s="2">
        <f>IF(E15,averaged_runs370!AQ15,"")</f>
        <v>4.6349966133666001E-2</v>
      </c>
      <c r="J15" t="s">
        <v>45</v>
      </c>
      <c r="K15">
        <v>12.24</v>
      </c>
      <c r="L15">
        <v>55.8</v>
      </c>
      <c r="M15">
        <v>-1.7191754809933599E-2</v>
      </c>
      <c r="N15">
        <v>109.58990387608</v>
      </c>
      <c r="O15">
        <v>0.80916666681146499</v>
      </c>
      <c r="P15">
        <v>-0.82749999983183398</v>
      </c>
      <c r="Q15">
        <v>-9.0062576146606704E-2</v>
      </c>
      <c r="R15">
        <v>0.71000000014489095</v>
      </c>
      <c r="S15">
        <v>-0.86833333316512795</v>
      </c>
      <c r="T15">
        <v>0.90833333347804002</v>
      </c>
      <c r="U15">
        <v>-0.78666666649854</v>
      </c>
      <c r="V15">
        <v>2.3562480206311198</v>
      </c>
      <c r="W15">
        <v>4.4016722793026701E-2</v>
      </c>
      <c r="X15">
        <v>-1.48931815988713E-2</v>
      </c>
      <c r="Y15">
        <v>2.0527255219797699E-2</v>
      </c>
      <c r="Z15">
        <v>-1.71917548099337E-2</v>
      </c>
      <c r="AA15">
        <v>83.785580978282198</v>
      </c>
      <c r="AB15">
        <v>0.83916666681151098</v>
      </c>
      <c r="AC15">
        <v>-0.79083333316537396</v>
      </c>
      <c r="AD15">
        <v>-0.16460317443595199</v>
      </c>
      <c r="AE15">
        <v>0.74000000014493705</v>
      </c>
      <c r="AF15">
        <v>-0.83166666649866705</v>
      </c>
      <c r="AG15">
        <v>0.85333333347816698</v>
      </c>
      <c r="AH15">
        <v>-0.74999999983207999</v>
      </c>
      <c r="AI15">
        <v>1.17634920632896</v>
      </c>
      <c r="AJ15">
        <v>2.0527255219797799E-2</v>
      </c>
      <c r="AK15">
        <v>5.6050676443612604</v>
      </c>
      <c r="AL15">
        <v>4.7312608437837103</v>
      </c>
      <c r="AM15">
        <v>6.3213684794460701</v>
      </c>
      <c r="AN15">
        <v>6.58879933462637</v>
      </c>
      <c r="AO15">
        <v>1.24534490086664</v>
      </c>
      <c r="AP15">
        <v>14.632</v>
      </c>
      <c r="AQ15">
        <v>15.252000000000001</v>
      </c>
      <c r="AR15">
        <v>6.4912604946277097E-2</v>
      </c>
      <c r="AS15">
        <v>9.5806568074965695E-2</v>
      </c>
      <c r="AT15">
        <v>3.1491199999999999</v>
      </c>
      <c r="AU15">
        <v>264.01311898372802</v>
      </c>
      <c r="AV15">
        <v>6.1937156396525098E-2</v>
      </c>
      <c r="AW15">
        <v>6.5409787895942803E-2</v>
      </c>
      <c r="AX15">
        <v>4.1947523767869803E-2</v>
      </c>
      <c r="AY15">
        <v>7.1030569423789894E-2</v>
      </c>
      <c r="AZ15">
        <v>5.8603537004123803E-2</v>
      </c>
    </row>
    <row r="16" spans="1:52" x14ac:dyDescent="0.2">
      <c r="A16" t="s">
        <v>60</v>
      </c>
      <c r="B16" t="s">
        <v>57</v>
      </c>
      <c r="C16" t="str">
        <f t="shared" ca="1" si="0"/>
        <v/>
      </c>
      <c r="E16">
        <f>AND(AX16&lt;$C$1,averaged_runs370!AQ16&lt;$C$1,averaged_runs126!AQ16&lt;$C$1)*1</f>
        <v>0</v>
      </c>
      <c r="F16" s="2">
        <f>IF(TRUE,SQRT(averaged_runs126!AQ16^2/2+averaged_runs370!AQ16^2/2+AX16^2*0),"")</f>
        <v>5.6209859238014283E-2</v>
      </c>
      <c r="G16" s="2" t="str">
        <f>IF(E16,averaged_runs126!AQ16,"")</f>
        <v/>
      </c>
      <c r="H16" s="2" t="str">
        <f t="shared" si="3"/>
        <v/>
      </c>
      <c r="I16" s="2" t="str">
        <f>IF(E16,averaged_runs370!AQ16,"")</f>
        <v/>
      </c>
      <c r="J16" t="s">
        <v>45</v>
      </c>
      <c r="K16">
        <v>0.96</v>
      </c>
      <c r="L16">
        <v>8.16</v>
      </c>
      <c r="M16">
        <v>9.3151458017117796E-4</v>
      </c>
      <c r="N16">
        <v>155.67603531254699</v>
      </c>
      <c r="O16">
        <v>0.73833333347821195</v>
      </c>
      <c r="P16">
        <v>-0.59166666649871602</v>
      </c>
      <c r="Q16">
        <v>-0.45954517687951901</v>
      </c>
      <c r="R16">
        <v>0.73833333347821195</v>
      </c>
      <c r="S16">
        <v>-0.66333333316531895</v>
      </c>
      <c r="T16">
        <v>0.73833333347821195</v>
      </c>
      <c r="U16">
        <v>-0.66333333316531895</v>
      </c>
      <c r="V16">
        <v>2.1947180163763602</v>
      </c>
      <c r="W16">
        <v>6.0448441961629899E-2</v>
      </c>
      <c r="X16">
        <v>-1.0659426724723401E-2</v>
      </c>
      <c r="Y16">
        <v>2.7772774040698899E-2</v>
      </c>
      <c r="Z16">
        <v>9.3151458017119997E-4</v>
      </c>
      <c r="AA16">
        <v>108.83861346297201</v>
      </c>
      <c r="AB16">
        <v>0.76833333347825805</v>
      </c>
      <c r="AC16">
        <v>-0.55499999983225501</v>
      </c>
      <c r="AD16">
        <v>-0.61521825380136896</v>
      </c>
      <c r="AE16">
        <v>0.76833333347825805</v>
      </c>
      <c r="AF16">
        <v>-0.62666666649885805</v>
      </c>
      <c r="AG16">
        <v>0.76833333347825805</v>
      </c>
      <c r="AH16">
        <v>-0.62666666649885805</v>
      </c>
      <c r="AI16">
        <v>1.3646230158325501</v>
      </c>
      <c r="AJ16">
        <v>2.7772774040698899E-2</v>
      </c>
      <c r="AK16">
        <v>6.6665503908078101</v>
      </c>
      <c r="AL16">
        <v>6.1292383932171504</v>
      </c>
      <c r="AM16">
        <v>7.5931657957189298</v>
      </c>
      <c r="AN16">
        <v>8.58309424171979</v>
      </c>
      <c r="AO16">
        <v>1.4708011472265601</v>
      </c>
      <c r="AP16">
        <v>13.86</v>
      </c>
      <c r="AQ16">
        <v>14.42</v>
      </c>
      <c r="AR16">
        <v>0.39904133345558601</v>
      </c>
      <c r="AS16">
        <v>0.50120509056737395</v>
      </c>
      <c r="AT16">
        <v>2.5260799999999999</v>
      </c>
      <c r="AU16">
        <v>339.75506500933602</v>
      </c>
      <c r="AV16">
        <v>5.2121950811603701E-2</v>
      </c>
      <c r="AW16">
        <v>4.2915695970489498E-2</v>
      </c>
      <c r="AX16">
        <v>3.9870843780581297E-2</v>
      </c>
      <c r="AY16">
        <v>5.8395826166338503E-2</v>
      </c>
      <c r="AZ16">
        <v>5.4174909847938699E-2</v>
      </c>
    </row>
    <row r="17" spans="1:52" x14ac:dyDescent="0.2">
      <c r="A17" t="s">
        <v>61</v>
      </c>
      <c r="B17" t="s">
        <v>57</v>
      </c>
      <c r="C17" t="str">
        <f t="shared" ca="1" si="0"/>
        <v/>
      </c>
      <c r="E17">
        <f>AND(AX17&lt;$C$1,averaged_runs370!AQ17&lt;$C$1,averaged_runs126!AQ17&lt;$C$1)*1</f>
        <v>0</v>
      </c>
      <c r="F17" s="2">
        <f>IF(TRUE,SQRT(averaged_runs126!AQ17^2/2+averaged_runs370!AQ17^2/2+AX17^2*0),"")</f>
        <v>8.1845093742405242E-2</v>
      </c>
      <c r="G17" s="2" t="str">
        <f>IF(E17,averaged_runs126!AQ17,"")</f>
        <v/>
      </c>
      <c r="H17" s="2" t="str">
        <f t="shared" si="3"/>
        <v/>
      </c>
      <c r="I17" s="2" t="str">
        <f>IF(E17,averaged_runs370!AQ17,"")</f>
        <v/>
      </c>
      <c r="J17" t="s">
        <v>45</v>
      </c>
      <c r="K17">
        <v>84.36</v>
      </c>
      <c r="L17">
        <v>149.36000000000001</v>
      </c>
      <c r="M17">
        <v>5.5550459715035796E-3</v>
      </c>
      <c r="N17">
        <v>-223.65601475633201</v>
      </c>
      <c r="O17">
        <v>0.101666666812135</v>
      </c>
      <c r="P17">
        <v>-0.36861111094335802</v>
      </c>
      <c r="Q17">
        <v>-0.13341254562103499</v>
      </c>
      <c r="R17">
        <v>-1.7666666665195101</v>
      </c>
      <c r="S17">
        <v>-2.93833333316323</v>
      </c>
      <c r="T17">
        <v>-0.35499999985411701</v>
      </c>
      <c r="U17">
        <v>-0.436666666498849</v>
      </c>
      <c r="V17">
        <v>2.1521846645094298</v>
      </c>
      <c r="W17">
        <v>4.7098951436459001E-2</v>
      </c>
      <c r="X17">
        <v>-1.39228274149844E-3</v>
      </c>
      <c r="Y17">
        <v>5.0643845200538298E-3</v>
      </c>
      <c r="Z17">
        <v>5.5550459715036299E-3</v>
      </c>
      <c r="AA17">
        <v>-337.43907691848</v>
      </c>
      <c r="AB17">
        <v>0.131666666812181</v>
      </c>
      <c r="AC17">
        <v>-0.33194444427689701</v>
      </c>
      <c r="AD17">
        <v>-0.28455357126106801</v>
      </c>
      <c r="AE17">
        <v>-1.7366666665194599</v>
      </c>
      <c r="AF17">
        <v>-2.9016666664967699</v>
      </c>
      <c r="AG17">
        <v>-0.20166666652085899</v>
      </c>
      <c r="AH17">
        <v>-0.65666666649883099</v>
      </c>
      <c r="AI17">
        <v>1.39562499995935</v>
      </c>
      <c r="AJ17">
        <v>5.0643845200538497E-3</v>
      </c>
      <c r="AK17">
        <v>4.2250093221778497</v>
      </c>
      <c r="AL17">
        <v>2.8820733594413399</v>
      </c>
      <c r="AM17">
        <v>5.3028597399675599</v>
      </c>
      <c r="AN17">
        <v>3.75407346277931</v>
      </c>
      <c r="AO17">
        <v>-1.40989661236674</v>
      </c>
      <c r="AP17">
        <v>25.79</v>
      </c>
      <c r="AQ17">
        <v>26.83</v>
      </c>
      <c r="AR17" s="1">
        <v>5.0615656754361599E-10</v>
      </c>
      <c r="AS17" s="1">
        <v>6.1989858837785404E-7</v>
      </c>
      <c r="AT17">
        <v>10.37252</v>
      </c>
      <c r="AU17">
        <v>-325.68611745671802</v>
      </c>
      <c r="AV17">
        <v>9.3159245967377499E-2</v>
      </c>
      <c r="AW17">
        <v>8.4954114785455406E-2</v>
      </c>
      <c r="AX17">
        <v>8.0979798546311196E-2</v>
      </c>
      <c r="AY17">
        <v>9.4284202460599306E-2</v>
      </c>
      <c r="AZ17">
        <v>9.0706026255386304E-2</v>
      </c>
    </row>
    <row r="18" spans="1:52" x14ac:dyDescent="0.2">
      <c r="A18" t="s">
        <v>62</v>
      </c>
      <c r="B18" t="s">
        <v>57</v>
      </c>
      <c r="C18" t="str">
        <f t="shared" ca="1" si="0"/>
        <v/>
      </c>
      <c r="E18">
        <f>AND(AX18&lt;$C$1,averaged_runs370!AQ18&lt;$C$1,averaged_runs126!AQ18&lt;$C$1)*1</f>
        <v>1</v>
      </c>
      <c r="F18" s="2">
        <f>IF(TRUE,SQRT(averaged_runs126!AQ18^2/2+averaged_runs370!AQ18^2/2+AX18^2*0),"")</f>
        <v>5.2501911886350255E-2</v>
      </c>
      <c r="G18" s="2">
        <f>IF(E18,averaged_runs126!AQ18,"")</f>
        <v>5.40012572643827E-2</v>
      </c>
      <c r="H18" s="2">
        <f t="shared" si="3"/>
        <v>5.2735460139031999E-2</v>
      </c>
      <c r="I18" s="2">
        <f>IF(E18,averaged_runs370!AQ18,"")</f>
        <v>5.0958470515804599E-2</v>
      </c>
      <c r="J18" t="s">
        <v>45</v>
      </c>
      <c r="K18">
        <v>64.72</v>
      </c>
      <c r="L18">
        <v>133.44</v>
      </c>
      <c r="M18">
        <v>6.5469650121834904E-3</v>
      </c>
      <c r="N18">
        <v>-32.270382652554702</v>
      </c>
      <c r="O18">
        <v>0.37666666681189598</v>
      </c>
      <c r="P18">
        <v>-0.82249999983186595</v>
      </c>
      <c r="Q18">
        <v>-0.21245955416812201</v>
      </c>
      <c r="R18">
        <v>-0.13499999985430799</v>
      </c>
      <c r="S18">
        <v>-1.5933333331645001</v>
      </c>
      <c r="T18">
        <v>0.53833333347841295</v>
      </c>
      <c r="U18">
        <v>-1.3433333331647199</v>
      </c>
      <c r="V18">
        <v>1.92833845955748</v>
      </c>
      <c r="W18">
        <v>3.9862295514275399E-2</v>
      </c>
      <c r="X18">
        <v>-2.0072139907242399E-3</v>
      </c>
      <c r="Y18">
        <v>8.9164271354674803E-3</v>
      </c>
      <c r="Z18">
        <v>6.5469650121835598E-3</v>
      </c>
      <c r="AA18">
        <v>-242.06018057399299</v>
      </c>
      <c r="AB18">
        <v>0.40666666681194102</v>
      </c>
      <c r="AC18">
        <v>-0.78583333316540505</v>
      </c>
      <c r="AD18">
        <v>-0.28519841253081901</v>
      </c>
      <c r="AE18">
        <v>-0.104999999854262</v>
      </c>
      <c r="AF18">
        <v>-1.55666666649804</v>
      </c>
      <c r="AG18">
        <v>0.52333333347850297</v>
      </c>
      <c r="AH18">
        <v>-1.30666666649826</v>
      </c>
      <c r="AI18">
        <v>1.3784325396553001</v>
      </c>
      <c r="AJ18">
        <v>8.9164271354675098E-3</v>
      </c>
      <c r="AK18">
        <v>5.6137634535816003</v>
      </c>
      <c r="AL18">
        <v>4.3234987694430602</v>
      </c>
      <c r="AM18">
        <v>7.5396352260606303</v>
      </c>
      <c r="AN18">
        <v>6.1181489288943203</v>
      </c>
      <c r="AO18">
        <v>-1.94414101198087E-2</v>
      </c>
      <c r="AP18">
        <v>18.378</v>
      </c>
      <c r="AQ18">
        <v>19.058</v>
      </c>
      <c r="AR18" s="1">
        <v>2.0621411273124401E-5</v>
      </c>
      <c r="AS18">
        <v>4.8719644336802401E-4</v>
      </c>
      <c r="AT18">
        <v>5.5590799999999998</v>
      </c>
      <c r="AU18">
        <v>-4.4909657376758201</v>
      </c>
      <c r="AV18">
        <v>6.5329564550725402E-2</v>
      </c>
      <c r="AW18">
        <v>5.5764974147423201E-2</v>
      </c>
      <c r="AX18">
        <v>5.2735460139031999E-2</v>
      </c>
      <c r="AY18">
        <v>7.2394362663987105E-2</v>
      </c>
      <c r="AZ18">
        <v>6.9758676782031306E-2</v>
      </c>
    </row>
    <row r="19" spans="1:52" x14ac:dyDescent="0.2">
      <c r="A19" t="s">
        <v>63</v>
      </c>
      <c r="B19" t="s">
        <v>57</v>
      </c>
      <c r="C19" t="str">
        <f t="shared" ca="1" si="0"/>
        <v/>
      </c>
      <c r="E19">
        <f>AND(AX19&lt;$C$1,averaged_runs370!AQ19&lt;$C$1,averaged_runs126!AQ19&lt;$C$1)*1</f>
        <v>1</v>
      </c>
      <c r="F19" s="2">
        <f>IF(TRUE,SQRT(averaged_runs126!AQ19^2/2+averaged_runs370!AQ19^2/2+AX19^2*0),"")</f>
        <v>5.2501911886350255E-2</v>
      </c>
      <c r="G19" s="2">
        <f>IF(E19,averaged_runs126!AQ19,"")</f>
        <v>5.40012572643827E-2</v>
      </c>
      <c r="H19" s="2">
        <f t="shared" si="3"/>
        <v>5.2735460139031999E-2</v>
      </c>
      <c r="I19" s="2">
        <f>IF(E19,averaged_runs370!AQ19,"")</f>
        <v>5.0958470515804599E-2</v>
      </c>
      <c r="J19" t="s">
        <v>45</v>
      </c>
      <c r="K19">
        <v>51.54</v>
      </c>
      <c r="L19">
        <v>117.04</v>
      </c>
      <c r="M19">
        <v>6.5469650121834904E-3</v>
      </c>
      <c r="N19">
        <v>20.821307489216</v>
      </c>
      <c r="O19">
        <v>0.37333333347855602</v>
      </c>
      <c r="P19">
        <v>-0.81805555538741304</v>
      </c>
      <c r="Q19">
        <v>-0.212161935120499</v>
      </c>
      <c r="R19">
        <v>-0.13833333318764701</v>
      </c>
      <c r="S19">
        <v>-1.58833333316449</v>
      </c>
      <c r="T19">
        <v>0.53500000014507298</v>
      </c>
      <c r="U19">
        <v>-1.3399999998313801</v>
      </c>
      <c r="V19">
        <v>1.9244788276519</v>
      </c>
      <c r="W19">
        <v>3.5920496034012102E-2</v>
      </c>
      <c r="X19">
        <v>-1.26361547134985E-3</v>
      </c>
      <c r="Y19">
        <v>8.9164271354674803E-3</v>
      </c>
      <c r="Z19">
        <v>6.5469650121835598E-3</v>
      </c>
      <c r="AA19">
        <v>-140.427340100951</v>
      </c>
      <c r="AB19">
        <v>0.40333333347860201</v>
      </c>
      <c r="AC19">
        <v>-0.78138888872095302</v>
      </c>
      <c r="AD19">
        <v>-0.28489087284827302</v>
      </c>
      <c r="AE19">
        <v>-0.10833333318760199</v>
      </c>
      <c r="AF19">
        <v>-1.5516666664980301</v>
      </c>
      <c r="AG19">
        <v>0.52000000014516401</v>
      </c>
      <c r="AH19">
        <v>-1.3033333331649199</v>
      </c>
      <c r="AI19">
        <v>1.37770833330609</v>
      </c>
      <c r="AJ19">
        <v>8.9164271354675098E-3</v>
      </c>
      <c r="AK19">
        <v>5.4824965129742402</v>
      </c>
      <c r="AL19">
        <v>4.2683038803343702</v>
      </c>
      <c r="AM19">
        <v>7.2535450657206004</v>
      </c>
      <c r="AN19">
        <v>6.1131559585107604</v>
      </c>
      <c r="AO19">
        <v>0.36072253698388901</v>
      </c>
      <c r="AP19">
        <v>18.378</v>
      </c>
      <c r="AQ19">
        <v>19.058</v>
      </c>
      <c r="AR19">
        <v>2.1526493176500801E-4</v>
      </c>
      <c r="AS19">
        <v>1.9562038159131301E-3</v>
      </c>
      <c r="AT19">
        <v>5.5027200000000001</v>
      </c>
      <c r="AU19">
        <v>77.862894434782405</v>
      </c>
      <c r="AV19">
        <v>6.5678263894362002E-2</v>
      </c>
      <c r="AW19">
        <v>5.5764974147423201E-2</v>
      </c>
      <c r="AX19">
        <v>5.2735460139031999E-2</v>
      </c>
      <c r="AY19">
        <v>7.2394362663987105E-2</v>
      </c>
      <c r="AZ19">
        <v>6.9758676782031306E-2</v>
      </c>
    </row>
    <row r="20" spans="1:52" x14ac:dyDescent="0.2">
      <c r="A20" t="s">
        <v>64</v>
      </c>
      <c r="B20" t="s">
        <v>57</v>
      </c>
      <c r="C20" t="str">
        <f t="shared" ca="1" si="0"/>
        <v/>
      </c>
      <c r="E20">
        <f>AND(AX20&lt;$C$1,averaged_runs370!AQ20&lt;$C$1,averaged_runs126!AQ20&lt;$C$1)*1</f>
        <v>1</v>
      </c>
      <c r="F20" s="2">
        <f>IF(TRUE,SQRT(averaged_runs126!AQ20^2/2+averaged_runs370!AQ20^2/2+AX20^2*0),"")</f>
        <v>5.2501911886350255E-2</v>
      </c>
      <c r="G20" s="2">
        <f>IF(E20,averaged_runs126!AQ20,"")</f>
        <v>5.40012572643827E-2</v>
      </c>
      <c r="H20" s="2">
        <f t="shared" si="3"/>
        <v>5.2735460139031999E-2</v>
      </c>
      <c r="I20" s="2">
        <f>IF(E20,averaged_runs370!AQ20,"")</f>
        <v>5.0958470515804599E-2</v>
      </c>
      <c r="J20" t="s">
        <v>45</v>
      </c>
      <c r="K20">
        <v>14.06</v>
      </c>
      <c r="L20">
        <v>54.98</v>
      </c>
      <c r="M20">
        <v>6.5469650121834904E-3</v>
      </c>
      <c r="N20">
        <v>104.25212362784301</v>
      </c>
      <c r="O20">
        <v>0.37472222236743602</v>
      </c>
      <c r="P20">
        <v>-0.81611111094293298</v>
      </c>
      <c r="Q20">
        <v>-0.20960851631707</v>
      </c>
      <c r="R20">
        <v>-0.13499999985432601</v>
      </c>
      <c r="S20">
        <v>-1.5849999998311199</v>
      </c>
      <c r="T20">
        <v>0.53500000014507298</v>
      </c>
      <c r="U20">
        <v>-1.33666666649802</v>
      </c>
      <c r="V20">
        <v>1.92197784122822</v>
      </c>
      <c r="W20">
        <v>5.72174894128505E-2</v>
      </c>
      <c r="X20">
        <v>-2.0072139907242399E-3</v>
      </c>
      <c r="Y20">
        <v>8.9164271354674803E-3</v>
      </c>
      <c r="Z20">
        <v>6.5469650121835598E-3</v>
      </c>
      <c r="AA20">
        <v>23.5882283987</v>
      </c>
      <c r="AB20">
        <v>0.40472222236748101</v>
      </c>
      <c r="AC20">
        <v>-0.77944444427647297</v>
      </c>
      <c r="AD20">
        <v>-0.28227182522922001</v>
      </c>
      <c r="AE20">
        <v>-0.10499999985428</v>
      </c>
      <c r="AF20">
        <v>-1.54833333316466</v>
      </c>
      <c r="AG20">
        <v>0.52166666681181595</v>
      </c>
      <c r="AH20">
        <v>-1.2999999998315599</v>
      </c>
      <c r="AI20">
        <v>1.3755654761632301</v>
      </c>
      <c r="AJ20">
        <v>8.9164271354675098E-3</v>
      </c>
      <c r="AK20">
        <v>5.1607736660541601</v>
      </c>
      <c r="AL20">
        <v>4.1210987771598901</v>
      </c>
      <c r="AM20">
        <v>6.4102102809740904</v>
      </c>
      <c r="AN20">
        <v>5.8547237324827597</v>
      </c>
      <c r="AO20">
        <v>1.0917347413248899</v>
      </c>
      <c r="AP20">
        <v>18.378</v>
      </c>
      <c r="AQ20">
        <v>19.058</v>
      </c>
      <c r="AR20">
        <v>2.8463693195396499E-2</v>
      </c>
      <c r="AS20">
        <v>6.6573807728445997E-2</v>
      </c>
      <c r="AT20">
        <v>5.5590799999999998</v>
      </c>
      <c r="AU20">
        <v>252.19072524605099</v>
      </c>
      <c r="AV20">
        <v>6.5329564550725402E-2</v>
      </c>
      <c r="AW20">
        <v>5.5764974147423201E-2</v>
      </c>
      <c r="AX20">
        <v>5.2735460139031999E-2</v>
      </c>
      <c r="AY20">
        <v>7.2394362663987105E-2</v>
      </c>
      <c r="AZ20">
        <v>6.9758676782031306E-2</v>
      </c>
    </row>
    <row r="21" spans="1:52" x14ac:dyDescent="0.2">
      <c r="A21" t="s">
        <v>110</v>
      </c>
      <c r="B21" t="s">
        <v>57</v>
      </c>
      <c r="C21" t="str">
        <f t="shared" ca="1" si="0"/>
        <v/>
      </c>
      <c r="E21">
        <f>AND(AX21&lt;$C$1,averaged_runs370!AQ21&lt;$C$1,averaged_runs126!AQ21&lt;$C$1)*1</f>
        <v>1</v>
      </c>
      <c r="F21" s="2">
        <f>IF(TRUE,SQRT(averaged_runs126!AQ21^2/2+averaged_runs370!AQ21^2/2+AX21^2*0),"")</f>
        <v>4.5974831766484286E-2</v>
      </c>
      <c r="G21" s="2">
        <f>IF(E21,averaged_runs126!AQ21,"")</f>
        <v>4.7374891265258103E-2</v>
      </c>
      <c r="H21" s="2">
        <f t="shared" si="3"/>
        <v>4.4683593001709897E-2</v>
      </c>
      <c r="I21" s="2">
        <f>IF(E21,averaged_runs370!AQ21,"")</f>
        <v>4.4530775756975498E-2</v>
      </c>
      <c r="J21" t="s">
        <v>45</v>
      </c>
      <c r="K21">
        <v>4.0599999999999996</v>
      </c>
      <c r="L21">
        <v>21.7</v>
      </c>
      <c r="M21">
        <v>6.43725045434716E-3</v>
      </c>
      <c r="N21">
        <v>141.15802137530099</v>
      </c>
      <c r="O21">
        <v>0.499166666811793</v>
      </c>
      <c r="P21">
        <v>-0.922499999831775</v>
      </c>
      <c r="Q21">
        <v>-0.27775717321573501</v>
      </c>
      <c r="R21">
        <v>0.315000000145291</v>
      </c>
      <c r="S21">
        <v>-1.37333333316469</v>
      </c>
      <c r="T21">
        <v>0.51333333347844901</v>
      </c>
      <c r="U21">
        <v>-1.37333333316469</v>
      </c>
      <c r="V21">
        <v>1.94986221054785</v>
      </c>
      <c r="W21">
        <v>5.9796062506164399E-2</v>
      </c>
      <c r="X21">
        <v>-2.7901722362594799E-3</v>
      </c>
      <c r="Y21">
        <v>1.16396174430846E-2</v>
      </c>
      <c r="Z21">
        <v>6.4372504543472198E-3</v>
      </c>
      <c r="AA21">
        <v>70.179375080951203</v>
      </c>
      <c r="AB21">
        <v>0.52916666681183799</v>
      </c>
      <c r="AC21">
        <v>-0.88583333316531399</v>
      </c>
      <c r="AD21">
        <v>-0.32449404745143801</v>
      </c>
      <c r="AE21">
        <v>0.34500000014533699</v>
      </c>
      <c r="AF21">
        <v>-1.3366666664982301</v>
      </c>
      <c r="AG21">
        <v>0.64000000014507297</v>
      </c>
      <c r="AH21">
        <v>-1.3366666664982301</v>
      </c>
      <c r="AI21">
        <v>1.4332440476186401</v>
      </c>
      <c r="AJ21">
        <v>1.1639617443084701E-2</v>
      </c>
      <c r="AK21">
        <v>5.4326009799663701</v>
      </c>
      <c r="AL21">
        <v>4.4853249225695704</v>
      </c>
      <c r="AM21">
        <v>6.9179238218899801</v>
      </c>
      <c r="AN21">
        <v>6.6767363148026098</v>
      </c>
      <c r="AO21">
        <v>1.3521901197717101</v>
      </c>
      <c r="AP21">
        <v>16.875999999999902</v>
      </c>
      <c r="AQ21">
        <v>17.535999999999898</v>
      </c>
      <c r="AR21">
        <v>0.185901556069659</v>
      </c>
      <c r="AS21">
        <v>0.29528435738143199</v>
      </c>
      <c r="AT21">
        <v>4.4302200000000003</v>
      </c>
      <c r="AU21">
        <v>312.355917667266</v>
      </c>
      <c r="AV21">
        <v>5.76595365075626E-2</v>
      </c>
      <c r="AW21">
        <v>4.6685189452126803E-2</v>
      </c>
      <c r="AX21">
        <v>4.4683593001709897E-2</v>
      </c>
      <c r="AY21">
        <v>6.5821492553729599E-2</v>
      </c>
      <c r="AZ21">
        <v>6.3962468951994297E-2</v>
      </c>
    </row>
    <row r="22" spans="1:52" x14ac:dyDescent="0.2">
      <c r="A22" t="s">
        <v>65</v>
      </c>
      <c r="B22" t="s">
        <v>57</v>
      </c>
      <c r="C22" t="str">
        <f t="shared" ca="1" si="0"/>
        <v/>
      </c>
      <c r="E22">
        <f>AND(AX22&lt;$C$1,averaged_runs370!AQ22&lt;$C$1,averaged_runs126!AQ22&lt;$C$1)*1</f>
        <v>1</v>
      </c>
      <c r="F22" s="2">
        <f>IF(TRUE,SQRT(averaged_runs126!AQ22^2/2+averaged_runs370!AQ22^2/2+AX22^2*0),"")</f>
        <v>4.4193661813264368E-2</v>
      </c>
      <c r="G22" s="2">
        <f>IF(E22,averaged_runs126!AQ22,"")</f>
        <v>4.5626800195880203E-2</v>
      </c>
      <c r="H22" s="2">
        <f t="shared" si="3"/>
        <v>4.17949759321187E-2</v>
      </c>
      <c r="I22" s="2">
        <f>IF(E22,averaged_runs370!AQ22,"")</f>
        <v>4.2712464138885603E-2</v>
      </c>
      <c r="J22" t="s">
        <v>45</v>
      </c>
      <c r="K22">
        <v>2.4</v>
      </c>
      <c r="L22">
        <v>12</v>
      </c>
      <c r="M22">
        <v>6.36559825677133E-3</v>
      </c>
      <c r="N22">
        <v>151.82624165289701</v>
      </c>
      <c r="O22">
        <v>0.47416666681178798</v>
      </c>
      <c r="P22">
        <v>-0.93916666649840697</v>
      </c>
      <c r="Q22">
        <v>-0.36976190459547398</v>
      </c>
      <c r="R22">
        <v>0.36666666681188798</v>
      </c>
      <c r="S22">
        <v>-1.2199999998314699</v>
      </c>
      <c r="T22">
        <v>0.45500000014513697</v>
      </c>
      <c r="U22">
        <v>-1.2199999998314699</v>
      </c>
      <c r="V22">
        <v>2.0479889691164201</v>
      </c>
      <c r="W22">
        <v>6.1047595498347297E-2</v>
      </c>
      <c r="X22">
        <v>-3.3852613005336202E-3</v>
      </c>
      <c r="Y22">
        <v>1.37807468175887E-2</v>
      </c>
      <c r="Z22">
        <v>6.3655982567713803E-3</v>
      </c>
      <c r="AA22">
        <v>87.2268292760035</v>
      </c>
      <c r="AB22">
        <v>0.50416666681183397</v>
      </c>
      <c r="AC22">
        <v>-0.90249999983194595</v>
      </c>
      <c r="AD22">
        <v>-0.413769841102202</v>
      </c>
      <c r="AE22">
        <v>0.39666666681193402</v>
      </c>
      <c r="AF22">
        <v>-1.18333333316501</v>
      </c>
      <c r="AG22">
        <v>0.56000000014510898</v>
      </c>
      <c r="AH22">
        <v>-1.18333333316501</v>
      </c>
      <c r="AI22">
        <v>1.4290079365008199</v>
      </c>
      <c r="AJ22">
        <v>1.37807468175887E-2</v>
      </c>
      <c r="AK22">
        <v>5.5654409290627296</v>
      </c>
      <c r="AL22">
        <v>4.9087007498520299</v>
      </c>
      <c r="AM22">
        <v>7.0258734496908204</v>
      </c>
      <c r="AN22">
        <v>7.0451558196067099</v>
      </c>
      <c r="AO22">
        <v>1.4341846430566201</v>
      </c>
      <c r="AP22">
        <v>15.752000000000001</v>
      </c>
      <c r="AQ22">
        <v>16.332000000000001</v>
      </c>
      <c r="AR22">
        <v>0.31751811665885399</v>
      </c>
      <c r="AS22">
        <v>0.448863070480163</v>
      </c>
      <c r="AT22">
        <v>3.9188799999999899</v>
      </c>
      <c r="AU22">
        <v>331.29665254608</v>
      </c>
      <c r="AV22">
        <v>5.4370313291603099E-2</v>
      </c>
      <c r="AW22">
        <v>4.3250785118965303E-2</v>
      </c>
      <c r="AX22">
        <v>4.17949759321187E-2</v>
      </c>
      <c r="AY22">
        <v>6.2928104941918098E-2</v>
      </c>
      <c r="AZ22">
        <v>6.1318663828814499E-2</v>
      </c>
    </row>
    <row r="23" spans="1:52" x14ac:dyDescent="0.2">
      <c r="A23" t="s">
        <v>111</v>
      </c>
      <c r="B23" t="s">
        <v>57</v>
      </c>
      <c r="E23">
        <f>AND(AX23&lt;$C$1,averaged_runs370!AQ23&lt;$C$1,averaged_runs126!AQ23&lt;$C$1)*1</f>
        <v>1</v>
      </c>
      <c r="F23" s="2">
        <f>IF(TRUE,SQRT(averaged_runs126!AQ23^2/2+averaged_runs370!AQ23^2/2+AX23^2*0),"")</f>
        <v>4.3979776738788084E-2</v>
      </c>
      <c r="G23" s="2">
        <f>IF(E23,averaged_runs126!AQ23,"")</f>
        <v>4.5509369827099799E-2</v>
      </c>
      <c r="H23" s="2">
        <f t="shared" si="3"/>
        <v>3.9691137628162398E-2</v>
      </c>
      <c r="I23" s="2">
        <f>IF(E23,averaged_runs370!AQ23,"")</f>
        <v>4.2395032514759901E-2</v>
      </c>
      <c r="J23" t="s">
        <v>45</v>
      </c>
      <c r="K23">
        <v>0.96</v>
      </c>
      <c r="L23">
        <v>4.8</v>
      </c>
      <c r="M23">
        <v>6.24660975330474E-3</v>
      </c>
      <c r="N23">
        <v>159.50953075204001</v>
      </c>
      <c r="O23">
        <v>0.60333333347833995</v>
      </c>
      <c r="P23">
        <v>-0.76749999983189299</v>
      </c>
      <c r="Q23">
        <v>-0.44983516466874501</v>
      </c>
      <c r="R23">
        <v>0.57000000014503704</v>
      </c>
      <c r="S23">
        <v>-0.77999999983187995</v>
      </c>
      <c r="T23">
        <v>0.63666666681164297</v>
      </c>
      <c r="U23">
        <v>-0.75499999983190702</v>
      </c>
      <c r="V23">
        <v>2.121978842077</v>
      </c>
      <c r="W23">
        <v>6.2465716000766398E-2</v>
      </c>
      <c r="X23">
        <v>-4.3984581055421298E-3</v>
      </c>
      <c r="Y23">
        <v>1.72741682529448E-2</v>
      </c>
      <c r="Z23">
        <v>6.2466097533047799E-3</v>
      </c>
      <c r="AA23">
        <v>103.57529235921599</v>
      </c>
      <c r="AB23">
        <v>0.63333333347838505</v>
      </c>
      <c r="AC23">
        <v>-0.73083333316543297</v>
      </c>
      <c r="AD23">
        <v>-0.49738095221328898</v>
      </c>
      <c r="AE23">
        <v>0.60000000014508204</v>
      </c>
      <c r="AF23">
        <v>-0.74333333316541905</v>
      </c>
      <c r="AG23">
        <v>0.66666666681168796</v>
      </c>
      <c r="AH23">
        <v>-0.71833333316544601</v>
      </c>
      <c r="AI23">
        <v>1.41932539679818</v>
      </c>
      <c r="AJ23">
        <v>1.7274168252944901E-2</v>
      </c>
      <c r="AK23">
        <v>5.7785926721931604</v>
      </c>
      <c r="AL23">
        <v>5.0552500427076597</v>
      </c>
      <c r="AM23">
        <v>7.0716205824595804</v>
      </c>
      <c r="AN23">
        <v>7.1396622972003296</v>
      </c>
      <c r="AO23">
        <v>1.49717114920382</v>
      </c>
      <c r="AP23">
        <v>14.843999999999999</v>
      </c>
      <c r="AQ23">
        <v>15.444000000000001</v>
      </c>
      <c r="AR23">
        <v>0.48164843278158798</v>
      </c>
      <c r="AS23">
        <v>0.64204593431790102</v>
      </c>
      <c r="AT23">
        <v>3.3650599999999899</v>
      </c>
      <c r="AU23">
        <v>345.84653546608303</v>
      </c>
      <c r="AV23">
        <v>5.1270553392318903E-2</v>
      </c>
      <c r="AW23">
        <v>4.0488591907251098E-2</v>
      </c>
      <c r="AX23">
        <v>3.9691137628162398E-2</v>
      </c>
      <c r="AY23">
        <v>5.9998297278425199E-2</v>
      </c>
      <c r="AZ23">
        <v>5.8485511637849603E-2</v>
      </c>
    </row>
    <row r="24" spans="1:52" x14ac:dyDescent="0.2">
      <c r="A24" t="s">
        <v>66</v>
      </c>
      <c r="B24" t="s">
        <v>57</v>
      </c>
      <c r="E24">
        <f>AND(AX24&lt;$C$1,averaged_runs370!AQ24&lt;$C$1,averaged_runs126!AQ24&lt;$C$1)*1</f>
        <v>0</v>
      </c>
      <c r="F24" s="2">
        <f>IF(TRUE,SQRT(averaged_runs126!AQ24^2/2+averaged_runs370!AQ24^2/2+AX24^2*0),"")</f>
        <v>8.1858469727457292E-2</v>
      </c>
      <c r="G24" s="2" t="str">
        <f>IF(E24,averaged_runs126!AQ24,"")</f>
        <v/>
      </c>
      <c r="H24" s="2" t="str">
        <f t="shared" si="3"/>
        <v/>
      </c>
      <c r="I24" s="2" t="str">
        <f>IF(E24,averaged_runs370!AQ24,"")</f>
        <v/>
      </c>
      <c r="J24" t="s">
        <v>45</v>
      </c>
      <c r="K24">
        <v>28.46</v>
      </c>
      <c r="L24">
        <v>83.86</v>
      </c>
      <c r="M24">
        <v>6.1081448099115001E-3</v>
      </c>
      <c r="N24">
        <v>24.299811189945402</v>
      </c>
      <c r="O24">
        <v>-6.1111109655590896E-3</v>
      </c>
      <c r="P24">
        <v>-0.137499999832457</v>
      </c>
      <c r="Q24">
        <v>-0.210070054778462</v>
      </c>
      <c r="R24">
        <v>-1.6199999998529799</v>
      </c>
      <c r="S24">
        <v>-2.5816666664969001</v>
      </c>
      <c r="T24">
        <v>-0.588333333187265</v>
      </c>
      <c r="U24">
        <v>0.44500000016701902</v>
      </c>
      <c r="V24">
        <v>2.24789550264224</v>
      </c>
      <c r="W24">
        <v>7.1717715761906997E-2</v>
      </c>
      <c r="X24">
        <v>-1.19257174950048E-3</v>
      </c>
      <c r="Y24">
        <v>4.6826349496841098E-3</v>
      </c>
      <c r="Z24">
        <v>6.10814480991154E-3</v>
      </c>
      <c r="AA24">
        <v>-16.773559865720401</v>
      </c>
      <c r="AB24">
        <v>2.3888889034486299E-2</v>
      </c>
      <c r="AC24">
        <v>-0.10083333316599601</v>
      </c>
      <c r="AD24">
        <v>-0.34430952364184703</v>
      </c>
      <c r="AE24">
        <v>-1.5899999998529299</v>
      </c>
      <c r="AF24">
        <v>-2.54499999983044</v>
      </c>
      <c r="AG24">
        <v>-0.29333333318744698</v>
      </c>
      <c r="AH24">
        <v>-0.43666666649902203</v>
      </c>
      <c r="AI24">
        <v>1.3874206348665299</v>
      </c>
      <c r="AJ24">
        <v>4.6826349496841401E-3</v>
      </c>
      <c r="AK24">
        <v>3.91059058614099</v>
      </c>
      <c r="AL24">
        <v>2.9430670042802398</v>
      </c>
      <c r="AM24">
        <v>4.4340294057938996</v>
      </c>
      <c r="AN24">
        <v>3.5506064156669699</v>
      </c>
      <c r="AO24">
        <v>0.48448297178071598</v>
      </c>
      <c r="AP24">
        <v>25.658000000000001</v>
      </c>
      <c r="AQ24">
        <v>26.738</v>
      </c>
      <c r="AR24">
        <v>2.88408210322986E-3</v>
      </c>
      <c r="AS24">
        <v>9.4429901024365298E-3</v>
      </c>
      <c r="AT24">
        <v>10.645820000000001</v>
      </c>
      <c r="AU24">
        <v>111.915566481345</v>
      </c>
      <c r="AV24">
        <v>9.5109685697273794E-2</v>
      </c>
      <c r="AW24">
        <v>8.7866838473358105E-2</v>
      </c>
      <c r="AX24">
        <v>8.2045508240651502E-2</v>
      </c>
      <c r="AY24">
        <v>9.6781878385470796E-2</v>
      </c>
      <c r="AZ24">
        <v>9.1503244418601706E-2</v>
      </c>
    </row>
    <row r="25" spans="1:52" x14ac:dyDescent="0.2">
      <c r="A25" t="s">
        <v>112</v>
      </c>
      <c r="B25" t="s">
        <v>57</v>
      </c>
      <c r="E25">
        <f>AND(AX25&lt;$C$1,averaged_runs370!AQ25&lt;$C$1,averaged_runs126!AQ25&lt;$C$1)*1</f>
        <v>0</v>
      </c>
      <c r="F25" s="2">
        <f>IF(TRUE,SQRT(averaged_runs126!AQ25^2/2+averaged_runs370!AQ25^2/2+AX25^2*0),"")</f>
        <v>6.3813752028324455E-2</v>
      </c>
      <c r="G25" s="2" t="str">
        <f>IF(E25,averaged_runs126!AQ25,"")</f>
        <v/>
      </c>
      <c r="H25" s="2" t="str">
        <f t="shared" si="3"/>
        <v/>
      </c>
      <c r="I25" s="2" t="str">
        <f>IF(E25,averaged_runs370!AQ25,"")</f>
        <v/>
      </c>
      <c r="J25" t="s">
        <v>45</v>
      </c>
      <c r="K25">
        <v>5.16</v>
      </c>
      <c r="L25">
        <v>25.34</v>
      </c>
      <c r="M25">
        <v>6.46828616058429E-3</v>
      </c>
      <c r="N25">
        <v>102.840661413473</v>
      </c>
      <c r="O25">
        <v>0.30388888903415801</v>
      </c>
      <c r="P25">
        <v>-0.78499999983187496</v>
      </c>
      <c r="Q25">
        <v>-0.17929181912523001</v>
      </c>
      <c r="R25">
        <v>-0.90666666652030403</v>
      </c>
      <c r="S25">
        <v>-2.32499999983047</v>
      </c>
      <c r="T25">
        <v>0.45000000014512798</v>
      </c>
      <c r="U25">
        <v>-1.07499999983161</v>
      </c>
      <c r="V25">
        <v>2.0704901581538202</v>
      </c>
      <c r="W25">
        <v>7.9367074816836899E-2</v>
      </c>
      <c r="X25">
        <v>-1.0647027765793001E-3</v>
      </c>
      <c r="Y25">
        <v>5.2596353888511296E-3</v>
      </c>
      <c r="Z25">
        <v>6.4682861605843403E-3</v>
      </c>
      <c r="AA25">
        <v>64.6267689182162</v>
      </c>
      <c r="AB25">
        <v>0.333888889034204</v>
      </c>
      <c r="AC25">
        <v>-0.74833333316541395</v>
      </c>
      <c r="AD25">
        <v>-0.275089285546609</v>
      </c>
      <c r="AE25">
        <v>-0.87666666652025904</v>
      </c>
      <c r="AF25">
        <v>-2.2883333331640099</v>
      </c>
      <c r="AG25">
        <v>0.47333333347851198</v>
      </c>
      <c r="AH25">
        <v>-1.1299999998317301</v>
      </c>
      <c r="AI25">
        <v>1.4450496031407101</v>
      </c>
      <c r="AJ25">
        <v>5.25963538885116E-3</v>
      </c>
      <c r="AK25">
        <v>4.3915564820497197</v>
      </c>
      <c r="AL25">
        <v>3.5398771645695302</v>
      </c>
      <c r="AM25">
        <v>4.98605937333953</v>
      </c>
      <c r="AN25">
        <v>4.6043635274600501</v>
      </c>
      <c r="AO25">
        <v>1.0106088915429501</v>
      </c>
      <c r="AP25">
        <v>21.052</v>
      </c>
      <c r="AQ25">
        <v>21.811999999999902</v>
      </c>
      <c r="AR25">
        <v>0.118189108784232</v>
      </c>
      <c r="AS25">
        <v>0.244580253305548</v>
      </c>
      <c r="AT25">
        <v>7.6824399999999997</v>
      </c>
      <c r="AU25">
        <v>233.45065394642199</v>
      </c>
      <c r="AV25">
        <v>8.0047573311330195E-2</v>
      </c>
      <c r="AW25">
        <v>6.9185575081690501E-2</v>
      </c>
      <c r="AX25">
        <v>6.4336609667665398E-2</v>
      </c>
      <c r="AY25">
        <v>8.3089912386326695E-2</v>
      </c>
      <c r="AZ25">
        <v>7.9023624393826306E-2</v>
      </c>
    </row>
    <row r="26" spans="1:52" x14ac:dyDescent="0.2">
      <c r="A26" t="s">
        <v>113</v>
      </c>
      <c r="B26" t="s">
        <v>57</v>
      </c>
      <c r="C26" t="str">
        <f t="shared" ca="1" si="0"/>
        <v/>
      </c>
      <c r="E26">
        <f>AND(AX26&lt;$C$1,averaged_runs370!AQ26&lt;$C$1,averaged_runs126!AQ26&lt;$C$1)*1</f>
        <v>0</v>
      </c>
      <c r="F26" s="2">
        <f>IF(TRUE,SQRT(averaged_runs126!AQ26^2/2+averaged_runs370!AQ26^2/2+AX26^2*0),"")</f>
        <v>9.829868417011714E-2</v>
      </c>
      <c r="G26" s="2" t="str">
        <f>IF(E26,averaged_runs126!AQ26,"")</f>
        <v/>
      </c>
      <c r="H26" s="2" t="str">
        <f t="shared" si="3"/>
        <v/>
      </c>
      <c r="I26" s="2" t="str">
        <f>IF(E26,averaged_runs370!AQ26,"")</f>
        <v/>
      </c>
      <c r="J26" t="s">
        <v>45</v>
      </c>
      <c r="K26">
        <v>0.42</v>
      </c>
      <c r="L26">
        <v>3.4</v>
      </c>
      <c r="M26">
        <v>3.6501879090577699E-2</v>
      </c>
      <c r="N26">
        <v>76.010238209745907</v>
      </c>
      <c r="O26">
        <v>-0.60277777763168905</v>
      </c>
      <c r="P26">
        <v>2.7500000167375801E-2</v>
      </c>
      <c r="Q26">
        <v>-0.97259920618178697</v>
      </c>
      <c r="R26">
        <v>-1.8499999998527801</v>
      </c>
      <c r="S26">
        <v>-2.3683333331637701</v>
      </c>
      <c r="T26">
        <v>-1.43499999985315</v>
      </c>
      <c r="U26">
        <v>0.806666666833325</v>
      </c>
      <c r="V26">
        <v>3.4819624181052502</v>
      </c>
      <c r="W26">
        <v>0.14957849817558899</v>
      </c>
      <c r="X26">
        <v>3.8842706688705E-2</v>
      </c>
      <c r="Y26">
        <v>1.8500237068127499E-2</v>
      </c>
      <c r="Z26">
        <v>3.6501879090577699E-2</v>
      </c>
      <c r="AA26">
        <v>67.503014733396896</v>
      </c>
      <c r="AB26">
        <v>-0.57277777763164295</v>
      </c>
      <c r="AC26">
        <v>6.4166666833836303E-2</v>
      </c>
      <c r="AD26">
        <v>-0.99903769824559496</v>
      </c>
      <c r="AE26">
        <v>-1.8199999998527301</v>
      </c>
      <c r="AF26">
        <v>-2.33166666649731</v>
      </c>
      <c r="AG26">
        <v>-1.42499999985308</v>
      </c>
      <c r="AH26">
        <v>0.96833333349966699</v>
      </c>
      <c r="AI26">
        <v>1.8369742062805401</v>
      </c>
      <c r="AJ26">
        <v>1.8500237068127499E-2</v>
      </c>
      <c r="AK26">
        <v>2.75407728501402</v>
      </c>
      <c r="AL26">
        <v>2.3569809735288199</v>
      </c>
      <c r="AM26">
        <v>2.9850590128184602</v>
      </c>
      <c r="AN26">
        <v>2.4748473041981001</v>
      </c>
      <c r="AO26">
        <v>0.69398940536452103</v>
      </c>
      <c r="AP26">
        <v>19.555999999999901</v>
      </c>
      <c r="AQ26">
        <v>20.155999999999999</v>
      </c>
      <c r="AR26">
        <v>0.59277702938120902</v>
      </c>
      <c r="AS26">
        <v>0.73681319354036501</v>
      </c>
      <c r="AT26">
        <v>10.688560000000001</v>
      </c>
      <c r="AU26">
        <v>154.065647990923</v>
      </c>
      <c r="AV26">
        <v>0.108064255970329</v>
      </c>
      <c r="AW26">
        <v>0.105930699105242</v>
      </c>
      <c r="AX26">
        <v>9.60889304240298E-2</v>
      </c>
      <c r="AY26">
        <v>0.115193686622236</v>
      </c>
      <c r="AZ26">
        <v>0.105952875005384</v>
      </c>
    </row>
    <row r="27" spans="1:52" x14ac:dyDescent="0.2">
      <c r="A27" t="s">
        <v>68</v>
      </c>
      <c r="B27" t="s">
        <v>57</v>
      </c>
      <c r="C27" t="str">
        <f t="shared" ca="1" si="0"/>
        <v/>
      </c>
      <c r="E27">
        <f>AND(AX27&lt;$C$1,averaged_runs370!AQ27&lt;$C$1,averaged_runs126!AQ27&lt;$C$1)*1</f>
        <v>0</v>
      </c>
      <c r="F27" s="2">
        <f>IF(TRUE,SQRT(averaged_runs126!AQ27^2/2+averaged_runs370!AQ27^2/2+AX27^2*0),"")</f>
        <v>9.6372672145371055E-2</v>
      </c>
      <c r="G27" s="2" t="str">
        <f>IF(E27,averaged_runs126!AQ27,"")</f>
        <v/>
      </c>
      <c r="H27" s="2" t="str">
        <f t="shared" si="3"/>
        <v/>
      </c>
      <c r="I27" s="2" t="str">
        <f>IF(E27,averaged_runs370!AQ27,"")</f>
        <v/>
      </c>
      <c r="J27" t="s">
        <v>45</v>
      </c>
      <c r="K27">
        <v>40.380000000000003</v>
      </c>
      <c r="L27">
        <v>87.66</v>
      </c>
      <c r="M27">
        <v>-1.78337692166422E-2</v>
      </c>
      <c r="N27">
        <v>-151740.43839075099</v>
      </c>
      <c r="O27">
        <v>0.34541666681190702</v>
      </c>
      <c r="P27">
        <v>0.80150000016668799</v>
      </c>
      <c r="Q27">
        <v>0.53421999842197199</v>
      </c>
      <c r="R27">
        <v>-2.8816666665184898</v>
      </c>
      <c r="S27">
        <v>-2.0583333331640201</v>
      </c>
      <c r="T27">
        <v>8.33333347887673E-3</v>
      </c>
      <c r="U27">
        <v>2.0750000001655202</v>
      </c>
      <c r="V27">
        <v>3.0038695725772899</v>
      </c>
      <c r="W27">
        <v>5.3792617656376301E-2</v>
      </c>
      <c r="X27">
        <v>-1.7364034804056599E-2</v>
      </c>
      <c r="Y27">
        <v>-1.36596634984016E-2</v>
      </c>
      <c r="Z27">
        <v>-1.78337692166422E-2</v>
      </c>
      <c r="AA27">
        <v>-223916.779308381</v>
      </c>
      <c r="AB27">
        <v>0.37541666681195301</v>
      </c>
      <c r="AC27">
        <v>0.838166666833148</v>
      </c>
      <c r="AD27">
        <v>0.39072335617630799</v>
      </c>
      <c r="AE27">
        <v>-2.8516666665184398</v>
      </c>
      <c r="AF27">
        <v>-2.02166666649756</v>
      </c>
      <c r="AG27">
        <v>0.42666666681189702</v>
      </c>
      <c r="AH27">
        <v>1.1250000001662199</v>
      </c>
      <c r="AI27">
        <v>1.4502630385681201</v>
      </c>
      <c r="AJ27">
        <v>-1.36596634984016E-2</v>
      </c>
      <c r="AK27">
        <v>3.96896182657684</v>
      </c>
      <c r="AL27">
        <v>3.6275091808739401</v>
      </c>
      <c r="AM27">
        <v>3.0579469289272101</v>
      </c>
      <c r="AN27">
        <v>3.2187789315297599</v>
      </c>
      <c r="AO27">
        <v>-2154.9752238444398</v>
      </c>
      <c r="AP27">
        <v>30.974</v>
      </c>
      <c r="AQ27">
        <v>31.834</v>
      </c>
      <c r="AR27" s="1">
        <v>3.0262920259595202E-12</v>
      </c>
      <c r="AS27">
        <v>7.64728964596818E-4</v>
      </c>
      <c r="AT27">
        <v>14.8872</v>
      </c>
      <c r="AU27">
        <v>-497799.27670806699</v>
      </c>
      <c r="AV27">
        <v>8.8321011686302298E-2</v>
      </c>
      <c r="AW27">
        <v>9.8170979048558996E-2</v>
      </c>
      <c r="AX27">
        <v>9.0188983171201206E-2</v>
      </c>
      <c r="AY27">
        <v>0.10650605178075501</v>
      </c>
      <c r="AZ27">
        <v>9.8633109372012404E-2</v>
      </c>
    </row>
    <row r="28" spans="1:52" x14ac:dyDescent="0.2">
      <c r="A28" t="s">
        <v>69</v>
      </c>
      <c r="B28" t="s">
        <v>70</v>
      </c>
      <c r="C28">
        <f t="shared" ca="1" si="0"/>
        <v>2</v>
      </c>
      <c r="D28">
        <v>3</v>
      </c>
      <c r="E28">
        <f>AND(AX28&lt;$C$1,averaged_runs370!AQ28&lt;$C$1,averaged_runs126!AQ28&lt;$C$1)*1</f>
        <v>0</v>
      </c>
      <c r="F28" s="2">
        <f>IF(TRUE,SQRT(averaged_runs126!AQ28^2/2+averaged_runs370!AQ28^2/2+AX28^2*0),"")</f>
        <v>6.0878742433724035E-2</v>
      </c>
      <c r="G28" s="2" t="str">
        <f>IF(E28,averaged_runs126!AQ28,"")</f>
        <v/>
      </c>
      <c r="H28" s="2" t="str">
        <f t="shared" si="3"/>
        <v/>
      </c>
      <c r="I28" s="2" t="str">
        <f>IF(E28,averaged_runs370!AQ28,"")</f>
        <v/>
      </c>
      <c r="J28" t="s">
        <v>45</v>
      </c>
      <c r="K28">
        <v>1.74</v>
      </c>
      <c r="L28">
        <v>8.44</v>
      </c>
      <c r="M28">
        <v>4.8617835980762098E-3</v>
      </c>
      <c r="N28">
        <v>116.842370220265</v>
      </c>
      <c r="O28">
        <v>1.6100000001440899</v>
      </c>
      <c r="P28">
        <v>-1.7766666664976301</v>
      </c>
      <c r="Q28">
        <v>-0.20256227089644199</v>
      </c>
      <c r="R28">
        <v>1.28666666681106</v>
      </c>
      <c r="S28">
        <v>-1.8916666664975299</v>
      </c>
      <c r="T28">
        <v>1.7283333334773101</v>
      </c>
      <c r="U28">
        <v>-1.8916666664975299</v>
      </c>
      <c r="V28">
        <v>2.98799765249611</v>
      </c>
      <c r="W28">
        <v>8.6301194763806696E-2</v>
      </c>
      <c r="X28">
        <v>-1.2391368277896999E-3</v>
      </c>
      <c r="Y28">
        <v>2.9465260112208298E-2</v>
      </c>
      <c r="Z28">
        <v>4.8617835980762601E-3</v>
      </c>
      <c r="AA28">
        <v>100.329077522825</v>
      </c>
      <c r="AB28">
        <v>1.6400000001441399</v>
      </c>
      <c r="AC28">
        <v>-1.7399999998311699</v>
      </c>
      <c r="AD28">
        <v>-0.28373412681694299</v>
      </c>
      <c r="AE28">
        <v>1.3166666668111</v>
      </c>
      <c r="AF28">
        <v>-1.85499999983107</v>
      </c>
      <c r="AG28">
        <v>1.84666666681061</v>
      </c>
      <c r="AH28">
        <v>-1.85499999983107</v>
      </c>
      <c r="AI28">
        <v>1.5628134920563399</v>
      </c>
      <c r="AJ28">
        <v>2.9465260112208298E-2</v>
      </c>
      <c r="AK28">
        <v>3.3288160715361998</v>
      </c>
      <c r="AL28">
        <v>3.4607036679047001</v>
      </c>
      <c r="AM28">
        <v>3.6392056021791799</v>
      </c>
      <c r="AN28">
        <v>3.9348099998077402</v>
      </c>
      <c r="AO28">
        <v>0.98519145323068502</v>
      </c>
      <c r="AP28">
        <v>16.948</v>
      </c>
      <c r="AQ28">
        <v>17.547999999999998</v>
      </c>
      <c r="AR28">
        <v>0.19314120481697999</v>
      </c>
      <c r="AS28">
        <v>0.50414040824557105</v>
      </c>
      <c r="AT28">
        <v>8.5353200000000005</v>
      </c>
      <c r="AU28">
        <v>207.87539663167399</v>
      </c>
      <c r="AV28">
        <v>9.2255884414651407E-2</v>
      </c>
      <c r="AW28">
        <v>6.4882050657753806E-2</v>
      </c>
      <c r="AX28">
        <v>6.1381024186881503E-2</v>
      </c>
      <c r="AY28">
        <v>8.0496809512362197E-2</v>
      </c>
      <c r="AZ28">
        <v>7.8184694896152596E-2</v>
      </c>
    </row>
    <row r="29" spans="1:52" x14ac:dyDescent="0.2">
      <c r="A29" t="s">
        <v>71</v>
      </c>
      <c r="B29" t="s">
        <v>70</v>
      </c>
      <c r="C29" t="str">
        <f t="shared" ca="1" si="0"/>
        <v/>
      </c>
      <c r="E29">
        <f>AND(AX29&lt;$C$1,averaged_runs370!AQ29&lt;$C$1,averaged_runs126!AQ29&lt;$C$1)*1</f>
        <v>1</v>
      </c>
      <c r="F29" s="2">
        <f>IF(TRUE,SQRT(averaged_runs126!AQ29^2/2+averaged_runs370!AQ29^2/2+AX29^2*0),"")</f>
        <v>4.7642948972684437E-2</v>
      </c>
      <c r="G29" s="2">
        <f>IF(E29,averaged_runs126!AQ29,"")</f>
        <v>4.9512157556286997E-2</v>
      </c>
      <c r="H29" s="2">
        <f t="shared" si="3"/>
        <v>4.2694875260971002E-2</v>
      </c>
      <c r="I29" s="2">
        <f>IF(E29,averaged_runs370!AQ29,"")</f>
        <v>4.5697345959574497E-2</v>
      </c>
      <c r="J29" t="s">
        <v>45</v>
      </c>
      <c r="K29">
        <v>8.1</v>
      </c>
      <c r="L29">
        <v>37</v>
      </c>
      <c r="M29">
        <v>8.1647212391327793E-3</v>
      </c>
      <c r="N29">
        <v>155.888257005442</v>
      </c>
      <c r="O29">
        <v>0.57750000014504099</v>
      </c>
      <c r="P29">
        <v>-1.09916666649827</v>
      </c>
      <c r="Q29">
        <v>-0.56585317443667005</v>
      </c>
      <c r="R29">
        <v>0.41166666681186098</v>
      </c>
      <c r="S29">
        <v>-1.2366666664981401</v>
      </c>
      <c r="T29">
        <v>0.60333333347834905</v>
      </c>
      <c r="U29">
        <v>-1.2366666664981401</v>
      </c>
      <c r="V29">
        <v>2.2727015341833599</v>
      </c>
      <c r="W29">
        <v>4.9927332974733202E-2</v>
      </c>
      <c r="X29">
        <v>-3.2250487625674101E-3</v>
      </c>
      <c r="Y29">
        <v>2.0900392814889701E-2</v>
      </c>
      <c r="Z29">
        <v>8.1647212391328192E-3</v>
      </c>
      <c r="AA29">
        <v>114.700639942489</v>
      </c>
      <c r="AB29">
        <v>0.60750000014508698</v>
      </c>
      <c r="AC29">
        <v>-1.0624999998318101</v>
      </c>
      <c r="AD29">
        <v>-0.61559523792748205</v>
      </c>
      <c r="AE29">
        <v>0.44166666681190597</v>
      </c>
      <c r="AF29">
        <v>-1.1999999998316799</v>
      </c>
      <c r="AG29">
        <v>0.50500000014518198</v>
      </c>
      <c r="AH29">
        <v>-1.1999999998316799</v>
      </c>
      <c r="AI29">
        <v>1.4846031745559101</v>
      </c>
      <c r="AJ29">
        <v>2.0900392814889701E-2</v>
      </c>
      <c r="AK29">
        <v>5.2652807953590202</v>
      </c>
      <c r="AL29">
        <v>5.1986300917516202</v>
      </c>
      <c r="AM29">
        <v>6.5199674899322897</v>
      </c>
      <c r="AN29">
        <v>6.5098197523038701</v>
      </c>
      <c r="AO29">
        <v>1.21741761608459</v>
      </c>
      <c r="AP29">
        <v>14.8</v>
      </c>
      <c r="AQ29">
        <v>15.38</v>
      </c>
      <c r="AR29">
        <v>5.1039634234019901E-2</v>
      </c>
      <c r="AS29">
        <v>0.13507083736067499</v>
      </c>
      <c r="AT29">
        <v>5.4155199999999999</v>
      </c>
      <c r="AU29">
        <v>258.09253460993301</v>
      </c>
      <c r="AV29">
        <v>6.7433329014812596E-2</v>
      </c>
      <c r="AW29">
        <v>4.3465024164943203E-2</v>
      </c>
      <c r="AX29">
        <v>4.2694875260971002E-2</v>
      </c>
      <c r="AY29">
        <v>6.1892972941058701E-2</v>
      </c>
      <c r="AZ29">
        <v>6.02330836960615E-2</v>
      </c>
    </row>
    <row r="30" spans="1:52" x14ac:dyDescent="0.2">
      <c r="A30" t="s">
        <v>72</v>
      </c>
      <c r="B30" t="s">
        <v>70</v>
      </c>
      <c r="C30" t="str">
        <f t="shared" ca="1" si="0"/>
        <v/>
      </c>
      <c r="E30">
        <f>AND(AX30&lt;$C$1,averaged_runs370!AQ30&lt;$C$1,averaged_runs126!AQ30&lt;$C$1)*1</f>
        <v>1</v>
      </c>
      <c r="F30" s="2">
        <f>IF(TRUE,SQRT(averaged_runs126!AQ30^2/2+averaged_runs370!AQ30^2/2+AX30^2*0),"")</f>
        <v>5.3090438387924307E-2</v>
      </c>
      <c r="G30" s="2">
        <f>IF(E30,averaged_runs126!AQ30,"")</f>
        <v>5.7475802831718298E-2</v>
      </c>
      <c r="H30" s="2">
        <f t="shared" si="3"/>
        <v>4.2196430748409598E-2</v>
      </c>
      <c r="I30" s="2">
        <f>IF(E30,averaged_runs370!AQ30,"")</f>
        <v>4.8308605706368898E-2</v>
      </c>
      <c r="J30" t="s">
        <v>45</v>
      </c>
      <c r="K30">
        <v>11.1</v>
      </c>
      <c r="L30">
        <v>32.44</v>
      </c>
      <c r="M30">
        <v>1.52361170957384E-3</v>
      </c>
      <c r="N30">
        <v>140.95415965478301</v>
      </c>
      <c r="O30">
        <v>0.53583333347843498</v>
      </c>
      <c r="P30">
        <v>-0.79777777760963497</v>
      </c>
      <c r="Q30">
        <v>-0.46765415123832699</v>
      </c>
      <c r="R30">
        <v>0.38333333347857601</v>
      </c>
      <c r="S30">
        <v>-1.01833333316499</v>
      </c>
      <c r="T30">
        <v>0.62166666681168803</v>
      </c>
      <c r="U30">
        <v>-0.91166666649843098</v>
      </c>
      <c r="V30">
        <v>2.04902400256994</v>
      </c>
      <c r="W30">
        <v>5.3036516323117802E-2</v>
      </c>
      <c r="X30">
        <v>-1.4853155654114301E-2</v>
      </c>
      <c r="Y30">
        <v>2.64613340105147E-2</v>
      </c>
      <c r="Z30">
        <v>1.52361170957386E-3</v>
      </c>
      <c r="AA30">
        <v>118.16554366861</v>
      </c>
      <c r="AB30">
        <v>0.56583333347848097</v>
      </c>
      <c r="AC30">
        <v>-0.76111111094317496</v>
      </c>
      <c r="AD30">
        <v>-0.60246031729329796</v>
      </c>
      <c r="AE30">
        <v>0.413333333478622</v>
      </c>
      <c r="AF30">
        <v>-0.98166666649853096</v>
      </c>
      <c r="AG30">
        <v>0.56500000014514595</v>
      </c>
      <c r="AH30">
        <v>-0.92666666649858598</v>
      </c>
      <c r="AI30">
        <v>1.4102777777239199</v>
      </c>
      <c r="AJ30">
        <v>2.64613340105147E-2</v>
      </c>
      <c r="AK30">
        <v>4.9695711244167899</v>
      </c>
      <c r="AL30">
        <v>4.9537552283506496</v>
      </c>
      <c r="AM30">
        <v>5.7676964822903098</v>
      </c>
      <c r="AN30">
        <v>5.6957707040702799</v>
      </c>
      <c r="AO30">
        <v>1.1534148714283801</v>
      </c>
      <c r="AP30">
        <v>16.475999999999999</v>
      </c>
      <c r="AQ30">
        <v>17.335999999999999</v>
      </c>
      <c r="AR30">
        <v>6.7105924402217507E-2</v>
      </c>
      <c r="AS30">
        <v>0.11476909254474101</v>
      </c>
      <c r="AT30">
        <v>6.0910000000000002</v>
      </c>
      <c r="AU30">
        <v>244.52395274281801</v>
      </c>
      <c r="AV30">
        <v>6.2320217213374697E-2</v>
      </c>
      <c r="AW30">
        <v>4.8475209346477199E-2</v>
      </c>
      <c r="AX30">
        <v>4.2196430748409598E-2</v>
      </c>
      <c r="AY30">
        <v>6.4205650650433294E-2</v>
      </c>
      <c r="AZ30">
        <v>5.6334707346362901E-2</v>
      </c>
    </row>
    <row r="31" spans="1:52" x14ac:dyDescent="0.2">
      <c r="A31" t="s">
        <v>73</v>
      </c>
      <c r="B31" t="s">
        <v>74</v>
      </c>
      <c r="C31">
        <f t="shared" ca="1" si="0"/>
        <v>1</v>
      </c>
      <c r="D31">
        <v>4</v>
      </c>
      <c r="E31">
        <f>AND(AX31&lt;$C$1,averaged_runs370!AQ31&lt;$C$1,averaged_runs126!AQ31&lt;$C$1)*1</f>
        <v>1</v>
      </c>
      <c r="F31" s="2">
        <f>IF(TRUE,SQRT(averaged_runs126!AQ31^2/2+averaged_runs370!AQ31^2/2+AX31^2*0),"")</f>
        <v>4.4702688231985789E-2</v>
      </c>
      <c r="G31" s="2">
        <f>IF(E31,averaged_runs126!AQ31,"")</f>
        <v>4.65432263707923E-2</v>
      </c>
      <c r="H31" s="2">
        <f t="shared" si="3"/>
        <v>4.2104744389813403E-2</v>
      </c>
      <c r="I31" s="2">
        <f>IF(E31,averaged_runs370!AQ31,"")</f>
        <v>4.2783042777827601E-2</v>
      </c>
      <c r="J31" t="s">
        <v>45</v>
      </c>
      <c r="K31">
        <v>0.74</v>
      </c>
      <c r="L31">
        <v>9.48</v>
      </c>
      <c r="M31">
        <v>6.3442273724842301E-3</v>
      </c>
      <c r="N31">
        <v>156.667450652588</v>
      </c>
      <c r="O31">
        <v>0.62500000014500001</v>
      </c>
      <c r="P31">
        <v>-0.71083333316530095</v>
      </c>
      <c r="Q31">
        <v>-0.36171398029763102</v>
      </c>
      <c r="R31">
        <v>0.45500000014515501</v>
      </c>
      <c r="S31">
        <v>-0.89166666649846704</v>
      </c>
      <c r="T31">
        <v>0.70000000014492803</v>
      </c>
      <c r="U31">
        <v>-0.89166666649846704</v>
      </c>
      <c r="V31">
        <v>1.8960168707554901</v>
      </c>
      <c r="W31">
        <v>5.1925582581174697E-2</v>
      </c>
      <c r="X31">
        <v>-3.21521142395308E-3</v>
      </c>
      <c r="Y31">
        <v>1.4920310052554699E-2</v>
      </c>
      <c r="Z31">
        <v>6.34422737248427E-3</v>
      </c>
      <c r="AA31">
        <v>119.96310814879</v>
      </c>
      <c r="AB31">
        <v>0.655000000145046</v>
      </c>
      <c r="AC31">
        <v>-0.67416666649884005</v>
      </c>
      <c r="AD31">
        <v>-0.42123015856263801</v>
      </c>
      <c r="AE31">
        <v>0.48500000014520001</v>
      </c>
      <c r="AF31">
        <v>-0.85499999983200703</v>
      </c>
      <c r="AG31">
        <v>0.72666666681165204</v>
      </c>
      <c r="AH31">
        <v>-0.85499999983200703</v>
      </c>
      <c r="AI31">
        <v>1.3945634920430201</v>
      </c>
      <c r="AJ31">
        <v>1.4920310052554699E-2</v>
      </c>
      <c r="AK31">
        <v>5.1113507618238501</v>
      </c>
      <c r="AL31">
        <v>4.67476226248312</v>
      </c>
      <c r="AM31">
        <v>6.2488568897490602</v>
      </c>
      <c r="AN31">
        <v>5.8689420920216797</v>
      </c>
      <c r="AO31">
        <v>1.5469312575287499</v>
      </c>
      <c r="AP31">
        <v>16.416</v>
      </c>
      <c r="AQ31">
        <v>17.116</v>
      </c>
      <c r="AR31">
        <v>0.41489978876132999</v>
      </c>
      <c r="AS31">
        <v>0.58690428577702702</v>
      </c>
      <c r="AT31">
        <v>4.6465399999999999</v>
      </c>
      <c r="AU31">
        <v>357.34112048914102</v>
      </c>
      <c r="AV31">
        <v>5.1365598975368403E-2</v>
      </c>
      <c r="AW31">
        <v>4.2443516849885898E-2</v>
      </c>
      <c r="AX31">
        <v>4.2104744389813403E-2</v>
      </c>
      <c r="AY31">
        <v>6.1170841828324503E-2</v>
      </c>
      <c r="AZ31">
        <v>6.0106900215359603E-2</v>
      </c>
    </row>
    <row r="32" spans="1:52" x14ac:dyDescent="0.2">
      <c r="A32" t="s">
        <v>75</v>
      </c>
      <c r="B32" t="s">
        <v>74</v>
      </c>
      <c r="C32" t="str">
        <f t="shared" ca="1" si="0"/>
        <v/>
      </c>
      <c r="E32">
        <f>AND(AX32&lt;$C$1,averaged_runs370!AQ32&lt;$C$1,averaged_runs126!AQ32&lt;$C$1)*1</f>
        <v>0</v>
      </c>
      <c r="F32" s="2">
        <f>IF(TRUE,SQRT(averaged_runs126!AQ32^2/2+averaged_runs370!AQ32^2/2+AX32^2*0),"")</f>
        <v>7.2428328756353785E-2</v>
      </c>
      <c r="G32" s="2" t="str">
        <f>IF(E32,averaged_runs126!AQ32,"")</f>
        <v/>
      </c>
      <c r="H32" s="2" t="str">
        <f t="shared" si="3"/>
        <v/>
      </c>
      <c r="I32" s="2" t="str">
        <f>IF(E32,averaged_runs370!AQ32,"")</f>
        <v/>
      </c>
      <c r="J32" t="s">
        <v>45</v>
      </c>
      <c r="K32">
        <v>8.7799999999999994</v>
      </c>
      <c r="L32">
        <v>73.900000000000006</v>
      </c>
      <c r="M32">
        <v>4.96966548441947E-2</v>
      </c>
      <c r="N32">
        <v>89.539022547675401</v>
      </c>
      <c r="O32">
        <v>-1.24416666651999</v>
      </c>
      <c r="P32">
        <v>-3.3630555553850998</v>
      </c>
      <c r="Q32">
        <v>-2.8318589741924098</v>
      </c>
      <c r="R32">
        <v>-1.40666666651985</v>
      </c>
      <c r="S32">
        <v>-3.7699999998291598</v>
      </c>
      <c r="T32">
        <v>-1.3833333331865301</v>
      </c>
      <c r="U32">
        <v>-3.7699999998291598</v>
      </c>
      <c r="V32">
        <v>3.91274543170901</v>
      </c>
      <c r="W32">
        <v>4.7839523002126898E-2</v>
      </c>
      <c r="X32">
        <v>1.7559886567035599E-2</v>
      </c>
      <c r="Y32">
        <v>7.5169151298191295E-2</v>
      </c>
      <c r="Z32">
        <v>4.96966548441947E-2</v>
      </c>
      <c r="AA32">
        <v>48.646785342374201</v>
      </c>
      <c r="AB32">
        <v>-1.21416666651995</v>
      </c>
      <c r="AC32">
        <v>-3.3263888887186401</v>
      </c>
      <c r="AD32">
        <v>-3.0497103172925302</v>
      </c>
      <c r="AE32">
        <v>-1.3766666665198</v>
      </c>
      <c r="AF32">
        <v>-3.7333333331627001</v>
      </c>
      <c r="AG32">
        <v>-1.2999999998531999</v>
      </c>
      <c r="AH32">
        <v>-3.6116666664961499</v>
      </c>
      <c r="AI32">
        <v>3.1042341268296298</v>
      </c>
      <c r="AJ32">
        <v>7.5169151298191295E-2</v>
      </c>
      <c r="AK32">
        <v>5.0375083149590498</v>
      </c>
      <c r="AL32">
        <v>3.4298084554183599</v>
      </c>
      <c r="AM32">
        <v>6.2483872892159802</v>
      </c>
      <c r="AN32">
        <v>2.84156679821439</v>
      </c>
      <c r="AO32">
        <v>1.22928991167837</v>
      </c>
      <c r="AP32">
        <v>15.78</v>
      </c>
      <c r="AQ32">
        <v>16.579999999999998</v>
      </c>
      <c r="AR32">
        <v>5.3617247616318101E-2</v>
      </c>
      <c r="AS32">
        <v>0.103587345625079</v>
      </c>
      <c r="AT32">
        <v>4.8985199999999898</v>
      </c>
      <c r="AU32">
        <v>283.96596959770397</v>
      </c>
      <c r="AV32">
        <v>6.2026413958183001E-2</v>
      </c>
      <c r="AW32">
        <v>6.9521914200310994E-2</v>
      </c>
      <c r="AX32">
        <v>7.4753135738746201E-2</v>
      </c>
      <c r="AY32">
        <v>8.1490728096140899E-2</v>
      </c>
      <c r="AZ32">
        <v>8.5570948273470296E-2</v>
      </c>
    </row>
    <row r="33" spans="1:52" x14ac:dyDescent="0.2">
      <c r="A33" t="s">
        <v>76</v>
      </c>
      <c r="B33" t="s">
        <v>74</v>
      </c>
      <c r="C33" t="str">
        <f t="shared" ca="1" si="0"/>
        <v/>
      </c>
      <c r="E33">
        <f>AND(AX33&lt;$C$1,averaged_runs370!AQ33&lt;$C$1,averaged_runs126!AQ33&lt;$C$1)*1</f>
        <v>0</v>
      </c>
      <c r="F33" s="2">
        <f>IF(TRUE,SQRT(averaged_runs126!AQ33^2/2+averaged_runs370!AQ33^2/2+AX33^2*0),"")</f>
        <v>7.4863589473541131E-2</v>
      </c>
      <c r="G33" s="2" t="str">
        <f>IF(E33,averaged_runs126!AQ33,"")</f>
        <v/>
      </c>
      <c r="H33" s="2" t="str">
        <f t="shared" si="3"/>
        <v/>
      </c>
      <c r="I33" s="2" t="str">
        <f>IF(E33,averaged_runs370!AQ33,"")</f>
        <v/>
      </c>
      <c r="J33" t="s">
        <v>45</v>
      </c>
      <c r="K33">
        <v>1.42</v>
      </c>
      <c r="L33">
        <v>18.48</v>
      </c>
      <c r="M33">
        <v>-4.1426286432581699E-2</v>
      </c>
      <c r="N33">
        <v>121.17920455516</v>
      </c>
      <c r="O33">
        <v>2.7983333334763199</v>
      </c>
      <c r="P33">
        <v>1.9383333334989601</v>
      </c>
      <c r="Q33">
        <v>2.3189934372836101</v>
      </c>
      <c r="R33">
        <v>2.2866666668101101</v>
      </c>
      <c r="S33">
        <v>1.23666666683294</v>
      </c>
      <c r="T33">
        <v>3.3100000001425198</v>
      </c>
      <c r="U33">
        <v>2.6566666668316401</v>
      </c>
      <c r="V33">
        <v>2.7978450796566001</v>
      </c>
      <c r="W33">
        <v>5.3934803694378697E-2</v>
      </c>
      <c r="X33">
        <v>-2.7871640608825299E-2</v>
      </c>
      <c r="Y33">
        <v>-3.1459034687914202E-2</v>
      </c>
      <c r="Z33">
        <v>-4.1426286432581699E-2</v>
      </c>
      <c r="AA33">
        <v>93.742290538261898</v>
      </c>
      <c r="AB33">
        <v>2.8283333334763601</v>
      </c>
      <c r="AC33">
        <v>1.97500000016542</v>
      </c>
      <c r="AD33">
        <v>2.25925595254727</v>
      </c>
      <c r="AE33">
        <v>2.3166666668101601</v>
      </c>
      <c r="AF33">
        <v>1.2733333334993999</v>
      </c>
      <c r="AG33">
        <v>3.2500000001426499</v>
      </c>
      <c r="AH33">
        <v>2.53500000016491</v>
      </c>
      <c r="AI33">
        <v>2.3791567461645098</v>
      </c>
      <c r="AJ33">
        <v>-3.1459034687914202E-2</v>
      </c>
      <c r="AK33">
        <v>3.9808453937233699</v>
      </c>
      <c r="AL33">
        <v>4.4326525524082996</v>
      </c>
      <c r="AM33">
        <v>3.97925110226342</v>
      </c>
      <c r="AN33">
        <v>5.45738670082509</v>
      </c>
      <c r="AO33">
        <v>1.3576045829155201</v>
      </c>
      <c r="AP33">
        <v>18.088000000000001</v>
      </c>
      <c r="AQ33">
        <v>18.727999999999899</v>
      </c>
      <c r="AR33">
        <v>0.234762449729469</v>
      </c>
      <c r="AS33">
        <v>0.37606399669016699</v>
      </c>
      <c r="AT33">
        <v>6.1204999999999998</v>
      </c>
      <c r="AU33">
        <v>313.60665865348602</v>
      </c>
      <c r="AV33">
        <v>6.0921739849675603E-2</v>
      </c>
      <c r="AW33">
        <v>6.2105944266035801E-2</v>
      </c>
      <c r="AX33">
        <v>6.09175578646141E-2</v>
      </c>
      <c r="AY33">
        <v>7.4485885403472896E-2</v>
      </c>
      <c r="AZ33">
        <v>7.2901585235119706E-2</v>
      </c>
    </row>
    <row r="34" spans="1:52" x14ac:dyDescent="0.2">
      <c r="A34" t="s">
        <v>77</v>
      </c>
      <c r="B34" t="s">
        <v>74</v>
      </c>
      <c r="C34" t="str">
        <f t="shared" ca="1" si="0"/>
        <v/>
      </c>
      <c r="E34">
        <f>AND(AX34&lt;$C$1,averaged_runs370!AQ34&lt;$C$1,averaged_runs126!AQ34&lt;$C$1)*1</f>
        <v>0</v>
      </c>
      <c r="F34" s="2">
        <f>IF(TRUE,SQRT(averaged_runs126!AQ34^2/2+averaged_runs370!AQ34^2/2+AX34^2*0),"")</f>
        <v>9.6785251757772861E-2</v>
      </c>
      <c r="G34" s="2" t="str">
        <f>IF(E34,averaged_runs126!AQ34,"")</f>
        <v/>
      </c>
      <c r="H34" s="2" t="str">
        <f t="shared" si="3"/>
        <v/>
      </c>
      <c r="I34" s="2" t="str">
        <f>IF(E34,averaged_runs370!AQ34,"")</f>
        <v/>
      </c>
      <c r="J34" t="s">
        <v>45</v>
      </c>
      <c r="K34">
        <v>19</v>
      </c>
      <c r="L34">
        <v>79.02</v>
      </c>
      <c r="M34">
        <v>5.7128665406321499E-2</v>
      </c>
      <c r="N34">
        <v>45.108011468909197</v>
      </c>
      <c r="O34">
        <v>-1.0922222220756801</v>
      </c>
      <c r="P34">
        <v>-3.8620833331623898</v>
      </c>
      <c r="Q34">
        <v>-3.0570947800539701</v>
      </c>
      <c r="R34">
        <v>-1.62166666651964</v>
      </c>
      <c r="S34">
        <v>-4.4949999998284698</v>
      </c>
      <c r="T34">
        <v>-1.62166666651964</v>
      </c>
      <c r="U34">
        <v>-4.4949999998284698</v>
      </c>
      <c r="V34">
        <v>4.58206555579146</v>
      </c>
      <c r="W34">
        <v>5.1085138775808198E-2</v>
      </c>
      <c r="X34">
        <v>1.10374763567143E-2</v>
      </c>
      <c r="Y34">
        <v>0.10635181298173101</v>
      </c>
      <c r="Z34">
        <v>5.7128665406321499E-2</v>
      </c>
      <c r="AA34">
        <v>14.4225087455125</v>
      </c>
      <c r="AB34">
        <v>-1.0622222220756301</v>
      </c>
      <c r="AC34">
        <v>-3.8254166664959302</v>
      </c>
      <c r="AD34">
        <v>-3.3813194442774699</v>
      </c>
      <c r="AE34">
        <v>-1.59166666651959</v>
      </c>
      <c r="AF34">
        <v>-4.4583333331620096</v>
      </c>
      <c r="AG34">
        <v>-1.2266666665199399</v>
      </c>
      <c r="AH34">
        <v>-4.3533333331620998</v>
      </c>
      <c r="AI34">
        <v>3.4091765871478201</v>
      </c>
      <c r="AJ34">
        <v>0.10635181298173101</v>
      </c>
      <c r="AK34">
        <v>4.5612068146142901</v>
      </c>
      <c r="AL34">
        <v>2.8088080837262699</v>
      </c>
      <c r="AM34">
        <v>5.7567334376659502</v>
      </c>
      <c r="AN34">
        <v>2.1810753122527902</v>
      </c>
      <c r="AO34">
        <v>0.97637305273924602</v>
      </c>
      <c r="AP34">
        <v>18.108000000000001</v>
      </c>
      <c r="AQ34">
        <v>18.847999999999999</v>
      </c>
      <c r="AR34">
        <v>1.0226167032335901E-2</v>
      </c>
      <c r="AS34">
        <v>2.81562886529289E-2</v>
      </c>
      <c r="AT34">
        <v>6.8468799999999996</v>
      </c>
      <c r="AU34">
        <v>225.54217518276499</v>
      </c>
      <c r="AV34">
        <v>7.4231189876834594E-2</v>
      </c>
      <c r="AW34">
        <v>8.8995972116872796E-2</v>
      </c>
      <c r="AX34">
        <v>9.9668022285228905E-2</v>
      </c>
      <c r="AY34">
        <v>9.8035256434725895E-2</v>
      </c>
      <c r="AZ34">
        <v>0.10757441750392301</v>
      </c>
    </row>
    <row r="35" spans="1:52" x14ac:dyDescent="0.2">
      <c r="A35" t="s">
        <v>78</v>
      </c>
      <c r="B35" t="s">
        <v>79</v>
      </c>
      <c r="C35">
        <f t="shared" ca="1" si="0"/>
        <v>0</v>
      </c>
      <c r="D35">
        <v>4</v>
      </c>
      <c r="E35">
        <f>AND(AX35&lt;$C$1,averaged_runs370!AQ35&lt;$C$1,averaged_runs126!AQ35&lt;$C$1)*1</f>
        <v>0</v>
      </c>
      <c r="F35" s="2">
        <f>IF(TRUE,SQRT(averaged_runs126!AQ35^2/2+averaged_runs370!AQ35^2/2+AX35^2*0),"")</f>
        <v>7.8010684703224892E-2</v>
      </c>
      <c r="G35" s="2">
        <f>IF(TRUE,averaged_runs126!AQ35,"")</f>
        <v>6.4842693218633105E-2</v>
      </c>
      <c r="H35" s="2">
        <f>IF(TRUE,AX35,"")</f>
        <v>7.0065136229644095E-2</v>
      </c>
      <c r="I35" s="2">
        <f>IF(TRUE,averaged_runs370!AQ35,"")</f>
        <v>8.9256702784083194E-2</v>
      </c>
      <c r="J35" t="s">
        <v>45</v>
      </c>
      <c r="K35">
        <v>3.66</v>
      </c>
      <c r="L35">
        <v>38.08</v>
      </c>
      <c r="M35">
        <v>-3.1400051090743397E-2</v>
      </c>
      <c r="N35">
        <v>109.02926976955401</v>
      </c>
      <c r="O35">
        <v>2.3901388890322499</v>
      </c>
      <c r="P35">
        <v>1.73541666683248</v>
      </c>
      <c r="Q35">
        <v>2.0306018011422</v>
      </c>
      <c r="R35">
        <v>1.21000000014444</v>
      </c>
      <c r="S35">
        <v>0.145000000167256</v>
      </c>
      <c r="T35">
        <v>3.3866666668091199</v>
      </c>
      <c r="U35">
        <v>3.0400000001646301</v>
      </c>
      <c r="V35">
        <v>2.6792508089404401</v>
      </c>
      <c r="W35">
        <v>0.06</v>
      </c>
      <c r="X35">
        <v>-2.1751757351044398E-2</v>
      </c>
      <c r="Y35">
        <v>-2.5834234178066202E-2</v>
      </c>
      <c r="Z35">
        <v>-3.1400051090743397E-2</v>
      </c>
      <c r="AA35">
        <v>87.0706881386552</v>
      </c>
      <c r="AB35">
        <v>2.4201388890322901</v>
      </c>
      <c r="AC35">
        <v>1.7720833334989401</v>
      </c>
      <c r="AD35">
        <v>1.9399305557219899</v>
      </c>
      <c r="AE35">
        <v>1.24000000014449</v>
      </c>
      <c r="AF35">
        <v>0.18166666683371599</v>
      </c>
      <c r="AG35">
        <v>3.2683333334759599</v>
      </c>
      <c r="AH35">
        <v>2.4366666668316599</v>
      </c>
      <c r="AI35">
        <v>2.1506369048747498</v>
      </c>
      <c r="AJ35">
        <v>-2.5834234178066202E-2</v>
      </c>
      <c r="AK35">
        <v>3.6903158640073901</v>
      </c>
      <c r="AL35">
        <v>3.7682191292658</v>
      </c>
      <c r="AM35">
        <v>3.38587209676585</v>
      </c>
      <c r="AN35">
        <v>4.2803472776602103</v>
      </c>
      <c r="AO35">
        <v>1.12207415336782</v>
      </c>
      <c r="AP35">
        <v>25.99</v>
      </c>
      <c r="AQ35">
        <v>26.81</v>
      </c>
      <c r="AR35">
        <v>9.1638762860082199E-2</v>
      </c>
      <c r="AS35">
        <v>0.19579521713450301</v>
      </c>
      <c r="AT35">
        <v>14.40884</v>
      </c>
      <c r="AU35">
        <v>259.19912942796799</v>
      </c>
      <c r="AV35">
        <v>7.45738950125997E-2</v>
      </c>
      <c r="AW35">
        <v>7.08075423067627E-2</v>
      </c>
      <c r="AX35">
        <v>7.0065136229644095E-2</v>
      </c>
      <c r="AY35">
        <v>8.21650188973891E-2</v>
      </c>
      <c r="AZ35">
        <v>8.1218146486047596E-2</v>
      </c>
    </row>
    <row r="36" spans="1:52" x14ac:dyDescent="0.2">
      <c r="A36" t="s">
        <v>80</v>
      </c>
      <c r="B36" t="s">
        <v>79</v>
      </c>
      <c r="C36" t="str">
        <f t="shared" ca="1" si="0"/>
        <v/>
      </c>
      <c r="E36">
        <f>AND(AX36&lt;$C$1,averaged_runs370!AQ36&lt;$C$1,averaged_runs126!AQ36&lt;$C$1)*1</f>
        <v>0</v>
      </c>
      <c r="F36" s="2">
        <f>IF(TRUE,SQRT(averaged_runs126!AQ36^2/2+averaged_runs370!AQ36^2/2+AX36^2*0),"")</f>
        <v>0.12049253756299461</v>
      </c>
      <c r="G36" s="2" t="str">
        <f>IF(E36,averaged_runs126!AQ36,"")</f>
        <v/>
      </c>
      <c r="H36" s="2" t="str">
        <f t="shared" si="3"/>
        <v/>
      </c>
      <c r="I36" s="2" t="str">
        <f>IF(E36,averaged_runs370!AQ36,"")</f>
        <v/>
      </c>
      <c r="J36" t="s">
        <v>45</v>
      </c>
      <c r="K36">
        <v>28.14</v>
      </c>
      <c r="L36">
        <v>61.82</v>
      </c>
      <c r="M36">
        <v>-6.6640382145797997E-2</v>
      </c>
      <c r="N36">
        <v>-93.617523777355103</v>
      </c>
      <c r="O36">
        <v>2.8801111112540299</v>
      </c>
      <c r="P36">
        <v>6.9995555557165803</v>
      </c>
      <c r="Q36">
        <v>5.17609414807829</v>
      </c>
      <c r="R36">
        <v>1.01500000014462</v>
      </c>
      <c r="S36">
        <v>2.4583333334984898</v>
      </c>
      <c r="T36">
        <v>4.6000000001413603</v>
      </c>
      <c r="U36">
        <v>11.4300000001569</v>
      </c>
      <c r="V36">
        <v>6.6784805780917003</v>
      </c>
      <c r="W36">
        <v>0.100023797227769</v>
      </c>
      <c r="X36">
        <v>2.2780991709542698E-3</v>
      </c>
      <c r="Y36">
        <v>-0.109435993996765</v>
      </c>
      <c r="Z36">
        <v>-6.6640382145797997E-2</v>
      </c>
      <c r="AA36">
        <v>-136.19229210211901</v>
      </c>
      <c r="AB36">
        <v>2.9101111112540701</v>
      </c>
      <c r="AC36">
        <v>7.0362222223830404</v>
      </c>
      <c r="AD36">
        <v>5.4694883788422697</v>
      </c>
      <c r="AE36">
        <v>1.04500000014467</v>
      </c>
      <c r="AF36">
        <v>2.4950000001649499</v>
      </c>
      <c r="AG36">
        <v>4.3016666668083596</v>
      </c>
      <c r="AH36">
        <v>11.4666666668234</v>
      </c>
      <c r="AI36">
        <v>5.4694883788422697</v>
      </c>
      <c r="AJ36">
        <v>-0.109435993996765</v>
      </c>
      <c r="AK36">
        <v>2.6070469624363199</v>
      </c>
      <c r="AL36">
        <v>2.1316429279987901</v>
      </c>
      <c r="AM36">
        <v>3.50866553452633</v>
      </c>
      <c r="AN36">
        <v>1.9320316656968799</v>
      </c>
      <c r="AO36">
        <v>-0.26033778930037998</v>
      </c>
      <c r="AP36">
        <v>34.578000000000003</v>
      </c>
      <c r="AQ36">
        <v>34.677999999999997</v>
      </c>
      <c r="AR36" s="1">
        <v>1.47463993371708E-8</v>
      </c>
      <c r="AS36" s="1">
        <v>4.1043714173948102E-5</v>
      </c>
      <c r="AT36">
        <v>21.612480000000001</v>
      </c>
      <c r="AU36">
        <v>-60.138029328387702</v>
      </c>
      <c r="AV36">
        <v>0.101480330639209</v>
      </c>
      <c r="AW36">
        <v>0.106063195854718</v>
      </c>
      <c r="AX36">
        <v>0.115114008968227</v>
      </c>
      <c r="AY36">
        <v>0.11342301651663</v>
      </c>
      <c r="AZ36">
        <v>0.121833760205678</v>
      </c>
    </row>
    <row r="37" spans="1:52" x14ac:dyDescent="0.2">
      <c r="A37" t="s">
        <v>81</v>
      </c>
      <c r="B37" t="s">
        <v>79</v>
      </c>
      <c r="C37" t="str">
        <f t="shared" ca="1" si="0"/>
        <v/>
      </c>
      <c r="E37">
        <f>AND(AX37&lt;$C$1,averaged_runs370!AQ37&lt;$C$1,averaged_runs126!AQ37&lt;$C$1)*1</f>
        <v>0</v>
      </c>
      <c r="F37" s="2">
        <f>IF(TRUE,SQRT(averaged_runs126!AQ37^2/2+averaged_runs370!AQ37^2/2+AX37^2*0),"")</f>
        <v>9.9428186353177239E-2</v>
      </c>
      <c r="G37" s="2" t="str">
        <f>IF(E37,averaged_runs126!AQ37,"")</f>
        <v/>
      </c>
      <c r="H37" s="2" t="str">
        <f t="shared" si="3"/>
        <v/>
      </c>
      <c r="I37" s="2" t="str">
        <f>IF(E37,averaged_runs370!AQ37,"")</f>
        <v/>
      </c>
      <c r="J37" t="s">
        <v>45</v>
      </c>
      <c r="K37">
        <v>7.52</v>
      </c>
      <c r="L37">
        <v>42.86</v>
      </c>
      <c r="M37">
        <v>-2.0800649852375501E-2</v>
      </c>
      <c r="N37">
        <v>88.249334798258204</v>
      </c>
      <c r="O37">
        <v>0.33616666681191398</v>
      </c>
      <c r="P37">
        <v>3.91925000016382</v>
      </c>
      <c r="Q37">
        <v>2.3454103219880298</v>
      </c>
      <c r="R37">
        <v>-1.7099999998528801</v>
      </c>
      <c r="S37">
        <v>-0.26499999983237099</v>
      </c>
      <c r="T37">
        <v>0.34166666681191599</v>
      </c>
      <c r="U37">
        <v>8.0033333334934191</v>
      </c>
      <c r="V37">
        <v>4.5396238303079901</v>
      </c>
      <c r="W37">
        <v>6.9854834557939602E-2</v>
      </c>
      <c r="X37">
        <v>9.7144615223689508E-3</v>
      </c>
      <c r="Y37">
        <v>-6.9123243667357198E-2</v>
      </c>
      <c r="Z37">
        <v>-2.0800649852375501E-2</v>
      </c>
      <c r="AA37">
        <v>72.748075173750706</v>
      </c>
      <c r="AB37">
        <v>0.36616666681195997</v>
      </c>
      <c r="AC37">
        <v>3.9559166668302801</v>
      </c>
      <c r="AD37">
        <v>2.5086729026593901</v>
      </c>
      <c r="AE37">
        <v>-1.6799999998528301</v>
      </c>
      <c r="AF37">
        <v>-0.22833333316591001</v>
      </c>
      <c r="AG37">
        <v>0.63666666681172501</v>
      </c>
      <c r="AH37">
        <v>7.7950000001601003</v>
      </c>
      <c r="AI37">
        <v>2.6938015874325201</v>
      </c>
      <c r="AJ37">
        <v>-6.9123243667357198E-2</v>
      </c>
      <c r="AK37">
        <v>3.5649248984053199</v>
      </c>
      <c r="AL37">
        <v>3.5145575929618702</v>
      </c>
      <c r="AM37">
        <v>4.3945060056580303</v>
      </c>
      <c r="AN37">
        <v>3.4939416739098701</v>
      </c>
      <c r="AO37">
        <v>0.73001590267193905</v>
      </c>
      <c r="AP37">
        <v>36.635999999999903</v>
      </c>
      <c r="AQ37">
        <v>37.176000000000002</v>
      </c>
      <c r="AR37">
        <v>5.7854740324327497E-2</v>
      </c>
      <c r="AS37">
        <v>0.14290679175641799</v>
      </c>
      <c r="AT37">
        <v>22.526999999999902</v>
      </c>
      <c r="AU37">
        <v>87.601908320632702</v>
      </c>
      <c r="AV37">
        <v>9.8846162652852704E-2</v>
      </c>
      <c r="AW37">
        <v>8.6073965043992506E-2</v>
      </c>
      <c r="AX37">
        <v>8.6776973080883099E-2</v>
      </c>
      <c r="AY37">
        <v>9.5068326413304205E-2</v>
      </c>
      <c r="AZ37">
        <v>9.5657061469075197E-2</v>
      </c>
    </row>
    <row r="38" spans="1:52" x14ac:dyDescent="0.2">
      <c r="A38" t="s">
        <v>114</v>
      </c>
      <c r="B38" t="s">
        <v>79</v>
      </c>
      <c r="E38">
        <f>AND(AX38&lt;$C$1,averaged_runs370!AQ38&lt;$C$1,averaged_runs126!AQ38&lt;$C$1)*1</f>
        <v>0</v>
      </c>
      <c r="F38" s="2">
        <f>IF(TRUE,SQRT(averaged_runs126!AQ38^2/2+averaged_runs370!AQ38^2/2+AX38^2*0),"")</f>
        <v>0.20816159741296375</v>
      </c>
      <c r="G38" s="2" t="str">
        <f>IF(E38,averaged_runs126!AQ38,"")</f>
        <v/>
      </c>
      <c r="H38" s="2" t="str">
        <f t="shared" si="3"/>
        <v/>
      </c>
      <c r="I38" s="2" t="str">
        <f>IF(E38,averaged_runs370!AQ38,"")</f>
        <v/>
      </c>
      <c r="J38" t="s">
        <v>45</v>
      </c>
      <c r="K38">
        <v>9.06</v>
      </c>
      <c r="L38">
        <v>34.14</v>
      </c>
      <c r="M38">
        <v>-0.109946222506993</v>
      </c>
      <c r="N38">
        <v>0.60302347890789598</v>
      </c>
      <c r="O38">
        <v>5.0661944445853901</v>
      </c>
      <c r="P38">
        <v>9.6461792329628508</v>
      </c>
      <c r="Q38">
        <v>6.81052761441393</v>
      </c>
      <c r="R38">
        <v>-2.5449999998521098</v>
      </c>
      <c r="S38">
        <v>2.83333335006863E-2</v>
      </c>
      <c r="T38">
        <v>12.621666666800699</v>
      </c>
      <c r="U38">
        <v>19.213333333483199</v>
      </c>
      <c r="V38">
        <v>7.7376354296868701</v>
      </c>
      <c r="W38">
        <v>0.12974781764161</v>
      </c>
      <c r="X38">
        <v>-0.100670839830778</v>
      </c>
      <c r="Y38">
        <v>-0.15806554770398701</v>
      </c>
      <c r="Z38">
        <v>-0.109946222506993</v>
      </c>
      <c r="AA38">
        <v>-3.50226476659219</v>
      </c>
      <c r="AB38">
        <v>5.0961944445854401</v>
      </c>
      <c r="AC38">
        <v>9.7288895504229203</v>
      </c>
      <c r="AD38">
        <v>6.7811646827013004</v>
      </c>
      <c r="AE38">
        <v>-2.51499999985207</v>
      </c>
      <c r="AF38">
        <v>6.5000000167146896E-2</v>
      </c>
      <c r="AG38">
        <v>12.353333333467701</v>
      </c>
      <c r="AH38">
        <v>19.1583333334831</v>
      </c>
      <c r="AI38">
        <v>6.7811646827013004</v>
      </c>
      <c r="AJ38">
        <v>-0.15806554770398701</v>
      </c>
      <c r="AK38">
        <v>1.5950886870049501</v>
      </c>
      <c r="AL38">
        <v>1.6508008138130299</v>
      </c>
      <c r="AM38">
        <v>2.0605329938154102</v>
      </c>
      <c r="AN38">
        <v>1.8225307636922301</v>
      </c>
      <c r="AO38">
        <v>4.2846411060180903E-2</v>
      </c>
      <c r="AP38">
        <v>65.346000000000004</v>
      </c>
      <c r="AQ38">
        <v>66.046000000000006</v>
      </c>
      <c r="AR38">
        <v>5.3998702715713602E-2</v>
      </c>
      <c r="AS38">
        <v>0.131875182606218</v>
      </c>
      <c r="AT38">
        <v>48.996600000000001</v>
      </c>
      <c r="AU38">
        <v>4.4131803391986297</v>
      </c>
      <c r="AV38">
        <v>0.187143873608238</v>
      </c>
      <c r="AW38">
        <v>0.18882275282429301</v>
      </c>
      <c r="AX38">
        <v>0.20066127067155701</v>
      </c>
      <c r="AY38">
        <v>0.19291308993991901</v>
      </c>
      <c r="AZ38">
        <v>0.204399403061091</v>
      </c>
    </row>
    <row r="39" spans="1:52" x14ac:dyDescent="0.2">
      <c r="A39" t="s">
        <v>82</v>
      </c>
      <c r="B39" t="s">
        <v>83</v>
      </c>
      <c r="C39">
        <f t="shared" ca="1" si="0"/>
        <v>0</v>
      </c>
      <c r="D39">
        <v>2</v>
      </c>
      <c r="E39">
        <f>AND(AX39&lt;$C$1,averaged_runs370!AQ39&lt;$C$1,averaged_runs126!AQ39&lt;$C$1)*1</f>
        <v>0</v>
      </c>
      <c r="F39" s="2">
        <f>IF(TRUE,SQRT(averaged_runs126!AQ39^2/2+averaged_runs370!AQ39^2/2+AX39^2*0),"")</f>
        <v>0.58235568426376805</v>
      </c>
      <c r="G39" s="2" t="str">
        <f>IF(E39,averaged_runs126!AQ39,"")</f>
        <v/>
      </c>
      <c r="H39" s="2" t="str">
        <f t="shared" si="3"/>
        <v/>
      </c>
      <c r="I39" s="2" t="str">
        <f>IF(E39,averaged_runs370!AQ39,"")</f>
        <v/>
      </c>
      <c r="J39" t="s">
        <v>45</v>
      </c>
      <c r="K39">
        <v>39.92</v>
      </c>
      <c r="L39">
        <v>49.8</v>
      </c>
      <c r="M39">
        <v>0.31393468735809898</v>
      </c>
      <c r="N39">
        <v>-35.2888543445262</v>
      </c>
      <c r="O39">
        <v>-7.3483333331810901</v>
      </c>
      <c r="P39">
        <v>-14.9783333331523</v>
      </c>
      <c r="Q39">
        <v>-7.5085439558941403</v>
      </c>
      <c r="R39">
        <v>-7.3483333331810901</v>
      </c>
      <c r="S39">
        <v>-14.9783333331523</v>
      </c>
      <c r="T39">
        <v>-7.3483333331810901</v>
      </c>
      <c r="U39">
        <v>-14.9783333331523</v>
      </c>
      <c r="V39">
        <v>13.746902873812299</v>
      </c>
      <c r="W39">
        <v>0.268171198562139</v>
      </c>
      <c r="X39">
        <v>0.15637927958276901</v>
      </c>
      <c r="Y39">
        <v>0.53497869737743997</v>
      </c>
      <c r="Z39">
        <v>0.31393468735809898</v>
      </c>
      <c r="AA39">
        <v>-34.857789671602198</v>
      </c>
      <c r="AB39">
        <v>-7.3183333331810498</v>
      </c>
      <c r="AC39">
        <v>-14.9416666664858</v>
      </c>
      <c r="AD39">
        <v>-6.1023809522378798</v>
      </c>
      <c r="AE39">
        <v>-7.3183333331810498</v>
      </c>
      <c r="AF39">
        <v>-14.9416666664858</v>
      </c>
      <c r="AG39">
        <v>-7.3183333331810498</v>
      </c>
      <c r="AH39">
        <v>-14.9416666664858</v>
      </c>
      <c r="AI39">
        <v>6.1023809522378798</v>
      </c>
      <c r="AJ39">
        <v>0.53497869737743997</v>
      </c>
      <c r="AK39">
        <v>0.77319250292359598</v>
      </c>
      <c r="AL39">
        <v>0.47751313101985199</v>
      </c>
      <c r="AM39">
        <v>0.76350066744120004</v>
      </c>
      <c r="AN39">
        <v>0.48112070021040998</v>
      </c>
      <c r="AO39">
        <v>-2.2827873929393698</v>
      </c>
      <c r="AP39">
        <v>12.44</v>
      </c>
      <c r="AQ39">
        <v>12.32</v>
      </c>
      <c r="AR39" s="1">
        <v>7.02056841734777E-7</v>
      </c>
      <c r="AS39">
        <v>1.9380323350720201E-4</v>
      </c>
      <c r="AT39">
        <v>0.21714</v>
      </c>
      <c r="AU39">
        <v>-527.32388776899495</v>
      </c>
      <c r="AV39">
        <v>0.25127289661885399</v>
      </c>
      <c r="AW39">
        <v>0.38717408293711703</v>
      </c>
      <c r="AX39">
        <v>0.45251835941856999</v>
      </c>
      <c r="AY39">
        <v>0.38512903416260102</v>
      </c>
      <c r="AZ39">
        <v>0.45080103270710098</v>
      </c>
    </row>
    <row r="40" spans="1:52" x14ac:dyDescent="0.2">
      <c r="A40" t="s">
        <v>84</v>
      </c>
      <c r="B40" t="s">
        <v>83</v>
      </c>
      <c r="C40" t="str">
        <f t="shared" ca="1" si="0"/>
        <v/>
      </c>
      <c r="E40">
        <f>AND(AX40&lt;$C$1,averaged_runs370!AQ40&lt;$C$1,averaged_runs126!AQ40&lt;$C$1)*1</f>
        <v>0</v>
      </c>
      <c r="F40" s="2">
        <f>IF(TRUE,SQRT(averaged_runs126!AQ40^2/2+averaged_runs370!AQ40^2/2+AX40^2*0),"")</f>
        <v>0.14363147286759362</v>
      </c>
      <c r="G40" s="2" t="str">
        <f>IF(E40,averaged_runs126!AQ40,"")</f>
        <v/>
      </c>
      <c r="H40" s="2" t="str">
        <f t="shared" si="3"/>
        <v/>
      </c>
      <c r="I40" s="2" t="str">
        <f>IF(E40,averaged_runs370!AQ40,"")</f>
        <v/>
      </c>
      <c r="J40" t="s">
        <v>45</v>
      </c>
      <c r="K40">
        <v>140.26</v>
      </c>
      <c r="L40">
        <v>186.98</v>
      </c>
      <c r="M40">
        <v>8.9251708722984699E-2</v>
      </c>
      <c r="N40">
        <v>-601.31034734690297</v>
      </c>
      <c r="O40">
        <v>-4.4649999998503898</v>
      </c>
      <c r="P40">
        <v>-6.7349999998264503</v>
      </c>
      <c r="Q40">
        <v>-5.67401098884398</v>
      </c>
      <c r="R40">
        <v>-4.4649999998503898</v>
      </c>
      <c r="S40">
        <v>-6.7349999998264503</v>
      </c>
      <c r="T40">
        <v>-4.4649999998503898</v>
      </c>
      <c r="U40">
        <v>-6.7349999998264503</v>
      </c>
      <c r="V40">
        <v>6.7550957156619704</v>
      </c>
      <c r="W40">
        <v>2.57323727191337E-2</v>
      </c>
      <c r="X40">
        <v>3.90002971792539E-2</v>
      </c>
      <c r="Y40">
        <v>0.14014378449285</v>
      </c>
      <c r="Z40">
        <v>8.9251708722984699E-2</v>
      </c>
      <c r="AA40">
        <v>-681.06171775880102</v>
      </c>
      <c r="AB40">
        <v>-4.4349999998503504</v>
      </c>
      <c r="AC40">
        <v>-6.6983333331599901</v>
      </c>
      <c r="AD40">
        <v>-5.9760714284031797</v>
      </c>
      <c r="AE40">
        <v>-4.4349999998503504</v>
      </c>
      <c r="AF40">
        <v>-6.6983333331599901</v>
      </c>
      <c r="AG40">
        <v>-4.4349999998503504</v>
      </c>
      <c r="AH40">
        <v>-6.6983333331599901</v>
      </c>
      <c r="AI40">
        <v>5.9760714284031797</v>
      </c>
      <c r="AJ40">
        <v>0.14014378449285</v>
      </c>
      <c r="AK40">
        <v>1.4789999809882799</v>
      </c>
      <c r="AL40">
        <v>0.53206571535427105</v>
      </c>
      <c r="AM40">
        <v>0.813452501263359</v>
      </c>
      <c r="AN40">
        <v>8.1720542408244695E-2</v>
      </c>
      <c r="AO40">
        <v>-4.7314453806063099</v>
      </c>
      <c r="AP40">
        <v>13.56</v>
      </c>
      <c r="AQ40">
        <v>14</v>
      </c>
      <c r="AR40" s="1">
        <v>5.2280391965955901E-11</v>
      </c>
      <c r="AS40" s="1">
        <v>7.8073239644880905E-8</v>
      </c>
      <c r="AT40">
        <v>1.0657799999999999</v>
      </c>
      <c r="AU40">
        <v>-1092.9638829200501</v>
      </c>
      <c r="AV40">
        <v>8.9991122863933001E-2</v>
      </c>
      <c r="AW40">
        <v>0.115461211917048</v>
      </c>
      <c r="AX40">
        <v>0.131872704418321</v>
      </c>
      <c r="AY40">
        <v>0.12170502024320599</v>
      </c>
      <c r="AZ40">
        <v>0.136015054101257</v>
      </c>
    </row>
    <row r="41" spans="1:52" x14ac:dyDescent="0.2">
      <c r="A41" t="s">
        <v>85</v>
      </c>
      <c r="B41" t="s">
        <v>86</v>
      </c>
      <c r="C41">
        <f t="shared" ca="1" si="0"/>
        <v>4</v>
      </c>
      <c r="D41">
        <v>7</v>
      </c>
      <c r="E41">
        <f>AND(AX41&lt;$C$1,averaged_runs370!AQ41&lt;$C$1,averaged_runs126!AQ41&lt;$C$1)*1</f>
        <v>0</v>
      </c>
      <c r="F41" s="2">
        <f>IF(TRUE,SQRT(averaged_runs126!AQ41^2/2+averaged_runs370!AQ41^2/2+AX41^2*0),"")</f>
        <v>6.4084824018747363E-2</v>
      </c>
      <c r="G41" s="2" t="str">
        <f>IF(E41,averaged_runs126!AQ41,"")</f>
        <v/>
      </c>
      <c r="H41" s="2" t="str">
        <f t="shared" si="3"/>
        <v/>
      </c>
      <c r="I41" s="2" t="str">
        <f>IF(E41,averaged_runs370!AQ41,"")</f>
        <v/>
      </c>
      <c r="J41" t="s">
        <v>45</v>
      </c>
      <c r="K41">
        <v>139.04</v>
      </c>
      <c r="L41">
        <v>152.34</v>
      </c>
      <c r="M41">
        <v>5.5740464320232899E-2</v>
      </c>
      <c r="N41">
        <v>-201056.412234605</v>
      </c>
      <c r="O41">
        <v>-4.49749999985037</v>
      </c>
      <c r="P41">
        <v>-1.1249999998315601</v>
      </c>
      <c r="Q41">
        <v>-3.0114468862780299</v>
      </c>
      <c r="R41">
        <v>-4.5383333331836697</v>
      </c>
      <c r="S41">
        <v>-1.1249999998315601</v>
      </c>
      <c r="T41">
        <v>-4.5383333331836697</v>
      </c>
      <c r="U41">
        <v>-1.1249999998315601</v>
      </c>
      <c r="V41">
        <v>4.0748302749557803</v>
      </c>
      <c r="W41">
        <v>5.5673773783930696E-3</v>
      </c>
      <c r="X41">
        <v>3.0789667559194302E-2</v>
      </c>
      <c r="Y41">
        <v>1.50889575610667E-2</v>
      </c>
      <c r="Z41">
        <v>5.5740464320232899E-2</v>
      </c>
      <c r="AA41">
        <v>-237472.957429206</v>
      </c>
      <c r="AB41">
        <v>-4.46749999985032</v>
      </c>
      <c r="AC41">
        <v>-1.0883333331650999</v>
      </c>
      <c r="AD41">
        <v>-2.9526587299890599</v>
      </c>
      <c r="AE41">
        <v>-4.5083333331836197</v>
      </c>
      <c r="AF41">
        <v>-1.0883333331650999</v>
      </c>
      <c r="AG41">
        <v>-4.5083333331836197</v>
      </c>
      <c r="AH41">
        <v>-1.0883333331650999</v>
      </c>
      <c r="AI41">
        <v>3.1719841268406399</v>
      </c>
      <c r="AJ41">
        <v>1.50889575610667E-2</v>
      </c>
      <c r="AK41">
        <v>0.115207612558787</v>
      </c>
      <c r="AL41">
        <v>9.9259911069674391</v>
      </c>
      <c r="AM41" s="1">
        <v>2.5096015429560301E-51</v>
      </c>
      <c r="AN41">
        <v>12.424244956091</v>
      </c>
      <c r="AO41">
        <v>-1780.8049138413801</v>
      </c>
      <c r="AP41">
        <v>13.744</v>
      </c>
      <c r="AQ41">
        <v>14.284000000000001</v>
      </c>
      <c r="AR41" s="1">
        <v>2.6935982668133599E-38</v>
      </c>
      <c r="AS41" s="1">
        <v>1.2069971412650301E-26</v>
      </c>
      <c r="AT41">
        <v>3.1182799999999999</v>
      </c>
      <c r="AU41">
        <v>-286709.59112846298</v>
      </c>
      <c r="AV41">
        <v>7.3032070361944507E-2</v>
      </c>
      <c r="AW41">
        <v>7.5559843445403896E-2</v>
      </c>
      <c r="AX41">
        <v>5.8161326608559001E-2</v>
      </c>
      <c r="AY41">
        <v>8.1462642304138397E-2</v>
      </c>
      <c r="AZ41">
        <v>6.3753387330387296E-2</v>
      </c>
    </row>
    <row r="42" spans="1:52" x14ac:dyDescent="0.2">
      <c r="A42" t="s">
        <v>87</v>
      </c>
      <c r="B42" t="s">
        <v>86</v>
      </c>
      <c r="C42" t="str">
        <f t="shared" ca="1" si="0"/>
        <v/>
      </c>
      <c r="E42">
        <f>AND(AX42&lt;$C$1,averaged_runs370!AQ42&lt;$C$1,averaged_runs126!AQ42&lt;$C$1)*1</f>
        <v>0</v>
      </c>
      <c r="F42" s="2">
        <f>IF(TRUE,SQRT(averaged_runs126!AQ42^2/2+averaged_runs370!AQ42^2/2+AX42^2*0),"")</f>
        <v>5.6760212919880967E-2</v>
      </c>
      <c r="G42" s="2" t="str">
        <f>IF(E42,averaged_runs126!AQ42,"")</f>
        <v/>
      </c>
      <c r="H42" s="2" t="str">
        <f t="shared" si="3"/>
        <v/>
      </c>
      <c r="I42" s="2" t="str">
        <f>IF(E42,averaged_runs370!AQ42,"")</f>
        <v/>
      </c>
      <c r="J42" t="s">
        <v>45</v>
      </c>
      <c r="K42">
        <v>0</v>
      </c>
      <c r="L42">
        <v>0.02</v>
      </c>
      <c r="M42">
        <v>2.0354464320232898E-2</v>
      </c>
      <c r="N42">
        <v>116.11378111973301</v>
      </c>
      <c r="O42">
        <v>-2.10499999985251</v>
      </c>
      <c r="P42">
        <v>0.92416666683322501</v>
      </c>
      <c r="Q42">
        <v>-0.84464743572936596</v>
      </c>
      <c r="R42">
        <v>-2.10499999985251</v>
      </c>
      <c r="S42">
        <v>0.91333333349990398</v>
      </c>
      <c r="T42">
        <v>-2.10499999985251</v>
      </c>
      <c r="U42">
        <v>0.93500000016654605</v>
      </c>
      <c r="V42">
        <v>2.9303727506244601</v>
      </c>
      <c r="W42">
        <v>8.6995815355948206E-2</v>
      </c>
      <c r="X42">
        <v>-3.1725403449691602E-3</v>
      </c>
      <c r="Y42">
        <v>-2.0297042438932999E-2</v>
      </c>
      <c r="Z42">
        <v>2.0354464320232999E-2</v>
      </c>
      <c r="AA42">
        <v>111.194653269402</v>
      </c>
      <c r="AB42">
        <v>-2.0749999998524702</v>
      </c>
      <c r="AC42">
        <v>0.96083333349968603</v>
      </c>
      <c r="AD42">
        <v>-0.57035714269063797</v>
      </c>
      <c r="AE42">
        <v>-2.0749999998524702</v>
      </c>
      <c r="AF42">
        <v>0.95000000016636399</v>
      </c>
      <c r="AG42">
        <v>-2.0749999998524702</v>
      </c>
      <c r="AH42">
        <v>0.97166666683300695</v>
      </c>
      <c r="AI42">
        <v>1.76964285709227</v>
      </c>
      <c r="AJ42">
        <v>-2.0297042438933099E-2</v>
      </c>
      <c r="AK42">
        <v>3.58575884191188</v>
      </c>
      <c r="AL42">
        <v>3.6897222551455999</v>
      </c>
      <c r="AM42">
        <v>3.7931835840946602</v>
      </c>
      <c r="AN42">
        <v>3.9542958628234999</v>
      </c>
      <c r="AO42">
        <v>1.20865787720532</v>
      </c>
      <c r="AP42">
        <v>13.94</v>
      </c>
      <c r="AQ42">
        <v>14.3</v>
      </c>
      <c r="AR42">
        <v>0.95684804868242401</v>
      </c>
      <c r="AS42">
        <v>0.98867859170318295</v>
      </c>
      <c r="AT42">
        <v>3.3806799999999999</v>
      </c>
      <c r="AU42">
        <v>194.593918230057</v>
      </c>
      <c r="AV42">
        <v>6.4727723548395205E-2</v>
      </c>
      <c r="AW42">
        <v>5.4923535907864002E-2</v>
      </c>
      <c r="AX42">
        <v>4.4040431537648403E-2</v>
      </c>
      <c r="AY42">
        <v>6.2797029756991501E-2</v>
      </c>
      <c r="AZ42">
        <v>5.1198770427161602E-2</v>
      </c>
    </row>
    <row r="43" spans="1:52" x14ac:dyDescent="0.2">
      <c r="A43" t="s">
        <v>88</v>
      </c>
      <c r="B43" t="s">
        <v>86</v>
      </c>
      <c r="C43" t="str">
        <f t="shared" ca="1" si="0"/>
        <v/>
      </c>
      <c r="E43">
        <f>AND(AX43&lt;$C$1,averaged_runs370!AQ43&lt;$C$1,averaged_runs126!AQ43&lt;$C$1)*1</f>
        <v>0</v>
      </c>
      <c r="F43" s="2">
        <f>IF(TRUE,SQRT(averaged_runs126!AQ43^2/2+averaged_runs370!AQ43^2/2+AX43^2*0),"")</f>
        <v>5.8659768466695836E-2</v>
      </c>
      <c r="G43" s="2" t="str">
        <f>IF(E43,averaged_runs126!AQ43,"")</f>
        <v/>
      </c>
      <c r="H43" s="2" t="str">
        <f t="shared" si="3"/>
        <v/>
      </c>
      <c r="I43" s="2" t="str">
        <f>IF(E43,averaged_runs370!AQ43,"")</f>
        <v/>
      </c>
      <c r="J43" t="s">
        <v>45</v>
      </c>
      <c r="K43">
        <v>0</v>
      </c>
      <c r="L43">
        <v>4.5</v>
      </c>
      <c r="M43">
        <v>1.78332112085571E-2</v>
      </c>
      <c r="N43">
        <v>117.841750468315</v>
      </c>
      <c r="O43">
        <v>-2.50666666651885</v>
      </c>
      <c r="P43">
        <v>0.33500000016711001</v>
      </c>
      <c r="Q43">
        <v>-0.95922161155382601</v>
      </c>
      <c r="R43">
        <v>-2.51999999985218</v>
      </c>
      <c r="S43">
        <v>0.33500000016711001</v>
      </c>
      <c r="T43">
        <v>-2.51999999985218</v>
      </c>
      <c r="U43">
        <v>0.33500000016711001</v>
      </c>
      <c r="V43">
        <v>2.5698355014490502</v>
      </c>
      <c r="W43">
        <v>8.7031604982508004E-2</v>
      </c>
      <c r="X43">
        <v>-1.7388282894485199E-2</v>
      </c>
      <c r="Y43">
        <v>-9.5708536778451297E-3</v>
      </c>
      <c r="Z43">
        <v>1.78332112085571E-2</v>
      </c>
      <c r="AA43">
        <v>114.370863192944</v>
      </c>
      <c r="AB43">
        <v>-2.4766666665188102</v>
      </c>
      <c r="AC43">
        <v>0.37166666683357102</v>
      </c>
      <c r="AD43">
        <v>-0.82934523792695003</v>
      </c>
      <c r="AE43">
        <v>-2.4899999998521301</v>
      </c>
      <c r="AF43">
        <v>0.37166666683357102</v>
      </c>
      <c r="AG43">
        <v>-2.4899999998521301</v>
      </c>
      <c r="AH43">
        <v>0.37166666683357102</v>
      </c>
      <c r="AI43">
        <v>1.6120833332442901</v>
      </c>
      <c r="AJ43">
        <v>-9.5708536778451505E-3</v>
      </c>
      <c r="AK43">
        <v>3.4242743948053298</v>
      </c>
      <c r="AL43">
        <v>3.7991804269020499</v>
      </c>
      <c r="AM43">
        <v>3.7003353702392401</v>
      </c>
      <c r="AN43">
        <v>3.78421659644146</v>
      </c>
      <c r="AO43">
        <v>1.11047074040092</v>
      </c>
      <c r="AP43">
        <v>13.664</v>
      </c>
      <c r="AQ43">
        <v>14.124000000000001</v>
      </c>
      <c r="AR43">
        <v>0.75493376997678896</v>
      </c>
      <c r="AS43">
        <v>0.75493376997678896</v>
      </c>
      <c r="AT43">
        <v>1.6919200000000001</v>
      </c>
      <c r="AU43">
        <v>178.78578920454899</v>
      </c>
      <c r="AV43">
        <v>6.6728176908188705E-2</v>
      </c>
      <c r="AW43">
        <v>4.5730600201362798E-2</v>
      </c>
      <c r="AX43">
        <v>4.2405236785750602E-2</v>
      </c>
      <c r="AY43">
        <v>5.1762841597664498E-2</v>
      </c>
      <c r="AZ43">
        <v>4.7268776236313599E-2</v>
      </c>
    </row>
    <row r="44" spans="1:52" x14ac:dyDescent="0.2">
      <c r="A44" t="s">
        <v>89</v>
      </c>
      <c r="B44" t="s">
        <v>86</v>
      </c>
      <c r="C44" t="str">
        <f t="shared" ca="1" si="0"/>
        <v/>
      </c>
      <c r="E44">
        <f>AND(AX44&lt;$C$1,averaged_runs370!AQ44&lt;$C$1,averaged_runs126!AQ44&lt;$C$1)*1</f>
        <v>1</v>
      </c>
      <c r="F44" s="2">
        <f>IF(TRUE,SQRT(averaged_runs126!AQ44^2/2+averaged_runs370!AQ44^2/2+AX44^2*0),"")</f>
        <v>5.4191613565754138E-2</v>
      </c>
      <c r="G44" s="2">
        <f>IF(E44,averaged_runs126!AQ44,"")</f>
        <v>5.9151021794495197E-2</v>
      </c>
      <c r="H44" s="2">
        <f t="shared" si="3"/>
        <v>4.1563035616821301E-2</v>
      </c>
      <c r="I44" s="2">
        <f>IF(E44,averaged_runs370!AQ44,"")</f>
        <v>4.87300583047795E-2</v>
      </c>
      <c r="J44" t="s">
        <v>45</v>
      </c>
      <c r="K44">
        <v>0</v>
      </c>
      <c r="L44">
        <v>5.52</v>
      </c>
      <c r="M44">
        <v>1.3733211208557E-2</v>
      </c>
      <c r="N44">
        <v>118.453438537921</v>
      </c>
      <c r="O44">
        <v>-2.2133333331857599</v>
      </c>
      <c r="P44">
        <v>0.55666666683358001</v>
      </c>
      <c r="Q44">
        <v>-0.71811355294583501</v>
      </c>
      <c r="R44">
        <v>-2.2133333331857599</v>
      </c>
      <c r="S44">
        <v>0.55666666683358001</v>
      </c>
      <c r="T44">
        <v>-2.2133333331857599</v>
      </c>
      <c r="U44">
        <v>0.55666666683358001</v>
      </c>
      <c r="V44">
        <v>2.5045012000066702</v>
      </c>
      <c r="W44">
        <v>8.7031604982508004E-2</v>
      </c>
      <c r="X44">
        <v>-2.1488282894485299E-2</v>
      </c>
      <c r="Y44">
        <v>-1.36708536778452E-2</v>
      </c>
      <c r="Z44">
        <v>1.3733211208557101E-2</v>
      </c>
      <c r="AA44">
        <v>114.994103943388</v>
      </c>
      <c r="AB44">
        <v>-2.1833333331857099</v>
      </c>
      <c r="AC44">
        <v>0.59333333350004003</v>
      </c>
      <c r="AD44">
        <v>-0.55619047602265903</v>
      </c>
      <c r="AE44">
        <v>-2.1833333331857099</v>
      </c>
      <c r="AF44">
        <v>0.59333333350004003</v>
      </c>
      <c r="AG44">
        <v>-2.1833333331857099</v>
      </c>
      <c r="AH44">
        <v>0.59333333350004003</v>
      </c>
      <c r="AI44">
        <v>1.5476190475565399</v>
      </c>
      <c r="AJ44">
        <v>-1.3670853677845299E-2</v>
      </c>
      <c r="AK44">
        <v>3.4748873319687199</v>
      </c>
      <c r="AL44">
        <v>3.7914805131121998</v>
      </c>
      <c r="AM44">
        <v>3.7494919006101401</v>
      </c>
      <c r="AN44">
        <v>3.7729261783903199</v>
      </c>
      <c r="AO44">
        <v>1.0933038051308599</v>
      </c>
      <c r="AP44">
        <v>13.64</v>
      </c>
      <c r="AQ44">
        <v>14.04</v>
      </c>
      <c r="AR44">
        <v>0.72357250714973698</v>
      </c>
      <c r="AS44">
        <v>0.72357250714973698</v>
      </c>
      <c r="AT44">
        <v>1.6919200000000001</v>
      </c>
      <c r="AU44">
        <v>176.021912626069</v>
      </c>
      <c r="AV44">
        <v>6.7912027750799103E-2</v>
      </c>
      <c r="AW44">
        <v>4.4292950487258301E-2</v>
      </c>
      <c r="AX44">
        <v>4.1563035616821301E-2</v>
      </c>
      <c r="AY44">
        <v>5.0497222085524103E-2</v>
      </c>
      <c r="AZ44">
        <v>4.6514718420176002E-2</v>
      </c>
    </row>
    <row r="45" spans="1:52" x14ac:dyDescent="0.2">
      <c r="A45" t="s">
        <v>90</v>
      </c>
      <c r="B45" t="s">
        <v>86</v>
      </c>
      <c r="C45" t="str">
        <f t="shared" ca="1" si="0"/>
        <v/>
      </c>
      <c r="E45">
        <f>AND(AX45&lt;$C$1,averaged_runs370!AQ45&lt;$C$1,averaged_runs126!AQ45&lt;$C$1)*1</f>
        <v>1</v>
      </c>
      <c r="F45" s="2">
        <f>IF(TRUE,SQRT(averaged_runs126!AQ45^2/2+averaged_runs370!AQ45^2/2+AX45^2*0),"")</f>
        <v>5.3599691765989312E-2</v>
      </c>
      <c r="G45" s="2">
        <f>IF(E45,averaged_runs126!AQ45,"")</f>
        <v>5.7246554847885003E-2</v>
      </c>
      <c r="H45" s="2">
        <f t="shared" si="3"/>
        <v>4.0584464253900603E-2</v>
      </c>
      <c r="I45" s="2">
        <f>IF(E45,averaged_runs370!AQ45,"")</f>
        <v>4.96858719644349E-2</v>
      </c>
      <c r="J45" t="s">
        <v>45</v>
      </c>
      <c r="K45">
        <v>0</v>
      </c>
      <c r="L45">
        <v>0</v>
      </c>
      <c r="M45">
        <v>1.48690554786389E-2</v>
      </c>
      <c r="N45">
        <v>131.597831595446</v>
      </c>
      <c r="O45">
        <v>-1.9849999998526699</v>
      </c>
      <c r="P45">
        <v>0.83333333349996797</v>
      </c>
      <c r="Q45">
        <v>-0.74619505477736403</v>
      </c>
      <c r="R45">
        <v>-1.9849999998526699</v>
      </c>
      <c r="S45">
        <v>0.83333333349996797</v>
      </c>
      <c r="T45">
        <v>-1.9849999998526699</v>
      </c>
      <c r="U45">
        <v>0.83333333349996797</v>
      </c>
      <c r="V45">
        <v>2.5247571330415299</v>
      </c>
      <c r="W45">
        <v>7.4255367627972496E-2</v>
      </c>
      <c r="X45">
        <v>-3.87956216378275E-3</v>
      </c>
      <c r="Y45">
        <v>-1.49634102165305E-2</v>
      </c>
      <c r="Z45">
        <v>1.4869055478639001E-2</v>
      </c>
      <c r="AA45">
        <v>125.470894470479</v>
      </c>
      <c r="AB45">
        <v>-1.95499999985262</v>
      </c>
      <c r="AC45">
        <v>0.87000000016642798</v>
      </c>
      <c r="AD45">
        <v>-0.63065476173661605</v>
      </c>
      <c r="AE45">
        <v>-1.95499999985262</v>
      </c>
      <c r="AF45">
        <v>0.87000000016642798</v>
      </c>
      <c r="AG45">
        <v>-1.95499999985262</v>
      </c>
      <c r="AH45">
        <v>0.87000000016642798</v>
      </c>
      <c r="AI45">
        <v>1.6051785713731801</v>
      </c>
      <c r="AJ45">
        <v>-1.49634102165305E-2</v>
      </c>
      <c r="AK45">
        <v>4.1918953412149396</v>
      </c>
      <c r="AL45">
        <v>4.2780251294996097</v>
      </c>
      <c r="AM45">
        <v>4.3995879653327403</v>
      </c>
      <c r="AN45">
        <v>4.5390034866058802</v>
      </c>
      <c r="AO45">
        <v>1.4401319129885699</v>
      </c>
      <c r="AP45">
        <v>13.72</v>
      </c>
      <c r="AQ45">
        <v>14.2</v>
      </c>
      <c r="AR45">
        <v>0.98883411784879305</v>
      </c>
      <c r="AS45">
        <v>0.98883411784879305</v>
      </c>
      <c r="AT45">
        <v>2.1447400000000001</v>
      </c>
      <c r="AU45">
        <v>226.10071033920701</v>
      </c>
      <c r="AV45">
        <v>4.7603020753358101E-2</v>
      </c>
      <c r="AW45">
        <v>4.49947168247131E-2</v>
      </c>
      <c r="AX45">
        <v>4.0584464253900603E-2</v>
      </c>
      <c r="AY45">
        <v>5.35202838983138E-2</v>
      </c>
      <c r="AZ45">
        <v>4.7459818253767799E-2</v>
      </c>
    </row>
    <row r="46" spans="1:52" x14ac:dyDescent="0.2">
      <c r="A46" t="s">
        <v>91</v>
      </c>
      <c r="B46" t="s">
        <v>86</v>
      </c>
      <c r="C46" t="str">
        <f t="shared" ca="1" si="0"/>
        <v/>
      </c>
      <c r="E46">
        <f>AND(AX46&lt;$C$1,averaged_runs370!AQ46&lt;$C$1,averaged_runs126!AQ46&lt;$C$1)*1</f>
        <v>1</v>
      </c>
      <c r="F46" s="2">
        <f>IF(TRUE,SQRT(averaged_runs126!AQ46^2/2+averaged_runs370!AQ46^2/2+AX46^2*0),"")</f>
        <v>5.5575754092406997E-2</v>
      </c>
      <c r="G46" s="2">
        <f>IF(E46,averaged_runs126!AQ46,"")</f>
        <v>5.8514582148916403E-2</v>
      </c>
      <c r="H46" s="2">
        <f t="shared" si="3"/>
        <v>4.0243673572702698E-2</v>
      </c>
      <c r="I46" s="2">
        <f>IF(E46,averaged_runs370!AQ46,"")</f>
        <v>5.2472588670820303E-2</v>
      </c>
      <c r="J46" t="s">
        <v>45</v>
      </c>
      <c r="K46">
        <v>0</v>
      </c>
      <c r="L46">
        <v>0</v>
      </c>
      <c r="M46">
        <v>1.8534464368576298E-2</v>
      </c>
      <c r="N46">
        <v>107.17952632853201</v>
      </c>
      <c r="O46">
        <v>-2.22416666651909</v>
      </c>
      <c r="P46">
        <v>0.40333333350038603</v>
      </c>
      <c r="Q46">
        <v>-1.0348885834708701</v>
      </c>
      <c r="R46">
        <v>-2.25499999985239</v>
      </c>
      <c r="S46">
        <v>0.40333333350038603</v>
      </c>
      <c r="T46">
        <v>-2.25499999985239</v>
      </c>
      <c r="U46">
        <v>0.40333333350038603</v>
      </c>
      <c r="V46">
        <v>2.4954697836159498</v>
      </c>
      <c r="W46">
        <v>0.105142782067723</v>
      </c>
      <c r="X46">
        <v>-3.84248085458043E-3</v>
      </c>
      <c r="Y46">
        <v>-7.4273634067219601E-3</v>
      </c>
      <c r="Z46">
        <v>1.8534464368576298E-2</v>
      </c>
      <c r="AA46">
        <v>104.044598660513</v>
      </c>
      <c r="AB46">
        <v>-2.19416666651904</v>
      </c>
      <c r="AC46">
        <v>0.44000000016684598</v>
      </c>
      <c r="AD46">
        <v>-0.92212301570482702</v>
      </c>
      <c r="AE46">
        <v>-2.2249999998523502</v>
      </c>
      <c r="AF46">
        <v>0.44000000016684598</v>
      </c>
      <c r="AG46">
        <v>-2.2249999998523502</v>
      </c>
      <c r="AH46">
        <v>0.44000000016684598</v>
      </c>
      <c r="AI46">
        <v>1.6961706348382799</v>
      </c>
      <c r="AJ46">
        <v>-7.4273634067219896E-3</v>
      </c>
      <c r="AK46">
        <v>3.24501734760126</v>
      </c>
      <c r="AL46">
        <v>3.1398095494128002</v>
      </c>
      <c r="AM46">
        <v>3.25508083039818</v>
      </c>
      <c r="AN46">
        <v>3.3310526555664599</v>
      </c>
      <c r="AO46">
        <v>1.16648819733316</v>
      </c>
      <c r="AP46">
        <v>13.8479999999999</v>
      </c>
      <c r="AQ46">
        <v>14.368</v>
      </c>
      <c r="AR46">
        <v>0.99530312964869505</v>
      </c>
      <c r="AS46">
        <v>0.99530312964869505</v>
      </c>
      <c r="AT46">
        <v>2.1466599999999998</v>
      </c>
      <c r="AU46">
        <v>187.80459977064001</v>
      </c>
      <c r="AV46">
        <v>5.1354246935396398E-2</v>
      </c>
      <c r="AW46">
        <v>4.4571158466886099E-2</v>
      </c>
      <c r="AX46">
        <v>4.0243673572702698E-2</v>
      </c>
      <c r="AY46">
        <v>5.3180504212497301E-2</v>
      </c>
      <c r="AZ46">
        <v>4.7398754672206903E-2</v>
      </c>
    </row>
    <row r="47" spans="1:52" x14ac:dyDescent="0.2">
      <c r="A47" t="s">
        <v>92</v>
      </c>
      <c r="B47" t="s">
        <v>86</v>
      </c>
      <c r="C47" t="str">
        <f t="shared" ca="1" si="0"/>
        <v/>
      </c>
      <c r="E47">
        <f>AND(AX47&lt;$C$1,averaged_runs370!AQ47&lt;$C$1,averaged_runs126!AQ47&lt;$C$1)*1</f>
        <v>1</v>
      </c>
      <c r="F47" s="2">
        <f>IF(TRUE,SQRT(averaged_runs126!AQ47^2/2+averaged_runs370!AQ47^2/2+AX47^2*0),"")</f>
        <v>5.1695268920559125E-2</v>
      </c>
      <c r="G47" s="2">
        <f>IF(E47,averaged_runs126!AQ47,"")</f>
        <v>5.7161083668455799E-2</v>
      </c>
      <c r="H47" s="2">
        <f t="shared" si="3"/>
        <v>3.9111646390494199E-2</v>
      </c>
      <c r="I47" s="2">
        <f>IF(E47,averaged_runs370!AQ47,"")</f>
        <v>4.5578637226069502E-2</v>
      </c>
      <c r="J47" t="s">
        <v>45</v>
      </c>
      <c r="K47">
        <v>0</v>
      </c>
      <c r="L47">
        <v>0</v>
      </c>
      <c r="M47">
        <v>1.30044643685763E-2</v>
      </c>
      <c r="N47">
        <v>124.603850153181</v>
      </c>
      <c r="O47">
        <v>-1.9208333331860401</v>
      </c>
      <c r="P47">
        <v>0.70166666683342505</v>
      </c>
      <c r="Q47">
        <v>-0.72070970679208701</v>
      </c>
      <c r="R47">
        <v>-1.9433333331860201</v>
      </c>
      <c r="S47">
        <v>0.70166666683342505</v>
      </c>
      <c r="T47">
        <v>-1.9433333331860201</v>
      </c>
      <c r="U47">
        <v>0.70166666683342505</v>
      </c>
      <c r="V47">
        <v>2.4190168642946701</v>
      </c>
      <c r="W47">
        <v>8.4218581312012097E-2</v>
      </c>
      <c r="X47">
        <v>-6.5387666568760003E-3</v>
      </c>
      <c r="Y47">
        <v>-1.29573634067218E-2</v>
      </c>
      <c r="Z47">
        <v>1.30044643685763E-2</v>
      </c>
      <c r="AA47">
        <v>119.753126706342</v>
      </c>
      <c r="AB47">
        <v>-1.8908333331860001</v>
      </c>
      <c r="AC47">
        <v>0.73833333349988595</v>
      </c>
      <c r="AD47">
        <v>-0.57255952364182305</v>
      </c>
      <c r="AE47">
        <v>-1.9133333331859801</v>
      </c>
      <c r="AF47">
        <v>0.73833333349988595</v>
      </c>
      <c r="AG47">
        <v>-1.9133333331859801</v>
      </c>
      <c r="AH47">
        <v>0.73833333349988595</v>
      </c>
      <c r="AI47">
        <v>1.58505952376058</v>
      </c>
      <c r="AJ47">
        <v>-1.29573634067218E-2</v>
      </c>
      <c r="AK47">
        <v>3.90449228289358</v>
      </c>
      <c r="AL47">
        <v>3.8097664103877098</v>
      </c>
      <c r="AM47">
        <v>3.9943664563134198</v>
      </c>
      <c r="AN47">
        <v>4.0766144303832403</v>
      </c>
      <c r="AO47">
        <v>1.3407469295359</v>
      </c>
      <c r="AP47">
        <v>13.824</v>
      </c>
      <c r="AQ47">
        <v>14.384</v>
      </c>
      <c r="AR47">
        <v>0.99198955432633795</v>
      </c>
      <c r="AS47">
        <v>0.99198955432633795</v>
      </c>
      <c r="AT47">
        <v>2.1000200000000002</v>
      </c>
      <c r="AU47">
        <v>215.86025565528001</v>
      </c>
      <c r="AV47">
        <v>4.9437792993177E-2</v>
      </c>
      <c r="AW47">
        <v>4.2569682770298198E-2</v>
      </c>
      <c r="AX47">
        <v>3.9111646390494199E-2</v>
      </c>
      <c r="AY47">
        <v>5.1514616880832802E-2</v>
      </c>
      <c r="AZ47">
        <v>4.6441463857471797E-2</v>
      </c>
    </row>
    <row r="48" spans="1:52" x14ac:dyDescent="0.2">
      <c r="A48" t="s">
        <v>93</v>
      </c>
      <c r="B48" t="s">
        <v>94</v>
      </c>
      <c r="C48">
        <f t="shared" ca="1" si="0"/>
        <v>1</v>
      </c>
      <c r="D48">
        <v>3</v>
      </c>
      <c r="E48">
        <f>AND(AX48&lt;$C$1,averaged_runs370!AQ48&lt;$C$1,averaged_runs126!AQ48&lt;$C$1)*1</f>
        <v>0</v>
      </c>
      <c r="F48" s="2">
        <f>IF(TRUE,SQRT(averaged_runs126!AQ48^2/2+averaged_runs370!AQ48^2/2+AX48^2*0),"")</f>
        <v>0.25696171044991234</v>
      </c>
      <c r="G48" s="2" t="str">
        <f>IF(E48,averaged_runs126!AQ48,"")</f>
        <v/>
      </c>
      <c r="H48" s="2" t="str">
        <f t="shared" si="3"/>
        <v/>
      </c>
      <c r="I48" s="2" t="str">
        <f>IF(E48,averaged_runs370!AQ48,"")</f>
        <v/>
      </c>
      <c r="J48" t="s">
        <v>45</v>
      </c>
      <c r="K48">
        <v>145.12</v>
      </c>
      <c r="L48">
        <v>189.34</v>
      </c>
      <c r="M48">
        <v>0.21010840949471701</v>
      </c>
      <c r="N48">
        <v>-2640.6642128834601</v>
      </c>
      <c r="O48">
        <v>-8.6133333331800497</v>
      </c>
      <c r="P48">
        <v>-12.3699999998212</v>
      </c>
      <c r="Q48">
        <v>-10.361465201297801</v>
      </c>
      <c r="R48">
        <v>-8.6133333331800497</v>
      </c>
      <c r="S48">
        <v>-12.3699999998212</v>
      </c>
      <c r="T48">
        <v>-8.6133333331800497</v>
      </c>
      <c r="U48">
        <v>-12.3699999998212</v>
      </c>
      <c r="V48">
        <v>11.908444635954799</v>
      </c>
      <c r="W48">
        <v>3.6932434211314299E-2</v>
      </c>
      <c r="X48">
        <v>5.5636025265697303E-2</v>
      </c>
      <c r="Y48">
        <v>0.32494030358029602</v>
      </c>
      <c r="Z48">
        <v>0.21010840949471701</v>
      </c>
      <c r="AA48">
        <v>-2564.1823884058199</v>
      </c>
      <c r="AB48">
        <v>-8.5833333331800006</v>
      </c>
      <c r="AC48">
        <v>-12.3333333331547</v>
      </c>
      <c r="AD48">
        <v>-11.0404761903071</v>
      </c>
      <c r="AE48">
        <v>-8.5833333331800006</v>
      </c>
      <c r="AF48">
        <v>-12.3333333331547</v>
      </c>
      <c r="AG48">
        <v>-8.5833333331800006</v>
      </c>
      <c r="AH48">
        <v>-12.3333333331547</v>
      </c>
      <c r="AI48">
        <v>11.0404761903071</v>
      </c>
      <c r="AJ48">
        <v>0.32494030358029602</v>
      </c>
      <c r="AK48" s="1">
        <v>9.5978709194815108E-9</v>
      </c>
      <c r="AL48" s="1">
        <v>4.3099557339736602E-17</v>
      </c>
      <c r="AM48">
        <v>1.5514595666450101E-2</v>
      </c>
      <c r="AN48" s="1">
        <v>4.0645015447646398E-6</v>
      </c>
      <c r="AO48">
        <v>-11.6935457143192</v>
      </c>
      <c r="AP48">
        <v>13.52</v>
      </c>
      <c r="AQ48">
        <v>14</v>
      </c>
      <c r="AR48" s="1">
        <v>5.0552103543043798E-25</v>
      </c>
      <c r="AS48" s="1">
        <v>1.26496006468499E-21</v>
      </c>
      <c r="AT48">
        <v>0.26573999999999998</v>
      </c>
      <c r="AU48">
        <v>-2701.2090600077399</v>
      </c>
      <c r="AV48">
        <v>0.16976705298384601</v>
      </c>
      <c r="AW48">
        <v>0.25233918969285901</v>
      </c>
      <c r="AX48">
        <v>0.29140537595313398</v>
      </c>
      <c r="AY48">
        <v>0.24900326503994</v>
      </c>
      <c r="AZ48">
        <v>0.28863239496714299</v>
      </c>
    </row>
    <row r="49" spans="1:52" x14ac:dyDescent="0.2">
      <c r="A49" t="s">
        <v>95</v>
      </c>
      <c r="B49" t="s">
        <v>94</v>
      </c>
      <c r="C49" t="str">
        <f t="shared" ca="1" si="0"/>
        <v/>
      </c>
      <c r="E49">
        <f>AND(AX49&lt;$C$1,averaged_runs370!AQ49&lt;$C$1,averaged_runs126!AQ49&lt;$C$1)*1</f>
        <v>0</v>
      </c>
      <c r="F49" s="2">
        <f>IF(TRUE,SQRT(averaged_runs126!AQ49^2/2+averaged_runs370!AQ49^2/2+AX49^2*0),"")</f>
        <v>0.14833456090129962</v>
      </c>
      <c r="G49" s="2" t="str">
        <f>IF(E49,averaged_runs126!AQ49,"")</f>
        <v/>
      </c>
      <c r="H49" s="2" t="str">
        <f t="shared" si="3"/>
        <v/>
      </c>
      <c r="I49" s="2" t="str">
        <f>IF(E49,averaged_runs370!AQ49,"")</f>
        <v/>
      </c>
      <c r="J49" t="s">
        <v>45</v>
      </c>
      <c r="K49">
        <v>164.72</v>
      </c>
      <c r="L49">
        <v>201.96</v>
      </c>
      <c r="M49">
        <v>-0.10083521392877801</v>
      </c>
      <c r="N49">
        <v>-653.51104628742996</v>
      </c>
      <c r="O49">
        <v>3.2683333334759301</v>
      </c>
      <c r="P49">
        <v>8.0400000001600809</v>
      </c>
      <c r="Q49">
        <v>6.8635256411787502</v>
      </c>
      <c r="R49">
        <v>3.2683333334759301</v>
      </c>
      <c r="S49">
        <v>8.0400000001600809</v>
      </c>
      <c r="T49">
        <v>3.2683333334759301</v>
      </c>
      <c r="U49">
        <v>8.0400000001600809</v>
      </c>
      <c r="V49">
        <v>8.8338124928093098</v>
      </c>
      <c r="W49">
        <v>3.0179698700512701E-2</v>
      </c>
      <c r="X49">
        <v>-7.1927674537189096E-2</v>
      </c>
      <c r="Y49">
        <v>-0.13187850712871299</v>
      </c>
      <c r="Z49">
        <v>-0.10083521392877801</v>
      </c>
      <c r="AA49">
        <v>-577.18214561840205</v>
      </c>
      <c r="AB49">
        <v>3.2983333334759801</v>
      </c>
      <c r="AC49">
        <v>8.0766666668265401</v>
      </c>
      <c r="AD49">
        <v>7.47226190490737</v>
      </c>
      <c r="AE49">
        <v>3.2983333334759801</v>
      </c>
      <c r="AF49">
        <v>8.0766666668265401</v>
      </c>
      <c r="AG49">
        <v>3.2983333334759801</v>
      </c>
      <c r="AH49">
        <v>8.0766666668265401</v>
      </c>
      <c r="AI49">
        <v>7.47226190490737</v>
      </c>
      <c r="AJ49">
        <v>-0.13187850712871299</v>
      </c>
      <c r="AK49">
        <v>1.00412657559385</v>
      </c>
      <c r="AL49">
        <v>2.0970081913479302E-3</v>
      </c>
      <c r="AM49">
        <v>3.2540737512154099</v>
      </c>
      <c r="AN49">
        <v>4.6078303130754401E-2</v>
      </c>
      <c r="AO49">
        <v>-4.1923324215635303</v>
      </c>
      <c r="AP49">
        <v>13.2</v>
      </c>
      <c r="AQ49">
        <v>13.22</v>
      </c>
      <c r="AR49" s="1">
        <v>7.3958093763593297E-5</v>
      </c>
      <c r="AS49">
        <v>1.2147024049257099E-4</v>
      </c>
      <c r="AT49">
        <v>1.4419599999999999</v>
      </c>
      <c r="AU49">
        <v>-968.42878938117599</v>
      </c>
      <c r="AV49">
        <v>9.4603719438553197E-2</v>
      </c>
      <c r="AW49">
        <v>0.112937470925218</v>
      </c>
      <c r="AX49">
        <v>0.117507627994789</v>
      </c>
      <c r="AY49">
        <v>0.10807281863365401</v>
      </c>
      <c r="AZ49">
        <v>0.113083473376445</v>
      </c>
    </row>
    <row r="50" spans="1:52" x14ac:dyDescent="0.2">
      <c r="A50" t="s">
        <v>96</v>
      </c>
      <c r="B50" t="s">
        <v>94</v>
      </c>
      <c r="C50" t="str">
        <f t="shared" ca="1" si="0"/>
        <v/>
      </c>
      <c r="E50">
        <f>AND(AX50&lt;$C$1,averaged_runs370!AQ50&lt;$C$1,averaged_runs126!AQ50&lt;$C$1)*1</f>
        <v>1</v>
      </c>
      <c r="F50" s="2">
        <f>IF(TRUE,SQRT(averaged_runs126!AQ50^2/2+averaged_runs370!AQ50^2/2+AX50^2*0),"")</f>
        <v>3.28027604909365E-2</v>
      </c>
      <c r="G50" s="2">
        <f>IF(E50,averaged_runs126!AQ50,"")</f>
        <v>3.5818757452349602E-2</v>
      </c>
      <c r="H50" s="2">
        <f t="shared" si="3"/>
        <v>3.2487978546580497E-2</v>
      </c>
      <c r="I50" s="2">
        <f>IF(E50,averaged_runs370!AQ50,"")</f>
        <v>2.9479803361305498E-2</v>
      </c>
      <c r="J50" t="s">
        <v>45</v>
      </c>
      <c r="K50">
        <v>3.9</v>
      </c>
      <c r="L50">
        <v>33.619999999999997</v>
      </c>
      <c r="M50">
        <v>2.3336187511502599E-2</v>
      </c>
      <c r="N50">
        <v>151.63766675568701</v>
      </c>
      <c r="O50">
        <v>-0.61166666652055401</v>
      </c>
      <c r="P50">
        <v>-0.62333333316535999</v>
      </c>
      <c r="Q50">
        <v>-1.1384035407364299</v>
      </c>
      <c r="R50">
        <v>-0.62666666652054104</v>
      </c>
      <c r="S50">
        <v>-0.65499999983199797</v>
      </c>
      <c r="T50">
        <v>-0.62666666652054104</v>
      </c>
      <c r="U50">
        <v>-0.59166666649872202</v>
      </c>
      <c r="V50">
        <v>2.0163716922099999</v>
      </c>
      <c r="W50">
        <v>4.3793770310341401E-2</v>
      </c>
      <c r="X50">
        <v>1.6948741737832802E-2</v>
      </c>
      <c r="Y50">
        <v>1.36023204414786E-2</v>
      </c>
      <c r="Z50">
        <v>2.3336187511502599E-2</v>
      </c>
      <c r="AA50">
        <v>90.166037638407602</v>
      </c>
      <c r="AB50">
        <v>-0.58166666652050902</v>
      </c>
      <c r="AC50">
        <v>-0.58666666649889898</v>
      </c>
      <c r="AD50">
        <v>-1.15517857126023</v>
      </c>
      <c r="AE50">
        <v>-0.59666666652049505</v>
      </c>
      <c r="AF50">
        <v>-0.61833333316553696</v>
      </c>
      <c r="AG50">
        <v>-0.59666666652049505</v>
      </c>
      <c r="AH50">
        <v>-0.554999999832261</v>
      </c>
      <c r="AI50">
        <v>1.6143055554407799</v>
      </c>
      <c r="AJ50">
        <v>1.36023204414786E-2</v>
      </c>
      <c r="AK50">
        <v>7.27742342801153</v>
      </c>
      <c r="AL50">
        <v>6.8285572079728398</v>
      </c>
      <c r="AM50">
        <v>9.7070942012476706</v>
      </c>
      <c r="AN50">
        <v>8.8076202487305206</v>
      </c>
      <c r="AO50">
        <v>1.6988630335824499</v>
      </c>
      <c r="AP50">
        <v>14.624000000000001</v>
      </c>
      <c r="AQ50">
        <v>15.224</v>
      </c>
      <c r="AR50">
        <v>9.5249643776152498E-2</v>
      </c>
      <c r="AS50">
        <v>0.19189777774467501</v>
      </c>
      <c r="AT50">
        <v>2.7452999999999999</v>
      </c>
      <c r="AU50">
        <v>392.437360757546</v>
      </c>
      <c r="AV50">
        <v>4.0297222391571803E-2</v>
      </c>
      <c r="AW50">
        <v>3.96194842945932E-2</v>
      </c>
      <c r="AX50">
        <v>3.2487978546580497E-2</v>
      </c>
      <c r="AY50">
        <v>5.1973505873465303E-2</v>
      </c>
      <c r="AZ50">
        <v>4.5660985140542301E-2</v>
      </c>
    </row>
    <row r="51" spans="1:52" x14ac:dyDescent="0.2">
      <c r="A51" t="s">
        <v>97</v>
      </c>
      <c r="B51" t="s">
        <v>98</v>
      </c>
      <c r="C51">
        <f t="shared" ca="1" si="0"/>
        <v>6</v>
      </c>
      <c r="D51">
        <v>8</v>
      </c>
      <c r="E51">
        <f>AND(AX51&lt;$C$1,averaged_runs370!AQ51&lt;$C$1,averaged_runs126!AQ51&lt;$C$1)*1</f>
        <v>1</v>
      </c>
      <c r="F51" s="2">
        <f>IF(TRUE,SQRT(averaged_runs126!AQ51^2/2+averaged_runs370!AQ51^2/2+AX51^2*0),"")</f>
        <v>5.103071511561931E-2</v>
      </c>
      <c r="G51" s="2">
        <f>IF(E51,averaged_runs126!AQ51,"")</f>
        <v>4.2146557206388199E-2</v>
      </c>
      <c r="H51" s="2">
        <f t="shared" si="3"/>
        <v>4.20701843222029E-2</v>
      </c>
      <c r="I51" s="2">
        <f>IF(E51,averaged_runs370!AQ51,"")</f>
        <v>5.8582723443619797E-2</v>
      </c>
      <c r="J51" t="s">
        <v>45</v>
      </c>
      <c r="K51">
        <v>3.7</v>
      </c>
      <c r="L51">
        <v>19.739999999999998</v>
      </c>
      <c r="M51">
        <v>1.35403253361447E-2</v>
      </c>
      <c r="N51">
        <v>145.85853775025299</v>
      </c>
      <c r="O51">
        <v>-1.4216666665197999</v>
      </c>
      <c r="P51">
        <v>1.2316666668329299</v>
      </c>
      <c r="Q51">
        <v>-0.44692765551050101</v>
      </c>
      <c r="R51">
        <v>-1.4216666665197999</v>
      </c>
      <c r="S51">
        <v>1.2316666668329299</v>
      </c>
      <c r="T51">
        <v>-1.4216666665197999</v>
      </c>
      <c r="U51">
        <v>1.2316666668329299</v>
      </c>
      <c r="V51">
        <v>2.53389553894019</v>
      </c>
      <c r="W51">
        <v>5.3594920005788603E-2</v>
      </c>
      <c r="X51">
        <v>2.13974794963828E-2</v>
      </c>
      <c r="Y51">
        <v>-1.29141977927588E-2</v>
      </c>
      <c r="Z51">
        <v>1.35403253361447E-2</v>
      </c>
      <c r="AA51">
        <v>139.42502349689701</v>
      </c>
      <c r="AB51">
        <v>-1.3916666665197499</v>
      </c>
      <c r="AC51">
        <v>1.26833333349939</v>
      </c>
      <c r="AD51">
        <v>-0.48398809506983698</v>
      </c>
      <c r="AE51">
        <v>-1.3916666665197499</v>
      </c>
      <c r="AF51">
        <v>1.26833333349939</v>
      </c>
      <c r="AG51">
        <v>-1.3916666665197499</v>
      </c>
      <c r="AH51">
        <v>1.26833333349939</v>
      </c>
      <c r="AI51">
        <v>1.5654166666054099</v>
      </c>
      <c r="AJ51">
        <v>-1.29141977927588E-2</v>
      </c>
      <c r="AK51">
        <v>5.9719904131125698</v>
      </c>
      <c r="AL51">
        <v>6.2592060130340403</v>
      </c>
      <c r="AM51">
        <v>6.5833180391465502</v>
      </c>
      <c r="AN51">
        <v>6.0818844977026103</v>
      </c>
      <c r="AO51">
        <v>1.4115134940123399</v>
      </c>
      <c r="AP51">
        <v>13.6</v>
      </c>
      <c r="AQ51">
        <v>14.04</v>
      </c>
      <c r="AR51">
        <v>0.32650784353892398</v>
      </c>
      <c r="AS51">
        <v>0.48393327942261399</v>
      </c>
      <c r="AT51">
        <v>1.65018</v>
      </c>
      <c r="AU51">
        <v>199.02340265574099</v>
      </c>
      <c r="AV51">
        <v>5.88967833303842E-2</v>
      </c>
      <c r="AW51">
        <v>4.9679418559389898E-2</v>
      </c>
      <c r="AX51">
        <v>4.20701843222029E-2</v>
      </c>
      <c r="AY51">
        <v>5.3591482053431699E-2</v>
      </c>
      <c r="AZ51">
        <v>4.1871450734017698E-2</v>
      </c>
    </row>
    <row r="52" spans="1:52" x14ac:dyDescent="0.2">
      <c r="A52" t="s">
        <v>99</v>
      </c>
      <c r="B52" t="s">
        <v>98</v>
      </c>
      <c r="C52" t="str">
        <f t="shared" ca="1" si="0"/>
        <v/>
      </c>
      <c r="E52">
        <f>AND(AX52&lt;$C$1,averaged_runs370!AQ52&lt;$C$1,averaged_runs126!AQ52&lt;$C$1)*1</f>
        <v>0</v>
      </c>
      <c r="F52" s="2">
        <f>IF(TRUE,SQRT(averaged_runs126!AQ52^2/2+averaged_runs370!AQ52^2/2+AX52^2*0),"")</f>
        <v>5.7500394165629944E-2</v>
      </c>
      <c r="G52" s="2" t="str">
        <f>IF(E52,averaged_runs126!AQ52,"")</f>
        <v/>
      </c>
      <c r="H52" s="2" t="str">
        <f t="shared" si="3"/>
        <v/>
      </c>
      <c r="I52" s="2" t="str">
        <f>IF(E52,averaged_runs370!AQ52,"")</f>
        <v/>
      </c>
      <c r="J52" t="s">
        <v>45</v>
      </c>
      <c r="K52">
        <v>5.86</v>
      </c>
      <c r="L52">
        <v>28.42</v>
      </c>
      <c r="M52">
        <v>6.7169722142480402E-3</v>
      </c>
      <c r="N52">
        <v>158.301215575687</v>
      </c>
      <c r="O52">
        <v>-0.481666666520641</v>
      </c>
      <c r="P52">
        <v>1.2600000001662399</v>
      </c>
      <c r="Q52">
        <v>-1.2976190309842499E-2</v>
      </c>
      <c r="R52">
        <v>-0.481666666520641</v>
      </c>
      <c r="S52">
        <v>1.2600000001662399</v>
      </c>
      <c r="T52">
        <v>-0.481666666520641</v>
      </c>
      <c r="U52">
        <v>1.2600000001662399</v>
      </c>
      <c r="V52">
        <v>2.0545105723049701</v>
      </c>
      <c r="W52">
        <v>4.6228321241820601E-2</v>
      </c>
      <c r="X52">
        <v>2.51647356161698E-2</v>
      </c>
      <c r="Y52">
        <v>-6.1427582603819798E-3</v>
      </c>
      <c r="Z52">
        <v>6.7169722142480497E-3</v>
      </c>
      <c r="AA52">
        <v>148.87932700127399</v>
      </c>
      <c r="AB52">
        <v>-0.45166666652059501</v>
      </c>
      <c r="AC52">
        <v>1.2966666668327</v>
      </c>
      <c r="AD52">
        <v>-0.13761904745166101</v>
      </c>
      <c r="AE52">
        <v>-0.45166666652059501</v>
      </c>
      <c r="AF52">
        <v>1.2966666668327</v>
      </c>
      <c r="AG52">
        <v>-0.45166666652059501</v>
      </c>
      <c r="AH52">
        <v>1.2966666668327</v>
      </c>
      <c r="AI52">
        <v>1.3728571428096099</v>
      </c>
      <c r="AJ52">
        <v>-6.1427582603819798E-3</v>
      </c>
      <c r="AK52">
        <v>6.9604658778189599</v>
      </c>
      <c r="AL52">
        <v>6.5264797797119503</v>
      </c>
      <c r="AM52">
        <v>7.3681583796133197</v>
      </c>
      <c r="AN52">
        <v>6.3092263859796702</v>
      </c>
      <c r="AO52">
        <v>1.3824896690625501</v>
      </c>
      <c r="AP52">
        <v>13.56</v>
      </c>
      <c r="AQ52">
        <v>14</v>
      </c>
      <c r="AR52">
        <v>0.14507372148202599</v>
      </c>
      <c r="AS52">
        <v>0.27396182336614999</v>
      </c>
      <c r="AT52">
        <v>1.2466200000000001</v>
      </c>
      <c r="AU52">
        <v>194.93104333781901</v>
      </c>
      <c r="AV52">
        <v>5.5142080488751903E-2</v>
      </c>
      <c r="AW52">
        <v>4.07882437365868E-2</v>
      </c>
      <c r="AX52">
        <v>3.7966457700896399E-2</v>
      </c>
      <c r="AY52">
        <v>4.4772970910723298E-2</v>
      </c>
      <c r="AZ52">
        <v>3.7529069881915102E-2</v>
      </c>
    </row>
    <row r="53" spans="1:52" x14ac:dyDescent="0.2">
      <c r="A53" t="s">
        <v>100</v>
      </c>
      <c r="B53" t="s">
        <v>98</v>
      </c>
      <c r="C53" t="str">
        <f t="shared" ca="1" si="0"/>
        <v/>
      </c>
      <c r="E53">
        <f>AND(AX53&lt;$C$1,averaged_runs370!AQ53&lt;$C$1,averaged_runs126!AQ53&lt;$C$1)*1</f>
        <v>1</v>
      </c>
      <c r="F53" s="2">
        <f>IF(TRUE,SQRT(averaged_runs126!AQ53^2/2+averaged_runs370!AQ53^2/2+AX53^2*0),"")</f>
        <v>5.1600331808508447E-2</v>
      </c>
      <c r="G53" s="2">
        <f>IF(E53,averaged_runs126!AQ53,"")</f>
        <v>4.22356300687175E-2</v>
      </c>
      <c r="H53" s="2">
        <f t="shared" si="3"/>
        <v>4.2936636835541497E-2</v>
      </c>
      <c r="I53" s="2">
        <f>IF(E53,averaged_runs370!AQ53,"")</f>
        <v>5.9509159279851898E-2</v>
      </c>
      <c r="J53" t="s">
        <v>45</v>
      </c>
      <c r="K53">
        <v>3.94</v>
      </c>
      <c r="L53">
        <v>21.24</v>
      </c>
      <c r="M53">
        <v>1.5275450986151301E-2</v>
      </c>
      <c r="N53">
        <v>142.79448070945401</v>
      </c>
      <c r="O53">
        <v>-1.55916666651967</v>
      </c>
      <c r="P53">
        <v>1.2483333334995801</v>
      </c>
      <c r="Q53">
        <v>-0.53429487162758005</v>
      </c>
      <c r="R53">
        <v>-1.57333333318632</v>
      </c>
      <c r="S53">
        <v>1.2483333334995801</v>
      </c>
      <c r="T53">
        <v>-1.57333333318632</v>
      </c>
      <c r="U53">
        <v>1.2483333334995801</v>
      </c>
      <c r="V53">
        <v>2.6593483575937502</v>
      </c>
      <c r="W53">
        <v>5.5724933890835701E-2</v>
      </c>
      <c r="X53">
        <v>2.34919054692144E-2</v>
      </c>
      <c r="Y53">
        <v>-1.4654988016016E-2</v>
      </c>
      <c r="Z53">
        <v>1.5275450986151301E-2</v>
      </c>
      <c r="AA53">
        <v>136.285449934697</v>
      </c>
      <c r="AB53">
        <v>-1.52916666651963</v>
      </c>
      <c r="AC53">
        <v>1.28500000016604</v>
      </c>
      <c r="AD53">
        <v>-0.609583333165024</v>
      </c>
      <c r="AE53">
        <v>-1.54333333318628</v>
      </c>
      <c r="AF53">
        <v>1.28500000016604</v>
      </c>
      <c r="AG53">
        <v>-1.54333333318628</v>
      </c>
      <c r="AH53">
        <v>1.28500000016604</v>
      </c>
      <c r="AI53">
        <v>1.56244047612906</v>
      </c>
      <c r="AJ53">
        <v>-1.4654988016016E-2</v>
      </c>
      <c r="AK53">
        <v>5.8599273548432</v>
      </c>
      <c r="AL53">
        <v>6.20163825919236</v>
      </c>
      <c r="AM53">
        <v>6.4787317669860398</v>
      </c>
      <c r="AN53">
        <v>6.0404482306342802</v>
      </c>
      <c r="AO53">
        <v>1.3632926727019099</v>
      </c>
      <c r="AP53">
        <v>13.683999999999999</v>
      </c>
      <c r="AQ53">
        <v>14.124000000000001</v>
      </c>
      <c r="AR53">
        <v>0.35389841029353702</v>
      </c>
      <c r="AS53">
        <v>0.48364217983913899</v>
      </c>
      <c r="AT53">
        <v>1.79009999999999</v>
      </c>
      <c r="AU53">
        <v>192.224266850969</v>
      </c>
      <c r="AV53">
        <v>6.2603731230557E-2</v>
      </c>
      <c r="AW53">
        <v>5.1961789440951998E-2</v>
      </c>
      <c r="AX53">
        <v>4.2936636835541497E-2</v>
      </c>
      <c r="AY53">
        <v>5.5786270584575401E-2</v>
      </c>
      <c r="AZ53">
        <v>4.2749591505856901E-2</v>
      </c>
    </row>
    <row r="54" spans="1:52" x14ac:dyDescent="0.2">
      <c r="A54" t="s">
        <v>101</v>
      </c>
      <c r="B54" t="s">
        <v>98</v>
      </c>
      <c r="C54" t="str">
        <f t="shared" ca="1" si="0"/>
        <v/>
      </c>
      <c r="E54">
        <f>AND(AX54&lt;$C$1,averaged_runs370!AQ54&lt;$C$1,averaged_runs126!AQ54&lt;$C$1)*1</f>
        <v>1</v>
      </c>
      <c r="F54" s="2">
        <f>IF(TRUE,SQRT(averaged_runs126!AQ54^2/2+averaged_runs370!AQ54^2/2+AX54^2*0),"")</f>
        <v>5.0974573901916433E-2</v>
      </c>
      <c r="G54" s="2">
        <f>IF(E54,averaged_runs126!AQ54,"")</f>
        <v>4.2665330341359699E-2</v>
      </c>
      <c r="H54" s="2">
        <f t="shared" si="3"/>
        <v>4.1909582875019002E-2</v>
      </c>
      <c r="I54" s="2">
        <f>IF(E54,averaged_runs370!AQ54,"")</f>
        <v>5.8107520647731399E-2</v>
      </c>
      <c r="J54" t="s">
        <v>45</v>
      </c>
      <c r="K54">
        <v>3.28</v>
      </c>
      <c r="L54">
        <v>18.12</v>
      </c>
      <c r="M54">
        <v>1.25288929849203E-2</v>
      </c>
      <c r="N54">
        <v>147.749366087916</v>
      </c>
      <c r="O54">
        <v>-1.42499999985311</v>
      </c>
      <c r="P54">
        <v>1.13333333349972</v>
      </c>
      <c r="Q54">
        <v>-0.38293040276332602</v>
      </c>
      <c r="R54">
        <v>-1.42499999985311</v>
      </c>
      <c r="S54">
        <v>1.13333333349972</v>
      </c>
      <c r="T54">
        <v>-1.42499999985311</v>
      </c>
      <c r="U54">
        <v>1.13333333349972</v>
      </c>
      <c r="V54">
        <v>2.4222016154743899</v>
      </c>
      <c r="W54">
        <v>5.2712716634023202E-2</v>
      </c>
      <c r="X54">
        <v>1.8848572002622299E-2</v>
      </c>
      <c r="Y54">
        <v>-1.1883088787046E-2</v>
      </c>
      <c r="Z54">
        <v>1.25288929849204E-2</v>
      </c>
      <c r="AA54">
        <v>141.19112164453401</v>
      </c>
      <c r="AB54">
        <v>-1.39499999985307</v>
      </c>
      <c r="AC54">
        <v>1.1700000001661801</v>
      </c>
      <c r="AD54">
        <v>-0.42898809506992802</v>
      </c>
      <c r="AE54">
        <v>-1.39499999985307</v>
      </c>
      <c r="AF54">
        <v>1.1700000001661801</v>
      </c>
      <c r="AG54">
        <v>-1.39499999985307</v>
      </c>
      <c r="AH54">
        <v>1.1700000001661801</v>
      </c>
      <c r="AI54">
        <v>1.53089285708165</v>
      </c>
      <c r="AJ54">
        <v>-1.1883088787046E-2</v>
      </c>
      <c r="AK54">
        <v>5.9837778547062399</v>
      </c>
      <c r="AL54">
        <v>6.3368268443594102</v>
      </c>
      <c r="AM54">
        <v>6.5911075039270299</v>
      </c>
      <c r="AN54">
        <v>6.1468827920086397</v>
      </c>
      <c r="AO54">
        <v>1.4607437640651899</v>
      </c>
      <c r="AP54">
        <v>13.6</v>
      </c>
      <c r="AQ54">
        <v>14.04</v>
      </c>
      <c r="AR54">
        <v>0.34341756238232601</v>
      </c>
      <c r="AS54">
        <v>0.48124951174984099</v>
      </c>
      <c r="AT54">
        <v>1.5689</v>
      </c>
      <c r="AU54">
        <v>205.96487073319199</v>
      </c>
      <c r="AV54">
        <v>5.6031187928273399E-2</v>
      </c>
      <c r="AW54">
        <v>4.81229760232465E-2</v>
      </c>
      <c r="AX54">
        <v>4.1909582875019002E-2</v>
      </c>
      <c r="AY54">
        <v>5.21812416541306E-2</v>
      </c>
      <c r="AZ54">
        <v>4.1693751269830798E-2</v>
      </c>
    </row>
    <row r="55" spans="1:52" x14ac:dyDescent="0.2">
      <c r="A55" t="s">
        <v>102</v>
      </c>
      <c r="B55" t="s">
        <v>98</v>
      </c>
      <c r="C55" t="str">
        <f t="shared" ca="1" si="0"/>
        <v/>
      </c>
      <c r="E55">
        <f>AND(AX55&lt;$C$1,averaged_runs370!AQ55&lt;$C$1,averaged_runs126!AQ55&lt;$C$1)*1</f>
        <v>1</v>
      </c>
      <c r="F55" s="2">
        <f>IF(TRUE,SQRT(averaged_runs126!AQ55^2/2+averaged_runs370!AQ55^2/2+AX55^2*0),"")</f>
        <v>5.0501067024690989E-2</v>
      </c>
      <c r="G55" s="2">
        <f>IF(E55,averaged_runs126!AQ55,"")</f>
        <v>4.0139026945382301E-2</v>
      </c>
      <c r="H55" s="2">
        <f t="shared" si="3"/>
        <v>4.3222287885041802E-2</v>
      </c>
      <c r="I55" s="2">
        <f>IF(E55,averaged_runs370!AQ55,"")</f>
        <v>5.9072616813059302E-2</v>
      </c>
      <c r="J55" t="s">
        <v>45</v>
      </c>
      <c r="K55">
        <v>3.54</v>
      </c>
      <c r="L55">
        <v>14.6</v>
      </c>
      <c r="M55">
        <v>-6.3488716459399598E-4</v>
      </c>
      <c r="N55">
        <v>144.62703982628599</v>
      </c>
      <c r="O55">
        <v>-0.61833333318718298</v>
      </c>
      <c r="P55">
        <v>2.4083333334985402</v>
      </c>
      <c r="Q55">
        <v>0.43052197818899302</v>
      </c>
      <c r="R55">
        <v>-0.61833333318718298</v>
      </c>
      <c r="S55">
        <v>2.4083333334985402</v>
      </c>
      <c r="T55">
        <v>-0.61833333318718298</v>
      </c>
      <c r="U55">
        <v>2.4083333334985402</v>
      </c>
      <c r="V55">
        <v>2.6995874301759901</v>
      </c>
      <c r="W55">
        <v>5.3132418392245702E-2</v>
      </c>
      <c r="X55">
        <v>1.2998809763095701E-3</v>
      </c>
      <c r="Y55">
        <v>-3.3425498641685203E-2</v>
      </c>
      <c r="Z55">
        <v>-6.3488716459399197E-4</v>
      </c>
      <c r="AA55">
        <v>128.83269304467001</v>
      </c>
      <c r="AB55">
        <v>-0.58833333318713799</v>
      </c>
      <c r="AC55">
        <v>2.4450000001649999</v>
      </c>
      <c r="AD55">
        <v>0.45345238112007402</v>
      </c>
      <c r="AE55">
        <v>-0.58833333318713799</v>
      </c>
      <c r="AF55">
        <v>2.4450000001649999</v>
      </c>
      <c r="AG55">
        <v>-0.58833333318713799</v>
      </c>
      <c r="AH55">
        <v>2.4450000001649999</v>
      </c>
      <c r="AI55">
        <v>1.58940476191702</v>
      </c>
      <c r="AJ55">
        <v>-3.3425498641685203E-2</v>
      </c>
      <c r="AK55">
        <v>6.1961956494696597</v>
      </c>
      <c r="AL55">
        <v>5.7377208149111096</v>
      </c>
      <c r="AM55">
        <v>6.7793590679659497</v>
      </c>
      <c r="AN55">
        <v>5.5669519189067902</v>
      </c>
      <c r="AO55">
        <v>1.3555031254369401</v>
      </c>
      <c r="AP55">
        <v>13.68</v>
      </c>
      <c r="AQ55">
        <v>14.1</v>
      </c>
      <c r="AR55">
        <v>7.6518987826434501E-2</v>
      </c>
      <c r="AS55">
        <v>0.35642138575801602</v>
      </c>
      <c r="AT55">
        <v>2.67091999999999</v>
      </c>
      <c r="AU55">
        <v>191.125940686609</v>
      </c>
      <c r="AV55">
        <v>6.1407341944934003E-2</v>
      </c>
      <c r="AW55">
        <v>5.0075437258283201E-2</v>
      </c>
      <c r="AX55">
        <v>4.3222287885041802E-2</v>
      </c>
      <c r="AY55">
        <v>5.8023050455997399E-2</v>
      </c>
      <c r="AZ55">
        <v>4.8008471094720499E-2</v>
      </c>
    </row>
    <row r="56" spans="1:52" x14ac:dyDescent="0.2">
      <c r="A56" t="s">
        <v>103</v>
      </c>
      <c r="B56" t="s">
        <v>98</v>
      </c>
      <c r="C56" t="str">
        <f t="shared" ca="1" si="0"/>
        <v/>
      </c>
      <c r="E56">
        <f>AND(AX56&lt;$C$1,averaged_runs370!AQ56&lt;$C$1,averaged_runs126!AQ56&lt;$C$1)*1</f>
        <v>0</v>
      </c>
      <c r="F56" s="2">
        <f>IF(TRUE,SQRT(averaged_runs126!AQ56^2/2+averaged_runs370!AQ56^2/2+AX56^2*0),"")</f>
        <v>5.6566884830693713E-2</v>
      </c>
      <c r="G56" s="2" t="str">
        <f>IF(E56,averaged_runs126!AQ56,"")</f>
        <v/>
      </c>
      <c r="H56" s="2" t="str">
        <f t="shared" si="3"/>
        <v/>
      </c>
      <c r="I56" s="2" t="str">
        <f>IF(E56,averaged_runs370!AQ56,"")</f>
        <v/>
      </c>
      <c r="J56" t="s">
        <v>45</v>
      </c>
      <c r="K56">
        <v>14.06</v>
      </c>
      <c r="L56">
        <v>26.04</v>
      </c>
      <c r="M56">
        <v>6.9656716239645099E-3</v>
      </c>
      <c r="N56">
        <v>165.01167085294901</v>
      </c>
      <c r="O56">
        <v>-0.73833333318710104</v>
      </c>
      <c r="P56">
        <v>1.3133333334995401</v>
      </c>
      <c r="Q56">
        <v>-0.29573260056592998</v>
      </c>
      <c r="R56">
        <v>-0.73833333318710104</v>
      </c>
      <c r="S56">
        <v>1.3133333334995401</v>
      </c>
      <c r="T56">
        <v>-0.73833333318710104</v>
      </c>
      <c r="U56">
        <v>1.3133333334995401</v>
      </c>
      <c r="V56">
        <v>2.1240126796251202</v>
      </c>
      <c r="W56">
        <v>4.4954424487843397E-2</v>
      </c>
      <c r="X56">
        <v>2.5596551520279499E-2</v>
      </c>
      <c r="Y56">
        <v>-7.3741591194549302E-3</v>
      </c>
      <c r="Z56">
        <v>6.9656716239645299E-3</v>
      </c>
      <c r="AA56">
        <v>147.681606687878</v>
      </c>
      <c r="AB56">
        <v>-0.70833333318705605</v>
      </c>
      <c r="AC56">
        <v>1.35000000016601</v>
      </c>
      <c r="AD56">
        <v>-0.39214285697511703</v>
      </c>
      <c r="AE56">
        <v>-0.70833333318705605</v>
      </c>
      <c r="AF56">
        <v>1.35000000016601</v>
      </c>
      <c r="AG56">
        <v>-0.70833333318705605</v>
      </c>
      <c r="AH56">
        <v>1.35000000016601</v>
      </c>
      <c r="AI56">
        <v>1.5509523809180401</v>
      </c>
      <c r="AJ56">
        <v>-7.3741591194549302E-3</v>
      </c>
      <c r="AK56">
        <v>6.61104094664943</v>
      </c>
      <c r="AL56">
        <v>6.44774093559991</v>
      </c>
      <c r="AM56">
        <v>7.25628950058214</v>
      </c>
      <c r="AN56">
        <v>6.5223657191439504</v>
      </c>
      <c r="AO56">
        <v>0.94003945680270995</v>
      </c>
      <c r="AP56">
        <v>13.56</v>
      </c>
      <c r="AQ56">
        <v>14</v>
      </c>
      <c r="AR56">
        <v>7.3607378075260702E-2</v>
      </c>
      <c r="AS56">
        <v>9.9903963317193201E-2</v>
      </c>
      <c r="AT56">
        <v>1.3353999999999999</v>
      </c>
      <c r="AU56">
        <v>132.54556340918199</v>
      </c>
      <c r="AV56">
        <v>5.85483644759189E-2</v>
      </c>
      <c r="AW56">
        <v>3.8002761053514897E-2</v>
      </c>
      <c r="AX56">
        <v>3.42975320758011E-2</v>
      </c>
      <c r="AY56">
        <v>4.7352964218024297E-2</v>
      </c>
      <c r="AZ56">
        <v>3.9992128615711199E-2</v>
      </c>
    </row>
    <row r="57" spans="1:52" x14ac:dyDescent="0.2">
      <c r="A57" t="s">
        <v>104</v>
      </c>
      <c r="B57" t="s">
        <v>98</v>
      </c>
      <c r="C57" t="str">
        <f t="shared" ca="1" si="0"/>
        <v/>
      </c>
      <c r="E57">
        <f>AND(AX57&lt;$C$1,averaged_runs370!AQ57&lt;$C$1,averaged_runs126!AQ57&lt;$C$1)*1</f>
        <v>1</v>
      </c>
      <c r="F57" s="2">
        <f>IF(TRUE,SQRT(averaged_runs126!AQ57^2/2+averaged_runs370!AQ57^2/2+AX57^2*0),"")</f>
        <v>4.9251983739004905E-2</v>
      </c>
      <c r="G57" s="2">
        <f>IF(E57,averaged_runs126!AQ57,"")</f>
        <v>3.9585073275757901E-2</v>
      </c>
      <c r="H57" s="2">
        <f t="shared" si="3"/>
        <v>3.9952145868938901E-2</v>
      </c>
      <c r="I57" s="2">
        <f>IF(E57,averaged_runs370!AQ57,"")</f>
        <v>5.7310887082711301E-2</v>
      </c>
      <c r="J57" t="s">
        <v>45</v>
      </c>
      <c r="K57">
        <v>1.48</v>
      </c>
      <c r="L57">
        <v>11.08</v>
      </c>
      <c r="M57">
        <v>1.6604808866081101E-2</v>
      </c>
      <c r="N57">
        <v>146.50634279495301</v>
      </c>
      <c r="O57">
        <v>-1.82666666651943</v>
      </c>
      <c r="P57">
        <v>1.3416666668328701</v>
      </c>
      <c r="Q57">
        <v>-0.72185439543684204</v>
      </c>
      <c r="R57">
        <v>-1.82666666651943</v>
      </c>
      <c r="S57">
        <v>1.3416666668328701</v>
      </c>
      <c r="T57">
        <v>-1.82666666651943</v>
      </c>
      <c r="U57">
        <v>1.3416666668328701</v>
      </c>
      <c r="V57">
        <v>2.8184285425528199</v>
      </c>
      <c r="W57">
        <v>5.45837983725459E-2</v>
      </c>
      <c r="X57">
        <v>2.11556102828106E-2</v>
      </c>
      <c r="Y57">
        <v>-1.63754881207222E-2</v>
      </c>
      <c r="Z57">
        <v>1.6604808866081198E-2</v>
      </c>
      <c r="AA57">
        <v>130.17482948504599</v>
      </c>
      <c r="AB57">
        <v>-1.79666666651938</v>
      </c>
      <c r="AC57">
        <v>1.37833333349933</v>
      </c>
      <c r="AD57">
        <v>-0.79738095221242</v>
      </c>
      <c r="AE57">
        <v>-1.79666666651938</v>
      </c>
      <c r="AF57">
        <v>1.37833333349933</v>
      </c>
      <c r="AG57">
        <v>-1.79666666651938</v>
      </c>
      <c r="AH57">
        <v>1.37833333349933</v>
      </c>
      <c r="AI57">
        <v>1.6692857142241699</v>
      </c>
      <c r="AJ57">
        <v>-1.63754881207222E-2</v>
      </c>
      <c r="AK57">
        <v>5.6134622999849899</v>
      </c>
      <c r="AL57">
        <v>6.0808592117056897</v>
      </c>
      <c r="AM57">
        <v>6.3041478891349696</v>
      </c>
      <c r="AN57">
        <v>6.2234093186453796</v>
      </c>
      <c r="AO57">
        <v>1.4852904911261</v>
      </c>
      <c r="AP57">
        <v>13.66</v>
      </c>
      <c r="AQ57">
        <v>14.1</v>
      </c>
      <c r="AR57">
        <v>0.56696191084810599</v>
      </c>
      <c r="AS57">
        <v>0.63954627978370404</v>
      </c>
      <c r="AT57">
        <v>1.83036</v>
      </c>
      <c r="AU57">
        <v>209.42595924878</v>
      </c>
      <c r="AV57">
        <v>5.6166254573185498E-2</v>
      </c>
      <c r="AW57">
        <v>5.14577615073573E-2</v>
      </c>
      <c r="AX57">
        <v>3.9952145868938901E-2</v>
      </c>
      <c r="AY57">
        <v>5.9299107158139498E-2</v>
      </c>
      <c r="AZ57">
        <v>4.5109145477994203E-2</v>
      </c>
    </row>
    <row r="58" spans="1:52" x14ac:dyDescent="0.2">
      <c r="A58" t="s">
        <v>105</v>
      </c>
      <c r="B58" t="s">
        <v>98</v>
      </c>
      <c r="C58" t="str">
        <f t="shared" ca="1" si="0"/>
        <v/>
      </c>
      <c r="E58">
        <f>AND(AX58&lt;$C$1,averaged_runs370!AQ58&lt;$C$1,averaged_runs126!AQ58&lt;$C$1)*1</f>
        <v>1</v>
      </c>
      <c r="F58" s="2">
        <f>IF(TRUE,SQRT(averaged_runs126!AQ58^2/2+averaged_runs370!AQ58^2/2+AX58^2*0),"")</f>
        <v>4.9636514550868156E-2</v>
      </c>
      <c r="G58" s="2">
        <f>IF(E58,averaged_runs126!AQ58,"")</f>
        <v>4.0070094459657597E-2</v>
      </c>
      <c r="H58" s="2">
        <f t="shared" si="3"/>
        <v>3.86943130778745E-2</v>
      </c>
      <c r="I58" s="2">
        <f>IF(E58,averaged_runs370!AQ58,"")</f>
        <v>5.7636400681437501E-2</v>
      </c>
      <c r="J58" t="s">
        <v>45</v>
      </c>
      <c r="K58">
        <v>3.1</v>
      </c>
      <c r="L58">
        <v>13.66</v>
      </c>
      <c r="M58">
        <v>1.51595054293401E-2</v>
      </c>
      <c r="N58">
        <v>147.785941657156</v>
      </c>
      <c r="O58">
        <v>-1.4849999998530701</v>
      </c>
      <c r="P58">
        <v>1.3133333334995601</v>
      </c>
      <c r="Q58">
        <v>-0.58537545770803801</v>
      </c>
      <c r="R58">
        <v>-1.4849999998530701</v>
      </c>
      <c r="S58">
        <v>1.3133333334995601</v>
      </c>
      <c r="T58">
        <v>-1.4849999998530701</v>
      </c>
      <c r="U58">
        <v>1.3133333334995601</v>
      </c>
      <c r="V58">
        <v>2.7585886191645499</v>
      </c>
      <c r="W58">
        <v>5.1708211541839001E-2</v>
      </c>
      <c r="X58">
        <v>1.5603146702987699E-2</v>
      </c>
      <c r="Y58">
        <v>-1.53921159628716E-2</v>
      </c>
      <c r="Z58">
        <v>1.5159505429340201E-2</v>
      </c>
      <c r="AA58">
        <v>130.526658360695</v>
      </c>
      <c r="AB58">
        <v>-1.4549999998530201</v>
      </c>
      <c r="AC58">
        <v>1.35000000016602</v>
      </c>
      <c r="AD58">
        <v>-0.60315476173622795</v>
      </c>
      <c r="AE58">
        <v>-1.4549999998530201</v>
      </c>
      <c r="AF58">
        <v>1.35000000016602</v>
      </c>
      <c r="AG58">
        <v>-1.4549999998530201</v>
      </c>
      <c r="AH58">
        <v>1.35000000016602</v>
      </c>
      <c r="AI58">
        <v>1.68863095233289</v>
      </c>
      <c r="AJ58">
        <v>-1.53921159628716E-2</v>
      </c>
      <c r="AK58">
        <v>5.9021550147938102</v>
      </c>
      <c r="AL58">
        <v>6.1416128022544303</v>
      </c>
      <c r="AM58">
        <v>6.4905474013329103</v>
      </c>
      <c r="AN58">
        <v>6.30495266059941</v>
      </c>
      <c r="AO58">
        <v>1.4345620218361499</v>
      </c>
      <c r="AP58">
        <v>13.74</v>
      </c>
      <c r="AQ58">
        <v>14.18</v>
      </c>
      <c r="AR58">
        <v>0.24167439664440299</v>
      </c>
      <c r="AS58">
        <v>0.40974272241656301</v>
      </c>
      <c r="AT58">
        <v>1.7650600000000001</v>
      </c>
      <c r="AU58">
        <v>202.27324507889699</v>
      </c>
      <c r="AV58">
        <v>5.6344279087737301E-2</v>
      </c>
      <c r="AW58">
        <v>5.0718883518001197E-2</v>
      </c>
      <c r="AX58">
        <v>3.86943130778745E-2</v>
      </c>
      <c r="AY58">
        <v>5.8637853507075698E-2</v>
      </c>
      <c r="AZ58">
        <v>4.3959419726088599E-2</v>
      </c>
    </row>
    <row r="59" spans="1:52" x14ac:dyDescent="0.2">
      <c r="A59" t="s">
        <v>106</v>
      </c>
      <c r="B59" t="s">
        <v>107</v>
      </c>
      <c r="C59">
        <f t="shared" ca="1" si="0"/>
        <v>2</v>
      </c>
      <c r="D59">
        <v>3</v>
      </c>
      <c r="E59">
        <f>AND(AX59&lt;$C$1,averaged_runs370!AQ59&lt;$C$1,averaged_runs126!AQ59&lt;$C$1)*1</f>
        <v>0</v>
      </c>
      <c r="F59" s="2">
        <f>IF(TRUE,SQRT(averaged_runs126!AQ59^2/2+averaged_runs370!AQ59^2/2+AX59^2*0),"")</f>
        <v>8.5754719464545437E-2</v>
      </c>
      <c r="G59" s="2" t="str">
        <f>IF(E59,averaged_runs126!AQ59,"")</f>
        <v/>
      </c>
      <c r="H59" s="2" t="str">
        <f t="shared" si="3"/>
        <v/>
      </c>
      <c r="I59" s="2" t="str">
        <f>IF(E59,averaged_runs370!AQ59,"")</f>
        <v/>
      </c>
      <c r="J59" t="s">
        <v>45</v>
      </c>
      <c r="K59">
        <v>0</v>
      </c>
      <c r="L59">
        <v>1.92</v>
      </c>
      <c r="M59">
        <v>8.7510165726200795E-2</v>
      </c>
      <c r="N59">
        <v>44.970954199554399</v>
      </c>
      <c r="O59">
        <v>-1.10833333318676</v>
      </c>
      <c r="P59">
        <v>-4.4283333331619197</v>
      </c>
      <c r="Q59">
        <v>-3.8329578752929701</v>
      </c>
      <c r="R59">
        <v>-1.10833333318676</v>
      </c>
      <c r="S59">
        <v>-4.4283333331619197</v>
      </c>
      <c r="T59">
        <v>-1.10833333318676</v>
      </c>
      <c r="U59">
        <v>-4.4283333331619197</v>
      </c>
      <c r="V59">
        <v>5.8570510796083104</v>
      </c>
      <c r="W59">
        <v>0.13723734361321999</v>
      </c>
      <c r="X59">
        <v>2.8905555419253801E-2</v>
      </c>
      <c r="Y59">
        <v>0.175484207994059</v>
      </c>
      <c r="Z59">
        <v>8.7510165726200906E-2</v>
      </c>
      <c r="AA59">
        <v>44.836636090365097</v>
      </c>
      <c r="AB59">
        <v>-1.07833333318671</v>
      </c>
      <c r="AC59">
        <v>-4.3916666664954596</v>
      </c>
      <c r="AD59">
        <v>-4.33345238078644</v>
      </c>
      <c r="AE59">
        <v>-1.07833333318671</v>
      </c>
      <c r="AF59">
        <v>-4.3916666664954596</v>
      </c>
      <c r="AG59">
        <v>-1.07833333318671</v>
      </c>
      <c r="AH59">
        <v>-4.3916666664954596</v>
      </c>
      <c r="AI59">
        <v>4.33345238078644</v>
      </c>
      <c r="AJ59">
        <v>0.175484207994059</v>
      </c>
      <c r="AK59">
        <v>1.9513232127865401</v>
      </c>
      <c r="AL59">
        <v>1.31622682741192</v>
      </c>
      <c r="AM59">
        <v>1.92920994824311</v>
      </c>
      <c r="AN59">
        <v>1.3436004483616899</v>
      </c>
      <c r="AO59">
        <v>0.99761108928001596</v>
      </c>
      <c r="AP59">
        <v>13.56</v>
      </c>
      <c r="AQ59">
        <v>14</v>
      </c>
      <c r="AR59">
        <v>0.86368600849889399</v>
      </c>
      <c r="AS59">
        <v>0.87805550056238701</v>
      </c>
      <c r="AT59">
        <v>1.4859</v>
      </c>
      <c r="AU59">
        <v>228.45293944512301</v>
      </c>
      <c r="AV59">
        <v>8.6885278830712995E-2</v>
      </c>
      <c r="AW59">
        <v>0.127552580993226</v>
      </c>
      <c r="AX59">
        <v>0.14951681613002399</v>
      </c>
      <c r="AY59">
        <v>0.12784917154796499</v>
      </c>
      <c r="AZ59">
        <v>0.14962538651066401</v>
      </c>
    </row>
    <row r="60" spans="1:52" x14ac:dyDescent="0.2">
      <c r="A60" t="s">
        <v>108</v>
      </c>
      <c r="B60" t="s">
        <v>107</v>
      </c>
      <c r="C60" t="str">
        <f t="shared" ca="1" si="0"/>
        <v/>
      </c>
      <c r="E60">
        <f>AND(AX60&lt;$C$1,averaged_runs370!AQ60&lt;$C$1,averaged_runs126!AQ60&lt;$C$1)*1</f>
        <v>1</v>
      </c>
      <c r="F60" s="2">
        <f>IF(TRUE,SQRT(averaged_runs126!AQ60^2/2+averaged_runs370!AQ60^2/2+AX60^2*0),"")</f>
        <v>4.9778951000977831E-2</v>
      </c>
      <c r="G60" s="2">
        <f>IF(E60,averaged_runs126!AQ60,"")</f>
        <v>4.4329383322635703E-2</v>
      </c>
      <c r="H60" s="2">
        <f t="shared" si="3"/>
        <v>5.6348386759546003E-2</v>
      </c>
      <c r="I60" s="2">
        <f>IF(E60,averaged_runs370!AQ60,"")</f>
        <v>5.46881495367171E-2</v>
      </c>
      <c r="J60" t="s">
        <v>45</v>
      </c>
      <c r="K60">
        <v>0</v>
      </c>
      <c r="L60">
        <v>0.02</v>
      </c>
      <c r="M60">
        <v>3.5137593384539E-2</v>
      </c>
      <c r="N60">
        <v>132.44085624382799</v>
      </c>
      <c r="O60">
        <v>-0.83833333318698799</v>
      </c>
      <c r="P60">
        <v>-2.2083333331639099</v>
      </c>
      <c r="Q60">
        <v>-1.9446428569763099</v>
      </c>
      <c r="R60">
        <v>-1.1116666665200701</v>
      </c>
      <c r="S60">
        <v>-2.5716666664969101</v>
      </c>
      <c r="T60">
        <v>-0.85666666652030399</v>
      </c>
      <c r="U60">
        <v>-2.5716666664969101</v>
      </c>
      <c r="V60">
        <v>2.8435629877915098</v>
      </c>
      <c r="W60">
        <v>5.3512976493008999E-2</v>
      </c>
      <c r="X60">
        <v>1.3828508753425801E-2</v>
      </c>
      <c r="Y60">
        <v>5.3450947811728898E-2</v>
      </c>
      <c r="Z60">
        <v>3.5137593384539097E-2</v>
      </c>
      <c r="AA60">
        <v>109.284754229904</v>
      </c>
      <c r="AB60">
        <v>-0.808333333186942</v>
      </c>
      <c r="AC60">
        <v>-2.1716666664974502</v>
      </c>
      <c r="AD60">
        <v>-2.1209722220545499</v>
      </c>
      <c r="AE60">
        <v>-1.0816666665200301</v>
      </c>
      <c r="AF60">
        <v>-2.53499999983045</v>
      </c>
      <c r="AG60">
        <v>-0.80166666652028595</v>
      </c>
      <c r="AH60">
        <v>-2.50666666649713</v>
      </c>
      <c r="AI60">
        <v>2.3513888887477599</v>
      </c>
      <c r="AJ60">
        <v>5.3450947811728898E-2</v>
      </c>
      <c r="AK60">
        <v>5.0161805407384898</v>
      </c>
      <c r="AL60">
        <v>3.6965785694006601</v>
      </c>
      <c r="AM60">
        <v>5.6011572318489602</v>
      </c>
      <c r="AN60">
        <v>4.0681644733785101</v>
      </c>
      <c r="AO60">
        <v>1.5837003823029601</v>
      </c>
      <c r="AP60">
        <v>17.774000000000001</v>
      </c>
      <c r="AQ60">
        <v>18.474</v>
      </c>
      <c r="AR60">
        <v>0.94021862731004302</v>
      </c>
      <c r="AS60">
        <v>0.95546092034028496</v>
      </c>
      <c r="AT60">
        <v>6.0517999999999903</v>
      </c>
      <c r="AU60">
        <v>348.41408410665201</v>
      </c>
      <c r="AV60">
        <v>4.7556565346341E-2</v>
      </c>
      <c r="AW60">
        <v>5.3099308300334998E-2</v>
      </c>
      <c r="AX60">
        <v>5.6348386759546003E-2</v>
      </c>
      <c r="AY60">
        <v>6.8691495743367803E-2</v>
      </c>
      <c r="AZ60">
        <v>7.0500285291026005E-2</v>
      </c>
    </row>
    <row r="61" spans="1:52" x14ac:dyDescent="0.2">
      <c r="A61" t="s">
        <v>109</v>
      </c>
      <c r="B61" t="s">
        <v>107</v>
      </c>
      <c r="C61" t="str">
        <f t="shared" ca="1" si="0"/>
        <v/>
      </c>
      <c r="E61">
        <f>AND(AX61&lt;$C$1,averaged_runs370!AQ61&lt;$C$1,averaged_runs126!AQ61&lt;$C$1)*1</f>
        <v>1</v>
      </c>
      <c r="F61" s="2">
        <f>IF(TRUE,SQRT(averaged_runs126!AQ61^2/2+averaged_runs370!AQ61^2/2+AX61^2*0),"")</f>
        <v>5.1059715678651169E-2</v>
      </c>
      <c r="G61" s="2">
        <f>IF(E61,averaged_runs126!AQ61,"")</f>
        <v>4.3403379107182199E-2</v>
      </c>
      <c r="H61" s="2">
        <f t="shared" si="3"/>
        <v>5.8474283384238997E-2</v>
      </c>
      <c r="I61" s="2">
        <f>IF(E61,averaged_runs370!AQ61,"")</f>
        <v>5.7709061787968897E-2</v>
      </c>
      <c r="J61" t="s">
        <v>45</v>
      </c>
      <c r="K61">
        <v>0.02</v>
      </c>
      <c r="L61">
        <v>0.02</v>
      </c>
      <c r="M61">
        <v>3.9036287725641397E-2</v>
      </c>
      <c r="N61">
        <v>131.554736877457</v>
      </c>
      <c r="O61">
        <v>-0.87333333318696005</v>
      </c>
      <c r="P61">
        <v>-2.4149999998303899</v>
      </c>
      <c r="Q61">
        <v>-2.14998015856367</v>
      </c>
      <c r="R61">
        <v>-0.93166666652024099</v>
      </c>
      <c r="S61">
        <v>-2.5433333331636101</v>
      </c>
      <c r="T61">
        <v>-0.88166666652028602</v>
      </c>
      <c r="U61">
        <v>-2.5433333331636101</v>
      </c>
      <c r="V61">
        <v>3.1878761785174201</v>
      </c>
      <c r="W61">
        <v>5.5170744919133402E-2</v>
      </c>
      <c r="X61">
        <v>1.5084216507020499E-2</v>
      </c>
      <c r="Y61">
        <v>6.0894737369135699E-2</v>
      </c>
      <c r="Z61">
        <v>3.9036287725641397E-2</v>
      </c>
      <c r="AA61">
        <v>108.931616483917</v>
      </c>
      <c r="AB61">
        <v>-0.84333333318691495</v>
      </c>
      <c r="AC61">
        <v>-2.3783333331639298</v>
      </c>
      <c r="AD61">
        <v>-2.32839285697509</v>
      </c>
      <c r="AE61">
        <v>-0.901666666520195</v>
      </c>
      <c r="AF61">
        <v>-2.50666666649715</v>
      </c>
      <c r="AG61">
        <v>-0.85166666652024103</v>
      </c>
      <c r="AH61">
        <v>-2.50666666649715</v>
      </c>
      <c r="AI61">
        <v>2.5395039681194298</v>
      </c>
      <c r="AJ61">
        <v>6.0894737369135699E-2</v>
      </c>
      <c r="AK61">
        <v>5.3565258360621</v>
      </c>
      <c r="AL61">
        <v>3.5643915550446601</v>
      </c>
      <c r="AM61">
        <v>5.6336482340225302</v>
      </c>
      <c r="AN61">
        <v>3.9664793123811499</v>
      </c>
      <c r="AO61">
        <v>1.5544720268789101</v>
      </c>
      <c r="AP61">
        <v>14.808</v>
      </c>
      <c r="AQ61">
        <v>15.3479999999999</v>
      </c>
      <c r="AR61">
        <v>0.92165020867296399</v>
      </c>
      <c r="AS61">
        <v>0.93660821233882596</v>
      </c>
      <c r="AT61">
        <v>3.2341600000000001</v>
      </c>
      <c r="AU61">
        <v>341.98384591336099</v>
      </c>
      <c r="AV61">
        <v>4.90969948469989E-2</v>
      </c>
      <c r="AW61">
        <v>5.3982112678637999E-2</v>
      </c>
      <c r="AX61">
        <v>5.8474283384238997E-2</v>
      </c>
      <c r="AY61">
        <v>6.9722322210887699E-2</v>
      </c>
      <c r="AZ61">
        <v>7.2397257338744497E-2</v>
      </c>
    </row>
    <row r="64" spans="1:52" x14ac:dyDescent="0.2">
      <c r="E64">
        <f>SUM(E2:E61)</f>
        <v>25</v>
      </c>
    </row>
  </sheetData>
  <sortState xmlns:xlrd2="http://schemas.microsoft.com/office/spreadsheetml/2017/richdata2" ref="A2:BC61">
    <sortCondition ref="B2:B61"/>
    <sortCondition ref="A2:A61"/>
  </sortState>
  <pageMargins left="0.75" right="0.75" top="1" bottom="1" header="0.5" footer="0.5"/>
  <pageSetup orientation="portrait" horizontalDpi="0" verticalDpi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D533-2147-6C4D-9BA5-D0CA2E1C37EC}">
  <dimension ref="A1:AS61"/>
  <sheetViews>
    <sheetView topLeftCell="AE1" workbookViewId="0">
      <pane ySplit="1" topLeftCell="A2" activePane="bottomLeft" state="frozen"/>
      <selection pane="bottomLeft" activeCell="E25" sqref="E2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19</v>
      </c>
      <c r="I1" t="s">
        <v>20</v>
      </c>
      <c r="J1" t="s">
        <v>25</v>
      </c>
      <c r="K1" t="s">
        <v>23</v>
      </c>
      <c r="L1" t="s">
        <v>24</v>
      </c>
      <c r="M1" t="s">
        <v>21</v>
      </c>
      <c r="N1" t="s">
        <v>22</v>
      </c>
      <c r="O1" t="s">
        <v>26</v>
      </c>
      <c r="P1" t="s">
        <v>4</v>
      </c>
      <c r="Q1" t="s">
        <v>11</v>
      </c>
      <c r="R1" t="s">
        <v>18</v>
      </c>
      <c r="S1" t="s">
        <v>30</v>
      </c>
      <c r="T1" t="s">
        <v>28</v>
      </c>
      <c r="U1" t="s">
        <v>34</v>
      </c>
      <c r="V1" t="s">
        <v>35</v>
      </c>
      <c r="W1" t="s">
        <v>40</v>
      </c>
      <c r="X1" t="s">
        <v>38</v>
      </c>
      <c r="Y1" t="s">
        <v>39</v>
      </c>
      <c r="Z1" t="s">
        <v>36</v>
      </c>
      <c r="AA1" t="s">
        <v>37</v>
      </c>
      <c r="AB1" t="s">
        <v>41</v>
      </c>
      <c r="AC1" t="s">
        <v>33</v>
      </c>
      <c r="AD1" t="s">
        <v>31</v>
      </c>
      <c r="AE1" t="s">
        <v>32</v>
      </c>
      <c r="AF1" t="s">
        <v>16</v>
      </c>
      <c r="AG1" t="s">
        <v>17</v>
      </c>
      <c r="AH1" t="s">
        <v>9</v>
      </c>
      <c r="AI1" t="s">
        <v>27</v>
      </c>
      <c r="AJ1" t="s">
        <v>42</v>
      </c>
      <c r="AK1" t="s">
        <v>7</v>
      </c>
      <c r="AL1" t="s">
        <v>8</v>
      </c>
      <c r="AM1" t="s">
        <v>3</v>
      </c>
      <c r="AN1" t="s">
        <v>12</v>
      </c>
      <c r="AO1" t="s">
        <v>10</v>
      </c>
      <c r="AP1" t="s">
        <v>14</v>
      </c>
      <c r="AQ1" t="s">
        <v>115</v>
      </c>
      <c r="AR1" t="s">
        <v>29</v>
      </c>
      <c r="AS1" t="s">
        <v>116</v>
      </c>
    </row>
    <row r="2" spans="1:45" x14ac:dyDescent="0.2">
      <c r="A2" t="s">
        <v>43</v>
      </c>
      <c r="B2" t="s">
        <v>44</v>
      </c>
      <c r="C2" t="s">
        <v>45</v>
      </c>
      <c r="D2">
        <v>98.02</v>
      </c>
      <c r="E2">
        <v>159.4</v>
      </c>
      <c r="F2">
        <v>-0.12922009809986501</v>
      </c>
      <c r="G2">
        <v>-339.64769691717299</v>
      </c>
      <c r="H2">
        <v>4.9433333334722596</v>
      </c>
      <c r="I2">
        <v>4.6008333334878602</v>
      </c>
      <c r="J2">
        <v>4.6041747641251396</v>
      </c>
      <c r="K2">
        <v>4.9216666668056099</v>
      </c>
      <c r="L2">
        <v>4.5866666668212002</v>
      </c>
      <c r="M2">
        <v>4.9650000001389003</v>
      </c>
      <c r="N2">
        <v>4.6150000001545104</v>
      </c>
      <c r="O2">
        <v>4.6953361456237603</v>
      </c>
      <c r="P2">
        <v>4.1412013867878697E-2</v>
      </c>
      <c r="Q2">
        <v>-6.6930097337747796E-2</v>
      </c>
      <c r="R2">
        <v>-0.15777031725644999</v>
      </c>
      <c r="S2">
        <v>-0.12922009809986501</v>
      </c>
      <c r="T2">
        <v>-410.18383100580598</v>
      </c>
      <c r="U2">
        <v>4.9133333334726803</v>
      </c>
      <c r="V2">
        <v>4.5858333334882104</v>
      </c>
      <c r="W2">
        <v>4.59025362336883</v>
      </c>
      <c r="X2">
        <v>4.8916666668060396</v>
      </c>
      <c r="Y2">
        <v>4.5716666668215504</v>
      </c>
      <c r="Z2">
        <v>4.9350000001393299</v>
      </c>
      <c r="AA2">
        <v>4.6000000001548598</v>
      </c>
      <c r="AB2">
        <v>4.59025362336883</v>
      </c>
      <c r="AC2">
        <v>-0.15777031725644999</v>
      </c>
      <c r="AD2">
        <v>1.13102490852131</v>
      </c>
      <c r="AE2">
        <v>0.49843884259128102</v>
      </c>
      <c r="AF2">
        <v>0.44828556094641098</v>
      </c>
      <c r="AG2">
        <v>0.20366646092267299</v>
      </c>
      <c r="AH2">
        <v>-0.74040421965033898</v>
      </c>
      <c r="AI2">
        <v>23.744</v>
      </c>
      <c r="AJ2">
        <v>23.283999999999999</v>
      </c>
      <c r="AK2" s="1">
        <v>4.1868171572155001E-7</v>
      </c>
      <c r="AL2" s="1">
        <v>1.0929078484389601E-5</v>
      </c>
      <c r="AM2">
        <v>2.8928199999999999</v>
      </c>
      <c r="AN2">
        <v>-171.03337473922801</v>
      </c>
      <c r="AO2">
        <v>9.6506214953551897E-2</v>
      </c>
      <c r="AP2">
        <v>0.136394214632792</v>
      </c>
      <c r="AQ2">
        <v>0.14951095211839099</v>
      </c>
      <c r="AR2">
        <v>0.144203520820925</v>
      </c>
      <c r="AS2">
        <v>0.15625019233818899</v>
      </c>
    </row>
    <row r="3" spans="1:45" x14ac:dyDescent="0.2">
      <c r="A3" t="s">
        <v>46</v>
      </c>
      <c r="B3" t="s">
        <v>44</v>
      </c>
      <c r="C3" t="s">
        <v>45</v>
      </c>
      <c r="D3">
        <v>36.22</v>
      </c>
      <c r="E3">
        <v>103.34</v>
      </c>
      <c r="F3">
        <v>-5.7070717091088699E-2</v>
      </c>
      <c r="G3">
        <v>-28.692151410260301</v>
      </c>
      <c r="H3">
        <v>2.4166666668078598</v>
      </c>
      <c r="I3">
        <v>1.99416666682358</v>
      </c>
      <c r="J3">
        <v>2.1026623574501699</v>
      </c>
      <c r="K3">
        <v>2.0033333334749002</v>
      </c>
      <c r="L3">
        <v>1.79166666682377</v>
      </c>
      <c r="M3">
        <v>2.8300000001408101</v>
      </c>
      <c r="N3">
        <v>2.1966666668234001</v>
      </c>
      <c r="O3">
        <v>2.4941889137401101</v>
      </c>
      <c r="P3">
        <v>4.8642076754504097E-2</v>
      </c>
      <c r="Q3">
        <v>-3.1939753633006301E-2</v>
      </c>
      <c r="R3">
        <v>-7.1403537929058E-2</v>
      </c>
      <c r="S3">
        <v>-5.7070717091088699E-2</v>
      </c>
      <c r="T3">
        <v>-101.19287814925799</v>
      </c>
      <c r="U3">
        <v>2.3866666668082801</v>
      </c>
      <c r="V3">
        <v>1.9791666668239301</v>
      </c>
      <c r="W3">
        <v>2.0857125605673899</v>
      </c>
      <c r="X3">
        <v>1.97333333347532</v>
      </c>
      <c r="Y3">
        <v>1.77666666682412</v>
      </c>
      <c r="Z3">
        <v>2.7250000001412999</v>
      </c>
      <c r="AA3">
        <v>2.1250000001571401</v>
      </c>
      <c r="AB3">
        <v>2.1123067634586601</v>
      </c>
      <c r="AC3">
        <v>-7.1403537929058E-2</v>
      </c>
      <c r="AD3">
        <v>4.6225389160063299</v>
      </c>
      <c r="AE3">
        <v>4.3447426205903703</v>
      </c>
      <c r="AF3">
        <v>3.4037610573085999</v>
      </c>
      <c r="AG3">
        <v>4.0548347537866096</v>
      </c>
      <c r="AH3">
        <v>0.40406909371710997</v>
      </c>
      <c r="AI3">
        <v>25.896000000000001</v>
      </c>
      <c r="AJ3">
        <v>25.396000000000001</v>
      </c>
      <c r="AK3" s="1">
        <v>1.5809058014978801E-5</v>
      </c>
      <c r="AL3">
        <v>6.4781061277584403E-4</v>
      </c>
      <c r="AM3">
        <v>5.6426800000000004</v>
      </c>
      <c r="AN3">
        <v>93.339960648652493</v>
      </c>
      <c r="AO3">
        <v>7.3477530250297005E-2</v>
      </c>
      <c r="AP3">
        <v>7.9507492958560994E-2</v>
      </c>
      <c r="AQ3">
        <v>8.3538695183977593E-2</v>
      </c>
      <c r="AR3">
        <v>9.2361352602385899E-2</v>
      </c>
      <c r="AS3">
        <v>9.5435353380235496E-2</v>
      </c>
    </row>
    <row r="4" spans="1:45" x14ac:dyDescent="0.2">
      <c r="A4" t="s">
        <v>67</v>
      </c>
      <c r="B4" t="s">
        <v>44</v>
      </c>
      <c r="C4" t="s">
        <v>45</v>
      </c>
      <c r="D4">
        <v>85.34</v>
      </c>
      <c r="E4">
        <v>168.64</v>
      </c>
      <c r="F4">
        <v>-3.3321138476277302E-2</v>
      </c>
      <c r="G4">
        <v>120.090257349342</v>
      </c>
      <c r="H4">
        <v>1.1050000001424001</v>
      </c>
      <c r="I4">
        <v>1.5433333334906301</v>
      </c>
      <c r="J4">
        <v>1.3550418589879201</v>
      </c>
      <c r="K4">
        <v>1.1050000001424001</v>
      </c>
      <c r="L4">
        <v>1.5433333334906301</v>
      </c>
      <c r="M4">
        <v>1.1050000001424001</v>
      </c>
      <c r="N4">
        <v>1.5433333334906301</v>
      </c>
      <c r="O4">
        <v>1.8812130154848199</v>
      </c>
      <c r="P4">
        <v>4.0544430957973401E-2</v>
      </c>
      <c r="Q4">
        <v>3.6251860975235403E-2</v>
      </c>
      <c r="R4">
        <v>-6.4798080265521904E-2</v>
      </c>
      <c r="S4">
        <v>-3.33211384762774E-2</v>
      </c>
      <c r="T4">
        <v>52.890230625129298</v>
      </c>
      <c r="U4">
        <v>1.0750000001428299</v>
      </c>
      <c r="V4">
        <v>1.5283333334909801</v>
      </c>
      <c r="W4">
        <v>1.3288768117758001</v>
      </c>
      <c r="X4">
        <v>1.0750000001428299</v>
      </c>
      <c r="Y4">
        <v>1.5283333334909801</v>
      </c>
      <c r="Z4">
        <v>1.0750000001428299</v>
      </c>
      <c r="AA4">
        <v>1.5283333334909801</v>
      </c>
      <c r="AB4">
        <v>1.44380434796395</v>
      </c>
      <c r="AC4">
        <v>-6.4798080265522001E-2</v>
      </c>
      <c r="AD4">
        <v>5.6849693931855203</v>
      </c>
      <c r="AE4">
        <v>5.6243469237749801</v>
      </c>
      <c r="AF4">
        <v>7.0503452108761797</v>
      </c>
      <c r="AG4">
        <v>5.2634167575561799</v>
      </c>
      <c r="AH4">
        <v>-0.32436658780691402</v>
      </c>
      <c r="AI4">
        <v>23.74</v>
      </c>
      <c r="AJ4">
        <v>23.28</v>
      </c>
      <c r="AK4" s="1">
        <v>2.23684206222723E-5</v>
      </c>
      <c r="AL4" s="1">
        <v>6.6927755150006306E-5</v>
      </c>
      <c r="AM4">
        <v>2.6407799999999999</v>
      </c>
      <c r="AN4">
        <v>-74.928681783397295</v>
      </c>
      <c r="AO4">
        <v>8.2720976146005001E-2</v>
      </c>
      <c r="AP4">
        <v>5.5904972360744203E-2</v>
      </c>
      <c r="AQ4">
        <v>6.1677003790038001E-2</v>
      </c>
      <c r="AR4">
        <v>7.2228243405962997E-2</v>
      </c>
      <c r="AS4">
        <v>7.5926865130364896E-2</v>
      </c>
    </row>
    <row r="5" spans="1:45" x14ac:dyDescent="0.2">
      <c r="A5" t="s">
        <v>47</v>
      </c>
      <c r="B5" t="s">
        <v>44</v>
      </c>
      <c r="C5" t="s">
        <v>45</v>
      </c>
      <c r="D5">
        <v>0.04</v>
      </c>
      <c r="E5">
        <v>0.76</v>
      </c>
      <c r="F5">
        <v>-4.8493387934925801E-4</v>
      </c>
      <c r="G5">
        <v>67.660280090080903</v>
      </c>
      <c r="H5">
        <v>-0.101805555412047</v>
      </c>
      <c r="I5">
        <v>0.136944444603041</v>
      </c>
      <c r="J5">
        <v>-0.175963582330149</v>
      </c>
      <c r="K5">
        <v>-3.8049999998530901</v>
      </c>
      <c r="L5">
        <v>-2.7499999998387801</v>
      </c>
      <c r="M5">
        <v>-0.79666666652252305</v>
      </c>
      <c r="N5">
        <v>-3.3333331746007002E-3</v>
      </c>
      <c r="O5">
        <v>1.6639365936148101</v>
      </c>
      <c r="P5">
        <v>0.126900758780774</v>
      </c>
      <c r="Q5">
        <v>-3.10542469592629E-3</v>
      </c>
      <c r="R5">
        <v>-2.5897961854934501E-3</v>
      </c>
      <c r="S5">
        <v>-4.8493387934926799E-4</v>
      </c>
      <c r="T5">
        <v>60.382113073523101</v>
      </c>
      <c r="U5">
        <v>-0.13180555541161901</v>
      </c>
      <c r="V5">
        <v>0.121944444603391</v>
      </c>
      <c r="W5">
        <v>-0.19620445116427199</v>
      </c>
      <c r="X5">
        <v>-3.8349999998526698</v>
      </c>
      <c r="Y5">
        <v>-2.7649999998384298</v>
      </c>
      <c r="Z5">
        <v>-1.0966666665218501</v>
      </c>
      <c r="AA5">
        <v>0.56833333349188198</v>
      </c>
      <c r="AB5">
        <v>0.94510472735436202</v>
      </c>
      <c r="AC5">
        <v>-2.5897961854935E-3</v>
      </c>
      <c r="AD5">
        <v>2.2898636022281198</v>
      </c>
      <c r="AE5">
        <v>2.29764703592264</v>
      </c>
      <c r="AF5">
        <v>2.3790348689169099</v>
      </c>
      <c r="AG5">
        <v>2.3891618960435599</v>
      </c>
      <c r="AH5">
        <v>0.70694928905337395</v>
      </c>
      <c r="AI5">
        <v>54.093999999999902</v>
      </c>
      <c r="AJ5">
        <v>53.073999999999998</v>
      </c>
      <c r="AK5">
        <v>0.62199402675386595</v>
      </c>
      <c r="AL5">
        <v>0.86912428496382499</v>
      </c>
      <c r="AM5">
        <v>29.102959999999999</v>
      </c>
      <c r="AN5">
        <v>163.30528577132901</v>
      </c>
      <c r="AO5">
        <v>0.118319049851331</v>
      </c>
      <c r="AP5">
        <v>0.11512984356620699</v>
      </c>
      <c r="AQ5">
        <v>0.112614434846985</v>
      </c>
      <c r="AR5">
        <v>0.124327446597368</v>
      </c>
      <c r="AS5">
        <v>0.121954375821772</v>
      </c>
    </row>
    <row r="6" spans="1:45" x14ac:dyDescent="0.2">
      <c r="A6" t="s">
        <v>48</v>
      </c>
      <c r="B6" t="s">
        <v>49</v>
      </c>
      <c r="C6" t="s">
        <v>45</v>
      </c>
      <c r="D6">
        <v>90.94</v>
      </c>
      <c r="E6">
        <v>140.80000000000001</v>
      </c>
      <c r="F6">
        <v>-7.2325979599644499E-2</v>
      </c>
      <c r="G6">
        <v>-140.92312845875401</v>
      </c>
      <c r="H6">
        <v>2.6466666668076599</v>
      </c>
      <c r="I6">
        <v>3.4950000001555499</v>
      </c>
      <c r="J6">
        <v>2.5698276242482199</v>
      </c>
      <c r="K6">
        <v>2.6466666668076599</v>
      </c>
      <c r="L6">
        <v>3.4950000001555499</v>
      </c>
      <c r="M6">
        <v>2.6466666668076599</v>
      </c>
      <c r="N6">
        <v>3.4950000001555499</v>
      </c>
      <c r="O6">
        <v>2.9198475258175902</v>
      </c>
      <c r="P6">
        <v>3.30113463366336E-2</v>
      </c>
      <c r="Q6">
        <v>-5.4942536256152599E-2</v>
      </c>
      <c r="R6">
        <v>-9.6599728412055899E-2</v>
      </c>
      <c r="S6">
        <v>-7.2325979599644499E-2</v>
      </c>
      <c r="T6">
        <v>-231.85024090410801</v>
      </c>
      <c r="U6">
        <v>2.61666666680809</v>
      </c>
      <c r="V6">
        <v>3.4800000001559002</v>
      </c>
      <c r="W6">
        <v>2.5653623190211698</v>
      </c>
      <c r="X6">
        <v>2.61666666680809</v>
      </c>
      <c r="Y6">
        <v>3.4800000001559002</v>
      </c>
      <c r="Z6">
        <v>2.61666666680809</v>
      </c>
      <c r="AA6">
        <v>3.4800000001559002</v>
      </c>
      <c r="AB6">
        <v>2.5653623190211698</v>
      </c>
      <c r="AC6">
        <v>-9.6599728412055899E-2</v>
      </c>
      <c r="AD6">
        <v>4.0859979592027198</v>
      </c>
      <c r="AE6">
        <v>1.3588796576453299</v>
      </c>
      <c r="AF6">
        <v>3.34335271746107</v>
      </c>
      <c r="AG6">
        <v>0.93556251670071899</v>
      </c>
      <c r="AH6">
        <v>-1.54277798530373</v>
      </c>
      <c r="AI6">
        <v>23.52</v>
      </c>
      <c r="AJ6">
        <v>23.04</v>
      </c>
      <c r="AK6" s="1">
        <v>3.7683072873094699E-8</v>
      </c>
      <c r="AL6" s="1">
        <v>1.9496655030737E-7</v>
      </c>
      <c r="AM6">
        <v>2.3557199999999998</v>
      </c>
      <c r="AN6">
        <v>-296.21337317831598</v>
      </c>
      <c r="AO6">
        <v>8.3188514687054002E-2</v>
      </c>
      <c r="AP6">
        <v>8.9553618405738097E-2</v>
      </c>
      <c r="AQ6">
        <v>9.8355266450592296E-2</v>
      </c>
      <c r="AR6">
        <v>9.9949212390706504E-2</v>
      </c>
      <c r="AS6">
        <v>0.106178580866625</v>
      </c>
    </row>
    <row r="7" spans="1:45" x14ac:dyDescent="0.2">
      <c r="A7" t="s">
        <v>50</v>
      </c>
      <c r="B7" t="s">
        <v>49</v>
      </c>
      <c r="C7" t="s">
        <v>45</v>
      </c>
      <c r="D7">
        <v>0.72</v>
      </c>
      <c r="E7">
        <v>1.28</v>
      </c>
      <c r="F7">
        <v>-4.3317650622850097E-2</v>
      </c>
      <c r="G7">
        <v>46.7046302091832</v>
      </c>
      <c r="H7">
        <v>2.01750000014155</v>
      </c>
      <c r="I7">
        <v>1.4958333334906799</v>
      </c>
      <c r="J7">
        <v>1.55847075848959</v>
      </c>
      <c r="K7">
        <v>1.10000000014239</v>
      </c>
      <c r="L7">
        <v>0.58833333349152295</v>
      </c>
      <c r="M7">
        <v>2.7983333334741798</v>
      </c>
      <c r="N7">
        <v>2.0416666668235202</v>
      </c>
      <c r="O7">
        <v>1.9814818295611101</v>
      </c>
      <c r="P7">
        <v>0.194984041711634</v>
      </c>
      <c r="Q7">
        <v>-3.8560191262253997E-2</v>
      </c>
      <c r="R7">
        <v>-5.0466207520564098E-2</v>
      </c>
      <c r="S7">
        <v>-4.3317650622850097E-2</v>
      </c>
      <c r="T7">
        <v>41.980809706085999</v>
      </c>
      <c r="U7">
        <v>1.98750000014198</v>
      </c>
      <c r="V7">
        <v>1.48083333349103</v>
      </c>
      <c r="W7">
        <v>1.5439492755433</v>
      </c>
      <c r="X7">
        <v>1.07000000014281</v>
      </c>
      <c r="Y7">
        <v>0.57333333349187299</v>
      </c>
      <c r="Z7">
        <v>1.95500000014201</v>
      </c>
      <c r="AA7">
        <v>2.0950000001571398</v>
      </c>
      <c r="AB7">
        <v>1.5989734301181</v>
      </c>
      <c r="AC7">
        <v>-5.0466207520564202E-2</v>
      </c>
      <c r="AD7">
        <v>1.93754889459791</v>
      </c>
      <c r="AE7">
        <v>1.54645128850348</v>
      </c>
      <c r="AF7">
        <v>1.9212363766868801</v>
      </c>
      <c r="AG7">
        <v>1.59880719518421</v>
      </c>
      <c r="AH7">
        <v>0.63423399871212005</v>
      </c>
      <c r="AI7">
        <v>35.444000000000003</v>
      </c>
      <c r="AJ7">
        <v>34.643999999999998</v>
      </c>
      <c r="AK7">
        <v>0.37902691541781802</v>
      </c>
      <c r="AL7">
        <v>0.97307310935650804</v>
      </c>
      <c r="AM7">
        <v>12.289300000000001</v>
      </c>
      <c r="AN7">
        <v>90.061227817120994</v>
      </c>
      <c r="AO7">
        <v>7.5267805479693806E-2</v>
      </c>
      <c r="AP7">
        <v>7.6791847078206396E-2</v>
      </c>
      <c r="AQ7">
        <v>8.0493438440342804E-2</v>
      </c>
      <c r="AR7">
        <v>9.1337585000217505E-2</v>
      </c>
      <c r="AS7">
        <v>9.4550880682793506E-2</v>
      </c>
    </row>
    <row r="8" spans="1:45" x14ac:dyDescent="0.2">
      <c r="A8" t="s">
        <v>51</v>
      </c>
      <c r="B8" t="s">
        <v>49</v>
      </c>
      <c r="C8" t="s">
        <v>45</v>
      </c>
      <c r="D8">
        <v>50.5</v>
      </c>
      <c r="E8">
        <v>75.12</v>
      </c>
      <c r="F8">
        <v>-0.126198501835105</v>
      </c>
      <c r="G8">
        <v>-243.243507850729</v>
      </c>
      <c r="H8">
        <v>1.96000000014163</v>
      </c>
      <c r="I8">
        <v>5.0800000001540999</v>
      </c>
      <c r="J8">
        <v>5.6607611442310697</v>
      </c>
      <c r="K8">
        <v>1.96000000014163</v>
      </c>
      <c r="L8">
        <v>5.0800000001540999</v>
      </c>
      <c r="M8">
        <v>1.96000000014163</v>
      </c>
      <c r="N8">
        <v>5.0800000001540999</v>
      </c>
      <c r="O8">
        <v>6.82618265811361</v>
      </c>
      <c r="P8">
        <v>6.4634548066291098E-2</v>
      </c>
      <c r="Q8">
        <v>-7.2331031280000596E-2</v>
      </c>
      <c r="R8">
        <v>-0.24345627529777</v>
      </c>
      <c r="S8">
        <v>-0.126198501835105</v>
      </c>
      <c r="T8">
        <v>-261.57065428332601</v>
      </c>
      <c r="U8">
        <v>1.9300000001420601</v>
      </c>
      <c r="V8">
        <v>5.0650000001544502</v>
      </c>
      <c r="W8">
        <v>5.4524637682987303</v>
      </c>
      <c r="X8">
        <v>1.9300000001420601</v>
      </c>
      <c r="Y8">
        <v>5.0650000001544502</v>
      </c>
      <c r="Z8">
        <v>1.9300000001420601</v>
      </c>
      <c r="AA8">
        <v>5.0650000001544502</v>
      </c>
      <c r="AB8">
        <v>5.4524637682987303</v>
      </c>
      <c r="AC8">
        <v>-0.24345627529777</v>
      </c>
      <c r="AD8">
        <v>4.1648379707645002</v>
      </c>
      <c r="AE8">
        <v>1.0070019490597999</v>
      </c>
      <c r="AF8">
        <v>4.5012212143859198</v>
      </c>
      <c r="AG8">
        <v>0.71447803321965897</v>
      </c>
      <c r="AH8">
        <v>-1.07460074909694</v>
      </c>
      <c r="AI8">
        <v>23.28</v>
      </c>
      <c r="AJ8">
        <v>22.98</v>
      </c>
      <c r="AK8" s="1">
        <v>3.1612444507668299E-5</v>
      </c>
      <c r="AL8" s="1">
        <v>3.9018304509654801E-5</v>
      </c>
      <c r="AM8">
        <v>1.7066399999999999</v>
      </c>
      <c r="AN8">
        <v>-167.637716859123</v>
      </c>
      <c r="AO8">
        <v>0.139750287361005</v>
      </c>
      <c r="AP8">
        <v>0.17581576584419001</v>
      </c>
      <c r="AQ8">
        <v>0.204910408275261</v>
      </c>
      <c r="AR8">
        <v>0.179750122336512</v>
      </c>
      <c r="AS8">
        <v>0.20717169915702999</v>
      </c>
    </row>
    <row r="9" spans="1:45" x14ac:dyDescent="0.2">
      <c r="A9" t="s">
        <v>52</v>
      </c>
      <c r="B9" t="s">
        <v>49</v>
      </c>
      <c r="C9" t="s">
        <v>45</v>
      </c>
      <c r="D9">
        <v>67.239999999999995</v>
      </c>
      <c r="E9">
        <v>102.84</v>
      </c>
      <c r="F9">
        <v>-0.110966183192492</v>
      </c>
      <c r="G9">
        <v>-719.57532720235304</v>
      </c>
      <c r="H9">
        <v>2.3866666668079102</v>
      </c>
      <c r="I9">
        <v>4.4300000001547097</v>
      </c>
      <c r="J9">
        <v>4.5114291009735998</v>
      </c>
      <c r="K9">
        <v>2.3866666668079102</v>
      </c>
      <c r="L9">
        <v>4.4300000001547097</v>
      </c>
      <c r="M9">
        <v>2.3866666668079102</v>
      </c>
      <c r="N9">
        <v>4.4300000001547097</v>
      </c>
      <c r="O9">
        <v>5.09388340331635</v>
      </c>
      <c r="P9">
        <v>3.7831698649204798E-2</v>
      </c>
      <c r="Q9">
        <v>-6.8571639858254499E-2</v>
      </c>
      <c r="R9">
        <v>-0.195165733920554</v>
      </c>
      <c r="S9">
        <v>-0.110966183192492</v>
      </c>
      <c r="T9">
        <v>-775.80119042520096</v>
      </c>
      <c r="U9">
        <v>2.3566666668083398</v>
      </c>
      <c r="V9">
        <v>4.41500000015506</v>
      </c>
      <c r="W9">
        <v>4.4361231885879402</v>
      </c>
      <c r="X9">
        <v>2.3566666668083398</v>
      </c>
      <c r="Y9">
        <v>4.41500000015506</v>
      </c>
      <c r="Z9">
        <v>2.3566666668083398</v>
      </c>
      <c r="AA9">
        <v>4.41500000015506</v>
      </c>
      <c r="AB9">
        <v>4.4361231885879402</v>
      </c>
      <c r="AC9">
        <v>-0.195165733920554</v>
      </c>
      <c r="AD9">
        <v>4.3619001133725996</v>
      </c>
      <c r="AE9">
        <v>0.40914872598325702</v>
      </c>
      <c r="AF9">
        <v>4.06768633098946</v>
      </c>
      <c r="AG9">
        <v>0.144988171827684</v>
      </c>
      <c r="AH9">
        <v>-4.4669933517983802</v>
      </c>
      <c r="AI9">
        <v>23.48</v>
      </c>
      <c r="AJ9">
        <v>23.02</v>
      </c>
      <c r="AK9" s="1">
        <v>2.1638374331570202E-9</v>
      </c>
      <c r="AL9" s="1">
        <v>4.7162917107679396E-9</v>
      </c>
      <c r="AM9">
        <v>2.06718</v>
      </c>
      <c r="AN9">
        <v>-696.85096288054694</v>
      </c>
      <c r="AO9">
        <v>0.117083175286154</v>
      </c>
      <c r="AP9">
        <v>0.143421193773901</v>
      </c>
      <c r="AQ9">
        <v>0.16605204010821201</v>
      </c>
      <c r="AR9">
        <v>0.148039353316371</v>
      </c>
      <c r="AS9">
        <v>0.16871248106553799</v>
      </c>
    </row>
    <row r="10" spans="1:45" x14ac:dyDescent="0.2">
      <c r="A10" t="s">
        <v>53</v>
      </c>
      <c r="B10" t="s">
        <v>49</v>
      </c>
      <c r="C10" t="s">
        <v>45</v>
      </c>
      <c r="D10">
        <v>119.68</v>
      </c>
      <c r="E10">
        <v>131.52000000000001</v>
      </c>
      <c r="F10">
        <v>-0.42883980575772901</v>
      </c>
      <c r="G10">
        <v>-5723.8780565058596</v>
      </c>
      <c r="H10">
        <v>15.021666666796399</v>
      </c>
      <c r="I10">
        <v>17.405000000142799</v>
      </c>
      <c r="J10">
        <v>18.4823737375057</v>
      </c>
      <c r="K10">
        <v>15.021666666796399</v>
      </c>
      <c r="L10">
        <v>17.405000000142799</v>
      </c>
      <c r="M10">
        <v>15.021666666796399</v>
      </c>
      <c r="N10">
        <v>17.405000000142799</v>
      </c>
      <c r="O10">
        <v>18.819639093600401</v>
      </c>
      <c r="P10">
        <v>3.5696459030012603E-2</v>
      </c>
      <c r="Q10">
        <v>-0.285409756014051</v>
      </c>
      <c r="R10">
        <v>-0.59132368501783605</v>
      </c>
      <c r="S10">
        <v>-0.42883980575772901</v>
      </c>
      <c r="T10">
        <v>-5796.9587530648996</v>
      </c>
      <c r="U10">
        <v>14.991666666796799</v>
      </c>
      <c r="V10">
        <v>17.3900000001432</v>
      </c>
      <c r="W10">
        <v>18.319637681294999</v>
      </c>
      <c r="X10">
        <v>14.991666666796799</v>
      </c>
      <c r="Y10">
        <v>17.3900000001432</v>
      </c>
      <c r="Z10">
        <v>14.991666666796799</v>
      </c>
      <c r="AA10">
        <v>17.3900000001432</v>
      </c>
      <c r="AB10">
        <v>18.319637681294999</v>
      </c>
      <c r="AC10">
        <v>-0.59132368501783605</v>
      </c>
      <c r="AD10" s="1">
        <v>1.81870213819238E-10</v>
      </c>
      <c r="AE10" s="1">
        <v>3.16576302905876E-22</v>
      </c>
      <c r="AF10" s="1">
        <v>1.8446299531229501E-12</v>
      </c>
      <c r="AG10" s="1">
        <v>1.54479902513165E-25</v>
      </c>
      <c r="AH10">
        <v>-41.541561186924298</v>
      </c>
      <c r="AI10">
        <v>19.600000000000001</v>
      </c>
      <c r="AJ10">
        <v>19.579999999999998</v>
      </c>
      <c r="AK10" s="1">
        <v>5.8664473298740097E-40</v>
      </c>
      <c r="AL10" s="1">
        <v>1.52214373485627E-38</v>
      </c>
      <c r="AM10">
        <v>0.7651</v>
      </c>
      <c r="AN10">
        <v>-5857.3601273563299</v>
      </c>
      <c r="AO10">
        <v>0.37345338056778199</v>
      </c>
      <c r="AP10">
        <v>0.45981236637973999</v>
      </c>
      <c r="AQ10">
        <v>0.518718548373717</v>
      </c>
      <c r="AR10">
        <v>0.46054419652663398</v>
      </c>
      <c r="AS10">
        <v>0.51920239640957899</v>
      </c>
    </row>
    <row r="11" spans="1:45" x14ac:dyDescent="0.2">
      <c r="A11" t="s">
        <v>54</v>
      </c>
      <c r="B11" t="s">
        <v>49</v>
      </c>
      <c r="C11" t="s">
        <v>45</v>
      </c>
      <c r="D11">
        <v>10</v>
      </c>
      <c r="E11">
        <v>63.98</v>
      </c>
      <c r="F11">
        <v>5.2175388478505502E-2</v>
      </c>
      <c r="G11">
        <v>91.2644127719811</v>
      </c>
      <c r="H11">
        <v>-2.6999999998541</v>
      </c>
      <c r="I11">
        <v>-1.6533333331731199</v>
      </c>
      <c r="J11">
        <v>-1.9244787547576601</v>
      </c>
      <c r="K11">
        <v>-2.6999999998541</v>
      </c>
      <c r="L11">
        <v>-1.6533333331731199</v>
      </c>
      <c r="M11">
        <v>-2.6999999998541</v>
      </c>
      <c r="N11">
        <v>-1.6533333331731199</v>
      </c>
      <c r="O11">
        <v>2.5968188909572301</v>
      </c>
      <c r="P11">
        <v>4.94626157431486E-2</v>
      </c>
      <c r="Q11">
        <v>1.8420721213994101E-2</v>
      </c>
      <c r="R11">
        <v>4.6229743522887397E-2</v>
      </c>
      <c r="S11">
        <v>5.2175388478505502E-2</v>
      </c>
      <c r="T11">
        <v>34.4212307527565</v>
      </c>
      <c r="U11">
        <v>-2.7299999998536801</v>
      </c>
      <c r="V11">
        <v>-1.6683333331727701</v>
      </c>
      <c r="W11">
        <v>-1.95119565199166</v>
      </c>
      <c r="X11">
        <v>-2.7299999998536801</v>
      </c>
      <c r="Y11">
        <v>-1.6683333331727701</v>
      </c>
      <c r="Z11">
        <v>-2.7299999998536801</v>
      </c>
      <c r="AA11">
        <v>-1.6683333331727701</v>
      </c>
      <c r="AB11">
        <v>2.11865942014389</v>
      </c>
      <c r="AC11">
        <v>4.6229743522887397E-2</v>
      </c>
      <c r="AD11">
        <v>3.2858077784216699</v>
      </c>
      <c r="AE11">
        <v>4.6400321251490801</v>
      </c>
      <c r="AF11">
        <v>3.8796032996380299</v>
      </c>
      <c r="AG11">
        <v>5.4029708062187103</v>
      </c>
      <c r="AH11">
        <v>0.98121409349702504</v>
      </c>
      <c r="AI11">
        <v>23.58</v>
      </c>
      <c r="AJ11">
        <v>23.12</v>
      </c>
      <c r="AK11">
        <v>0.104467619531152</v>
      </c>
      <c r="AL11">
        <v>0.153829168787358</v>
      </c>
      <c r="AM11">
        <v>3.0442399999999998</v>
      </c>
      <c r="AN11">
        <v>138.35118718307999</v>
      </c>
      <c r="AO11">
        <v>7.3244552564572601E-2</v>
      </c>
      <c r="AP11">
        <v>6.9316325120525296E-2</v>
      </c>
      <c r="AQ11">
        <v>6.5589036384585797E-2</v>
      </c>
      <c r="AR11">
        <v>8.4926256458090196E-2</v>
      </c>
      <c r="AS11">
        <v>7.9548782633390505E-2</v>
      </c>
    </row>
    <row r="12" spans="1:45" x14ac:dyDescent="0.2">
      <c r="A12" t="s">
        <v>55</v>
      </c>
      <c r="B12" t="s">
        <v>49</v>
      </c>
      <c r="C12" t="s">
        <v>45</v>
      </c>
      <c r="D12">
        <v>75.739999999999995</v>
      </c>
      <c r="E12">
        <v>111.32</v>
      </c>
      <c r="F12">
        <v>-0.17744334776444901</v>
      </c>
      <c r="G12">
        <v>-1890.9620123319301</v>
      </c>
      <c r="H12">
        <v>2.7750000001408899</v>
      </c>
      <c r="I12">
        <v>6.7533333334859096</v>
      </c>
      <c r="J12">
        <v>8.1880138341621702</v>
      </c>
      <c r="K12">
        <v>2.7750000001408899</v>
      </c>
      <c r="L12">
        <v>6.7533333334859096</v>
      </c>
      <c r="M12">
        <v>2.7750000001408899</v>
      </c>
      <c r="N12">
        <v>6.7533333334859096</v>
      </c>
      <c r="O12">
        <v>9.88627924895383</v>
      </c>
      <c r="P12">
        <v>3.9166258443493897E-2</v>
      </c>
      <c r="Q12">
        <v>-0.109450628940502</v>
      </c>
      <c r="R12">
        <v>-0.31332726011373901</v>
      </c>
      <c r="S12">
        <v>-0.17744334776444901</v>
      </c>
      <c r="T12">
        <v>-1955.05699441859</v>
      </c>
      <c r="U12">
        <v>2.74500000014132</v>
      </c>
      <c r="V12">
        <v>6.7383333334862598</v>
      </c>
      <c r="W12">
        <v>7.8232608697398804</v>
      </c>
      <c r="X12">
        <v>2.74500000014132</v>
      </c>
      <c r="Y12">
        <v>6.7383333334862598</v>
      </c>
      <c r="Z12">
        <v>2.74500000014132</v>
      </c>
      <c r="AA12">
        <v>6.7383333334862598</v>
      </c>
      <c r="AB12">
        <v>7.8232608697398804</v>
      </c>
      <c r="AC12">
        <v>-0.31332726011373901</v>
      </c>
      <c r="AD12">
        <v>3.4318858196928899</v>
      </c>
      <c r="AE12">
        <v>0.15629366287767699</v>
      </c>
      <c r="AF12">
        <v>3.8425386003304598</v>
      </c>
      <c r="AG12">
        <v>1.7207980018394398E-2</v>
      </c>
      <c r="AH12">
        <v>-11.573109355528301</v>
      </c>
      <c r="AI12">
        <v>22.3</v>
      </c>
      <c r="AJ12">
        <v>22.32</v>
      </c>
      <c r="AK12" s="1">
        <v>4.079673290728E-22</v>
      </c>
      <c r="AL12" s="1">
        <v>8.0696802407862303E-19</v>
      </c>
      <c r="AM12">
        <v>2.1159599999999998</v>
      </c>
      <c r="AN12">
        <v>-1805.40505946241</v>
      </c>
      <c r="AO12">
        <v>0.179741046633457</v>
      </c>
      <c r="AP12">
        <v>0.229660076474556</v>
      </c>
      <c r="AQ12">
        <v>0.26503333495376902</v>
      </c>
      <c r="AR12">
        <v>0.23257065686329001</v>
      </c>
      <c r="AS12">
        <v>0.26679924397939703</v>
      </c>
    </row>
    <row r="13" spans="1:45" x14ac:dyDescent="0.2">
      <c r="A13" t="s">
        <v>56</v>
      </c>
      <c r="B13" t="s">
        <v>57</v>
      </c>
      <c r="C13" t="s">
        <v>45</v>
      </c>
      <c r="D13">
        <v>5.34</v>
      </c>
      <c r="E13">
        <v>29.44</v>
      </c>
      <c r="F13">
        <v>-2.6780686928675199E-3</v>
      </c>
      <c r="G13">
        <v>128.48984290249101</v>
      </c>
      <c r="H13">
        <v>0.67666666680945098</v>
      </c>
      <c r="I13">
        <v>0.21583333349185899</v>
      </c>
      <c r="J13">
        <v>0.19459573104144101</v>
      </c>
      <c r="K13">
        <v>0.33500000014309</v>
      </c>
      <c r="L13">
        <v>9.0000000158638599E-2</v>
      </c>
      <c r="M13">
        <v>0.72833333347607498</v>
      </c>
      <c r="N13">
        <v>0.188333333491887</v>
      </c>
      <c r="O13">
        <v>1.4823916710699501</v>
      </c>
      <c r="P13">
        <v>5.8316536420043502E-2</v>
      </c>
      <c r="Q13">
        <v>-5.4689358470060203E-3</v>
      </c>
      <c r="R13">
        <v>-4.7435789704322103E-3</v>
      </c>
      <c r="S13">
        <v>-2.6780686928675702E-3</v>
      </c>
      <c r="T13">
        <v>83.293570880450602</v>
      </c>
      <c r="U13">
        <v>0.64666666680987805</v>
      </c>
      <c r="V13">
        <v>0.200833333492209</v>
      </c>
      <c r="W13">
        <v>0.19044686008464901</v>
      </c>
      <c r="X13">
        <v>0.30500000014351802</v>
      </c>
      <c r="Y13">
        <v>7.5000000158988694E-2</v>
      </c>
      <c r="Z13">
        <v>0.63166666680989603</v>
      </c>
      <c r="AA13">
        <v>7.5000000158988694E-2</v>
      </c>
      <c r="AB13">
        <v>0.96489130434022896</v>
      </c>
      <c r="AC13">
        <v>-4.7435789704322598E-3</v>
      </c>
      <c r="AD13">
        <v>4.3483875658692996</v>
      </c>
      <c r="AE13">
        <v>4.4895463348491598</v>
      </c>
      <c r="AF13">
        <v>4.6536898800732702</v>
      </c>
      <c r="AG13">
        <v>5.5301850220725601</v>
      </c>
      <c r="AH13">
        <v>1.18247552978093</v>
      </c>
      <c r="AI13">
        <v>26.055999999999901</v>
      </c>
      <c r="AJ13">
        <v>25.596</v>
      </c>
      <c r="AK13">
        <v>0.111428369729906</v>
      </c>
      <c r="AL13">
        <v>0.22532978256444899</v>
      </c>
      <c r="AM13">
        <v>5.6890799999999997</v>
      </c>
      <c r="AN13">
        <v>268.421945260271</v>
      </c>
      <c r="AO13">
        <v>6.6438208264427298E-2</v>
      </c>
      <c r="AP13">
        <v>5.6582264119520498E-2</v>
      </c>
      <c r="AQ13">
        <v>5.2133389758373498E-2</v>
      </c>
      <c r="AR13">
        <v>7.7290208099538404E-2</v>
      </c>
      <c r="AS13">
        <v>7.35830166391096E-2</v>
      </c>
    </row>
    <row r="14" spans="1:45" x14ac:dyDescent="0.2">
      <c r="A14" t="s">
        <v>58</v>
      </c>
      <c r="B14" t="s">
        <v>57</v>
      </c>
      <c r="C14" t="s">
        <v>45</v>
      </c>
      <c r="D14">
        <v>4.74</v>
      </c>
      <c r="E14">
        <v>36.659999999999997</v>
      </c>
      <c r="F14">
        <v>-1.68101361813758E-2</v>
      </c>
      <c r="G14">
        <v>148.59900855156701</v>
      </c>
      <c r="H14">
        <v>1.79333333347511</v>
      </c>
      <c r="I14">
        <v>0.70666666682472601</v>
      </c>
      <c r="J14">
        <v>0.52558616070023301</v>
      </c>
      <c r="K14">
        <v>1.7783333334751199</v>
      </c>
      <c r="L14">
        <v>0.70666666682472601</v>
      </c>
      <c r="M14">
        <v>1.8083333334750999</v>
      </c>
      <c r="N14">
        <v>0.70666666682472601</v>
      </c>
      <c r="O14">
        <v>1.51866411670624</v>
      </c>
      <c r="P14">
        <v>4.3953914288763801E-2</v>
      </c>
      <c r="Q14">
        <v>-1.4729373602650701E-2</v>
      </c>
      <c r="R14">
        <v>-1.52020669129584E-2</v>
      </c>
      <c r="S14">
        <v>-1.68101361813758E-2</v>
      </c>
      <c r="T14">
        <v>88.433298558983097</v>
      </c>
      <c r="U14">
        <v>1.7633333334755401</v>
      </c>
      <c r="V14">
        <v>0.69166666682507605</v>
      </c>
      <c r="W14">
        <v>0.52288647361110696</v>
      </c>
      <c r="X14">
        <v>1.74833333347555</v>
      </c>
      <c r="Y14">
        <v>0.69166666682507605</v>
      </c>
      <c r="Z14">
        <v>1.77833333347552</v>
      </c>
      <c r="AA14">
        <v>0.69166666682507605</v>
      </c>
      <c r="AB14">
        <v>1.00078502420507</v>
      </c>
      <c r="AC14">
        <v>-1.5202066912958501E-2</v>
      </c>
      <c r="AD14">
        <v>4.5112746097524603</v>
      </c>
      <c r="AE14">
        <v>5.8699654759772697</v>
      </c>
      <c r="AF14">
        <v>5.0899677488069104</v>
      </c>
      <c r="AG14">
        <v>5.9817240509303797</v>
      </c>
      <c r="AH14">
        <v>1.42935011160007</v>
      </c>
      <c r="AI14">
        <v>23.724</v>
      </c>
      <c r="AJ14">
        <v>23.263999999999999</v>
      </c>
      <c r="AK14">
        <v>0.166036280435542</v>
      </c>
      <c r="AL14">
        <v>0.20299609800986401</v>
      </c>
      <c r="AM14">
        <v>2.95574</v>
      </c>
      <c r="AN14">
        <v>303.022223659215</v>
      </c>
      <c r="AO14">
        <v>5.4135804736519001E-2</v>
      </c>
      <c r="AP14">
        <v>4.6571056736597699E-2</v>
      </c>
      <c r="AQ14">
        <v>4.6349966133666001E-2</v>
      </c>
      <c r="AR14">
        <v>6.6660075365132701E-2</v>
      </c>
      <c r="AS14">
        <v>6.5633876701572905E-2</v>
      </c>
    </row>
    <row r="15" spans="1:45" x14ac:dyDescent="0.2">
      <c r="A15" t="s">
        <v>59</v>
      </c>
      <c r="B15" t="s">
        <v>57</v>
      </c>
      <c r="C15" t="s">
        <v>45</v>
      </c>
      <c r="D15">
        <v>12.94</v>
      </c>
      <c r="E15">
        <v>61.6</v>
      </c>
      <c r="F15">
        <v>-4.0058973983431799E-2</v>
      </c>
      <c r="G15">
        <v>100.711550071169</v>
      </c>
      <c r="H15">
        <v>1.79333333347511</v>
      </c>
      <c r="I15">
        <v>0.70666666682472601</v>
      </c>
      <c r="J15">
        <v>0.79758303158272303</v>
      </c>
      <c r="K15">
        <v>1.7783333334751199</v>
      </c>
      <c r="L15">
        <v>0.70666666682472601</v>
      </c>
      <c r="M15">
        <v>1.8083333334750999</v>
      </c>
      <c r="N15">
        <v>0.70666666682472601</v>
      </c>
      <c r="O15">
        <v>1.57402369974762</v>
      </c>
      <c r="P15">
        <v>4.3953914288763801E-2</v>
      </c>
      <c r="Q15">
        <v>-2.4708827564854E-2</v>
      </c>
      <c r="R15">
        <v>-1.52020669129584E-2</v>
      </c>
      <c r="S15">
        <v>-4.0058973983431799E-2</v>
      </c>
      <c r="T15">
        <v>64.492832158180903</v>
      </c>
      <c r="U15">
        <v>1.7633333334755401</v>
      </c>
      <c r="V15">
        <v>0.69166666682507605</v>
      </c>
      <c r="W15">
        <v>0.80254830935964205</v>
      </c>
      <c r="X15">
        <v>1.74833333347555</v>
      </c>
      <c r="Y15">
        <v>0.69166666682507605</v>
      </c>
      <c r="Z15">
        <v>1.77833333347552</v>
      </c>
      <c r="AA15">
        <v>0.69166666682507605</v>
      </c>
      <c r="AB15">
        <v>0.982403381729123</v>
      </c>
      <c r="AC15">
        <v>-1.5202066912958501E-2</v>
      </c>
      <c r="AD15">
        <v>4.5112746097524603</v>
      </c>
      <c r="AE15">
        <v>5.8699654759772697</v>
      </c>
      <c r="AF15">
        <v>5.0899677488069104</v>
      </c>
      <c r="AG15">
        <v>5.9817240509303797</v>
      </c>
      <c r="AH15">
        <v>1.2034658734849799</v>
      </c>
      <c r="AI15">
        <v>23.803999999999998</v>
      </c>
      <c r="AJ15">
        <v>23.344000000000001</v>
      </c>
      <c r="AK15">
        <v>6.78510956090978E-2</v>
      </c>
      <c r="AL15">
        <v>9.7276633783464503E-2</v>
      </c>
      <c r="AM15">
        <v>3.1463399999999999</v>
      </c>
      <c r="AN15">
        <v>255.13476517881699</v>
      </c>
      <c r="AO15">
        <v>6.3313583337805804E-2</v>
      </c>
      <c r="AP15">
        <v>6.8411051780022894E-2</v>
      </c>
      <c r="AQ15">
        <v>4.6349966133666001E-2</v>
      </c>
      <c r="AR15">
        <v>7.5612520732423402E-2</v>
      </c>
      <c r="AS15">
        <v>6.5633876701572905E-2</v>
      </c>
    </row>
    <row r="16" spans="1:45" x14ac:dyDescent="0.2">
      <c r="A16" t="s">
        <v>60</v>
      </c>
      <c r="B16" t="s">
        <v>57</v>
      </c>
      <c r="C16" t="s">
        <v>45</v>
      </c>
      <c r="D16">
        <v>2</v>
      </c>
      <c r="E16">
        <v>20.52</v>
      </c>
      <c r="F16">
        <v>-3.6782086576734201E-2</v>
      </c>
      <c r="G16">
        <v>131.59028626400899</v>
      </c>
      <c r="H16">
        <v>1.82000000014178</v>
      </c>
      <c r="I16">
        <v>1.5816666668239401</v>
      </c>
      <c r="J16">
        <v>1.1357560662775099</v>
      </c>
      <c r="K16">
        <v>1.82000000014178</v>
      </c>
      <c r="L16">
        <v>1.5816666668239401</v>
      </c>
      <c r="M16">
        <v>1.82000000014178</v>
      </c>
      <c r="N16">
        <v>1.5816666668239401</v>
      </c>
      <c r="O16">
        <v>1.5471329014938699</v>
      </c>
      <c r="P16">
        <v>6.0580985840079399E-2</v>
      </c>
      <c r="Q16">
        <v>-2.5516299907746801E-2</v>
      </c>
      <c r="R16">
        <v>-3.5932417273521297E-2</v>
      </c>
      <c r="S16">
        <v>-3.6782086576734201E-2</v>
      </c>
      <c r="T16">
        <v>70.476737386069402</v>
      </c>
      <c r="U16">
        <v>1.7900000001422001</v>
      </c>
      <c r="V16">
        <v>1.5666666668242899</v>
      </c>
      <c r="W16">
        <v>1.1340579711954</v>
      </c>
      <c r="X16">
        <v>1.7900000001422001</v>
      </c>
      <c r="Y16">
        <v>1.5666666668242899</v>
      </c>
      <c r="Z16">
        <v>1.7900000001422001</v>
      </c>
      <c r="AA16">
        <v>1.5666666668242899</v>
      </c>
      <c r="AB16">
        <v>1.2683333334634099</v>
      </c>
      <c r="AC16">
        <v>-3.5932417273521401E-2</v>
      </c>
      <c r="AD16">
        <v>5.11926026734288</v>
      </c>
      <c r="AE16">
        <v>5.0715183073161096</v>
      </c>
      <c r="AF16">
        <v>5.2865878374767297</v>
      </c>
      <c r="AG16">
        <v>4.3867528010175203</v>
      </c>
      <c r="AH16">
        <v>1.36653383532813</v>
      </c>
      <c r="AI16">
        <v>23.52</v>
      </c>
      <c r="AJ16">
        <v>23.06</v>
      </c>
      <c r="AK16">
        <v>0.26773200455087398</v>
      </c>
      <c r="AL16">
        <v>0.34113834038725499</v>
      </c>
      <c r="AM16">
        <v>2.5245199999999999</v>
      </c>
      <c r="AN16">
        <v>315.66931596079797</v>
      </c>
      <c r="AO16">
        <v>5.4949896391873497E-2</v>
      </c>
      <c r="AP16">
        <v>5.1091939204304201E-2</v>
      </c>
      <c r="AQ16">
        <v>5.1162142794437197E-2</v>
      </c>
      <c r="AR16">
        <v>6.7350815884020407E-2</v>
      </c>
      <c r="AS16">
        <v>6.5855455998504495E-2</v>
      </c>
    </row>
    <row r="17" spans="1:45" x14ac:dyDescent="0.2">
      <c r="A17" t="s">
        <v>61</v>
      </c>
      <c r="B17" t="s">
        <v>57</v>
      </c>
      <c r="C17" t="s">
        <v>45</v>
      </c>
      <c r="D17">
        <v>83.64</v>
      </c>
      <c r="E17">
        <v>148.16</v>
      </c>
      <c r="F17" s="1">
        <v>4.55213641072327E-5</v>
      </c>
      <c r="G17">
        <v>-243.22782757552801</v>
      </c>
      <c r="H17">
        <v>0.12472222236552399</v>
      </c>
      <c r="I17">
        <v>-0.17611111095225401</v>
      </c>
      <c r="J17">
        <v>9.5803828129062702E-3</v>
      </c>
      <c r="K17">
        <v>-1.13333333318888</v>
      </c>
      <c r="L17">
        <v>-0.98333333317374505</v>
      </c>
      <c r="M17">
        <v>2.8333333476721199E-2</v>
      </c>
      <c r="N17">
        <v>-0.24666666650774899</v>
      </c>
      <c r="O17">
        <v>1.5653609278037</v>
      </c>
      <c r="P17">
        <v>4.7131114819147099E-2</v>
      </c>
      <c r="Q17">
        <v>-3.5627015262303498E-3</v>
      </c>
      <c r="R17">
        <v>-2.43088155984876E-3</v>
      </c>
      <c r="S17" s="1">
        <v>4.55213641072216E-5</v>
      </c>
      <c r="T17">
        <v>-382.68990496251598</v>
      </c>
      <c r="U17">
        <v>9.4722222365952097E-2</v>
      </c>
      <c r="V17">
        <v>-0.191111110951904</v>
      </c>
      <c r="W17">
        <v>-9.3417872582433007E-3</v>
      </c>
      <c r="X17">
        <v>-1.1633333331884499</v>
      </c>
      <c r="Y17">
        <v>-0.99833333317339501</v>
      </c>
      <c r="Z17">
        <v>-0.40166666652247801</v>
      </c>
      <c r="AA17">
        <v>-8.9999999840892894E-2</v>
      </c>
      <c r="AB17">
        <v>0.99511473428458996</v>
      </c>
      <c r="AC17">
        <v>-2.4308815598488099E-3</v>
      </c>
      <c r="AD17">
        <v>4.1180003389963904</v>
      </c>
      <c r="AE17">
        <v>4.4346127782020899</v>
      </c>
      <c r="AF17">
        <v>4.5756386233836501</v>
      </c>
      <c r="AG17">
        <v>4.0082535376863397</v>
      </c>
      <c r="AH17">
        <v>-1.4946230747875</v>
      </c>
      <c r="AI17">
        <v>32.61</v>
      </c>
      <c r="AJ17">
        <v>31.95</v>
      </c>
      <c r="AK17" s="1">
        <v>1.1170564070643399E-10</v>
      </c>
      <c r="AL17" s="1">
        <v>1.22378468022323E-6</v>
      </c>
      <c r="AM17">
        <v>10.36992</v>
      </c>
      <c r="AN17">
        <v>-345.25793027591402</v>
      </c>
      <c r="AO17">
        <v>9.2765530942083702E-2</v>
      </c>
      <c r="AP17">
        <v>8.3853340635579199E-2</v>
      </c>
      <c r="AQ17">
        <v>7.8807685896945895E-2</v>
      </c>
      <c r="AR17">
        <v>9.6193993995829494E-2</v>
      </c>
      <c r="AS17">
        <v>9.1694378636009696E-2</v>
      </c>
    </row>
    <row r="18" spans="1:45" x14ac:dyDescent="0.2">
      <c r="A18" t="s">
        <v>62</v>
      </c>
      <c r="B18" t="s">
        <v>57</v>
      </c>
      <c r="C18" t="s">
        <v>45</v>
      </c>
      <c r="D18">
        <v>65.78</v>
      </c>
      <c r="E18">
        <v>133.06</v>
      </c>
      <c r="F18">
        <v>-2.5088309455703599E-3</v>
      </c>
      <c r="G18">
        <v>-23.6480335243232</v>
      </c>
      <c r="H18">
        <v>0.82666666680935497</v>
      </c>
      <c r="I18">
        <v>0.24000000015848799</v>
      </c>
      <c r="J18">
        <v>0.21544576214958699</v>
      </c>
      <c r="K18">
        <v>0.38000000014308999</v>
      </c>
      <c r="L18">
        <v>0.163333333491887</v>
      </c>
      <c r="M18">
        <v>1.08500000014245</v>
      </c>
      <c r="N18">
        <v>0.163333333491887</v>
      </c>
      <c r="O18">
        <v>1.4658852848422399</v>
      </c>
      <c r="P18">
        <v>3.9844503237199999E-2</v>
      </c>
      <c r="Q18">
        <v>-5.5746487619606298E-3</v>
      </c>
      <c r="R18">
        <v>-4.6109367609023797E-3</v>
      </c>
      <c r="S18">
        <v>-2.5088309455703998E-3</v>
      </c>
      <c r="T18">
        <v>-304.19439923490398</v>
      </c>
      <c r="U18">
        <v>0.79666666680978304</v>
      </c>
      <c r="V18">
        <v>0.225000000158838</v>
      </c>
      <c r="W18">
        <v>0.212620773128082</v>
      </c>
      <c r="X18">
        <v>0.35000000014351801</v>
      </c>
      <c r="Y18">
        <v>0.14833333349223701</v>
      </c>
      <c r="Z18">
        <v>0.75833333347648402</v>
      </c>
      <c r="AA18">
        <v>0.14833333349223701</v>
      </c>
      <c r="AB18">
        <v>0.94822463769538401</v>
      </c>
      <c r="AC18">
        <v>-4.61093676090243E-3</v>
      </c>
      <c r="AD18">
        <v>5.31217370663569</v>
      </c>
      <c r="AE18">
        <v>5.0121195628713702</v>
      </c>
      <c r="AF18">
        <v>6.0787123422332199</v>
      </c>
      <c r="AG18">
        <v>8.0464470480113093</v>
      </c>
      <c r="AH18">
        <v>1.7884776582492001E-2</v>
      </c>
      <c r="AI18">
        <v>25.988</v>
      </c>
      <c r="AJ18">
        <v>25.507999999999999</v>
      </c>
      <c r="AK18" s="1">
        <v>4.8564601002624801E-5</v>
      </c>
      <c r="AL18">
        <v>4.0606710737090299E-4</v>
      </c>
      <c r="AM18">
        <v>5.5509000000000004</v>
      </c>
      <c r="AN18">
        <v>4.1313833905556603</v>
      </c>
      <c r="AO18">
        <v>6.5079738643507301E-2</v>
      </c>
      <c r="AP18">
        <v>5.5018453477531003E-2</v>
      </c>
      <c r="AQ18">
        <v>5.0958470515804599E-2</v>
      </c>
      <c r="AR18">
        <v>7.5476755756300501E-2</v>
      </c>
      <c r="AS18">
        <v>7.2109573012944003E-2</v>
      </c>
    </row>
    <row r="19" spans="1:45" x14ac:dyDescent="0.2">
      <c r="A19" t="s">
        <v>63</v>
      </c>
      <c r="B19" t="s">
        <v>57</v>
      </c>
      <c r="C19" t="s">
        <v>45</v>
      </c>
      <c r="D19">
        <v>51.8</v>
      </c>
      <c r="E19">
        <v>118.02</v>
      </c>
      <c r="F19">
        <v>-2.5088309455703599E-3</v>
      </c>
      <c r="G19">
        <v>26.749540410531601</v>
      </c>
      <c r="H19">
        <v>0.83083333347599797</v>
      </c>
      <c r="I19">
        <v>0.24083333349182301</v>
      </c>
      <c r="J19">
        <v>0.21569563405707101</v>
      </c>
      <c r="K19">
        <v>0.386666666809724</v>
      </c>
      <c r="L19">
        <v>0.16500000015855601</v>
      </c>
      <c r="M19">
        <v>1.0866666668091001</v>
      </c>
      <c r="N19">
        <v>0.16500000015855601</v>
      </c>
      <c r="O19">
        <v>1.46358130761747</v>
      </c>
      <c r="P19">
        <v>3.5902568009730802E-2</v>
      </c>
      <c r="Q19">
        <v>-5.0787887683665404E-3</v>
      </c>
      <c r="R19">
        <v>-4.6109367609023797E-3</v>
      </c>
      <c r="S19">
        <v>-2.5088309455703998E-3</v>
      </c>
      <c r="T19">
        <v>-191.40538681742299</v>
      </c>
      <c r="U19">
        <v>0.80083333347642505</v>
      </c>
      <c r="V19">
        <v>0.22583333349217299</v>
      </c>
      <c r="W19">
        <v>0.21292270549523401</v>
      </c>
      <c r="X19">
        <v>0.35666666681015102</v>
      </c>
      <c r="Y19">
        <v>0.15000000015890599</v>
      </c>
      <c r="Z19">
        <v>0.761666666809796</v>
      </c>
      <c r="AA19">
        <v>0.15000000015890599</v>
      </c>
      <c r="AB19">
        <v>0.94905797102872202</v>
      </c>
      <c r="AC19">
        <v>-4.61093676090243E-3</v>
      </c>
      <c r="AD19">
        <v>5.2903462672644297</v>
      </c>
      <c r="AE19">
        <v>5.0181329679065501</v>
      </c>
      <c r="AF19">
        <v>6.0092973316302301</v>
      </c>
      <c r="AG19">
        <v>7.9024365546803299</v>
      </c>
      <c r="AH19">
        <v>0.38826982196168602</v>
      </c>
      <c r="AI19">
        <v>25.988</v>
      </c>
      <c r="AJ19">
        <v>25.507999999999999</v>
      </c>
      <c r="AK19">
        <v>3.7987526802596498E-4</v>
      </c>
      <c r="AL19">
        <v>1.66249131720322E-3</v>
      </c>
      <c r="AM19">
        <v>5.4938599999999997</v>
      </c>
      <c r="AN19">
        <v>83.791127356098002</v>
      </c>
      <c r="AO19">
        <v>6.5412477799835195E-2</v>
      </c>
      <c r="AP19">
        <v>5.5018453477531003E-2</v>
      </c>
      <c r="AQ19">
        <v>5.0958470515804599E-2</v>
      </c>
      <c r="AR19">
        <v>7.5476755756300501E-2</v>
      </c>
      <c r="AS19">
        <v>7.2109573012944003E-2</v>
      </c>
    </row>
    <row r="20" spans="1:45" x14ac:dyDescent="0.2">
      <c r="A20" t="s">
        <v>64</v>
      </c>
      <c r="B20" t="s">
        <v>57</v>
      </c>
      <c r="C20" t="s">
        <v>45</v>
      </c>
      <c r="D20">
        <v>12.82</v>
      </c>
      <c r="E20">
        <v>55.5</v>
      </c>
      <c r="F20">
        <v>-2.5088309455703599E-3</v>
      </c>
      <c r="G20">
        <v>108.175535653164</v>
      </c>
      <c r="H20">
        <v>0.82833333347600202</v>
      </c>
      <c r="I20">
        <v>0.24000000015849701</v>
      </c>
      <c r="J20">
        <v>0.21406158523552199</v>
      </c>
      <c r="K20">
        <v>0.38500000014306301</v>
      </c>
      <c r="L20">
        <v>0.165000000158565</v>
      </c>
      <c r="M20">
        <v>1.08333333347577</v>
      </c>
      <c r="N20">
        <v>0.165000000158565</v>
      </c>
      <c r="O20">
        <v>1.4597836556425501</v>
      </c>
      <c r="P20">
        <v>5.7224171464256297E-2</v>
      </c>
      <c r="Q20">
        <v>-5.5746487619606298E-3</v>
      </c>
      <c r="R20">
        <v>-4.6109367609023797E-3</v>
      </c>
      <c r="S20">
        <v>-2.5088309455703998E-3</v>
      </c>
      <c r="T20">
        <v>-2.0929211413737399</v>
      </c>
      <c r="U20">
        <v>0.79833333347642998</v>
      </c>
      <c r="V20">
        <v>0.225000000158847</v>
      </c>
      <c r="W20">
        <v>0.211582125785089</v>
      </c>
      <c r="X20">
        <v>0.35500000014349098</v>
      </c>
      <c r="Y20">
        <v>0.15000000015891499</v>
      </c>
      <c r="Z20">
        <v>0.756666666809796</v>
      </c>
      <c r="AA20">
        <v>0.15000000015891499</v>
      </c>
      <c r="AB20">
        <v>0.94865942030408501</v>
      </c>
      <c r="AC20">
        <v>-4.61093676090243E-3</v>
      </c>
      <c r="AD20">
        <v>4.9182098025901597</v>
      </c>
      <c r="AE20">
        <v>5.0133013486965101</v>
      </c>
      <c r="AF20">
        <v>5.62184573813499</v>
      </c>
      <c r="AG20">
        <v>7.1887430435661601</v>
      </c>
      <c r="AH20">
        <v>1.10871920896698</v>
      </c>
      <c r="AI20">
        <v>25.988</v>
      </c>
      <c r="AJ20">
        <v>25.507999999999999</v>
      </c>
      <c r="AK20">
        <v>3.2562168276705897E-2</v>
      </c>
      <c r="AL20">
        <v>5.6706345906490999E-2</v>
      </c>
      <c r="AM20">
        <v>5.5509000000000004</v>
      </c>
      <c r="AN20">
        <v>256.11413727137199</v>
      </c>
      <c r="AO20">
        <v>6.5079738643507301E-2</v>
      </c>
      <c r="AP20">
        <v>5.5018453477531003E-2</v>
      </c>
      <c r="AQ20">
        <v>5.0958470515804599E-2</v>
      </c>
      <c r="AR20">
        <v>7.5476755756300501E-2</v>
      </c>
      <c r="AS20">
        <v>7.2109573012944003E-2</v>
      </c>
    </row>
    <row r="21" spans="1:45" x14ac:dyDescent="0.2">
      <c r="A21" t="s">
        <v>110</v>
      </c>
      <c r="B21" t="s">
        <v>57</v>
      </c>
      <c r="C21" t="s">
        <v>45</v>
      </c>
      <c r="D21">
        <v>3.78</v>
      </c>
      <c r="E21">
        <v>22.72</v>
      </c>
      <c r="F21">
        <v>-5.6927726949963803E-3</v>
      </c>
      <c r="G21">
        <v>141.32054036952201</v>
      </c>
      <c r="H21">
        <v>0.97500000014253096</v>
      </c>
      <c r="I21">
        <v>0.24250000015848799</v>
      </c>
      <c r="J21">
        <v>0.29352409987463901</v>
      </c>
      <c r="K21">
        <v>0.72166666680943303</v>
      </c>
      <c r="L21">
        <v>0.160000000158565</v>
      </c>
      <c r="M21">
        <v>1.1516666668090301</v>
      </c>
      <c r="N21">
        <v>0.26666666682513501</v>
      </c>
      <c r="O21">
        <v>1.4022971148368499</v>
      </c>
      <c r="P21">
        <v>5.97664587781764E-2</v>
      </c>
      <c r="Q21">
        <v>-7.5686662041827097E-3</v>
      </c>
      <c r="R21">
        <v>-6.8131493330001397E-3</v>
      </c>
      <c r="S21">
        <v>-5.6927726949964298E-3</v>
      </c>
      <c r="T21">
        <v>44.885137119948297</v>
      </c>
      <c r="U21">
        <v>0.94500000014295804</v>
      </c>
      <c r="V21">
        <v>0.22750000015883801</v>
      </c>
      <c r="W21">
        <v>0.29178743979472699</v>
      </c>
      <c r="X21">
        <v>0.69166666680986</v>
      </c>
      <c r="Y21">
        <v>0.14500000015891501</v>
      </c>
      <c r="Z21">
        <v>0.86000000014303601</v>
      </c>
      <c r="AA21">
        <v>0.251666666825485</v>
      </c>
      <c r="AB21">
        <v>1.0001932367364199</v>
      </c>
      <c r="AC21">
        <v>-6.81314933300021E-3</v>
      </c>
      <c r="AD21">
        <v>4.7019233281250301</v>
      </c>
      <c r="AE21">
        <v>5.6764798259187401</v>
      </c>
      <c r="AF21">
        <v>5.7699227120739502</v>
      </c>
      <c r="AG21">
        <v>7.5379645715491002</v>
      </c>
      <c r="AH21">
        <v>1.35289366520124</v>
      </c>
      <c r="AI21">
        <v>24.768000000000001</v>
      </c>
      <c r="AJ21">
        <v>24.288</v>
      </c>
      <c r="AK21">
        <v>0.165170081216472</v>
      </c>
      <c r="AL21">
        <v>0.294751691327299</v>
      </c>
      <c r="AM21">
        <v>4.4257</v>
      </c>
      <c r="AN21">
        <v>312.51843666148699</v>
      </c>
      <c r="AO21">
        <v>5.7832159604592301E-2</v>
      </c>
      <c r="AP21">
        <v>4.7224093846474198E-2</v>
      </c>
      <c r="AQ21">
        <v>4.4530775756975498E-2</v>
      </c>
      <c r="AR21">
        <v>6.9996120452758201E-2</v>
      </c>
      <c r="AS21">
        <v>6.7734414784681701E-2</v>
      </c>
    </row>
    <row r="22" spans="1:45" x14ac:dyDescent="0.2">
      <c r="A22" t="s">
        <v>65</v>
      </c>
      <c r="B22" t="s">
        <v>57</v>
      </c>
      <c r="C22" t="s">
        <v>45</v>
      </c>
      <c r="D22">
        <v>2.08</v>
      </c>
      <c r="E22">
        <v>13</v>
      </c>
      <c r="F22">
        <v>-8.2394238618703399E-3</v>
      </c>
      <c r="G22">
        <v>150.35714916388201</v>
      </c>
      <c r="H22">
        <v>1.1733333334756599</v>
      </c>
      <c r="I22">
        <v>0.22583333349187301</v>
      </c>
      <c r="J22">
        <v>0.34335995846048101</v>
      </c>
      <c r="K22">
        <v>1.11166666680905</v>
      </c>
      <c r="L22">
        <v>0.20166666682522599</v>
      </c>
      <c r="M22">
        <v>1.2350000001422701</v>
      </c>
      <c r="N22">
        <v>0.25000000015851997</v>
      </c>
      <c r="O22">
        <v>1.3764328736962801</v>
      </c>
      <c r="P22">
        <v>6.1007751248957097E-2</v>
      </c>
      <c r="Q22">
        <v>-9.1387548624228092E-3</v>
      </c>
      <c r="R22">
        <v>-8.5195562243461104E-3</v>
      </c>
      <c r="S22">
        <v>-8.2394238618704006E-3</v>
      </c>
      <c r="T22">
        <v>62.541161263798898</v>
      </c>
      <c r="U22">
        <v>1.14333333347608</v>
      </c>
      <c r="V22">
        <v>0.210833333492223</v>
      </c>
      <c r="W22">
        <v>0.34194444462563101</v>
      </c>
      <c r="X22">
        <v>1.0816666668094701</v>
      </c>
      <c r="Y22">
        <v>0.18666666682557601</v>
      </c>
      <c r="Z22">
        <v>1.2050000001426899</v>
      </c>
      <c r="AA22">
        <v>0.18666666682557601</v>
      </c>
      <c r="AB22">
        <v>1.0042632850455999</v>
      </c>
      <c r="AC22">
        <v>-8.5195562243461902E-3</v>
      </c>
      <c r="AD22">
        <v>4.6578804922188004</v>
      </c>
      <c r="AE22">
        <v>6.0431362534419497</v>
      </c>
      <c r="AF22">
        <v>5.7998898825193503</v>
      </c>
      <c r="AG22">
        <v>7.6068613234680997</v>
      </c>
      <c r="AH22">
        <v>1.4278249353119701</v>
      </c>
      <c r="AI22">
        <v>24.388000000000002</v>
      </c>
      <c r="AJ22">
        <v>23.928000000000001</v>
      </c>
      <c r="AK22">
        <v>0.30827967014980401</v>
      </c>
      <c r="AL22">
        <v>0.48984216297211303</v>
      </c>
      <c r="AM22">
        <v>3.9156599999999999</v>
      </c>
      <c r="AN22">
        <v>329.827560057065</v>
      </c>
      <c r="AO22">
        <v>5.47608875629466E-2</v>
      </c>
      <c r="AP22">
        <v>4.4484035225868197E-2</v>
      </c>
      <c r="AQ22">
        <v>4.2712464138885603E-2</v>
      </c>
      <c r="AR22">
        <v>6.7636035289695001E-2</v>
      </c>
      <c r="AS22">
        <v>6.5971182181608107E-2</v>
      </c>
    </row>
    <row r="23" spans="1:45" x14ac:dyDescent="0.2">
      <c r="A23" t="s">
        <v>111</v>
      </c>
      <c r="B23" t="s">
        <v>57</v>
      </c>
      <c r="C23" t="s">
        <v>45</v>
      </c>
      <c r="D23">
        <v>1.26</v>
      </c>
      <c r="E23">
        <v>5.66</v>
      </c>
      <c r="F23">
        <v>-1.2642843343399299E-2</v>
      </c>
      <c r="G23">
        <v>155.23173573203201</v>
      </c>
      <c r="H23">
        <v>1.4966666668087101</v>
      </c>
      <c r="I23">
        <v>0.44333333349165899</v>
      </c>
      <c r="J23">
        <v>0.44643500237789602</v>
      </c>
      <c r="K23">
        <v>1.4516666668087499</v>
      </c>
      <c r="L23">
        <v>0.44333333349165899</v>
      </c>
      <c r="M23">
        <v>1.54166666680866</v>
      </c>
      <c r="N23">
        <v>0.44333333349165899</v>
      </c>
      <c r="O23">
        <v>1.38815669507163</v>
      </c>
      <c r="P23">
        <v>6.2428591347659899E-2</v>
      </c>
      <c r="Q23">
        <v>-1.18397578103043E-2</v>
      </c>
      <c r="R23">
        <v>-1.1908393144607499E-2</v>
      </c>
      <c r="S23">
        <v>-1.2642843343399299E-2</v>
      </c>
      <c r="T23">
        <v>79.546074676652907</v>
      </c>
      <c r="U23">
        <v>1.4666666668091299</v>
      </c>
      <c r="V23">
        <v>0.42833333349200903</v>
      </c>
      <c r="W23">
        <v>0.44402173931160199</v>
      </c>
      <c r="X23">
        <v>1.42166666680917</v>
      </c>
      <c r="Y23">
        <v>0.42833333349200903</v>
      </c>
      <c r="Z23">
        <v>1.5116666668090899</v>
      </c>
      <c r="AA23">
        <v>0.42833333349200903</v>
      </c>
      <c r="AB23">
        <v>0.99228260871711405</v>
      </c>
      <c r="AC23">
        <v>-1.1908393144607499E-2</v>
      </c>
      <c r="AD23">
        <v>4.5895426360876703</v>
      </c>
      <c r="AE23">
        <v>6.2536101507717401</v>
      </c>
      <c r="AF23">
        <v>5.6731718681658396</v>
      </c>
      <c r="AG23">
        <v>7.24148952910764</v>
      </c>
      <c r="AH23">
        <v>1.4786525560436099</v>
      </c>
      <c r="AI23">
        <v>23.988</v>
      </c>
      <c r="AJ23">
        <v>23.527999999999999</v>
      </c>
      <c r="AK23">
        <v>0.471468417526828</v>
      </c>
      <c r="AL23">
        <v>0.59958972115051001</v>
      </c>
      <c r="AM23">
        <v>3.3626</v>
      </c>
      <c r="AN23">
        <v>341.56874044607503</v>
      </c>
      <c r="AO23">
        <v>5.2027442551353102E-2</v>
      </c>
      <c r="AP23">
        <v>4.2869523304347401E-2</v>
      </c>
      <c r="AQ23">
        <v>4.2395032514759901E-2</v>
      </c>
      <c r="AR23">
        <v>6.5384368097476706E-2</v>
      </c>
      <c r="AS23">
        <v>6.4359110750675796E-2</v>
      </c>
    </row>
    <row r="24" spans="1:45" x14ac:dyDescent="0.2">
      <c r="A24" t="s">
        <v>66</v>
      </c>
      <c r="B24" t="s">
        <v>57</v>
      </c>
      <c r="C24" t="s">
        <v>45</v>
      </c>
      <c r="D24">
        <v>27.16</v>
      </c>
      <c r="E24">
        <v>83.02</v>
      </c>
      <c r="F24">
        <v>1.3445156223171101E-3</v>
      </c>
      <c r="G24">
        <v>28.202166214582999</v>
      </c>
      <c r="H24">
        <v>0.214722222365405</v>
      </c>
      <c r="I24">
        <v>-9.33333331745234E-2</v>
      </c>
      <c r="J24">
        <v>-3.3948017128519997E-2</v>
      </c>
      <c r="K24">
        <v>-1.23666666652215</v>
      </c>
      <c r="L24">
        <v>-0.88499999984046995</v>
      </c>
      <c r="M24">
        <v>1.3333333476693901E-2</v>
      </c>
      <c r="N24">
        <v>-4.1666666507903703E-2</v>
      </c>
      <c r="O24">
        <v>1.64753355448228</v>
      </c>
      <c r="P24">
        <v>7.1756507707571096E-2</v>
      </c>
      <c r="Q24">
        <v>-3.06915294461341E-3</v>
      </c>
      <c r="R24">
        <v>-1.5583086013793801E-3</v>
      </c>
      <c r="S24">
        <v>1.3445156223171101E-3</v>
      </c>
      <c r="T24">
        <v>-29.181604335375301</v>
      </c>
      <c r="U24">
        <v>0.18472222236583299</v>
      </c>
      <c r="V24">
        <v>-0.108333333174173</v>
      </c>
      <c r="W24">
        <v>-5.25362317026681E-2</v>
      </c>
      <c r="X24">
        <v>-1.2666666665217201</v>
      </c>
      <c r="Y24">
        <v>-0.89999999984011902</v>
      </c>
      <c r="Z24">
        <v>-0.29666666652261398</v>
      </c>
      <c r="AA24">
        <v>-9.6666666507526297E-2</v>
      </c>
      <c r="AB24">
        <v>0.98012077293196298</v>
      </c>
      <c r="AC24">
        <v>-1.55830860137942E-3</v>
      </c>
      <c r="AD24">
        <v>4.0166117721039996</v>
      </c>
      <c r="AE24">
        <v>3.9779443403999801</v>
      </c>
      <c r="AF24">
        <v>4.2305000886554902</v>
      </c>
      <c r="AG24">
        <v>4.0918293679340598</v>
      </c>
      <c r="AH24">
        <v>0.50137628357568398</v>
      </c>
      <c r="AI24">
        <v>32.588000000000001</v>
      </c>
      <c r="AJ24">
        <v>31.968</v>
      </c>
      <c r="AK24">
        <v>4.2638708517007597E-3</v>
      </c>
      <c r="AL24">
        <v>1.2466069611972099E-2</v>
      </c>
      <c r="AM24">
        <v>10.63796</v>
      </c>
      <c r="AN24">
        <v>115.81792150598299</v>
      </c>
      <c r="AO24">
        <v>9.4476298659332103E-2</v>
      </c>
      <c r="AP24">
        <v>8.6114804353854602E-2</v>
      </c>
      <c r="AQ24">
        <v>7.9111148986310401E-2</v>
      </c>
      <c r="AR24">
        <v>9.8127931476439598E-2</v>
      </c>
      <c r="AS24">
        <v>9.18481565315835E-2</v>
      </c>
    </row>
    <row r="25" spans="1:45" x14ac:dyDescent="0.2">
      <c r="A25" t="s">
        <v>112</v>
      </c>
      <c r="B25" t="s">
        <v>57</v>
      </c>
      <c r="C25" t="s">
        <v>45</v>
      </c>
      <c r="D25">
        <v>4.22</v>
      </c>
      <c r="E25">
        <v>24.54</v>
      </c>
      <c r="F25">
        <v>1.4898310519836401E-3</v>
      </c>
      <c r="G25">
        <v>105.988741012527</v>
      </c>
      <c r="H25">
        <v>0.50972222236518505</v>
      </c>
      <c r="I25">
        <v>-9.4166666507858293E-2</v>
      </c>
      <c r="J25">
        <v>4.9586343689738598E-2</v>
      </c>
      <c r="K25">
        <v>-0.30833333318962097</v>
      </c>
      <c r="L25">
        <v>-0.36666666650760299</v>
      </c>
      <c r="M25">
        <v>0.51000000014297198</v>
      </c>
      <c r="N25">
        <v>-0.163333333174455</v>
      </c>
      <c r="O25">
        <v>1.60417873284429</v>
      </c>
      <c r="P25">
        <v>7.9309658062092198E-2</v>
      </c>
      <c r="Q25">
        <v>-3.0259123648159101E-3</v>
      </c>
      <c r="R25">
        <v>-1.8223798871040201E-3</v>
      </c>
      <c r="S25">
        <v>1.4898310519836601E-3</v>
      </c>
      <c r="T25">
        <v>54.240233674465301</v>
      </c>
      <c r="U25">
        <v>0.47972222236561202</v>
      </c>
      <c r="V25">
        <v>-0.109166666507508</v>
      </c>
      <c r="W25">
        <v>4.48743963166039E-2</v>
      </c>
      <c r="X25">
        <v>-0.33833333318919301</v>
      </c>
      <c r="Y25">
        <v>-0.38166666650725301</v>
      </c>
      <c r="Z25">
        <v>0.39500000014348102</v>
      </c>
      <c r="AA25">
        <v>-0.17833333317410499</v>
      </c>
      <c r="AB25">
        <v>0.94097101448515996</v>
      </c>
      <c r="AC25">
        <v>-1.82237988710406E-3</v>
      </c>
      <c r="AD25">
        <v>4.3664234237262702</v>
      </c>
      <c r="AE25">
        <v>4.2515715509313399</v>
      </c>
      <c r="AF25">
        <v>4.8007458520921196</v>
      </c>
      <c r="AG25">
        <v>5.3242891938809098</v>
      </c>
      <c r="AH25">
        <v>1.0242369417552999</v>
      </c>
      <c r="AI25">
        <v>27.954000000000001</v>
      </c>
      <c r="AJ25">
        <v>27.454000000000001</v>
      </c>
      <c r="AK25">
        <v>0.12163306866383899</v>
      </c>
      <c r="AL25">
        <v>0.22954476270854299</v>
      </c>
      <c r="AM25">
        <v>7.67408</v>
      </c>
      <c r="AN25">
        <v>236.59873354547599</v>
      </c>
      <c r="AO25">
        <v>7.9722291686563806E-2</v>
      </c>
      <c r="AP25">
        <v>6.8225504338927295E-2</v>
      </c>
      <c r="AQ25">
        <v>6.21019050369171E-2</v>
      </c>
      <c r="AR25">
        <v>8.5590694941959505E-2</v>
      </c>
      <c r="AS25">
        <v>8.0473486110890904E-2</v>
      </c>
    </row>
    <row r="26" spans="1:45" x14ac:dyDescent="0.2">
      <c r="A26" t="s">
        <v>113</v>
      </c>
      <c r="B26" t="s">
        <v>57</v>
      </c>
      <c r="C26" t="s">
        <v>45</v>
      </c>
      <c r="D26">
        <v>0.3</v>
      </c>
      <c r="E26">
        <v>2.3199999999999998</v>
      </c>
      <c r="F26">
        <v>2.4155467330998701E-2</v>
      </c>
      <c r="G26">
        <v>65.641334125528303</v>
      </c>
      <c r="H26">
        <v>-0.92083333318906602</v>
      </c>
      <c r="I26">
        <v>-0.29249999984104302</v>
      </c>
      <c r="J26">
        <v>-0.34978288299662103</v>
      </c>
      <c r="K26">
        <v>-1.7649999998549699</v>
      </c>
      <c r="L26">
        <v>-0.77499999984060597</v>
      </c>
      <c r="M26">
        <v>-1.6499999998550701</v>
      </c>
      <c r="N26">
        <v>-0.77499999984060597</v>
      </c>
      <c r="O26">
        <v>2.5704512315796499</v>
      </c>
      <c r="P26">
        <v>0.16789779330728399</v>
      </c>
      <c r="Q26">
        <v>3.3781790156625302E-2</v>
      </c>
      <c r="R26">
        <v>-8.0323312546027696E-3</v>
      </c>
      <c r="S26">
        <v>2.4155467330998701E-2</v>
      </c>
      <c r="T26">
        <v>59.223843299348097</v>
      </c>
      <c r="U26">
        <v>-0.95083333318863805</v>
      </c>
      <c r="V26">
        <v>-0.30749999984069198</v>
      </c>
      <c r="W26">
        <v>-0.38461352638792101</v>
      </c>
      <c r="X26">
        <v>-1.7949999998545401</v>
      </c>
      <c r="Y26">
        <v>-0.78999999984025604</v>
      </c>
      <c r="Z26">
        <v>-1.3866666665215599</v>
      </c>
      <c r="AA26">
        <v>-0.42499999984058301</v>
      </c>
      <c r="AB26">
        <v>1.04070048304046</v>
      </c>
      <c r="AC26">
        <v>-8.0323312546027904E-3</v>
      </c>
      <c r="AD26">
        <v>2.4830472475621801</v>
      </c>
      <c r="AE26">
        <v>2.30365791629904</v>
      </c>
      <c r="AF26">
        <v>2.5576684123956399</v>
      </c>
      <c r="AG26">
        <v>2.3319025043253401</v>
      </c>
      <c r="AH26">
        <v>0.64728263021038701</v>
      </c>
      <c r="AI26">
        <v>27.027999999999999</v>
      </c>
      <c r="AJ26">
        <v>26.527999999999999</v>
      </c>
      <c r="AK26">
        <v>0.696737846355999</v>
      </c>
      <c r="AL26">
        <v>0.81158667204741497</v>
      </c>
      <c r="AM26">
        <v>11.45866</v>
      </c>
      <c r="AN26">
        <v>143.69674390670599</v>
      </c>
      <c r="AO26">
        <v>0.107764118260793</v>
      </c>
      <c r="AP26">
        <v>0.105182140100737</v>
      </c>
      <c r="AQ26">
        <v>9.5721156475593594E-2</v>
      </c>
      <c r="AR26">
        <v>0.115891403983495</v>
      </c>
      <c r="AS26">
        <v>0.106831797292119</v>
      </c>
    </row>
    <row r="27" spans="1:45" x14ac:dyDescent="0.2">
      <c r="A27" t="s">
        <v>68</v>
      </c>
      <c r="B27" t="s">
        <v>57</v>
      </c>
      <c r="C27" t="s">
        <v>45</v>
      </c>
      <c r="D27">
        <v>40.86</v>
      </c>
      <c r="E27">
        <v>87.86</v>
      </c>
      <c r="F27">
        <v>-2.5308498104849898E-2</v>
      </c>
      <c r="G27">
        <v>-14415.4573694758</v>
      </c>
      <c r="H27">
        <v>0.914305555698117</v>
      </c>
      <c r="I27">
        <v>0.47791666682494899</v>
      </c>
      <c r="J27">
        <v>0.62579894982319895</v>
      </c>
      <c r="K27">
        <v>-1.89999999985485</v>
      </c>
      <c r="L27">
        <v>-1.71333333317306</v>
      </c>
      <c r="M27">
        <v>1.00000000014248</v>
      </c>
      <c r="N27">
        <v>1.2583333334909199</v>
      </c>
      <c r="O27">
        <v>2.0868829386259899</v>
      </c>
      <c r="P27">
        <v>5.8138571035983098E-2</v>
      </c>
      <c r="Q27">
        <v>-2.0239763318343901E-2</v>
      </c>
      <c r="R27">
        <v>-1.7825273334979901E-2</v>
      </c>
      <c r="S27">
        <v>-2.5308498104849999E-2</v>
      </c>
      <c r="T27">
        <v>-7806.09481563588</v>
      </c>
      <c r="U27">
        <v>0.88430555569854497</v>
      </c>
      <c r="V27">
        <v>0.46291666682529897</v>
      </c>
      <c r="W27">
        <v>0.62215942047086203</v>
      </c>
      <c r="X27">
        <v>-1.9299999998544199</v>
      </c>
      <c r="Y27">
        <v>-1.72833333317271</v>
      </c>
      <c r="Z27">
        <v>0.46500000014337201</v>
      </c>
      <c r="AA27">
        <v>0.92166666682488496</v>
      </c>
      <c r="AB27">
        <v>1.2211256039221201</v>
      </c>
      <c r="AC27">
        <v>-1.7825273334980001E-2</v>
      </c>
      <c r="AD27">
        <v>2.4615996331508199</v>
      </c>
      <c r="AE27">
        <v>3.1305207564745698</v>
      </c>
      <c r="AF27">
        <v>2.9165028197782901</v>
      </c>
      <c r="AG27">
        <v>3.4486900143786698</v>
      </c>
      <c r="AH27">
        <v>-1565.14780861028</v>
      </c>
      <c r="AI27">
        <v>47.69</v>
      </c>
      <c r="AJ27">
        <v>46.71</v>
      </c>
      <c r="AK27" s="1">
        <v>1.0895185813993099E-12</v>
      </c>
      <c r="AL27">
        <v>3.29018065737932E-3</v>
      </c>
      <c r="AM27">
        <v>18.589939999999999</v>
      </c>
      <c r="AN27">
        <v>-361549.14378897502</v>
      </c>
      <c r="AO27">
        <v>9.5811645529830999E-2</v>
      </c>
      <c r="AP27">
        <v>0.114560647128192</v>
      </c>
      <c r="AQ27">
        <v>0.113909417695067</v>
      </c>
      <c r="AR27">
        <v>0.124444869360107</v>
      </c>
      <c r="AS27">
        <v>0.122547783571434</v>
      </c>
    </row>
    <row r="28" spans="1:45" x14ac:dyDescent="0.2">
      <c r="A28" t="s">
        <v>69</v>
      </c>
      <c r="B28" t="s">
        <v>70</v>
      </c>
      <c r="C28" t="s">
        <v>45</v>
      </c>
      <c r="D28">
        <v>1.74</v>
      </c>
      <c r="E28">
        <v>8.6199999999999992</v>
      </c>
      <c r="F28">
        <v>2.4147864580997499E-3</v>
      </c>
      <c r="G28">
        <v>114.683157623201</v>
      </c>
      <c r="H28">
        <v>1.97833333347497</v>
      </c>
      <c r="I28">
        <v>-0.38999999984091999</v>
      </c>
      <c r="J28">
        <v>-6.4834714720908904E-2</v>
      </c>
      <c r="K28">
        <v>1.8916666668083899</v>
      </c>
      <c r="L28">
        <v>-0.40166666650757599</v>
      </c>
      <c r="M28">
        <v>2.06500000014156</v>
      </c>
      <c r="N28">
        <v>-0.37833333317426399</v>
      </c>
      <c r="O28">
        <v>1.98211296703491</v>
      </c>
      <c r="P28">
        <v>8.64074842965845E-2</v>
      </c>
      <c r="Q28">
        <v>-2.2944768265473398E-3</v>
      </c>
      <c r="R28">
        <v>2.8289423212771898E-2</v>
      </c>
      <c r="S28">
        <v>2.4147864580997399E-3</v>
      </c>
      <c r="T28">
        <v>92.346787612622094</v>
      </c>
      <c r="U28">
        <v>1.9483333334754001</v>
      </c>
      <c r="V28">
        <v>-0.40499999984057</v>
      </c>
      <c r="W28">
        <v>-5.5084540881932702E-2</v>
      </c>
      <c r="X28">
        <v>1.86166666680882</v>
      </c>
      <c r="Y28">
        <v>-0.416666666507226</v>
      </c>
      <c r="Z28">
        <v>1.9433333334754099</v>
      </c>
      <c r="AA28">
        <v>-0.393333333173914</v>
      </c>
      <c r="AB28">
        <v>1.0711714975697699</v>
      </c>
      <c r="AC28">
        <v>2.8289423212771801E-2</v>
      </c>
      <c r="AD28">
        <v>2.8344714623495699</v>
      </c>
      <c r="AE28">
        <v>3.8548136625812401</v>
      </c>
      <c r="AF28">
        <v>3.2582789633575899</v>
      </c>
      <c r="AG28">
        <v>4.3829282329892001</v>
      </c>
      <c r="AH28">
        <v>0.97484245229886701</v>
      </c>
      <c r="AI28">
        <v>25.327999999999999</v>
      </c>
      <c r="AJ28">
        <v>24.867999999999999</v>
      </c>
      <c r="AK28">
        <v>0.18369070826233799</v>
      </c>
      <c r="AL28">
        <v>0.49896789682477699</v>
      </c>
      <c r="AM28">
        <v>8.5295000000000005</v>
      </c>
      <c r="AN28">
        <v>205.69175743506099</v>
      </c>
      <c r="AO28">
        <v>9.2914302905527199E-2</v>
      </c>
      <c r="AP28">
        <v>6.7025166223553201E-2</v>
      </c>
      <c r="AQ28">
        <v>6.3255462422473693E-2</v>
      </c>
      <c r="AR28">
        <v>8.6301249875421995E-2</v>
      </c>
      <c r="AS28">
        <v>8.4046382135325295E-2</v>
      </c>
    </row>
    <row r="29" spans="1:45" x14ac:dyDescent="0.2">
      <c r="A29" t="s">
        <v>71</v>
      </c>
      <c r="B29" t="s">
        <v>70</v>
      </c>
      <c r="C29" t="s">
        <v>45</v>
      </c>
      <c r="D29">
        <v>8.74</v>
      </c>
      <c r="E29">
        <v>40.08</v>
      </c>
      <c r="F29">
        <v>-1.4427312075970301E-2</v>
      </c>
      <c r="G29">
        <v>150.80363422126001</v>
      </c>
      <c r="H29">
        <v>1.48500000014209</v>
      </c>
      <c r="I29">
        <v>0.40000000015835202</v>
      </c>
      <c r="J29">
        <v>0.51197271647557296</v>
      </c>
      <c r="K29">
        <v>1.45833333347544</v>
      </c>
      <c r="L29">
        <v>0.34833333349173201</v>
      </c>
      <c r="M29">
        <v>1.51166666680873</v>
      </c>
      <c r="N29">
        <v>0.34833333349173201</v>
      </c>
      <c r="O29">
        <v>1.4619080661411901</v>
      </c>
      <c r="P29">
        <v>4.9923310610229497E-2</v>
      </c>
      <c r="Q29">
        <v>-1.2922572496880501E-2</v>
      </c>
      <c r="R29">
        <v>-1.6111453530278201E-2</v>
      </c>
      <c r="S29">
        <v>-1.4427312075970301E-2</v>
      </c>
      <c r="T29">
        <v>95.630899329786303</v>
      </c>
      <c r="U29">
        <v>1.4550000001425101</v>
      </c>
      <c r="V29">
        <v>0.385000000158702</v>
      </c>
      <c r="W29">
        <v>0.50142512095428005</v>
      </c>
      <c r="X29">
        <v>1.4283333334758701</v>
      </c>
      <c r="Y29">
        <v>0.333333333492082</v>
      </c>
      <c r="Z29">
        <v>1.48166666680916</v>
      </c>
      <c r="AA29">
        <v>0.333333333492082</v>
      </c>
      <c r="AB29">
        <v>1.09442028989822</v>
      </c>
      <c r="AC29">
        <v>-1.6111453530278302E-2</v>
      </c>
      <c r="AD29">
        <v>4.4825383140139996</v>
      </c>
      <c r="AE29">
        <v>5.3275626127946802</v>
      </c>
      <c r="AF29">
        <v>5.2402161672905603</v>
      </c>
      <c r="AG29">
        <v>6.3880481585994797</v>
      </c>
      <c r="AH29">
        <v>1.19343354634788</v>
      </c>
      <c r="AI29">
        <v>24.184000000000001</v>
      </c>
      <c r="AJ29">
        <v>23.724</v>
      </c>
      <c r="AK29">
        <v>4.05774071604839E-2</v>
      </c>
      <c r="AL29">
        <v>0.125218384754165</v>
      </c>
      <c r="AM29">
        <v>5.4016799999999998</v>
      </c>
      <c r="AN29">
        <v>253.00791182575199</v>
      </c>
      <c r="AO29">
        <v>6.8158993566274598E-2</v>
      </c>
      <c r="AP29">
        <v>4.6026461634973599E-2</v>
      </c>
      <c r="AQ29">
        <v>4.5697345959574497E-2</v>
      </c>
      <c r="AR29">
        <v>6.8344377425894096E-2</v>
      </c>
      <c r="AS29">
        <v>6.76154541615549E-2</v>
      </c>
    </row>
    <row r="30" spans="1:45" x14ac:dyDescent="0.2">
      <c r="A30" t="s">
        <v>72</v>
      </c>
      <c r="B30" t="s">
        <v>70</v>
      </c>
      <c r="C30" t="s">
        <v>45</v>
      </c>
      <c r="D30">
        <v>11.22</v>
      </c>
      <c r="E30">
        <v>33.32</v>
      </c>
      <c r="F30">
        <v>-3.02728357370508E-2</v>
      </c>
      <c r="G30">
        <v>134.84375193527799</v>
      </c>
      <c r="H30">
        <v>1.5308333334753601</v>
      </c>
      <c r="I30">
        <v>1.18083333349098</v>
      </c>
      <c r="J30">
        <v>0.89486769890829598</v>
      </c>
      <c r="K30">
        <v>1.4166666668087899</v>
      </c>
      <c r="L30">
        <v>1.1250000001577001</v>
      </c>
      <c r="M30">
        <v>1.58666666680864</v>
      </c>
      <c r="N30">
        <v>1.2366666668242601</v>
      </c>
      <c r="O30">
        <v>1.4119952572301799</v>
      </c>
      <c r="P30">
        <v>5.3475222320887299E-2</v>
      </c>
      <c r="Q30">
        <v>-2.85016307373353E-2</v>
      </c>
      <c r="R30">
        <v>-2.6970475403751401E-2</v>
      </c>
      <c r="S30">
        <v>-3.02728357370508E-2</v>
      </c>
      <c r="T30">
        <v>104.89283280012501</v>
      </c>
      <c r="U30">
        <v>1.50083333347578</v>
      </c>
      <c r="V30">
        <v>1.16583333349133</v>
      </c>
      <c r="W30">
        <v>0.88910628037427697</v>
      </c>
      <c r="X30">
        <v>1.38666666680922</v>
      </c>
      <c r="Y30">
        <v>1.1100000001580499</v>
      </c>
      <c r="Z30">
        <v>1.48833333347579</v>
      </c>
      <c r="AA30">
        <v>1.2216666668246099</v>
      </c>
      <c r="AB30">
        <v>1.17990338171467</v>
      </c>
      <c r="AC30">
        <v>-2.6970475403751502E-2</v>
      </c>
      <c r="AD30">
        <v>4.3260972480292201</v>
      </c>
      <c r="AE30">
        <v>4.6688225559924401</v>
      </c>
      <c r="AF30">
        <v>4.7178471527751098</v>
      </c>
      <c r="AG30">
        <v>4.7775014840998002</v>
      </c>
      <c r="AH30">
        <v>1.12459219350619</v>
      </c>
      <c r="AI30">
        <v>25.256</v>
      </c>
      <c r="AJ30">
        <v>24.756</v>
      </c>
      <c r="AK30">
        <v>6.6678228157215594E-2</v>
      </c>
      <c r="AL30">
        <v>0.113324428842631</v>
      </c>
      <c r="AM30">
        <v>6.1829999999999998</v>
      </c>
      <c r="AN30">
        <v>238.41354502331299</v>
      </c>
      <c r="AO30">
        <v>6.3773122478475094E-2</v>
      </c>
      <c r="AP30">
        <v>5.2693884206290398E-2</v>
      </c>
      <c r="AQ30">
        <v>4.8308605706368898E-2</v>
      </c>
      <c r="AR30">
        <v>7.1036851153895894E-2</v>
      </c>
      <c r="AS30">
        <v>6.5374091655024905E-2</v>
      </c>
    </row>
    <row r="31" spans="1:45" x14ac:dyDescent="0.2">
      <c r="A31" t="s">
        <v>73</v>
      </c>
      <c r="B31" t="s">
        <v>74</v>
      </c>
      <c r="C31" t="s">
        <v>45</v>
      </c>
      <c r="D31">
        <v>0.72</v>
      </c>
      <c r="E31">
        <v>9.14</v>
      </c>
      <c r="F31">
        <v>-1.0002221228097101E-2</v>
      </c>
      <c r="G31">
        <v>155.160937986508</v>
      </c>
      <c r="H31">
        <v>1.1350000001423699</v>
      </c>
      <c r="I31">
        <v>0.439166666824994</v>
      </c>
      <c r="J31">
        <v>0.39320826031963502</v>
      </c>
      <c r="K31">
        <v>0.84333333347597506</v>
      </c>
      <c r="L31">
        <v>0.38666666682504403</v>
      </c>
      <c r="M31">
        <v>1.42666666680877</v>
      </c>
      <c r="N31">
        <v>0.49166666682494398</v>
      </c>
      <c r="O31">
        <v>1.30385556193898</v>
      </c>
      <c r="P31">
        <v>5.1925582581174697E-2</v>
      </c>
      <c r="Q31">
        <v>-9.6547214787276198E-3</v>
      </c>
      <c r="R31">
        <v>-1.04180394092914E-2</v>
      </c>
      <c r="S31">
        <v>-1.0002221228097199E-2</v>
      </c>
      <c r="T31">
        <v>109.218141680786</v>
      </c>
      <c r="U31">
        <v>1.1050000001428</v>
      </c>
      <c r="V31">
        <v>0.42416666682534399</v>
      </c>
      <c r="W31">
        <v>0.39035024172706201</v>
      </c>
      <c r="X31">
        <v>0.81333333347640202</v>
      </c>
      <c r="Y31">
        <v>0.37166666682539401</v>
      </c>
      <c r="Z31">
        <v>1.0733333334761599</v>
      </c>
      <c r="AA31">
        <v>0.43500000015867002</v>
      </c>
      <c r="AB31">
        <v>1.0045048309393201</v>
      </c>
      <c r="AC31">
        <v>-1.04180394092915E-2</v>
      </c>
      <c r="AD31">
        <v>4.6968231357531902</v>
      </c>
      <c r="AE31">
        <v>5.4301303279047497</v>
      </c>
      <c r="AF31">
        <v>5.5426580926911404</v>
      </c>
      <c r="AG31">
        <v>6.4881685512193101</v>
      </c>
      <c r="AH31">
        <v>1.5404095576755901</v>
      </c>
      <c r="AI31">
        <v>24.691999999999901</v>
      </c>
      <c r="AJ31">
        <v>24.212</v>
      </c>
      <c r="AK31">
        <v>0.38415926723294602</v>
      </c>
      <c r="AL31">
        <v>0.55151260854366402</v>
      </c>
      <c r="AM31">
        <v>4.6420599999999999</v>
      </c>
      <c r="AN31">
        <v>355.83460782306099</v>
      </c>
      <c r="AO31">
        <v>5.1670102769198603E-2</v>
      </c>
      <c r="AP31">
        <v>4.3371600724529301E-2</v>
      </c>
      <c r="AQ31">
        <v>4.2783042777827601E-2</v>
      </c>
      <c r="AR31">
        <v>6.5649962895923106E-2</v>
      </c>
      <c r="AS31">
        <v>6.4520513360789095E-2</v>
      </c>
    </row>
    <row r="32" spans="1:45" x14ac:dyDescent="0.2">
      <c r="A32" t="s">
        <v>75</v>
      </c>
      <c r="B32" t="s">
        <v>74</v>
      </c>
      <c r="C32" t="s">
        <v>45</v>
      </c>
      <c r="D32">
        <v>6.3</v>
      </c>
      <c r="E32">
        <v>62.26</v>
      </c>
      <c r="F32">
        <v>4.0846235148486502E-2</v>
      </c>
      <c r="G32">
        <v>103.70660839589701</v>
      </c>
      <c r="H32">
        <v>-4.9999999856536199E-2</v>
      </c>
      <c r="I32">
        <v>-1.09083333317361</v>
      </c>
      <c r="J32">
        <v>-1.41112209028799</v>
      </c>
      <c r="K32">
        <v>-0.33833333318960201</v>
      </c>
      <c r="L32">
        <v>-1.1316666665069099</v>
      </c>
      <c r="M32">
        <v>-0.19166666652307801</v>
      </c>
      <c r="N32">
        <v>-1.1316666665069099</v>
      </c>
      <c r="O32">
        <v>2.0437861434749598</v>
      </c>
      <c r="P32">
        <v>4.7839523002126898E-2</v>
      </c>
      <c r="Q32">
        <v>1.4073357595999E-2</v>
      </c>
      <c r="R32">
        <v>6.5259822941070106E-2</v>
      </c>
      <c r="S32">
        <v>4.0846235148486502E-2</v>
      </c>
      <c r="T32">
        <v>55.035735632352399</v>
      </c>
      <c r="U32">
        <v>-7.9999999856108797E-2</v>
      </c>
      <c r="V32">
        <v>-1.1058333331732599</v>
      </c>
      <c r="W32">
        <v>-1.3979347824275701</v>
      </c>
      <c r="X32">
        <v>-0.36833333318917499</v>
      </c>
      <c r="Y32">
        <v>-1.1466666665065599</v>
      </c>
      <c r="Z32">
        <v>-0.22166666652265099</v>
      </c>
      <c r="AA32">
        <v>-1.1466666665065599</v>
      </c>
      <c r="AB32">
        <v>1.5314130433332001</v>
      </c>
      <c r="AC32">
        <v>6.5259822941070106E-2</v>
      </c>
      <c r="AD32">
        <v>5.1992402484539602</v>
      </c>
      <c r="AE32">
        <v>5.2039777235427103</v>
      </c>
      <c r="AF32">
        <v>6.6331329284606699</v>
      </c>
      <c r="AG32">
        <v>6.0157367663574899</v>
      </c>
      <c r="AH32">
        <v>1.29062145214686</v>
      </c>
      <c r="AI32">
        <v>24.911999999999999</v>
      </c>
      <c r="AJ32">
        <v>24.451999999999899</v>
      </c>
      <c r="AK32">
        <v>7.4273697632412206E-2</v>
      </c>
      <c r="AL32">
        <v>0.134562134646487</v>
      </c>
      <c r="AM32">
        <v>4.9017799999999996</v>
      </c>
      <c r="AN32">
        <v>298.13355544592599</v>
      </c>
      <c r="AO32">
        <v>6.0004896294990603E-2</v>
      </c>
      <c r="AP32">
        <v>6.4862064521201995E-2</v>
      </c>
      <c r="AQ32">
        <v>6.8617196157713001E-2</v>
      </c>
      <c r="AR32">
        <v>7.9739239590834801E-2</v>
      </c>
      <c r="AS32">
        <v>8.2236271968209998E-2</v>
      </c>
    </row>
    <row r="33" spans="1:45" x14ac:dyDescent="0.2">
      <c r="A33" t="s">
        <v>76</v>
      </c>
      <c r="B33" t="s">
        <v>74</v>
      </c>
      <c r="C33" t="s">
        <v>45</v>
      </c>
      <c r="D33">
        <v>4.4800000000000004</v>
      </c>
      <c r="E33">
        <v>78.52</v>
      </c>
      <c r="F33">
        <v>-7.2986658826112105E-2</v>
      </c>
      <c r="G33">
        <v>60.011866711083698</v>
      </c>
      <c r="H33">
        <v>2.9108333334740699</v>
      </c>
      <c r="I33">
        <v>2.62916666682302</v>
      </c>
      <c r="J33">
        <v>2.5934829272787798</v>
      </c>
      <c r="K33">
        <v>2.6800000001409501</v>
      </c>
      <c r="L33">
        <v>2.5450000001564201</v>
      </c>
      <c r="M33">
        <v>3.1416666668071902</v>
      </c>
      <c r="N33">
        <v>2.7133333334896199</v>
      </c>
      <c r="O33">
        <v>2.8279432252945602</v>
      </c>
      <c r="P33">
        <v>5.3934803694378697E-2</v>
      </c>
      <c r="Q33">
        <v>-4.0304514582034198E-2</v>
      </c>
      <c r="R33">
        <v>-8.8775675287750197E-2</v>
      </c>
      <c r="S33">
        <v>-7.2986658826112105E-2</v>
      </c>
      <c r="T33">
        <v>25.392071125408101</v>
      </c>
      <c r="U33">
        <v>2.8808333334745</v>
      </c>
      <c r="V33">
        <v>2.6141666668233698</v>
      </c>
      <c r="W33">
        <v>2.57323671515665</v>
      </c>
      <c r="X33">
        <v>2.6500000001413802</v>
      </c>
      <c r="Y33">
        <v>2.53000000015677</v>
      </c>
      <c r="Z33">
        <v>2.9566666668077599</v>
      </c>
      <c r="AA33">
        <v>2.6983333334899702</v>
      </c>
      <c r="AB33">
        <v>2.57323671515665</v>
      </c>
      <c r="AC33">
        <v>-8.8775675287750197E-2</v>
      </c>
      <c r="AD33">
        <v>3.0733178403288699</v>
      </c>
      <c r="AE33">
        <v>3.35176674458436</v>
      </c>
      <c r="AF33">
        <v>3.1347135447428101</v>
      </c>
      <c r="AG33">
        <v>2.7857058089201399</v>
      </c>
      <c r="AH33">
        <v>1.09281091259484</v>
      </c>
      <c r="AI33">
        <v>25.984000000000002</v>
      </c>
      <c r="AJ33">
        <v>25.443999999999999</v>
      </c>
      <c r="AK33">
        <v>8.5660997891961702E-2</v>
      </c>
      <c r="AL33">
        <v>0.129855992985906</v>
      </c>
      <c r="AM33">
        <v>6.1162999999999998</v>
      </c>
      <c r="AN33">
        <v>252.439320809409</v>
      </c>
      <c r="AO33">
        <v>7.2087189894895598E-2</v>
      </c>
      <c r="AP33">
        <v>8.7332863922649703E-2</v>
      </c>
      <c r="AQ33">
        <v>9.3827635766701903E-2</v>
      </c>
      <c r="AR33">
        <v>9.8796382030250707E-2</v>
      </c>
      <c r="AS33">
        <v>0.104174045451942</v>
      </c>
    </row>
    <row r="34" spans="1:45" x14ac:dyDescent="0.2">
      <c r="A34" t="s">
        <v>77</v>
      </c>
      <c r="B34" t="s">
        <v>74</v>
      </c>
      <c r="C34" t="s">
        <v>45</v>
      </c>
      <c r="D34">
        <v>10.98</v>
      </c>
      <c r="E34">
        <v>65.08</v>
      </c>
      <c r="F34">
        <v>4.2875831167773798E-2</v>
      </c>
      <c r="G34">
        <v>77.497281854304305</v>
      </c>
      <c r="H34">
        <v>-3.4166666523219598E-2</v>
      </c>
      <c r="I34">
        <v>-1.21166666650688</v>
      </c>
      <c r="J34">
        <v>-1.5085101694496199</v>
      </c>
      <c r="K34">
        <v>-0.41999999985619002</v>
      </c>
      <c r="L34">
        <v>-1.5049999998399499</v>
      </c>
      <c r="M34">
        <v>-5.4999999856536197E-2</v>
      </c>
      <c r="N34">
        <v>-1.45166666650666</v>
      </c>
      <c r="O34">
        <v>2.2268893060727102</v>
      </c>
      <c r="P34">
        <v>5.1085138775808198E-2</v>
      </c>
      <c r="Q34">
        <v>5.4227234748622797E-3</v>
      </c>
      <c r="R34">
        <v>8.4758711512141802E-2</v>
      </c>
      <c r="S34">
        <v>4.2875831167773798E-2</v>
      </c>
      <c r="T34">
        <v>40.9008200199615</v>
      </c>
      <c r="U34">
        <v>-6.4166666522792098E-2</v>
      </c>
      <c r="V34">
        <v>-1.22666666650653</v>
      </c>
      <c r="W34">
        <v>-1.4750543476453899</v>
      </c>
      <c r="X34">
        <v>-0.449999999855763</v>
      </c>
      <c r="Y34">
        <v>-1.5199999998396001</v>
      </c>
      <c r="Z34">
        <v>-0.17999999985602699</v>
      </c>
      <c r="AA34">
        <v>-1.3666666665064</v>
      </c>
      <c r="AB34">
        <v>1.5887499998480801</v>
      </c>
      <c r="AC34">
        <v>8.4758711512141802E-2</v>
      </c>
      <c r="AD34">
        <v>4.87768480627469</v>
      </c>
      <c r="AE34">
        <v>4.6342756606852404</v>
      </c>
      <c r="AF34">
        <v>5.7375262851164601</v>
      </c>
      <c r="AG34">
        <v>5.5037704720815102</v>
      </c>
      <c r="AH34">
        <v>1.1165863444509101</v>
      </c>
      <c r="AI34">
        <v>26.635999999999999</v>
      </c>
      <c r="AJ34">
        <v>26.135999999999999</v>
      </c>
      <c r="AK34">
        <v>1.8013545016491599E-2</v>
      </c>
      <c r="AL34">
        <v>5.0662846899602397E-2</v>
      </c>
      <c r="AM34">
        <v>6.8544</v>
      </c>
      <c r="AN34">
        <v>257.93144556815997</v>
      </c>
      <c r="AO34">
        <v>6.9334590510747196E-2</v>
      </c>
      <c r="AP34">
        <v>7.8331251295876203E-2</v>
      </c>
      <c r="AQ34">
        <v>8.6182688443826594E-2</v>
      </c>
      <c r="AR34">
        <v>9.0288868250867904E-2</v>
      </c>
      <c r="AS34">
        <v>9.6780593316643904E-2</v>
      </c>
    </row>
    <row r="35" spans="1:45" x14ac:dyDescent="0.2">
      <c r="A35" t="s">
        <v>78</v>
      </c>
      <c r="B35" t="s">
        <v>79</v>
      </c>
      <c r="C35" t="s">
        <v>45</v>
      </c>
      <c r="D35">
        <v>4.96</v>
      </c>
      <c r="E35">
        <v>65.64</v>
      </c>
      <c r="F35">
        <v>-5.7168266629124602E-2</v>
      </c>
      <c r="G35">
        <v>80.261385852003301</v>
      </c>
      <c r="H35">
        <v>2.2122222223636601</v>
      </c>
      <c r="I35">
        <v>2.0400000001568399</v>
      </c>
      <c r="J35">
        <v>2.04687891157843</v>
      </c>
      <c r="K35">
        <v>1.44000000014215</v>
      </c>
      <c r="L35">
        <v>1.45666666682404</v>
      </c>
      <c r="M35">
        <v>2.94166666680744</v>
      </c>
      <c r="N35">
        <v>2.5583333334897</v>
      </c>
      <c r="O35">
        <v>2.42025878075084</v>
      </c>
      <c r="P35">
        <v>0.06</v>
      </c>
      <c r="Q35">
        <v>-3.1890362982835499E-2</v>
      </c>
      <c r="R35">
        <v>-7.1979930937290104E-2</v>
      </c>
      <c r="S35">
        <v>-5.7168266629124699E-2</v>
      </c>
      <c r="T35">
        <v>52.314005508363202</v>
      </c>
      <c r="U35">
        <v>2.1822222223640901</v>
      </c>
      <c r="V35">
        <v>2.0250000001571902</v>
      </c>
      <c r="W35">
        <v>2.0281340581519598</v>
      </c>
      <c r="X35">
        <v>1.4100000001425801</v>
      </c>
      <c r="Y35">
        <v>1.44166666682439</v>
      </c>
      <c r="Z35">
        <v>2.8800000001412198</v>
      </c>
      <c r="AA35">
        <v>2.5433333334900499</v>
      </c>
      <c r="AB35">
        <v>2.06388285041522</v>
      </c>
      <c r="AC35">
        <v>-7.1979930937290104E-2</v>
      </c>
      <c r="AD35">
        <v>3.1469427484755799</v>
      </c>
      <c r="AE35">
        <v>3.8250686173642801</v>
      </c>
      <c r="AF35">
        <v>3.3075586531635501</v>
      </c>
      <c r="AG35">
        <v>3.2712097356021399</v>
      </c>
      <c r="AH35">
        <v>0.99759168492314898</v>
      </c>
      <c r="AI35">
        <v>32.36</v>
      </c>
      <c r="AJ35">
        <v>31.74</v>
      </c>
      <c r="AK35">
        <v>5.0931138872862797E-2</v>
      </c>
      <c r="AL35">
        <v>0.12645342429087</v>
      </c>
      <c r="AM35">
        <v>14.300459999999999</v>
      </c>
      <c r="AN35">
        <v>230.44367921724699</v>
      </c>
      <c r="AO35">
        <v>8.0358817749839606E-2</v>
      </c>
      <c r="AP35">
        <v>8.5380608533366695E-2</v>
      </c>
      <c r="AQ35">
        <v>8.9256702784083194E-2</v>
      </c>
      <c r="AR35">
        <v>9.7473430305095907E-2</v>
      </c>
      <c r="AS35">
        <v>0.10043438957746301</v>
      </c>
    </row>
    <row r="36" spans="1:45" x14ac:dyDescent="0.2">
      <c r="A36" t="s">
        <v>80</v>
      </c>
      <c r="B36" t="s">
        <v>79</v>
      </c>
      <c r="C36" t="s">
        <v>45</v>
      </c>
      <c r="D36">
        <v>28.82</v>
      </c>
      <c r="E36">
        <v>65.58</v>
      </c>
      <c r="F36">
        <v>-8.0662187681502906E-2</v>
      </c>
      <c r="G36">
        <v>-103.783392114159</v>
      </c>
      <c r="H36">
        <v>2.0555000001415298</v>
      </c>
      <c r="I36">
        <v>2.86458333348943</v>
      </c>
      <c r="J36">
        <v>3.3960880226174899</v>
      </c>
      <c r="K36">
        <v>0.82166666680933298</v>
      </c>
      <c r="L36">
        <v>1.6983333334905</v>
      </c>
      <c r="M36">
        <v>3.0466666668072802</v>
      </c>
      <c r="N36">
        <v>4.0683333334883303</v>
      </c>
      <c r="O36">
        <v>3.9572724436464699</v>
      </c>
      <c r="P36">
        <v>0.11034401374517</v>
      </c>
      <c r="Q36">
        <v>3.6470570114350699E-3</v>
      </c>
      <c r="R36">
        <v>-0.146453794003612</v>
      </c>
      <c r="S36">
        <v>-8.0662187681503003E-2</v>
      </c>
      <c r="T36">
        <v>-154.17478149082399</v>
      </c>
      <c r="U36">
        <v>2.0255000001419501</v>
      </c>
      <c r="V36">
        <v>2.8495833334897802</v>
      </c>
      <c r="W36">
        <v>3.3360893721627498</v>
      </c>
      <c r="X36">
        <v>0.79166666680975994</v>
      </c>
      <c r="Y36">
        <v>1.68333333349085</v>
      </c>
      <c r="Z36">
        <v>2.8183333334745702</v>
      </c>
      <c r="AA36">
        <v>4.0533333334886796</v>
      </c>
      <c r="AB36">
        <v>3.3360893721627498</v>
      </c>
      <c r="AC36">
        <v>-0.146453794003612</v>
      </c>
      <c r="AD36">
        <v>2.6503681498124001</v>
      </c>
      <c r="AE36">
        <v>2.2108967693240902</v>
      </c>
      <c r="AF36">
        <v>3.00767288729869</v>
      </c>
      <c r="AG36">
        <v>2.5369719422529702</v>
      </c>
      <c r="AH36">
        <v>-0.373165490591923</v>
      </c>
      <c r="AI36">
        <v>40.299999999999997</v>
      </c>
      <c r="AJ36">
        <v>39.58</v>
      </c>
      <c r="AK36" s="1">
        <v>1.9099089200277902E-9</v>
      </c>
      <c r="AL36" s="1">
        <v>7.9938601336958099E-5</v>
      </c>
      <c r="AM36">
        <v>21.296140000000001</v>
      </c>
      <c r="AN36">
        <v>-86.201228326734196</v>
      </c>
      <c r="AO36">
        <v>0.11302775833840301</v>
      </c>
      <c r="AP36">
        <v>0.12524949354895101</v>
      </c>
      <c r="AQ36">
        <v>0.13909690861172899</v>
      </c>
      <c r="AR36">
        <v>0.13335094256337099</v>
      </c>
      <c r="AS36">
        <v>0.146215599171863</v>
      </c>
    </row>
    <row r="37" spans="1:45" x14ac:dyDescent="0.2">
      <c r="A37" t="s">
        <v>81</v>
      </c>
      <c r="B37" t="s">
        <v>79</v>
      </c>
      <c r="C37" t="s">
        <v>45</v>
      </c>
      <c r="D37">
        <v>10.42</v>
      </c>
      <c r="E37">
        <v>54.56</v>
      </c>
      <c r="F37">
        <v>-1.41740901459781E-2</v>
      </c>
      <c r="G37">
        <v>62.164355009640403</v>
      </c>
      <c r="H37">
        <v>-0.91277777763353996</v>
      </c>
      <c r="I37">
        <v>0.60152777793595003</v>
      </c>
      <c r="J37">
        <v>1.2052374974394799</v>
      </c>
      <c r="K37">
        <v>-2.63666666652085</v>
      </c>
      <c r="L37">
        <v>-0.43333333317421802</v>
      </c>
      <c r="M37">
        <v>-1.7166666665216801</v>
      </c>
      <c r="N37">
        <v>1.09500000015773</v>
      </c>
      <c r="O37">
        <v>3.2764999989020902</v>
      </c>
      <c r="P37">
        <v>7.8911046960337697E-2</v>
      </c>
      <c r="Q37">
        <v>1.4687714812234499E-2</v>
      </c>
      <c r="R37">
        <v>-9.2625353430053098E-2</v>
      </c>
      <c r="S37">
        <v>-1.41740901459781E-2</v>
      </c>
      <c r="T37">
        <v>46.227482814850802</v>
      </c>
      <c r="U37">
        <v>-0.94277777763311299</v>
      </c>
      <c r="V37">
        <v>0.58652777793630095</v>
      </c>
      <c r="W37">
        <v>1.1061388890722399</v>
      </c>
      <c r="X37">
        <v>-2.6666666665204199</v>
      </c>
      <c r="Y37">
        <v>-0.44833333317386798</v>
      </c>
      <c r="Z37">
        <v>-2.0316666665210001</v>
      </c>
      <c r="AA37">
        <v>1.01166666682482</v>
      </c>
      <c r="AB37">
        <v>1.3210084541940701</v>
      </c>
      <c r="AC37">
        <v>-9.2625353430053098E-2</v>
      </c>
      <c r="AD37">
        <v>3.2704349300782898</v>
      </c>
      <c r="AE37">
        <v>3.8375850955656601</v>
      </c>
      <c r="AF37">
        <v>3.4673489585614998</v>
      </c>
      <c r="AG37">
        <v>3.9143607281191199</v>
      </c>
      <c r="AH37">
        <v>0.476576696601127</v>
      </c>
      <c r="AI37">
        <v>44.131999999999998</v>
      </c>
      <c r="AJ37">
        <v>43.472000000000001</v>
      </c>
      <c r="AK37">
        <v>5.0040118553830198E-2</v>
      </c>
      <c r="AL37">
        <v>0.108261318608721</v>
      </c>
      <c r="AM37">
        <v>23.977440000000001</v>
      </c>
      <c r="AN37">
        <v>57.1892035921353</v>
      </c>
      <c r="AO37">
        <v>0.11741076989384699</v>
      </c>
      <c r="AP37">
        <v>0.10880636011874401</v>
      </c>
      <c r="AQ37">
        <v>0.106941075244585</v>
      </c>
      <c r="AR37">
        <v>0.117960823695441</v>
      </c>
      <c r="AS37">
        <v>0.115596712493881</v>
      </c>
    </row>
    <row r="38" spans="1:45" x14ac:dyDescent="0.2">
      <c r="A38" t="s">
        <v>114</v>
      </c>
      <c r="B38" t="s">
        <v>79</v>
      </c>
      <c r="C38" t="s">
        <v>45</v>
      </c>
      <c r="D38">
        <v>14.7</v>
      </c>
      <c r="E38">
        <v>46.22</v>
      </c>
      <c r="F38">
        <v>-0.13907509851055599</v>
      </c>
      <c r="G38">
        <v>-30.236850135658699</v>
      </c>
      <c r="H38">
        <v>4.1021666668063501</v>
      </c>
      <c r="I38">
        <v>5.2368888890428602</v>
      </c>
      <c r="J38">
        <v>5.7032992880273099</v>
      </c>
      <c r="K38">
        <v>-1.3833333331886399</v>
      </c>
      <c r="L38">
        <v>0.82000000015798302</v>
      </c>
      <c r="M38">
        <v>9.3383333334682206</v>
      </c>
      <c r="N38">
        <v>9.5316666668167205</v>
      </c>
      <c r="O38">
        <v>6.2197800610661398</v>
      </c>
      <c r="P38">
        <v>0.130053442143133</v>
      </c>
      <c r="Q38">
        <v>-0.12640606037761501</v>
      </c>
      <c r="R38">
        <v>-0.2142481802074</v>
      </c>
      <c r="S38">
        <v>-0.13907509851055599</v>
      </c>
      <c r="T38">
        <v>-35.297823793410899</v>
      </c>
      <c r="U38">
        <v>4.07216666680677</v>
      </c>
      <c r="V38">
        <v>5.2218888890432096</v>
      </c>
      <c r="W38">
        <v>5.6600290719552104</v>
      </c>
      <c r="X38">
        <v>-1.4133333331882201</v>
      </c>
      <c r="Y38">
        <v>0.80500000015833395</v>
      </c>
      <c r="Z38">
        <v>9.0883333334688494</v>
      </c>
      <c r="AA38">
        <v>9.5166666668170699</v>
      </c>
      <c r="AB38">
        <v>5.6600290719552104</v>
      </c>
      <c r="AC38">
        <v>-0.2142481802074</v>
      </c>
      <c r="AD38">
        <v>1.7308814111210999</v>
      </c>
      <c r="AE38">
        <v>1.5448545714495201</v>
      </c>
      <c r="AF38">
        <v>1.80250287801617</v>
      </c>
      <c r="AG38">
        <v>1.7060152483348401</v>
      </c>
      <c r="AH38">
        <v>-0.25656983762493202</v>
      </c>
      <c r="AI38">
        <v>75.742000000000004</v>
      </c>
      <c r="AJ38">
        <v>74.882000000000005</v>
      </c>
      <c r="AK38">
        <v>2.6038966708590901E-2</v>
      </c>
      <c r="AL38">
        <v>7.1419651854032096E-2</v>
      </c>
      <c r="AM38">
        <v>48.454880000000003</v>
      </c>
      <c r="AN38">
        <v>-26.426693275367999</v>
      </c>
      <c r="AO38">
        <v>0.210844553371725</v>
      </c>
      <c r="AP38">
        <v>0.21524517901384699</v>
      </c>
      <c r="AQ38">
        <v>0.23509387743714499</v>
      </c>
      <c r="AR38">
        <v>0.21939702788186</v>
      </c>
      <c r="AS38">
        <v>0.23861354793665501</v>
      </c>
    </row>
    <row r="39" spans="1:45" x14ac:dyDescent="0.2">
      <c r="A39" t="s">
        <v>82</v>
      </c>
      <c r="B39" t="s">
        <v>83</v>
      </c>
      <c r="C39" t="s">
        <v>45</v>
      </c>
      <c r="D39">
        <v>39.92</v>
      </c>
      <c r="E39">
        <v>50.22</v>
      </c>
      <c r="F39">
        <v>0.513819529635129</v>
      </c>
      <c r="G39">
        <v>-57.281394893749699</v>
      </c>
      <c r="H39">
        <v>-6.4249999998507503</v>
      </c>
      <c r="I39">
        <v>-10.8049999998314</v>
      </c>
      <c r="J39">
        <v>-12.601695761788401</v>
      </c>
      <c r="K39">
        <v>-6.4249999998507503</v>
      </c>
      <c r="L39">
        <v>-10.8049999998314</v>
      </c>
      <c r="M39">
        <v>-6.4249999998507503</v>
      </c>
      <c r="N39">
        <v>-10.8049999998314</v>
      </c>
      <c r="O39">
        <v>14.019028393822</v>
      </c>
      <c r="P39">
        <v>0.33780507858491599</v>
      </c>
      <c r="Q39">
        <v>0.23512179320705301</v>
      </c>
      <c r="R39">
        <v>0.94176577017728902</v>
      </c>
      <c r="S39">
        <v>0.513819529635129</v>
      </c>
      <c r="T39">
        <v>-56.813641358978998</v>
      </c>
      <c r="U39">
        <v>-6.4549999998503198</v>
      </c>
      <c r="V39">
        <v>-10.819999999831101</v>
      </c>
      <c r="W39">
        <v>-12.424420289676499</v>
      </c>
      <c r="X39">
        <v>-6.4549999998503198</v>
      </c>
      <c r="Y39">
        <v>-10.819999999831101</v>
      </c>
      <c r="Z39">
        <v>-6.4549999998503198</v>
      </c>
      <c r="AA39">
        <v>-10.819999999831101</v>
      </c>
      <c r="AB39">
        <v>12.424420289676499</v>
      </c>
      <c r="AC39">
        <v>0.94176577017728902</v>
      </c>
      <c r="AD39">
        <v>0.74011066451668195</v>
      </c>
      <c r="AE39">
        <v>0.45262168117423901</v>
      </c>
      <c r="AF39">
        <v>0.73778782729655101</v>
      </c>
      <c r="AG39">
        <v>0.45276406921630602</v>
      </c>
      <c r="AH39">
        <v>-2.3779931961827598</v>
      </c>
      <c r="AI39">
        <v>23.46</v>
      </c>
      <c r="AJ39">
        <v>23</v>
      </c>
      <c r="AK39" s="1">
        <v>7.02056841734777E-7</v>
      </c>
      <c r="AL39">
        <v>1.9380323350720201E-4</v>
      </c>
      <c r="AM39">
        <v>0.23411999999999999</v>
      </c>
      <c r="AN39">
        <v>-549.31642831821796</v>
      </c>
      <c r="AO39">
        <v>0.43024557051184398</v>
      </c>
      <c r="AP39">
        <v>0.67788494795781895</v>
      </c>
      <c r="AQ39">
        <v>0.794574665373593</v>
      </c>
      <c r="AR39">
        <v>0.676488207743285</v>
      </c>
      <c r="AS39">
        <v>0.79342989539170905</v>
      </c>
    </row>
    <row r="40" spans="1:45" x14ac:dyDescent="0.2">
      <c r="A40" t="s">
        <v>84</v>
      </c>
      <c r="B40" t="s">
        <v>83</v>
      </c>
      <c r="C40" t="s">
        <v>45</v>
      </c>
      <c r="D40">
        <v>140.97999999999999</v>
      </c>
      <c r="E40">
        <v>187.3</v>
      </c>
      <c r="F40">
        <v>0.12863551567998699</v>
      </c>
      <c r="G40">
        <v>-964.14887239089296</v>
      </c>
      <c r="H40">
        <v>-3.8799999998530299</v>
      </c>
      <c r="I40">
        <v>-4.8566666665035303</v>
      </c>
      <c r="J40">
        <v>-4.7461956519918003</v>
      </c>
      <c r="K40">
        <v>-3.8799999998530299</v>
      </c>
      <c r="L40">
        <v>-4.8566666665035303</v>
      </c>
      <c r="M40">
        <v>-3.8799999998530299</v>
      </c>
      <c r="N40">
        <v>-4.8566666665035303</v>
      </c>
      <c r="O40">
        <v>5.0955807265144504</v>
      </c>
      <c r="P40">
        <v>2.74000238438309E-2</v>
      </c>
      <c r="Q40">
        <v>5.4515130222921503E-2</v>
      </c>
      <c r="R40">
        <v>0.212144614017826</v>
      </c>
      <c r="S40">
        <v>0.12863551567998699</v>
      </c>
      <c r="T40">
        <v>-1046.79237753046</v>
      </c>
      <c r="U40">
        <v>-3.9099999998525998</v>
      </c>
      <c r="V40">
        <v>-4.87166666650318</v>
      </c>
      <c r="W40">
        <v>-4.7368840577896396</v>
      </c>
      <c r="X40">
        <v>-3.9099999998525998</v>
      </c>
      <c r="Y40">
        <v>-4.87166666650318</v>
      </c>
      <c r="Z40">
        <v>-3.9099999998525998</v>
      </c>
      <c r="AA40">
        <v>-4.87166666650318</v>
      </c>
      <c r="AB40">
        <v>4.7368840577896396</v>
      </c>
      <c r="AC40">
        <v>0.212144614017826</v>
      </c>
      <c r="AD40">
        <v>1.1918953717219201</v>
      </c>
      <c r="AE40">
        <v>0.232795394862365</v>
      </c>
      <c r="AF40">
        <v>0.74474602198536299</v>
      </c>
      <c r="AG40">
        <v>7.3630439923889901E-2</v>
      </c>
      <c r="AH40">
        <v>-6.3021749262512898</v>
      </c>
      <c r="AI40">
        <v>23.46</v>
      </c>
      <c r="AJ40">
        <v>23</v>
      </c>
      <c r="AK40" s="1">
        <v>2.3721839417300599E-14</v>
      </c>
      <c r="AL40" s="1">
        <v>2.0040167978788601E-12</v>
      </c>
      <c r="AM40">
        <v>1.12676</v>
      </c>
      <c r="AN40">
        <v>-1455.80240796404</v>
      </c>
      <c r="AO40">
        <v>0.115832099857195</v>
      </c>
      <c r="AP40">
        <v>0.163806406215742</v>
      </c>
      <c r="AQ40">
        <v>0.18955419996900399</v>
      </c>
      <c r="AR40">
        <v>0.16947254449674301</v>
      </c>
      <c r="AS40">
        <v>0.19376346845640399</v>
      </c>
    </row>
    <row r="41" spans="1:45" x14ac:dyDescent="0.2">
      <c r="A41" t="s">
        <v>85</v>
      </c>
      <c r="B41" t="s">
        <v>86</v>
      </c>
      <c r="C41" t="s">
        <v>45</v>
      </c>
      <c r="D41">
        <v>138.30000000000001</v>
      </c>
      <c r="E41">
        <v>151.78</v>
      </c>
      <c r="F41">
        <v>3.1390528181561898E-2</v>
      </c>
      <c r="G41">
        <v>-180465.29336363901</v>
      </c>
      <c r="H41">
        <v>-2.8224999998540299</v>
      </c>
      <c r="I41">
        <v>0.47833333349162299</v>
      </c>
      <c r="J41">
        <v>-0.79964166099379097</v>
      </c>
      <c r="K41">
        <v>-2.88999999985398</v>
      </c>
      <c r="L41">
        <v>0.47833333349162299</v>
      </c>
      <c r="M41">
        <v>-2.88999999985398</v>
      </c>
      <c r="N41">
        <v>0.47833333349162299</v>
      </c>
      <c r="O41">
        <v>2.5847735941228902</v>
      </c>
      <c r="P41">
        <v>5.5650202791652703E-3</v>
      </c>
      <c r="Q41">
        <v>1.6946227700829E-2</v>
      </c>
      <c r="R41">
        <v>-1.4097633667462601E-2</v>
      </c>
      <c r="S41">
        <v>3.1390528181561898E-2</v>
      </c>
      <c r="T41">
        <v>-232583.62236255599</v>
      </c>
      <c r="U41">
        <v>-2.85249999985361</v>
      </c>
      <c r="V41">
        <v>0.46333333349197298</v>
      </c>
      <c r="W41">
        <v>-0.83836956503501303</v>
      </c>
      <c r="X41">
        <v>-2.91999999985355</v>
      </c>
      <c r="Y41">
        <v>0.46333333349197298</v>
      </c>
      <c r="Z41">
        <v>-2.91999999985355</v>
      </c>
      <c r="AA41">
        <v>0.46333333349197298</v>
      </c>
      <c r="AB41">
        <v>1.20445652166585</v>
      </c>
      <c r="AC41">
        <v>-1.40976336674627E-2</v>
      </c>
      <c r="AD41">
        <v>4.4190290314013403</v>
      </c>
      <c r="AE41">
        <v>8.1269113554864099</v>
      </c>
      <c r="AF41">
        <v>5.1516268320172101</v>
      </c>
      <c r="AG41">
        <v>9.0607944108341592</v>
      </c>
      <c r="AH41">
        <v>-1656.2445084923199</v>
      </c>
      <c r="AI41">
        <v>23.628</v>
      </c>
      <c r="AJ41">
        <v>23.167999999999999</v>
      </c>
      <c r="AK41" s="1">
        <v>1.7264690023923801E-35</v>
      </c>
      <c r="AL41" s="1">
        <v>4.2583604876739499E-28</v>
      </c>
      <c r="AM41">
        <v>3.0569799999999998</v>
      </c>
      <c r="AN41">
        <v>-266655.365867263</v>
      </c>
      <c r="AO41">
        <v>7.0337892028400295E-2</v>
      </c>
      <c r="AP41">
        <v>7.0847990912690506E-2</v>
      </c>
      <c r="AQ41">
        <v>4.9854054678254899E-2</v>
      </c>
      <c r="AR41">
        <v>7.9129188348304597E-2</v>
      </c>
      <c r="AS41">
        <v>5.96702534884547E-2</v>
      </c>
    </row>
    <row r="42" spans="1:45" x14ac:dyDescent="0.2">
      <c r="A42" t="s">
        <v>87</v>
      </c>
      <c r="B42" t="s">
        <v>86</v>
      </c>
      <c r="C42" t="s">
        <v>45</v>
      </c>
      <c r="D42">
        <v>0</v>
      </c>
      <c r="E42">
        <v>0</v>
      </c>
      <c r="F42">
        <v>2.2750028181562E-2</v>
      </c>
      <c r="G42">
        <v>110.667718763213</v>
      </c>
      <c r="H42">
        <v>-2.1749999998545899</v>
      </c>
      <c r="I42">
        <v>0.82333333349129501</v>
      </c>
      <c r="J42">
        <v>-0.47762598795924699</v>
      </c>
      <c r="K42">
        <v>-2.2149999998545602</v>
      </c>
      <c r="L42">
        <v>0.82333333349129501</v>
      </c>
      <c r="M42">
        <v>-2.2149999998545602</v>
      </c>
      <c r="N42">
        <v>0.82333333349129501</v>
      </c>
      <c r="O42">
        <v>2.41243859478335</v>
      </c>
      <c r="P42">
        <v>8.5332726921191995E-2</v>
      </c>
      <c r="Q42">
        <v>9.70874646887805E-3</v>
      </c>
      <c r="R42">
        <v>-2.2738133667462499E-2</v>
      </c>
      <c r="S42">
        <v>2.2750028181562E-2</v>
      </c>
      <c r="T42">
        <v>103.443368468559</v>
      </c>
      <c r="U42">
        <v>-2.2049999998541701</v>
      </c>
      <c r="V42">
        <v>0.80833333349164604</v>
      </c>
      <c r="W42">
        <v>-0.51260869546994903</v>
      </c>
      <c r="X42">
        <v>-2.2449999998541301</v>
      </c>
      <c r="Y42">
        <v>0.80833333349164604</v>
      </c>
      <c r="Z42">
        <v>-2.2449999998541301</v>
      </c>
      <c r="AA42">
        <v>0.80833333349164604</v>
      </c>
      <c r="AB42">
        <v>1.0863768115355199</v>
      </c>
      <c r="AC42">
        <v>-2.2738133667462499E-2</v>
      </c>
      <c r="AD42">
        <v>3.6955818953584298</v>
      </c>
      <c r="AE42">
        <v>4.1196761248116696</v>
      </c>
      <c r="AF42">
        <v>3.9190753452523599</v>
      </c>
      <c r="AG42">
        <v>4.1071962672078302</v>
      </c>
      <c r="AH42">
        <v>1.2122967166171199</v>
      </c>
      <c r="AI42">
        <v>23.667999999999999</v>
      </c>
      <c r="AJ42">
        <v>23.207999999999998</v>
      </c>
      <c r="AK42">
        <v>0.97846619516957001</v>
      </c>
      <c r="AL42">
        <v>0.98531775612324402</v>
      </c>
      <c r="AM42">
        <v>3.3267199999999999</v>
      </c>
      <c r="AN42">
        <v>195.17977137535701</v>
      </c>
      <c r="AO42">
        <v>6.78067707911989E-2</v>
      </c>
      <c r="AP42">
        <v>6.7465816078285903E-2</v>
      </c>
      <c r="AQ42">
        <v>4.9784381554317497E-2</v>
      </c>
      <c r="AR42">
        <v>7.6115878576062501E-2</v>
      </c>
      <c r="AS42">
        <v>5.9612054403953202E-2</v>
      </c>
    </row>
    <row r="43" spans="1:45" x14ac:dyDescent="0.2">
      <c r="A43" t="s">
        <v>88</v>
      </c>
      <c r="B43" t="s">
        <v>86</v>
      </c>
      <c r="C43" t="s">
        <v>45</v>
      </c>
      <c r="D43">
        <v>0</v>
      </c>
      <c r="E43">
        <v>4.16</v>
      </c>
      <c r="F43">
        <v>-9.7588650321461801E-3</v>
      </c>
      <c r="G43">
        <v>116.344977637209</v>
      </c>
      <c r="H43">
        <v>-1.0383333331889999</v>
      </c>
      <c r="I43">
        <v>1.7250000001571499</v>
      </c>
      <c r="J43">
        <v>0.52255270110482099</v>
      </c>
      <c r="K43">
        <v>-1.0383333331889999</v>
      </c>
      <c r="L43">
        <v>1.7250000001571499</v>
      </c>
      <c r="M43">
        <v>-1.0383333331889999</v>
      </c>
      <c r="N43">
        <v>1.7250000001571499</v>
      </c>
      <c r="O43">
        <v>1.93984546469932</v>
      </c>
      <c r="P43">
        <v>8.4975915415207895E-2</v>
      </c>
      <c r="Q43">
        <v>-3.3003831371940198E-2</v>
      </c>
      <c r="R43">
        <v>-4.6825735236459901E-2</v>
      </c>
      <c r="S43">
        <v>-9.75886503214622E-3</v>
      </c>
      <c r="T43">
        <v>112.978785033367</v>
      </c>
      <c r="U43">
        <v>-1.06833333318857</v>
      </c>
      <c r="V43">
        <v>1.7100000001575</v>
      </c>
      <c r="W43">
        <v>0.49416666684837801</v>
      </c>
      <c r="X43">
        <v>-1.06833333318857</v>
      </c>
      <c r="Y43">
        <v>1.7100000001575</v>
      </c>
      <c r="Z43">
        <v>-1.06833333318857</v>
      </c>
      <c r="AA43">
        <v>1.7100000001575</v>
      </c>
      <c r="AB43">
        <v>0.87793478265923997</v>
      </c>
      <c r="AC43">
        <v>-4.6825735236459998E-2</v>
      </c>
      <c r="AD43">
        <v>3.8660469820743999</v>
      </c>
      <c r="AE43">
        <v>3.3972937696754002</v>
      </c>
      <c r="AF43">
        <v>4.0196366667825796</v>
      </c>
      <c r="AG43">
        <v>3.4268177737288199</v>
      </c>
      <c r="AH43">
        <v>1.0988887187546399</v>
      </c>
      <c r="AI43">
        <v>23.48</v>
      </c>
      <c r="AJ43">
        <v>23.02</v>
      </c>
      <c r="AK43">
        <v>0.74211308187061298</v>
      </c>
      <c r="AL43">
        <v>0.74313408860862296</v>
      </c>
      <c r="AM43">
        <v>1.7306600000000001</v>
      </c>
      <c r="AN43">
        <v>176.921083719498</v>
      </c>
      <c r="AO43">
        <v>7.0709786045349096E-2</v>
      </c>
      <c r="AP43">
        <v>5.5129494848062802E-2</v>
      </c>
      <c r="AQ43">
        <v>5.5897220433434501E-2</v>
      </c>
      <c r="AR43">
        <v>6.1467465444718601E-2</v>
      </c>
      <c r="AS43">
        <v>6.1465261993074498E-2</v>
      </c>
    </row>
    <row r="44" spans="1:45" x14ac:dyDescent="0.2">
      <c r="A44" t="s">
        <v>89</v>
      </c>
      <c r="B44" t="s">
        <v>86</v>
      </c>
      <c r="C44" t="s">
        <v>45</v>
      </c>
      <c r="D44">
        <v>0</v>
      </c>
      <c r="E44">
        <v>0.18</v>
      </c>
      <c r="F44">
        <v>1.8141134967853599E-2</v>
      </c>
      <c r="G44">
        <v>115.9779789996</v>
      </c>
      <c r="H44">
        <v>-2.5183333331876199</v>
      </c>
      <c r="I44">
        <v>0.80333333349132297</v>
      </c>
      <c r="J44">
        <v>-0.41986289507404101</v>
      </c>
      <c r="K44">
        <v>-2.5183333331876199</v>
      </c>
      <c r="L44">
        <v>0.80333333349132297</v>
      </c>
      <c r="M44">
        <v>-2.5183333331876199</v>
      </c>
      <c r="N44">
        <v>0.80333333349132297</v>
      </c>
      <c r="O44">
        <v>2.0754374439653001</v>
      </c>
      <c r="P44">
        <v>8.4975915415207895E-2</v>
      </c>
      <c r="Q44">
        <v>-5.1038313719402604E-3</v>
      </c>
      <c r="R44">
        <v>-1.8925735236460101E-2</v>
      </c>
      <c r="S44">
        <v>1.8141134967853599E-2</v>
      </c>
      <c r="T44">
        <v>112.290069434549</v>
      </c>
      <c r="U44">
        <v>-2.5483333331871898</v>
      </c>
      <c r="V44">
        <v>0.78833333349167301</v>
      </c>
      <c r="W44">
        <v>-0.451449275180271</v>
      </c>
      <c r="X44">
        <v>-2.5483333331871898</v>
      </c>
      <c r="Y44">
        <v>0.78833333349167301</v>
      </c>
      <c r="Z44">
        <v>-2.5483333331871898</v>
      </c>
      <c r="AA44">
        <v>0.78833333349167301</v>
      </c>
      <c r="AB44">
        <v>0.95528985501391706</v>
      </c>
      <c r="AC44">
        <v>-1.8925735236460201E-2</v>
      </c>
      <c r="AD44">
        <v>3.5866806303452798</v>
      </c>
      <c r="AE44">
        <v>3.9689734081450201</v>
      </c>
      <c r="AF44">
        <v>3.80212315624714</v>
      </c>
      <c r="AG44">
        <v>3.9480841050439799</v>
      </c>
      <c r="AH44">
        <v>1.2155206898953701</v>
      </c>
      <c r="AI44">
        <v>23.54</v>
      </c>
      <c r="AJ44">
        <v>23.08</v>
      </c>
      <c r="AK44">
        <v>0.90834821811129995</v>
      </c>
      <c r="AL44">
        <v>0.909008879990167</v>
      </c>
      <c r="AM44">
        <v>1.7306600000000001</v>
      </c>
      <c r="AN44">
        <v>195.69883107315499</v>
      </c>
      <c r="AO44">
        <v>6.2742888457774898E-2</v>
      </c>
      <c r="AP44">
        <v>5.7211244816109598E-2</v>
      </c>
      <c r="AQ44">
        <v>4.87300583047795E-2</v>
      </c>
      <c r="AR44">
        <v>6.3341255429647997E-2</v>
      </c>
      <c r="AS44">
        <v>5.5028154267434203E-2</v>
      </c>
    </row>
    <row r="45" spans="1:45" x14ac:dyDescent="0.2">
      <c r="A45" t="s">
        <v>90</v>
      </c>
      <c r="B45" t="s">
        <v>86</v>
      </c>
      <c r="C45" t="s">
        <v>45</v>
      </c>
      <c r="D45">
        <v>0</v>
      </c>
      <c r="E45">
        <v>0</v>
      </c>
      <c r="F45">
        <v>1.7805220047187501E-2</v>
      </c>
      <c r="G45">
        <v>121.63180073672601</v>
      </c>
      <c r="H45">
        <v>-2.43166666652104</v>
      </c>
      <c r="I45">
        <v>0.83500000015795595</v>
      </c>
      <c r="J45">
        <v>-0.38484381843801302</v>
      </c>
      <c r="K45">
        <v>-2.4516666665210201</v>
      </c>
      <c r="L45">
        <v>0.83500000015795595</v>
      </c>
      <c r="M45">
        <v>-2.4516666665210201</v>
      </c>
      <c r="N45">
        <v>0.83500000015795595</v>
      </c>
      <c r="O45">
        <v>2.2226253448384998</v>
      </c>
      <c r="P45">
        <v>7.2684527007216407E-2</v>
      </c>
      <c r="Q45">
        <v>1.2218173017867E-2</v>
      </c>
      <c r="R45">
        <v>-2.3784445630957701E-2</v>
      </c>
      <c r="S45">
        <v>1.7805220047187501E-2</v>
      </c>
      <c r="T45">
        <v>112.688453536507</v>
      </c>
      <c r="U45">
        <v>-2.4616666665206099</v>
      </c>
      <c r="V45">
        <v>0.82000000015830599</v>
      </c>
      <c r="W45">
        <v>-0.42050724619466201</v>
      </c>
      <c r="X45">
        <v>-2.48166666652059</v>
      </c>
      <c r="Y45">
        <v>0.82000000015830599</v>
      </c>
      <c r="Z45">
        <v>-2.48166666652059</v>
      </c>
      <c r="AA45">
        <v>0.82000000015830599</v>
      </c>
      <c r="AB45">
        <v>1.04456521733992</v>
      </c>
      <c r="AC45">
        <v>-2.3784445630957701E-2</v>
      </c>
      <c r="AD45">
        <v>3.9957996009375298</v>
      </c>
      <c r="AE45">
        <v>4.6216114626218996</v>
      </c>
      <c r="AF45">
        <v>4.3095466945721901</v>
      </c>
      <c r="AG45">
        <v>4.6339244693873898</v>
      </c>
      <c r="AH45">
        <v>1.40980753877939</v>
      </c>
      <c r="AI45">
        <v>23.484000000000002</v>
      </c>
      <c r="AJ45">
        <v>23.024000000000001</v>
      </c>
      <c r="AK45">
        <v>0.980633044762938</v>
      </c>
      <c r="AL45">
        <v>0.980633044762938</v>
      </c>
      <c r="AM45">
        <v>2.0853600000000001</v>
      </c>
      <c r="AN45">
        <v>221.33978358836401</v>
      </c>
      <c r="AO45">
        <v>5.3753895399384202E-2</v>
      </c>
      <c r="AP45">
        <v>6.0936837459454302E-2</v>
      </c>
      <c r="AQ45">
        <v>4.96858719644349E-2</v>
      </c>
      <c r="AR45">
        <v>6.94618477058523E-2</v>
      </c>
      <c r="AS45">
        <v>5.8493897497274502E-2</v>
      </c>
    </row>
    <row r="46" spans="1:45" x14ac:dyDescent="0.2">
      <c r="A46" t="s">
        <v>91</v>
      </c>
      <c r="B46" t="s">
        <v>86</v>
      </c>
      <c r="C46" t="s">
        <v>45</v>
      </c>
      <c r="D46">
        <v>0</v>
      </c>
      <c r="E46">
        <v>0</v>
      </c>
      <c r="F46">
        <v>-8.4811764254408995E-3</v>
      </c>
      <c r="G46">
        <v>107.722623680601</v>
      </c>
      <c r="H46">
        <v>-0.74499999985589904</v>
      </c>
      <c r="I46">
        <v>1.60666666682392</v>
      </c>
      <c r="J46">
        <v>0.44275527027474099</v>
      </c>
      <c r="K46">
        <v>-0.79499999985585401</v>
      </c>
      <c r="L46">
        <v>1.60666666682392</v>
      </c>
      <c r="M46">
        <v>-0.79499999985585401</v>
      </c>
      <c r="N46">
        <v>1.60666666682392</v>
      </c>
      <c r="O46">
        <v>1.8726837188121599</v>
      </c>
      <c r="P46">
        <v>0.102938645805274</v>
      </c>
      <c r="Q46">
        <v>-1.9261121286344399E-2</v>
      </c>
      <c r="R46">
        <v>-4.1430585578246797E-2</v>
      </c>
      <c r="S46">
        <v>-8.4811764254409498E-3</v>
      </c>
      <c r="T46">
        <v>103.39788611272201</v>
      </c>
      <c r="U46">
        <v>-0.77499999985547197</v>
      </c>
      <c r="V46">
        <v>1.59166666682427</v>
      </c>
      <c r="W46">
        <v>0.41666666684833498</v>
      </c>
      <c r="X46">
        <v>-0.82499999985542605</v>
      </c>
      <c r="Y46">
        <v>1.59166666682427</v>
      </c>
      <c r="Z46">
        <v>-0.771666666522141</v>
      </c>
      <c r="AA46">
        <v>1.59166666682427</v>
      </c>
      <c r="AB46">
        <v>0.95159420293449204</v>
      </c>
      <c r="AC46">
        <v>-4.1430585578246901E-2</v>
      </c>
      <c r="AD46">
        <v>3.3815765719758999</v>
      </c>
      <c r="AE46">
        <v>3.33165610493187</v>
      </c>
      <c r="AF46">
        <v>3.5276402218313501</v>
      </c>
      <c r="AG46">
        <v>3.25304668415211</v>
      </c>
      <c r="AH46">
        <v>1.1693091635000901</v>
      </c>
      <c r="AI46">
        <v>23.628</v>
      </c>
      <c r="AJ46">
        <v>23.167999999999999</v>
      </c>
      <c r="AK46">
        <v>0.98548689237266396</v>
      </c>
      <c r="AL46">
        <v>0.98548689237266396</v>
      </c>
      <c r="AM46">
        <v>2.0853000000000002</v>
      </c>
      <c r="AN46">
        <v>188.25877532351501</v>
      </c>
      <c r="AO46">
        <v>5.5575919981504997E-2</v>
      </c>
      <c r="AP46">
        <v>5.2665767665066199E-2</v>
      </c>
      <c r="AQ46">
        <v>5.2472588670820303E-2</v>
      </c>
      <c r="AR46">
        <v>6.2453537306524698E-2</v>
      </c>
      <c r="AS46">
        <v>6.1162200627264698E-2</v>
      </c>
    </row>
    <row r="47" spans="1:45" x14ac:dyDescent="0.2">
      <c r="A47" t="s">
        <v>92</v>
      </c>
      <c r="B47" t="s">
        <v>86</v>
      </c>
      <c r="C47" t="s">
        <v>45</v>
      </c>
      <c r="D47">
        <v>0</v>
      </c>
      <c r="E47">
        <v>0</v>
      </c>
      <c r="F47">
        <v>1.64988235745589E-2</v>
      </c>
      <c r="G47">
        <v>120.880539648005</v>
      </c>
      <c r="H47">
        <v>-2.1249999998546301</v>
      </c>
      <c r="I47">
        <v>0.76166666682467998</v>
      </c>
      <c r="J47">
        <v>-0.40668368448999798</v>
      </c>
      <c r="K47">
        <v>-2.1433333331879401</v>
      </c>
      <c r="L47">
        <v>0.76166666682467998</v>
      </c>
      <c r="M47">
        <v>-2.1433333331879401</v>
      </c>
      <c r="N47">
        <v>0.76166666682467998</v>
      </c>
      <c r="O47">
        <v>2.0156591578402701</v>
      </c>
      <c r="P47">
        <v>8.2456336795971599E-2</v>
      </c>
      <c r="Q47">
        <v>8.5585732868874304E-3</v>
      </c>
      <c r="R47">
        <v>-1.64505855782471E-2</v>
      </c>
      <c r="S47">
        <v>1.64988235745589E-2</v>
      </c>
      <c r="T47">
        <v>113.983982019975</v>
      </c>
      <c r="U47">
        <v>-2.1549999998542</v>
      </c>
      <c r="V47">
        <v>0.74666666682503002</v>
      </c>
      <c r="W47">
        <v>-0.43760869547018499</v>
      </c>
      <c r="X47">
        <v>-2.1733333331875202</v>
      </c>
      <c r="Y47">
        <v>0.74666666682503002</v>
      </c>
      <c r="Z47">
        <v>-2.1733333331875202</v>
      </c>
      <c r="AA47">
        <v>0.74666666682503002</v>
      </c>
      <c r="AB47">
        <v>1.0274637680719101</v>
      </c>
      <c r="AC47">
        <v>-1.64505855782471E-2</v>
      </c>
      <c r="AD47">
        <v>3.8079030708349602</v>
      </c>
      <c r="AE47">
        <v>4.2614018640298701</v>
      </c>
      <c r="AF47">
        <v>4.0790730178529504</v>
      </c>
      <c r="AG47">
        <v>4.2664036010980197</v>
      </c>
      <c r="AH47">
        <v>1.3499713067274699</v>
      </c>
      <c r="AI47">
        <v>23.524000000000001</v>
      </c>
      <c r="AJ47">
        <v>23.064</v>
      </c>
      <c r="AK47">
        <v>0.98968677804951599</v>
      </c>
      <c r="AL47">
        <v>0.98968677804951599</v>
      </c>
      <c r="AM47">
        <v>2.0383800000000001</v>
      </c>
      <c r="AN47">
        <v>217.345380383123</v>
      </c>
      <c r="AO47">
        <v>5.15382328470066E-2</v>
      </c>
      <c r="AP47">
        <v>5.4534061920378699E-2</v>
      </c>
      <c r="AQ47">
        <v>4.5578637226069502E-2</v>
      </c>
      <c r="AR47">
        <v>6.4036904577614101E-2</v>
      </c>
      <c r="AS47">
        <v>5.5361127112246597E-2</v>
      </c>
    </row>
    <row r="48" spans="1:45" x14ac:dyDescent="0.2">
      <c r="A48" t="s">
        <v>93</v>
      </c>
      <c r="B48" t="s">
        <v>94</v>
      </c>
      <c r="C48" t="s">
        <v>45</v>
      </c>
      <c r="D48">
        <v>145.54</v>
      </c>
      <c r="E48">
        <v>189.3</v>
      </c>
      <c r="F48">
        <v>0.18233773848327001</v>
      </c>
      <c r="G48">
        <v>-1941.5967758496499</v>
      </c>
      <c r="H48">
        <v>-6.8033333331836099</v>
      </c>
      <c r="I48">
        <v>-6.3183333331687601</v>
      </c>
      <c r="J48">
        <v>-6.6496601886624296</v>
      </c>
      <c r="K48">
        <v>-6.8033333331836099</v>
      </c>
      <c r="L48">
        <v>-6.3183333331687601</v>
      </c>
      <c r="M48">
        <v>-6.8033333331836099</v>
      </c>
      <c r="N48">
        <v>-6.3183333331687601</v>
      </c>
      <c r="O48">
        <v>6.8937286451822102</v>
      </c>
      <c r="P48">
        <v>3.6938787771115297E-2</v>
      </c>
      <c r="Q48">
        <v>4.4500711258712397E-2</v>
      </c>
      <c r="R48">
        <v>0.27679073781711999</v>
      </c>
      <c r="S48">
        <v>0.18233773848327001</v>
      </c>
      <c r="T48">
        <v>-1847.0186815345301</v>
      </c>
      <c r="U48">
        <v>-6.83333333318319</v>
      </c>
      <c r="V48">
        <v>-6.3333333331684099</v>
      </c>
      <c r="W48">
        <v>-6.6413768114123801</v>
      </c>
      <c r="X48">
        <v>-6.83333333318319</v>
      </c>
      <c r="Y48">
        <v>-6.3333333331684099</v>
      </c>
      <c r="Z48">
        <v>-6.83333333318319</v>
      </c>
      <c r="AA48">
        <v>-6.3333333331684099</v>
      </c>
      <c r="AB48">
        <v>6.6413768114123801</v>
      </c>
      <c r="AC48">
        <v>0.27679073781711999</v>
      </c>
      <c r="AD48" s="1">
        <v>4.0724517581376701E-6</v>
      </c>
      <c r="AE48" s="1">
        <v>4.7230971968153101E-10</v>
      </c>
      <c r="AF48">
        <v>8.6371759317786095E-2</v>
      </c>
      <c r="AG48">
        <v>1.2884298790677399E-4</v>
      </c>
      <c r="AH48">
        <v>-8.6778074263480605</v>
      </c>
      <c r="AI48">
        <v>23.46</v>
      </c>
      <c r="AJ48">
        <v>23</v>
      </c>
      <c r="AK48" s="1">
        <v>5.6998959642721395E-14</v>
      </c>
      <c r="AL48" s="1">
        <v>5.7629639524969399E-14</v>
      </c>
      <c r="AM48">
        <v>0.26854</v>
      </c>
      <c r="AN48">
        <v>-2004.5735154864001</v>
      </c>
      <c r="AO48">
        <v>0.15081095993202401</v>
      </c>
      <c r="AP48">
        <v>0.219533169209783</v>
      </c>
      <c r="AQ48">
        <v>0.25139046713367302</v>
      </c>
      <c r="AR48">
        <v>0.214768011658897</v>
      </c>
      <c r="AS48">
        <v>0.24741174565100801</v>
      </c>
    </row>
    <row r="49" spans="1:45" x14ac:dyDescent="0.2">
      <c r="A49" t="s">
        <v>95</v>
      </c>
      <c r="B49" t="s">
        <v>94</v>
      </c>
      <c r="C49" t="s">
        <v>45</v>
      </c>
      <c r="D49">
        <v>169.26</v>
      </c>
      <c r="E49">
        <v>203.72</v>
      </c>
      <c r="F49">
        <v>-0.13976864513328699</v>
      </c>
      <c r="G49">
        <v>-1633.4836772137401</v>
      </c>
      <c r="H49">
        <v>3.1133333334739199</v>
      </c>
      <c r="I49">
        <v>4.6700000001544604</v>
      </c>
      <c r="J49">
        <v>5.2693961354489298</v>
      </c>
      <c r="K49">
        <v>3.1133333334739199</v>
      </c>
      <c r="L49">
        <v>4.6700000001544604</v>
      </c>
      <c r="M49">
        <v>3.1133333334739199</v>
      </c>
      <c r="N49">
        <v>4.6700000001544604</v>
      </c>
      <c r="O49">
        <v>5.7761112960537</v>
      </c>
      <c r="P49">
        <v>3.0187454827187099E-2</v>
      </c>
      <c r="Q49">
        <v>-8.7396043566108403E-2</v>
      </c>
      <c r="R49">
        <v>-0.20930226341609001</v>
      </c>
      <c r="S49">
        <v>-0.13976864513328699</v>
      </c>
      <c r="T49">
        <v>-1538.88249934297</v>
      </c>
      <c r="U49">
        <v>3.0833333334743398</v>
      </c>
      <c r="V49">
        <v>4.6550000001548097</v>
      </c>
      <c r="W49">
        <v>5.1721739132257198</v>
      </c>
      <c r="X49">
        <v>3.0833333334743398</v>
      </c>
      <c r="Y49">
        <v>4.6550000001548097</v>
      </c>
      <c r="Z49">
        <v>3.0833333334743398</v>
      </c>
      <c r="AA49">
        <v>4.6550000001548097</v>
      </c>
      <c r="AB49">
        <v>5.1721739132257198</v>
      </c>
      <c r="AC49">
        <v>-0.20930226341609001</v>
      </c>
      <c r="AD49">
        <v>9.2611646166177605E-2</v>
      </c>
      <c r="AE49">
        <v>8.9044015612408799E-4</v>
      </c>
      <c r="AF49">
        <v>1.2798625693046199</v>
      </c>
      <c r="AG49">
        <v>9.2132750063021098E-3</v>
      </c>
      <c r="AH49">
        <v>-8.4497355988325999</v>
      </c>
      <c r="AI49">
        <v>23.46</v>
      </c>
      <c r="AJ49">
        <v>23</v>
      </c>
      <c r="AK49" s="1">
        <v>4.9476391629860999E-15</v>
      </c>
      <c r="AL49" s="1">
        <v>2.23747860832638E-11</v>
      </c>
      <c r="AM49">
        <v>1.45228</v>
      </c>
      <c r="AN49">
        <v>-1951.88892333033</v>
      </c>
      <c r="AO49">
        <v>0.12020387924941101</v>
      </c>
      <c r="AP49">
        <v>0.16329367756791899</v>
      </c>
      <c r="AQ49">
        <v>0.181383112769997</v>
      </c>
      <c r="AR49">
        <v>0.159156521125869</v>
      </c>
      <c r="AS49">
        <v>0.17787003148007299</v>
      </c>
    </row>
    <row r="50" spans="1:45" x14ac:dyDescent="0.2">
      <c r="A50" t="s">
        <v>96</v>
      </c>
      <c r="B50" t="s">
        <v>94</v>
      </c>
      <c r="C50" t="s">
        <v>45</v>
      </c>
      <c r="D50">
        <v>5</v>
      </c>
      <c r="E50">
        <v>33.520000000000003</v>
      </c>
      <c r="F50">
        <v>1.14432411099804E-2</v>
      </c>
      <c r="G50">
        <v>152.964036230543</v>
      </c>
      <c r="H50">
        <v>4.1666668100651698E-3</v>
      </c>
      <c r="I50">
        <v>-3.9999999841252201E-2</v>
      </c>
      <c r="J50">
        <v>-0.2156307639807</v>
      </c>
      <c r="K50">
        <v>-8.8333333189848401E-2</v>
      </c>
      <c r="L50">
        <v>-3.9999999841252201E-2</v>
      </c>
      <c r="M50">
        <v>3.0000000143372701E-2</v>
      </c>
      <c r="N50">
        <v>-3.9999999841252201E-2</v>
      </c>
      <c r="O50">
        <v>1.3012475151932801</v>
      </c>
      <c r="P50">
        <v>4.38028298442662E-2</v>
      </c>
      <c r="Q50">
        <v>1.28020009479826E-2</v>
      </c>
      <c r="R50">
        <v>-7.6323256103318004E-3</v>
      </c>
      <c r="S50">
        <v>1.14432411099804E-2</v>
      </c>
      <c r="T50">
        <v>77.822786264267407</v>
      </c>
      <c r="U50">
        <v>-2.5833333189507299E-2</v>
      </c>
      <c r="V50">
        <v>-5.4999999840902099E-2</v>
      </c>
      <c r="W50">
        <v>-0.24478260851382799</v>
      </c>
      <c r="X50">
        <v>-0.11833333318942001</v>
      </c>
      <c r="Y50">
        <v>-5.4999999840902099E-2</v>
      </c>
      <c r="Z50">
        <v>-5.8333333189475499E-2</v>
      </c>
      <c r="AA50">
        <v>-5.4999999840902099E-2</v>
      </c>
      <c r="AB50">
        <v>0.88072463764446696</v>
      </c>
      <c r="AC50">
        <v>-7.6323256103318698E-3</v>
      </c>
      <c r="AD50">
        <v>7.4840227212734103</v>
      </c>
      <c r="AE50">
        <v>7.7019618445882498</v>
      </c>
      <c r="AF50">
        <v>10.1334580777942</v>
      </c>
      <c r="AG50">
        <v>10.416289783442201</v>
      </c>
      <c r="AH50">
        <v>1.69862787439785</v>
      </c>
      <c r="AI50">
        <v>23.771999999999998</v>
      </c>
      <c r="AJ50">
        <v>23.311999999999902</v>
      </c>
      <c r="AK50">
        <v>7.6408946746119394E-2</v>
      </c>
      <c r="AL50">
        <v>0.156808692753342</v>
      </c>
      <c r="AM50">
        <v>2.7449399999999899</v>
      </c>
      <c r="AN50">
        <v>392.38303898590402</v>
      </c>
      <c r="AO50">
        <v>4.0298157340400299E-2</v>
      </c>
      <c r="AP50">
        <v>3.9146185155741697E-2</v>
      </c>
      <c r="AQ50">
        <v>2.9479803361305498E-2</v>
      </c>
      <c r="AR50">
        <v>5.4032596959259001E-2</v>
      </c>
      <c r="AS50">
        <v>4.6775993658186701E-2</v>
      </c>
    </row>
    <row r="51" spans="1:45" x14ac:dyDescent="0.2">
      <c r="A51" t="s">
        <v>97</v>
      </c>
      <c r="B51" t="s">
        <v>98</v>
      </c>
      <c r="C51" t="s">
        <v>45</v>
      </c>
      <c r="D51">
        <v>14.92</v>
      </c>
      <c r="E51">
        <v>55</v>
      </c>
      <c r="F51">
        <v>2.4697521754428499E-2</v>
      </c>
      <c r="G51">
        <v>101.513884085348</v>
      </c>
      <c r="H51">
        <v>-2.62499999985419</v>
      </c>
      <c r="I51">
        <v>-0.83333333317385405</v>
      </c>
      <c r="J51">
        <v>-0.57170042801125898</v>
      </c>
      <c r="K51">
        <v>-2.62499999985419</v>
      </c>
      <c r="L51">
        <v>-0.83333333317385405</v>
      </c>
      <c r="M51">
        <v>-2.62499999985419</v>
      </c>
      <c r="N51">
        <v>-0.83333333317385405</v>
      </c>
      <c r="O51">
        <v>2.27137355362636</v>
      </c>
      <c r="P51">
        <v>5.3218023979551297E-2</v>
      </c>
      <c r="Q51">
        <v>3.7663724598318002E-2</v>
      </c>
      <c r="R51">
        <v>-2.3892646420715601E-2</v>
      </c>
      <c r="S51">
        <v>2.4697521754428499E-2</v>
      </c>
      <c r="T51">
        <v>87.697107566214598</v>
      </c>
      <c r="U51">
        <v>-2.6549999998537701</v>
      </c>
      <c r="V51">
        <v>-0.84833333317350401</v>
      </c>
      <c r="W51">
        <v>-0.63275362300552296</v>
      </c>
      <c r="X51">
        <v>-2.6549999998537701</v>
      </c>
      <c r="Y51">
        <v>-0.84833333317350401</v>
      </c>
      <c r="Z51">
        <v>-2.6549999998537701</v>
      </c>
      <c r="AA51">
        <v>-0.84833333317350401</v>
      </c>
      <c r="AB51">
        <v>1.1684057970352499</v>
      </c>
      <c r="AC51">
        <v>-2.3892646420715698E-2</v>
      </c>
      <c r="AD51">
        <v>3.84318332231895</v>
      </c>
      <c r="AE51">
        <v>6.1911984167799998</v>
      </c>
      <c r="AF51">
        <v>3.9505973858731802</v>
      </c>
      <c r="AG51">
        <v>6.6059325049941</v>
      </c>
      <c r="AH51">
        <v>0.93194973980373896</v>
      </c>
      <c r="AI51">
        <v>23.52</v>
      </c>
      <c r="AJ51">
        <v>23.06</v>
      </c>
      <c r="AK51">
        <v>0.119558133554376</v>
      </c>
      <c r="AL51">
        <v>0.175222530640647</v>
      </c>
      <c r="AM51">
        <v>1.7137800000000001</v>
      </c>
      <c r="AN51">
        <v>131.40491331232701</v>
      </c>
      <c r="AO51">
        <v>7.5301982279121202E-2</v>
      </c>
      <c r="AP51">
        <v>6.7211365757820302E-2</v>
      </c>
      <c r="AQ51">
        <v>5.8582723443619797E-2</v>
      </c>
      <c r="AR51">
        <v>7.1939918630055499E-2</v>
      </c>
      <c r="AS51">
        <v>6.0962330782235397E-2</v>
      </c>
    </row>
    <row r="52" spans="1:45" x14ac:dyDescent="0.2">
      <c r="A52" t="s">
        <v>99</v>
      </c>
      <c r="B52" t="s">
        <v>98</v>
      </c>
      <c r="C52" t="s">
        <v>45</v>
      </c>
      <c r="D52">
        <v>74.22</v>
      </c>
      <c r="E52">
        <v>111.9</v>
      </c>
      <c r="F52">
        <v>3.3343693611651799E-2</v>
      </c>
      <c r="G52">
        <v>21.119403644604901</v>
      </c>
      <c r="H52">
        <v>-3.23333333318697</v>
      </c>
      <c r="I52">
        <v>-0.94666666650709397</v>
      </c>
      <c r="J52">
        <v>-0.71876646885398199</v>
      </c>
      <c r="K52">
        <v>-3.23333333318697</v>
      </c>
      <c r="L52">
        <v>-0.94666666650709397</v>
      </c>
      <c r="M52">
        <v>-3.23333333318697</v>
      </c>
      <c r="N52">
        <v>-0.94666666650709397</v>
      </c>
      <c r="O52">
        <v>2.8189899699196799</v>
      </c>
      <c r="P52">
        <v>4.5979125507876903E-2</v>
      </c>
      <c r="Q52">
        <v>7.1006214934982895E-2</v>
      </c>
      <c r="R52">
        <v>-3.2180271787481597E-2</v>
      </c>
      <c r="S52">
        <v>3.3343693611651799E-2</v>
      </c>
      <c r="T52">
        <v>9.4527194896266291</v>
      </c>
      <c r="U52">
        <v>-3.26333333318654</v>
      </c>
      <c r="V52">
        <v>-0.96166666650674404</v>
      </c>
      <c r="W52">
        <v>-0.79605072445430702</v>
      </c>
      <c r="X52">
        <v>-3.26333333318654</v>
      </c>
      <c r="Y52">
        <v>-0.96166666650674404</v>
      </c>
      <c r="Z52">
        <v>-3.26333333318654</v>
      </c>
      <c r="AA52">
        <v>-0.96166666650674404</v>
      </c>
      <c r="AB52">
        <v>1.2166304347088699</v>
      </c>
      <c r="AC52">
        <v>-3.2180271787481701E-2</v>
      </c>
      <c r="AD52">
        <v>3.09658397665171</v>
      </c>
      <c r="AE52">
        <v>6.2713801080726004</v>
      </c>
      <c r="AF52">
        <v>3.1454830293885299</v>
      </c>
      <c r="AG52">
        <v>6.81643670472097</v>
      </c>
      <c r="AH52">
        <v>-1.1191204689315699</v>
      </c>
      <c r="AI52">
        <v>23.48</v>
      </c>
      <c r="AJ52">
        <v>23.02</v>
      </c>
      <c r="AK52" s="1">
        <v>1.15516824295903E-5</v>
      </c>
      <c r="AL52">
        <v>2.03979126684243E-4</v>
      </c>
      <c r="AM52">
        <v>1.2994600000000001</v>
      </c>
      <c r="AN52">
        <v>-157.79598611935199</v>
      </c>
      <c r="AO52">
        <v>0.109333484655397</v>
      </c>
      <c r="AP52">
        <v>8.1667113253424795E-2</v>
      </c>
      <c r="AQ52">
        <v>6.6229955256246295E-2</v>
      </c>
      <c r="AR52">
        <v>8.4835280341827704E-2</v>
      </c>
      <c r="AS52">
        <v>6.7780293307818998E-2</v>
      </c>
    </row>
    <row r="53" spans="1:45" x14ac:dyDescent="0.2">
      <c r="A53" t="s">
        <v>100</v>
      </c>
      <c r="B53" t="s">
        <v>98</v>
      </c>
      <c r="C53" t="s">
        <v>45</v>
      </c>
      <c r="D53">
        <v>15.88</v>
      </c>
      <c r="E53">
        <v>50.44</v>
      </c>
      <c r="F53">
        <v>3.2862185755365002E-2</v>
      </c>
      <c r="G53">
        <v>95.343910543872198</v>
      </c>
      <c r="H53">
        <v>-2.9183333331872401</v>
      </c>
      <c r="I53">
        <v>-1.08833333317364</v>
      </c>
      <c r="J53">
        <v>-0.89672650398837095</v>
      </c>
      <c r="K53">
        <v>-2.9183333331872401</v>
      </c>
      <c r="L53">
        <v>-1.08833333317364</v>
      </c>
      <c r="M53">
        <v>-2.9183333331872401</v>
      </c>
      <c r="N53">
        <v>-1.08833333317364</v>
      </c>
      <c r="O53">
        <v>2.4005208963553</v>
      </c>
      <c r="P53">
        <v>5.5762609216509697E-2</v>
      </c>
      <c r="Q53">
        <v>4.2981443524603598E-2</v>
      </c>
      <c r="R53">
        <v>-1.49935046967081E-2</v>
      </c>
      <c r="S53">
        <v>3.2862185755365002E-2</v>
      </c>
      <c r="T53">
        <v>81.284632436755103</v>
      </c>
      <c r="U53">
        <v>-2.9483333331868198</v>
      </c>
      <c r="V53">
        <v>-1.10333333317329</v>
      </c>
      <c r="W53">
        <v>-0.94228260851267898</v>
      </c>
      <c r="X53">
        <v>-2.9483333331868198</v>
      </c>
      <c r="Y53">
        <v>-1.10333333317329</v>
      </c>
      <c r="Z53">
        <v>-2.9483333331868198</v>
      </c>
      <c r="AA53">
        <v>-1.10333333317329</v>
      </c>
      <c r="AB53">
        <v>1.30460144918714</v>
      </c>
      <c r="AC53">
        <v>-1.4993504696708199E-2</v>
      </c>
      <c r="AD53">
        <v>3.4959809716873398</v>
      </c>
      <c r="AE53">
        <v>5.6421753867346203</v>
      </c>
      <c r="AF53">
        <v>3.6127635057378402</v>
      </c>
      <c r="AG53">
        <v>6.16256267016482</v>
      </c>
      <c r="AH53">
        <v>0.89340738128654196</v>
      </c>
      <c r="AI53">
        <v>23.48</v>
      </c>
      <c r="AJ53">
        <v>23.02</v>
      </c>
      <c r="AK53">
        <v>0.15234179110478699</v>
      </c>
      <c r="AL53">
        <v>0.20295656507944301</v>
      </c>
      <c r="AM53">
        <v>1.84836</v>
      </c>
      <c r="AN53">
        <v>125.970440761402</v>
      </c>
      <c r="AO53">
        <v>7.8508154325253904E-2</v>
      </c>
      <c r="AP53">
        <v>7.0131462901586894E-2</v>
      </c>
      <c r="AQ53">
        <v>5.9509159279851898E-2</v>
      </c>
      <c r="AR53">
        <v>7.4798982649502702E-2</v>
      </c>
      <c r="AS53">
        <v>6.1934508648230302E-2</v>
      </c>
    </row>
    <row r="54" spans="1:45" x14ac:dyDescent="0.2">
      <c r="A54" t="s">
        <v>101</v>
      </c>
      <c r="B54" t="s">
        <v>98</v>
      </c>
      <c r="C54" t="s">
        <v>45</v>
      </c>
      <c r="D54">
        <v>14.64</v>
      </c>
      <c r="E54">
        <v>55.64</v>
      </c>
      <c r="F54">
        <v>2.4204058907854899E-2</v>
      </c>
      <c r="G54">
        <v>104.465431492381</v>
      </c>
      <c r="H54">
        <v>-2.5666666665208999</v>
      </c>
      <c r="I54">
        <v>-0.86333333317384497</v>
      </c>
      <c r="J54">
        <v>-0.53965195414216505</v>
      </c>
      <c r="K54">
        <v>-2.5666666665208999</v>
      </c>
      <c r="L54">
        <v>-0.86333333317384497</v>
      </c>
      <c r="M54">
        <v>-2.5666666665208999</v>
      </c>
      <c r="N54">
        <v>-0.86333333317384497</v>
      </c>
      <c r="O54">
        <v>2.20604321796782</v>
      </c>
      <c r="P54">
        <v>5.2307120818859298E-2</v>
      </c>
      <c r="Q54">
        <v>3.7044375159458298E-2</v>
      </c>
      <c r="R54">
        <v>-2.3348330436490299E-2</v>
      </c>
      <c r="S54">
        <v>2.4204058907854899E-2</v>
      </c>
      <c r="T54">
        <v>90.586890946206594</v>
      </c>
      <c r="U54">
        <v>-2.5966666665204698</v>
      </c>
      <c r="V54">
        <v>-0.87833333317349505</v>
      </c>
      <c r="W54">
        <v>-0.59985507228091595</v>
      </c>
      <c r="X54">
        <v>-2.5966666665204698</v>
      </c>
      <c r="Y54">
        <v>-0.87833333317349505</v>
      </c>
      <c r="Z54">
        <v>-2.5966666665204698</v>
      </c>
      <c r="AA54">
        <v>-0.87833333317349505</v>
      </c>
      <c r="AB54">
        <v>1.16065217384685</v>
      </c>
      <c r="AC54">
        <v>-2.33483304364904E-2</v>
      </c>
      <c r="AD54">
        <v>3.8445212350594198</v>
      </c>
      <c r="AE54">
        <v>6.1606031899219698</v>
      </c>
      <c r="AF54">
        <v>3.96406163037868</v>
      </c>
      <c r="AG54">
        <v>6.5675975868566097</v>
      </c>
      <c r="AH54">
        <v>0.95233674092548803</v>
      </c>
      <c r="AI54">
        <v>23.56</v>
      </c>
      <c r="AJ54">
        <v>23.1</v>
      </c>
      <c r="AK54">
        <v>8.5932360141337996E-2</v>
      </c>
      <c r="AL54">
        <v>0.142551400168482</v>
      </c>
      <c r="AM54">
        <v>1.6298999999999999</v>
      </c>
      <c r="AN54">
        <v>134.27948047049301</v>
      </c>
      <c r="AO54">
        <v>7.3740593061129206E-2</v>
      </c>
      <c r="AP54">
        <v>6.6162571518605606E-2</v>
      </c>
      <c r="AQ54">
        <v>5.8107520647731399E-2</v>
      </c>
      <c r="AR54">
        <v>7.0940512122866894E-2</v>
      </c>
      <c r="AS54">
        <v>6.0474134765558102E-2</v>
      </c>
    </row>
    <row r="55" spans="1:45" x14ac:dyDescent="0.2">
      <c r="A55" t="s">
        <v>102</v>
      </c>
      <c r="B55" t="s">
        <v>98</v>
      </c>
      <c r="C55" t="s">
        <v>45</v>
      </c>
      <c r="D55">
        <v>17.02</v>
      </c>
      <c r="E55">
        <v>59.38</v>
      </c>
      <c r="F55">
        <v>2.84624586839285E-2</v>
      </c>
      <c r="G55">
        <v>89.677115793229802</v>
      </c>
      <c r="H55">
        <v>-2.8883333331872998</v>
      </c>
      <c r="I55">
        <v>-1.16333333317357</v>
      </c>
      <c r="J55">
        <v>-0.69082427517835698</v>
      </c>
      <c r="K55">
        <v>-2.8883333331872998</v>
      </c>
      <c r="L55">
        <v>-1.16333333317357</v>
      </c>
      <c r="M55">
        <v>-2.8883333331872998</v>
      </c>
      <c r="N55">
        <v>-1.16333333317357</v>
      </c>
      <c r="O55">
        <v>2.5549069228757499</v>
      </c>
      <c r="P55">
        <v>5.2950218230176198E-2</v>
      </c>
      <c r="Q55">
        <v>3.5933494965408298E-2</v>
      </c>
      <c r="R55">
        <v>-2.76300239558173E-2</v>
      </c>
      <c r="S55">
        <v>2.84624586839285E-2</v>
      </c>
      <c r="T55">
        <v>62.261843425530003</v>
      </c>
      <c r="U55">
        <v>-2.9183333331868702</v>
      </c>
      <c r="V55">
        <v>-1.17833333317322</v>
      </c>
      <c r="W55">
        <v>-0.75623188387484896</v>
      </c>
      <c r="X55">
        <v>-2.9183333331868702</v>
      </c>
      <c r="Y55">
        <v>-1.17833333317322</v>
      </c>
      <c r="Z55">
        <v>-2.9183333331868702</v>
      </c>
      <c r="AA55">
        <v>-1.17833333317322</v>
      </c>
      <c r="AB55">
        <v>1.29376811586836</v>
      </c>
      <c r="AC55">
        <v>-2.76300239558173E-2</v>
      </c>
      <c r="AD55">
        <v>4.2403380302532296</v>
      </c>
      <c r="AE55">
        <v>5.4181003697991503</v>
      </c>
      <c r="AF55">
        <v>3.9954458533388202</v>
      </c>
      <c r="AG55">
        <v>6.0955682421589197</v>
      </c>
      <c r="AH55">
        <v>0.77038666099619202</v>
      </c>
      <c r="AI55">
        <v>23.56</v>
      </c>
      <c r="AJ55">
        <v>23.1</v>
      </c>
      <c r="AK55">
        <v>2.2467833610214E-2</v>
      </c>
      <c r="AL55">
        <v>7.2729399292597696E-2</v>
      </c>
      <c r="AM55">
        <v>2.7182200000000001</v>
      </c>
      <c r="AN55">
        <v>108.624519200463</v>
      </c>
      <c r="AO55">
        <v>8.0269842954382595E-2</v>
      </c>
      <c r="AP55">
        <v>7.2889071106257197E-2</v>
      </c>
      <c r="AQ55">
        <v>5.9072616813059302E-2</v>
      </c>
      <c r="AR55">
        <v>8.0800210719755794E-2</v>
      </c>
      <c r="AS55">
        <v>6.5767105410891202E-2</v>
      </c>
    </row>
    <row r="56" spans="1:45" x14ac:dyDescent="0.2">
      <c r="A56" t="s">
        <v>103</v>
      </c>
      <c r="B56" t="s">
        <v>98</v>
      </c>
      <c r="C56" t="s">
        <v>45</v>
      </c>
      <c r="D56">
        <v>71.94</v>
      </c>
      <c r="E56">
        <v>114.14</v>
      </c>
      <c r="F56">
        <v>3.4201796427258097E-2</v>
      </c>
      <c r="G56">
        <v>25.847130777941299</v>
      </c>
      <c r="H56">
        <v>-3.7883333331864901</v>
      </c>
      <c r="I56">
        <v>-1.0916666665069501</v>
      </c>
      <c r="J56">
        <v>-0.92943373938511398</v>
      </c>
      <c r="K56">
        <v>-3.7883333331864901</v>
      </c>
      <c r="L56">
        <v>-1.0916666665069501</v>
      </c>
      <c r="M56">
        <v>-3.7883333331864901</v>
      </c>
      <c r="N56">
        <v>-1.0916666665069501</v>
      </c>
      <c r="O56">
        <v>3.1931173317197099</v>
      </c>
      <c r="P56">
        <v>4.48532369579559E-2</v>
      </c>
      <c r="Q56">
        <v>7.24616710985376E-2</v>
      </c>
      <c r="R56">
        <v>-3.40213074432607E-2</v>
      </c>
      <c r="S56">
        <v>3.4201796427258097E-2</v>
      </c>
      <c r="T56">
        <v>-0.70653417063998902</v>
      </c>
      <c r="U56">
        <v>-3.8183333331860601</v>
      </c>
      <c r="V56">
        <v>-1.1066666665066001</v>
      </c>
      <c r="W56">
        <v>-1.0144202896714301</v>
      </c>
      <c r="X56">
        <v>-3.8183333331860601</v>
      </c>
      <c r="Y56">
        <v>-1.1066666665066001</v>
      </c>
      <c r="Z56">
        <v>-3.8183333331860601</v>
      </c>
      <c r="AA56">
        <v>-1.1066666665066001</v>
      </c>
      <c r="AB56">
        <v>1.3883333332521099</v>
      </c>
      <c r="AC56">
        <v>-3.40213074432607E-2</v>
      </c>
      <c r="AD56">
        <v>2.93400408406103</v>
      </c>
      <c r="AE56">
        <v>5.8302079246469702</v>
      </c>
      <c r="AF56">
        <v>3.2037283756782702</v>
      </c>
      <c r="AG56">
        <v>6.5643439889351596</v>
      </c>
      <c r="AH56">
        <v>-2.14078742868714</v>
      </c>
      <c r="AI56">
        <v>23.46</v>
      </c>
      <c r="AJ56">
        <v>23</v>
      </c>
      <c r="AK56" s="1">
        <v>1.31896983462464E-7</v>
      </c>
      <c r="AL56" s="1">
        <v>4.3308558016999598E-5</v>
      </c>
      <c r="AM56">
        <v>1.38384</v>
      </c>
      <c r="AN56">
        <v>-301.85102744488699</v>
      </c>
      <c r="AO56">
        <v>0.113192735915532</v>
      </c>
      <c r="AP56">
        <v>8.2685554622554905E-2</v>
      </c>
      <c r="AQ56">
        <v>6.6996213476901198E-2</v>
      </c>
      <c r="AR56">
        <v>8.9021919380315007E-2</v>
      </c>
      <c r="AS56">
        <v>7.2452614209907298E-2</v>
      </c>
    </row>
    <row r="57" spans="1:45" x14ac:dyDescent="0.2">
      <c r="A57" t="s">
        <v>104</v>
      </c>
      <c r="B57" t="s">
        <v>98</v>
      </c>
      <c r="C57" t="s">
        <v>45</v>
      </c>
      <c r="D57">
        <v>8.34</v>
      </c>
      <c r="E57">
        <v>43.08</v>
      </c>
      <c r="F57">
        <v>2.62167934489211E-2</v>
      </c>
      <c r="G57">
        <v>100.202092841438</v>
      </c>
      <c r="H57">
        <v>-2.9266666665205898</v>
      </c>
      <c r="I57">
        <v>-0.87166666650715796</v>
      </c>
      <c r="J57">
        <v>-0.73025581887630897</v>
      </c>
      <c r="K57">
        <v>-2.9266666665205898</v>
      </c>
      <c r="L57">
        <v>-0.87166666650715796</v>
      </c>
      <c r="M57">
        <v>-2.9266666665205898</v>
      </c>
      <c r="N57">
        <v>-0.87166666650715796</v>
      </c>
      <c r="O57">
        <v>2.5076291426427502</v>
      </c>
      <c r="P57">
        <v>5.4669182145572599E-2</v>
      </c>
      <c r="Q57">
        <v>3.3095389211383899E-2</v>
      </c>
      <c r="R57">
        <v>-2.5910998824302402E-2</v>
      </c>
      <c r="S57">
        <v>2.62167934489211E-2</v>
      </c>
      <c r="T57">
        <v>73.484373960789199</v>
      </c>
      <c r="U57">
        <v>-2.9566666665201602</v>
      </c>
      <c r="V57">
        <v>-0.88666666650680703</v>
      </c>
      <c r="W57">
        <v>-0.77887681141115495</v>
      </c>
      <c r="X57">
        <v>-2.9566666665201602</v>
      </c>
      <c r="Y57">
        <v>-0.88666666650680703</v>
      </c>
      <c r="Z57">
        <v>-2.9566666665201602</v>
      </c>
      <c r="AA57">
        <v>-0.88666666650680703</v>
      </c>
      <c r="AB57">
        <v>1.2956884057234499</v>
      </c>
      <c r="AC57">
        <v>-2.5910998824302499E-2</v>
      </c>
      <c r="AD57">
        <v>3.83229817296617</v>
      </c>
      <c r="AE57">
        <v>5.9298045951381697</v>
      </c>
      <c r="AF57">
        <v>3.8283676981194299</v>
      </c>
      <c r="AG57">
        <v>6.5441337421130701</v>
      </c>
      <c r="AH57">
        <v>1.0744365952436801</v>
      </c>
      <c r="AI57">
        <v>23.52</v>
      </c>
      <c r="AJ57">
        <v>23.06</v>
      </c>
      <c r="AK57">
        <v>0.21986791281439999</v>
      </c>
      <c r="AL57">
        <v>0.27967189498848199</v>
      </c>
      <c r="AM57">
        <v>1.8809</v>
      </c>
      <c r="AN57">
        <v>151.49555992935899</v>
      </c>
      <c r="AO57">
        <v>6.9864939299860096E-2</v>
      </c>
      <c r="AP57">
        <v>6.8233767139105395E-2</v>
      </c>
      <c r="AQ57">
        <v>5.7310887082711301E-2</v>
      </c>
      <c r="AR57">
        <v>7.6748447113458101E-2</v>
      </c>
      <c r="AS57">
        <v>6.42621684605411E-2</v>
      </c>
    </row>
    <row r="58" spans="1:45" x14ac:dyDescent="0.2">
      <c r="A58" t="s">
        <v>105</v>
      </c>
      <c r="B58" t="s">
        <v>98</v>
      </c>
      <c r="C58" t="s">
        <v>45</v>
      </c>
      <c r="D58">
        <v>14.46</v>
      </c>
      <c r="E58">
        <v>52.78</v>
      </c>
      <c r="F58">
        <v>2.7428197596309298E-2</v>
      </c>
      <c r="G58">
        <v>93.496066001055397</v>
      </c>
      <c r="H58">
        <v>-2.8833333331872799</v>
      </c>
      <c r="I58">
        <v>-0.93166666650711205</v>
      </c>
      <c r="J58">
        <v>-0.69568936630702505</v>
      </c>
      <c r="K58">
        <v>-2.8833333331872799</v>
      </c>
      <c r="L58">
        <v>-0.93166666650711205</v>
      </c>
      <c r="M58">
        <v>-2.8833333331872799</v>
      </c>
      <c r="N58">
        <v>-0.93166666650711205</v>
      </c>
      <c r="O58">
        <v>2.6286691129893001</v>
      </c>
      <c r="P58">
        <v>5.1495026127723602E-2</v>
      </c>
      <c r="Q58">
        <v>3.4816608132293599E-2</v>
      </c>
      <c r="R58">
        <v>-2.7447726491451701E-2</v>
      </c>
      <c r="S58">
        <v>2.7428197596309298E-2</v>
      </c>
      <c r="T58">
        <v>64.845358382213504</v>
      </c>
      <c r="U58">
        <v>-2.9133333331868498</v>
      </c>
      <c r="V58">
        <v>-0.94666666650676201</v>
      </c>
      <c r="W58">
        <v>-0.76376811575889902</v>
      </c>
      <c r="X58">
        <v>-2.9133333331868498</v>
      </c>
      <c r="Y58">
        <v>-0.94666666650676201</v>
      </c>
      <c r="Z58">
        <v>-2.9133333331868498</v>
      </c>
      <c r="AA58">
        <v>-0.94666666650676201</v>
      </c>
      <c r="AB58">
        <v>1.31710144921632</v>
      </c>
      <c r="AC58">
        <v>-2.7447726491451701E-2</v>
      </c>
      <c r="AD58">
        <v>3.9008272513885598</v>
      </c>
      <c r="AE58">
        <v>5.7726303640533203</v>
      </c>
      <c r="AF58">
        <v>3.8647970449842499</v>
      </c>
      <c r="AG58">
        <v>6.4255999830999198</v>
      </c>
      <c r="AH58">
        <v>0.86879517078656399</v>
      </c>
      <c r="AI58">
        <v>23.62</v>
      </c>
      <c r="AJ58">
        <v>23.16</v>
      </c>
      <c r="AK58">
        <v>5.5789177115965302E-2</v>
      </c>
      <c r="AL58">
        <v>0.115156598352245</v>
      </c>
      <c r="AM58">
        <v>1.8167199999999999</v>
      </c>
      <c r="AN58">
        <v>122.50011908090499</v>
      </c>
      <c r="AO58">
        <v>7.4563145262130703E-2</v>
      </c>
      <c r="AP58">
        <v>7.1663968584358098E-2</v>
      </c>
      <c r="AQ58">
        <v>5.7636400681437501E-2</v>
      </c>
      <c r="AR58">
        <v>7.9691764119455E-2</v>
      </c>
      <c r="AS58">
        <v>6.4438450441289596E-2</v>
      </c>
    </row>
    <row r="59" spans="1:45" x14ac:dyDescent="0.2">
      <c r="A59" t="s">
        <v>106</v>
      </c>
      <c r="B59" t="s">
        <v>107</v>
      </c>
      <c r="C59" t="s">
        <v>45</v>
      </c>
      <c r="D59">
        <v>0</v>
      </c>
      <c r="E59">
        <v>1.08</v>
      </c>
      <c r="F59">
        <v>-3.6072075648254098E-2</v>
      </c>
      <c r="G59">
        <v>47.785441866281403</v>
      </c>
      <c r="H59">
        <v>2.9600000001406901</v>
      </c>
      <c r="I59">
        <v>3.5500000001554599</v>
      </c>
      <c r="J59">
        <v>1.64185990356231</v>
      </c>
      <c r="K59">
        <v>2.9600000001406901</v>
      </c>
      <c r="L59">
        <v>3.5500000001554599</v>
      </c>
      <c r="M59">
        <v>2.9600000001406901</v>
      </c>
      <c r="N59">
        <v>3.5500000001554599</v>
      </c>
      <c r="O59">
        <v>2.32238996523055</v>
      </c>
      <c r="P59">
        <v>0.135107217048821</v>
      </c>
      <c r="Q59">
        <v>-1.9638293617567502E-2</v>
      </c>
      <c r="R59">
        <v>-3.6945638342907497E-2</v>
      </c>
      <c r="S59">
        <v>-3.6072075648254098E-2</v>
      </c>
      <c r="T59">
        <v>47.704386546146999</v>
      </c>
      <c r="U59">
        <v>2.9300000001411202</v>
      </c>
      <c r="V59">
        <v>3.5350000001558102</v>
      </c>
      <c r="W59">
        <v>1.6881159422088601</v>
      </c>
      <c r="X59">
        <v>2.9300000001411202</v>
      </c>
      <c r="Y59">
        <v>3.5350000001558102</v>
      </c>
      <c r="Z59">
        <v>2.9300000001411202</v>
      </c>
      <c r="AA59">
        <v>3.5350000001558102</v>
      </c>
      <c r="AB59">
        <v>1.6881159422088601</v>
      </c>
      <c r="AC59">
        <v>-3.6945638342907497E-2</v>
      </c>
      <c r="AD59">
        <v>1.87777734432184</v>
      </c>
      <c r="AE59">
        <v>1.41271232660929</v>
      </c>
      <c r="AF59">
        <v>1.8669496744323899</v>
      </c>
      <c r="AG59">
        <v>1.412649419688</v>
      </c>
      <c r="AH59">
        <v>1.01673869611358</v>
      </c>
      <c r="AI59">
        <v>23.52</v>
      </c>
      <c r="AJ59">
        <v>23.06</v>
      </c>
      <c r="AK59">
        <v>0.88013574861590604</v>
      </c>
      <c r="AL59">
        <v>0.89283803433019204</v>
      </c>
      <c r="AM59">
        <v>1.47976</v>
      </c>
      <c r="AN59">
        <v>232.833161410011</v>
      </c>
      <c r="AO59">
        <v>5.2210877278564001E-2</v>
      </c>
      <c r="AP59">
        <v>6.2336889948252497E-2</v>
      </c>
      <c r="AQ59">
        <v>7.1397252745640294E-2</v>
      </c>
      <c r="AR59">
        <v>6.2797829079098602E-2</v>
      </c>
      <c r="AS59">
        <v>7.1626563435262094E-2</v>
      </c>
    </row>
    <row r="60" spans="1:45" x14ac:dyDescent="0.2">
      <c r="A60" t="s">
        <v>108</v>
      </c>
      <c r="B60" t="s">
        <v>107</v>
      </c>
      <c r="C60" t="s">
        <v>45</v>
      </c>
      <c r="D60">
        <v>0</v>
      </c>
      <c r="E60">
        <v>0.02</v>
      </c>
      <c r="F60">
        <v>1.95730467324845E-2</v>
      </c>
      <c r="G60">
        <v>134.00403718575399</v>
      </c>
      <c r="H60">
        <v>1.4886111112531699</v>
      </c>
      <c r="I60">
        <v>-7.4166666507894594E-2</v>
      </c>
      <c r="J60">
        <v>-0.619419374726764</v>
      </c>
      <c r="K60">
        <v>1.23166666680896</v>
      </c>
      <c r="L60">
        <v>-0.16833333317447299</v>
      </c>
      <c r="M60">
        <v>1.67166666680856</v>
      </c>
      <c r="N60">
        <v>-0.13666666650784001</v>
      </c>
      <c r="O60">
        <v>1.5788768713925101</v>
      </c>
      <c r="P60">
        <v>5.3842203333973798E-2</v>
      </c>
      <c r="Q60">
        <v>6.8125593191584698E-3</v>
      </c>
      <c r="R60">
        <v>4.7012001025049197E-2</v>
      </c>
      <c r="S60">
        <v>1.95730467324845E-2</v>
      </c>
      <c r="T60">
        <v>105.44318383535099</v>
      </c>
      <c r="U60">
        <v>1.45861111125359</v>
      </c>
      <c r="V60">
        <v>-8.9166666507544498E-2</v>
      </c>
      <c r="W60">
        <v>-0.61676328484327403</v>
      </c>
      <c r="X60">
        <v>1.2016666668093801</v>
      </c>
      <c r="Y60">
        <v>-0.18333333317412301</v>
      </c>
      <c r="Z60">
        <v>1.3633333334759099</v>
      </c>
      <c r="AA60">
        <v>-0.18333333317412301</v>
      </c>
      <c r="AB60">
        <v>1.1392512076640899</v>
      </c>
      <c r="AC60">
        <v>4.7012001025049197E-2</v>
      </c>
      <c r="AD60">
        <v>4.4774801253377099</v>
      </c>
      <c r="AE60">
        <v>4.8188453894262899</v>
      </c>
      <c r="AF60">
        <v>5.1324942315963504</v>
      </c>
      <c r="AG60">
        <v>5.9147000073117102</v>
      </c>
      <c r="AH60">
        <v>1.589752696243</v>
      </c>
      <c r="AI60">
        <v>26.393999999999998</v>
      </c>
      <c r="AJ60">
        <v>25.893999999999998</v>
      </c>
      <c r="AK60">
        <v>0.948574039117273</v>
      </c>
      <c r="AL60">
        <v>0.96321188009582104</v>
      </c>
      <c r="AM60">
        <v>6.0382999999999996</v>
      </c>
      <c r="AN60">
        <v>349.74559317346097</v>
      </c>
      <c r="AO60">
        <v>4.6759488918819397E-2</v>
      </c>
      <c r="AP60">
        <v>5.1608568402121101E-2</v>
      </c>
      <c r="AQ60">
        <v>5.46881495367171E-2</v>
      </c>
      <c r="AR60">
        <v>7.0830687372848603E-2</v>
      </c>
      <c r="AS60">
        <v>7.2579751444250898E-2</v>
      </c>
    </row>
    <row r="61" spans="1:45" x14ac:dyDescent="0.2">
      <c r="A61" t="s">
        <v>109</v>
      </c>
      <c r="B61" t="s">
        <v>107</v>
      </c>
      <c r="C61" t="s">
        <v>45</v>
      </c>
      <c r="D61">
        <v>0</v>
      </c>
      <c r="E61">
        <v>0.06</v>
      </c>
      <c r="F61">
        <v>2.1700770345966399E-2</v>
      </c>
      <c r="G61">
        <v>131.97087528831301</v>
      </c>
      <c r="H61">
        <v>1.7391666668085</v>
      </c>
      <c r="I61">
        <v>0.18666666682518099</v>
      </c>
      <c r="J61">
        <v>-0.68600598356894504</v>
      </c>
      <c r="K61">
        <v>1.6300000001419299</v>
      </c>
      <c r="L61">
        <v>0.18666666682518099</v>
      </c>
      <c r="M61">
        <v>1.84833333347507</v>
      </c>
      <c r="N61">
        <v>0.18666666682518099</v>
      </c>
      <c r="O61">
        <v>1.7777580607974299</v>
      </c>
      <c r="P61">
        <v>5.5419742372902897E-2</v>
      </c>
      <c r="Q61">
        <v>7.5209635942497504E-3</v>
      </c>
      <c r="R61">
        <v>5.3824375805101798E-2</v>
      </c>
      <c r="S61">
        <v>2.1700770345966399E-2</v>
      </c>
      <c r="T61">
        <v>104.372523877661</v>
      </c>
      <c r="U61">
        <v>1.70916666680893</v>
      </c>
      <c r="V61">
        <v>0.171666666825531</v>
      </c>
      <c r="W61">
        <v>-0.68282608677577605</v>
      </c>
      <c r="X61">
        <v>1.60000000014236</v>
      </c>
      <c r="Y61">
        <v>0.171666666825531</v>
      </c>
      <c r="Z61">
        <v>1.7650000001422099</v>
      </c>
      <c r="AA61">
        <v>0.171666666825531</v>
      </c>
      <c r="AB61">
        <v>1.1604347825361601</v>
      </c>
      <c r="AC61">
        <v>5.3824375805101798E-2</v>
      </c>
      <c r="AD61">
        <v>4.8242173134675603</v>
      </c>
      <c r="AE61">
        <v>4.8808704859924301</v>
      </c>
      <c r="AF61">
        <v>5.2693213704344197</v>
      </c>
      <c r="AG61">
        <v>6.0710988209464603</v>
      </c>
      <c r="AH61">
        <v>1.5560944015375999</v>
      </c>
      <c r="AI61">
        <v>24.116</v>
      </c>
      <c r="AJ61">
        <v>23.655999999999999</v>
      </c>
      <c r="AK61">
        <v>0.91307871587848899</v>
      </c>
      <c r="AL61">
        <v>0.94973253014112802</v>
      </c>
      <c r="AM61">
        <v>3.1975199999999999</v>
      </c>
      <c r="AN61">
        <v>342.34076833827402</v>
      </c>
      <c r="AO61">
        <v>4.8449028638783601E-2</v>
      </c>
      <c r="AP61">
        <v>5.32099885453967E-2</v>
      </c>
      <c r="AQ61">
        <v>5.7709061787968897E-2</v>
      </c>
      <c r="AR61">
        <v>7.2360341877015302E-2</v>
      </c>
      <c r="AS61">
        <v>7.5103468883713997E-2</v>
      </c>
    </row>
  </sheetData>
  <sortState xmlns:xlrd2="http://schemas.microsoft.com/office/spreadsheetml/2017/richdata2" ref="A2:AS59">
    <sortCondition ref="B2:B59"/>
    <sortCondition ref="A2:A59"/>
  </sortState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averaged_runs126</vt:lpstr>
      <vt:lpstr>averaged_runs245</vt:lpstr>
      <vt:lpstr>averaged_runs370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2025-07-05T21:43:17Z</dcterms:created>
  <dcterms:modified xsi:type="dcterms:W3CDTF">2025-12-02T19:49:15Z</dcterms:modified>
</cp:coreProperties>
</file>