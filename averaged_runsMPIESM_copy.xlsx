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140" yWindow="620" windowWidth="26260" windowHeight="20120" tabRatio="600" firstSheet="0" activeTab="1" autoFilterDateGrouping="1"/>
  </bookViews>
  <sheets>
    <sheet name="averaged_runs126" sheetId="1" state="visible" r:id="rId1"/>
    <sheet name="averaged_runs245" sheetId="2" state="visible" r:id="rId2"/>
    <sheet name="averaged_runs370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1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1"/>
  <sheetViews>
    <sheetView topLeftCell="AJ1" workbookViewId="0">
      <pane ySplit="1" topLeftCell="A2" activePane="bottomLeft" state="frozen"/>
      <selection pane="bottomLeft" activeCell="AV25" sqref="AV25"/>
    </sheetView>
  </sheetViews>
  <sheetFormatPr baseColWidth="10" defaultRowHeight="16"/>
  <sheetData>
    <row r="1">
      <c r="A1" t="inlineStr">
        <is>
          <t>method_name</t>
        </is>
      </c>
      <c r="B1" t="inlineStr">
        <is>
          <t>method_class</t>
        </is>
      </c>
      <c r="C1" t="inlineStr">
        <is>
          <t>c/r</t>
        </is>
      </c>
      <c r="D1" t="inlineStr">
        <is>
          <t>#q&lt;0.1</t>
        </is>
      </c>
      <c r="E1" t="inlineStr">
        <is>
          <t>#q&lt;0.5</t>
        </is>
      </c>
      <c r="F1" t="inlineStr">
        <is>
          <t>100bias</t>
        </is>
      </c>
      <c r="G1" t="inlineStr">
        <is>
          <t>100log-l</t>
        </is>
      </c>
      <c r="H1" t="inlineStr">
        <is>
          <t>Edyrs15</t>
        </is>
      </c>
      <c r="I1" t="inlineStr">
        <is>
          <t>Edyrs20</t>
        </is>
      </c>
      <c r="J1" t="inlineStr">
        <is>
          <t>EdyrsA</t>
        </is>
      </c>
      <c r="K1" t="inlineStr">
        <is>
          <t>Fdyrs15</t>
        </is>
      </c>
      <c r="L1" t="inlineStr">
        <is>
          <t>Fdyrs20</t>
        </is>
      </c>
      <c r="M1" t="inlineStr">
        <is>
          <t>Mdyrs15</t>
        </is>
      </c>
      <c r="N1" t="inlineStr">
        <is>
          <t>Mdyrs20</t>
        </is>
      </c>
      <c r="O1" t="inlineStr">
        <is>
          <t>RMSyrsA</t>
        </is>
      </c>
      <c r="P1" t="inlineStr">
        <is>
          <t>avg_unc.(1se)</t>
        </is>
      </c>
      <c r="Q1" t="inlineStr">
        <is>
          <t>bias</t>
        </is>
      </c>
      <c r="R1" t="inlineStr">
        <is>
          <t>bias50</t>
        </is>
      </c>
      <c r="S1" t="inlineStr">
        <is>
          <t>e100bias</t>
        </is>
      </c>
      <c r="T1" t="inlineStr">
        <is>
          <t>e100log-l</t>
        </is>
      </c>
      <c r="U1" t="inlineStr">
        <is>
          <t>eEdyrs15</t>
        </is>
      </c>
      <c r="V1" t="inlineStr">
        <is>
          <t>eEdyrs20</t>
        </is>
      </c>
      <c r="W1" t="inlineStr">
        <is>
          <t>eEdyrsA</t>
        </is>
      </c>
      <c r="X1" t="inlineStr">
        <is>
          <t>eFdyrs15</t>
        </is>
      </c>
      <c r="Y1" t="inlineStr">
        <is>
          <t>eFdyrs20</t>
        </is>
      </c>
      <c r="Z1" t="inlineStr">
        <is>
          <t>eMdyrs15</t>
        </is>
      </c>
      <c r="AA1" t="inlineStr">
        <is>
          <t>eMdyrs20</t>
        </is>
      </c>
      <c r="AB1" t="inlineStr">
        <is>
          <t>eRMSyrsA</t>
        </is>
      </c>
      <c r="AC1" t="inlineStr">
        <is>
          <t>ebias50</t>
        </is>
      </c>
      <c r="AD1" t="inlineStr">
        <is>
          <t>el15</t>
        </is>
      </c>
      <c r="AE1" t="inlineStr">
        <is>
          <t>el20</t>
        </is>
      </c>
      <c r="AF1" t="inlineStr">
        <is>
          <t>l15</t>
        </is>
      </c>
      <c r="AG1" t="inlineStr">
        <is>
          <t>l20</t>
        </is>
      </c>
      <c r="AH1" t="inlineStr">
        <is>
          <t>log-likeli</t>
        </is>
      </c>
      <c r="AI1" t="inlineStr">
        <is>
          <t>ncEdyrs</t>
        </is>
      </c>
      <c r="AJ1" t="inlineStr">
        <is>
          <t>nceEdyrs</t>
        </is>
      </c>
      <c r="AK1" t="inlineStr">
        <is>
          <t>q_min</t>
        </is>
      </c>
      <c r="AL1" t="inlineStr">
        <is>
          <t>q_small5</t>
        </is>
      </c>
      <c r="AM1" t="inlineStr">
        <is>
          <t>smooth_r</t>
        </is>
      </c>
      <c r="AN1" t="inlineStr">
        <is>
          <t>tlog-l</t>
        </is>
      </c>
      <c r="AO1" t="inlineStr">
        <is>
          <t>RMS</t>
        </is>
      </c>
      <c r="AP1" t="inlineStr">
        <is>
          <t>100RMS</t>
        </is>
      </c>
      <c r="AQ1" t="inlineStr">
        <is>
          <t>75RMS</t>
        </is>
      </c>
      <c r="AR1" t="inlineStr">
        <is>
          <t>e100RMS</t>
        </is>
      </c>
      <c r="AS1" t="inlineStr">
        <is>
          <t>e75RMS</t>
        </is>
      </c>
    </row>
    <row r="2">
      <c r="A2" t="inlineStr">
        <is>
          <t>lag10y</t>
        </is>
      </c>
      <c r="B2" t="inlineStr">
        <is>
          <t>42/1_Run_Means</t>
        </is>
      </c>
      <c r="C2" t="inlineStr">
        <is>
          <t>c</t>
        </is>
      </c>
      <c r="D2" t="n">
        <v>25.98</v>
      </c>
      <c r="E2" t="n">
        <v>97.58</v>
      </c>
      <c r="F2" t="n">
        <v>-0.0351214498346978</v>
      </c>
      <c r="G2" t="n">
        <v>69.57351387931456</v>
      </c>
      <c r="H2" t="n">
        <v>5.580000000147069</v>
      </c>
      <c r="I2" t="n">
        <v>-1</v>
      </c>
      <c r="J2" t="n">
        <v>4.652166005429566</v>
      </c>
      <c r="K2" t="n">
        <v>4.053333333481783</v>
      </c>
      <c r="L2" t="n">
        <v>-1</v>
      </c>
      <c r="M2" t="n">
        <v>7.123333333479</v>
      </c>
      <c r="N2" t="n">
        <v>-1</v>
      </c>
      <c r="O2" t="n">
        <v>5.155689460031495</v>
      </c>
      <c r="P2" t="n">
        <v>0.0386750183878784</v>
      </c>
      <c r="Q2" t="n">
        <v>-0.0298609328637807</v>
      </c>
      <c r="R2" t="n">
        <v>0.0056395683288573</v>
      </c>
      <c r="S2" t="n">
        <v>-0.0351214498346978</v>
      </c>
      <c r="T2" t="n">
        <v>-29.95583756445919</v>
      </c>
      <c r="U2" t="n">
        <v>5.780833333477498</v>
      </c>
      <c r="V2" t="n">
        <v>-1</v>
      </c>
      <c r="W2" t="n">
        <v>4.850879629767316</v>
      </c>
      <c r="X2" t="n">
        <v>4.345000000145283</v>
      </c>
      <c r="Y2" t="n">
        <v>-1</v>
      </c>
      <c r="Z2" t="n">
        <v>6.598333333476567</v>
      </c>
      <c r="AA2" t="n">
        <v>-1</v>
      </c>
      <c r="AB2" t="n">
        <v>4.925787037163177</v>
      </c>
      <c r="AC2" t="n">
        <v>0.0056395683288574</v>
      </c>
      <c r="AD2" t="n">
        <v>5.2325459203532</v>
      </c>
      <c r="AE2" t="n">
        <v>0</v>
      </c>
      <c r="AF2" t="n">
        <v>4.779209873390977</v>
      </c>
      <c r="AG2" t="n">
        <v>0</v>
      </c>
      <c r="AH2" t="n">
        <v>1.03111617362413</v>
      </c>
      <c r="AI2" t="n">
        <v>7.42</v>
      </c>
      <c r="AJ2" t="n">
        <v>7.572</v>
      </c>
      <c r="AK2" t="n">
        <v>0.0086516320260813</v>
      </c>
      <c r="AL2" t="n">
        <v>0.0177686163572869</v>
      </c>
      <c r="AM2" t="n">
        <v>2.89858</v>
      </c>
      <c r="AN2" t="n">
        <v>238.1878361071739</v>
      </c>
      <c r="AO2" t="n">
        <v>0.0589687352883666</v>
      </c>
      <c r="AP2" t="n">
        <v>0.061551364663845</v>
      </c>
      <c r="AQ2" t="n">
        <v>0.0475944988688622</v>
      </c>
      <c r="AR2" t="n">
        <v>0.0781502321043014</v>
      </c>
      <c r="AS2" t="n">
        <v>0.0673918609296822</v>
      </c>
    </row>
    <row r="3">
      <c r="A3" t="inlineStr">
        <is>
          <t>lag5y</t>
        </is>
      </c>
      <c r="B3" t="inlineStr">
        <is>
          <t>42/1_Run_Means</t>
        </is>
      </c>
      <c r="C3" t="inlineStr">
        <is>
          <t>c</t>
        </is>
      </c>
      <c r="D3" t="n">
        <v>24.32</v>
      </c>
      <c r="E3" t="n">
        <v>75.23999999999999</v>
      </c>
      <c r="F3" t="n">
        <v>-0.009823731131605999</v>
      </c>
      <c r="G3" t="n">
        <v>63.33850964436724</v>
      </c>
      <c r="H3" t="n">
        <v>3.574972222371103</v>
      </c>
      <c r="I3" t="n">
        <v>-1</v>
      </c>
      <c r="J3" t="n">
        <v>2.532763227653704</v>
      </c>
      <c r="K3" t="n">
        <v>-1.014999999846937</v>
      </c>
      <c r="L3" t="n">
        <v>-1</v>
      </c>
      <c r="M3" t="n">
        <v>6.236666666813112</v>
      </c>
      <c r="N3" t="n">
        <v>-1</v>
      </c>
      <c r="O3" t="n">
        <v>3.703589304742822</v>
      </c>
      <c r="P3" t="n">
        <v>0.0477639765475764</v>
      </c>
      <c r="Q3" t="n">
        <v>-0.0133273046102033</v>
      </c>
      <c r="R3" t="n">
        <v>0.0057650712728499</v>
      </c>
      <c r="S3" t="n">
        <v>-0.009823731131605999</v>
      </c>
      <c r="T3" t="n">
        <v>-30.54342606442442</v>
      </c>
      <c r="U3" t="n">
        <v>3.785250000145967</v>
      </c>
      <c r="V3" t="n">
        <v>-1</v>
      </c>
      <c r="W3" t="n">
        <v>2.808861111251117</v>
      </c>
      <c r="X3" t="n">
        <v>-0.7049999998501242</v>
      </c>
      <c r="Y3" t="n">
        <v>-1</v>
      </c>
      <c r="Z3" t="n">
        <v>6.078333333477031</v>
      </c>
      <c r="AA3" t="n">
        <v>-1</v>
      </c>
      <c r="AB3" t="n">
        <v>3.427333333409649</v>
      </c>
      <c r="AC3" t="n">
        <v>0.00576507127285</v>
      </c>
      <c r="AD3" t="n">
        <v>4.94064808145712</v>
      </c>
      <c r="AE3" t="n">
        <v>0</v>
      </c>
      <c r="AF3" t="n">
        <v>6.121331154845209</v>
      </c>
      <c r="AG3" t="n">
        <v>0</v>
      </c>
      <c r="AH3" t="n">
        <v>0.8024702244554461</v>
      </c>
      <c r="AI3" t="n">
        <v>10.566</v>
      </c>
      <c r="AJ3" t="n">
        <v>10.956</v>
      </c>
      <c r="AK3" t="n">
        <v>0.0006429848198611</v>
      </c>
      <c r="AL3" t="n">
        <v>0.0051331552855347</v>
      </c>
      <c r="AM3" t="n">
        <v>5.661219999999999</v>
      </c>
      <c r="AN3" t="n">
        <v>185.3706218492081</v>
      </c>
      <c r="AO3" t="n">
        <v>0.06501177156683639</v>
      </c>
      <c r="AP3" t="n">
        <v>0.0578386199434609</v>
      </c>
      <c r="AQ3" t="n">
        <v>0.0549205788981386</v>
      </c>
      <c r="AR3" t="n">
        <v>0.0751445060381009</v>
      </c>
      <c r="AS3" t="n">
        <v>0.07290352271802961</v>
      </c>
    </row>
    <row r="4">
      <c r="A4" t="inlineStr">
        <is>
          <t>offset11y</t>
        </is>
      </c>
      <c r="B4" t="inlineStr">
        <is>
          <t>42/1_Run_Means</t>
        </is>
      </c>
      <c r="C4" t="inlineStr">
        <is>
          <t>c</t>
        </is>
      </c>
      <c r="D4" t="n">
        <v>127.04</v>
      </c>
      <c r="E4" t="n">
        <v>189.14</v>
      </c>
      <c r="F4" t="n">
        <v>0.06961945265204041</v>
      </c>
      <c r="G4" t="n">
        <v>-140.0465495401699</v>
      </c>
      <c r="H4" t="n">
        <v>-4.259999999843976</v>
      </c>
      <c r="I4" t="n">
        <v>-1</v>
      </c>
      <c r="J4" t="n">
        <v>-3.188977513082345</v>
      </c>
      <c r="K4" t="n">
        <v>-4.334999999843908</v>
      </c>
      <c r="L4" t="n">
        <v>-1</v>
      </c>
      <c r="M4" t="n">
        <v>-4.334999999843908</v>
      </c>
      <c r="N4" t="n">
        <v>-1</v>
      </c>
      <c r="O4" t="n">
        <v>4.872612267477841</v>
      </c>
      <c r="P4" t="n">
        <v>0.03744379616656</v>
      </c>
      <c r="Q4" t="n">
        <v>0.07680421492572111</v>
      </c>
      <c r="R4" t="n">
        <v>0.115127715587616</v>
      </c>
      <c r="S4" t="n">
        <v>0.06961945265204041</v>
      </c>
      <c r="T4" t="n">
        <v>-215.399409359215</v>
      </c>
      <c r="U4" t="n">
        <v>-3.771666666511223</v>
      </c>
      <c r="V4" t="n">
        <v>-1</v>
      </c>
      <c r="W4" t="n">
        <v>-3.580370370223643</v>
      </c>
      <c r="X4" t="n">
        <v>-3.846666666511155</v>
      </c>
      <c r="Y4" t="n">
        <v>-1</v>
      </c>
      <c r="Z4" t="n">
        <v>-3.776666666511218</v>
      </c>
      <c r="AA4" t="n">
        <v>-1</v>
      </c>
      <c r="AB4" t="n">
        <v>4.147592592474039</v>
      </c>
      <c r="AC4" t="n">
        <v>0.115127715587616</v>
      </c>
      <c r="AD4" t="n">
        <v>4.287155209048587</v>
      </c>
      <c r="AE4" t="n">
        <v>0</v>
      </c>
      <c r="AF4" t="n">
        <v>4.990859383608182</v>
      </c>
      <c r="AG4" t="n">
        <v>0</v>
      </c>
      <c r="AH4" t="n">
        <v>-1.450499982797274</v>
      </c>
      <c r="AI4" t="n">
        <v>6.488</v>
      </c>
      <c r="AJ4" t="n">
        <v>6.688</v>
      </c>
      <c r="AK4" s="1" t="n">
        <v>1.369783174349799e-06</v>
      </c>
      <c r="AL4" s="1" t="n">
        <v>5.806589472806368e-06</v>
      </c>
      <c r="AM4" t="n">
        <v>2.6265</v>
      </c>
      <c r="AN4" t="n">
        <v>-335.0654960261704</v>
      </c>
      <c r="AO4" t="n">
        <v>0.09301031580215841</v>
      </c>
      <c r="AP4" t="n">
        <v>0.08783682427034149</v>
      </c>
      <c r="AQ4" t="n">
        <v>0.1004061552737368</v>
      </c>
      <c r="AR4" t="n">
        <v>0.09966470291071509</v>
      </c>
      <c r="AS4" t="n">
        <v>0.1106973815636469</v>
      </c>
    </row>
    <row r="5">
      <c r="A5" t="inlineStr">
        <is>
          <t>raw1y</t>
        </is>
      </c>
      <c r="B5" t="inlineStr">
        <is>
          <t>42/1_Run_Means</t>
        </is>
      </c>
      <c r="C5" t="inlineStr">
        <is>
          <t>c</t>
        </is>
      </c>
      <c r="D5" t="n">
        <v>0.04</v>
      </c>
      <c r="E5" t="n">
        <v>0.68</v>
      </c>
      <c r="F5" t="n">
        <v>0.0067338295428307</v>
      </c>
      <c r="G5" t="n">
        <v>65.5769518292874</v>
      </c>
      <c r="H5" t="n">
        <v>3.236021825546004</v>
      </c>
      <c r="I5" t="n">
        <v>-1</v>
      </c>
      <c r="J5" t="n">
        <v>1.002806462726904</v>
      </c>
      <c r="K5" t="n">
        <v>-9.776666666505619</v>
      </c>
      <c r="L5" t="n">
        <v>-1</v>
      </c>
      <c r="M5" t="n">
        <v>12.09666666680779</v>
      </c>
      <c r="N5" t="n">
        <v>-1</v>
      </c>
      <c r="O5" t="n">
        <v>3.322432475031803</v>
      </c>
      <c r="P5" t="n">
        <v>0.1280378712215596</v>
      </c>
      <c r="Q5" t="n">
        <v>-0.0002616694014164</v>
      </c>
      <c r="R5" t="n">
        <v>0.0027164812088012</v>
      </c>
      <c r="S5" t="n">
        <v>0.0067338295428307</v>
      </c>
      <c r="T5" t="n">
        <v>58.28768556412783</v>
      </c>
      <c r="U5" t="n">
        <v>3.644707010730682</v>
      </c>
      <c r="V5" t="n">
        <v>-1</v>
      </c>
      <c r="W5" t="n">
        <v>0.949417658872766</v>
      </c>
      <c r="X5" t="n">
        <v>-9.288333333172869</v>
      </c>
      <c r="Y5" t="n">
        <v>-1</v>
      </c>
      <c r="Z5" t="n">
        <v>14.09500000013917</v>
      </c>
      <c r="AA5" t="n">
        <v>-1</v>
      </c>
      <c r="AB5" t="n">
        <v>2.488006283112425</v>
      </c>
      <c r="AC5" t="n">
        <v>0.0027164812088012</v>
      </c>
      <c r="AD5" t="n">
        <v>2.365455828476123</v>
      </c>
      <c r="AE5" t="n">
        <v>0</v>
      </c>
      <c r="AF5" t="n">
        <v>2.315011507933462</v>
      </c>
      <c r="AG5" t="n">
        <v>0</v>
      </c>
      <c r="AH5" t="n">
        <v>0.6974176235116967</v>
      </c>
      <c r="AI5" t="n">
        <v>28.292</v>
      </c>
      <c r="AJ5" t="n">
        <v>29.548</v>
      </c>
      <c r="AK5" t="n">
        <v>0.6492481417642643</v>
      </c>
      <c r="AL5" t="n">
        <v>0.8656575450477486</v>
      </c>
      <c r="AM5" t="n">
        <v>28.95268</v>
      </c>
      <c r="AN5" t="n">
        <v>161.1034710312019</v>
      </c>
      <c r="AO5" t="n">
        <v>0.1194490218094629</v>
      </c>
      <c r="AP5" t="n">
        <v>0.1180546166977225</v>
      </c>
      <c r="AQ5" t="n">
        <v>0.1166899816671777</v>
      </c>
      <c r="AR5" t="n">
        <v>0.1274251981147478</v>
      </c>
      <c r="AS5" t="n">
        <v>0.1264857511914087</v>
      </c>
    </row>
    <row r="6">
      <c r="A6" t="inlineStr">
        <is>
          <t>Bayes_seq_CP</t>
        </is>
      </c>
      <c r="B6" t="inlineStr">
        <is>
          <t>42/2_LT_Fits</t>
        </is>
      </c>
      <c r="C6" t="inlineStr">
        <is>
          <t>c</t>
        </is>
      </c>
      <c r="D6" t="n">
        <v>74.02</v>
      </c>
      <c r="E6" t="n">
        <v>122.82</v>
      </c>
      <c r="F6" t="n">
        <v>0.0353885794505401</v>
      </c>
      <c r="G6" t="n">
        <v>-44.92859749554164</v>
      </c>
      <c r="H6" t="n">
        <v>-1.997777777623834</v>
      </c>
      <c r="I6" t="n">
        <v>-1</v>
      </c>
      <c r="J6" t="n">
        <v>-1.27277976176082</v>
      </c>
      <c r="K6" t="n">
        <v>-2.998333333178475</v>
      </c>
      <c r="L6" t="n">
        <v>-1</v>
      </c>
      <c r="M6" t="n">
        <v>-1.661666666513033</v>
      </c>
      <c r="N6" t="n">
        <v>-1</v>
      </c>
      <c r="O6" t="n">
        <v>4.147544019689204</v>
      </c>
      <c r="P6" t="n">
        <v>0.0333542720792078</v>
      </c>
      <c r="Q6" t="n">
        <v>-0.0038902263609884</v>
      </c>
      <c r="R6" t="n">
        <v>0.07847104783477769</v>
      </c>
      <c r="S6" t="n">
        <v>0.0353885794505402</v>
      </c>
      <c r="T6" t="n">
        <v>-148.3518013025754</v>
      </c>
      <c r="U6" t="n">
        <v>-1.761944444290849</v>
      </c>
      <c r="V6" t="n">
        <v>-1</v>
      </c>
      <c r="W6" t="n">
        <v>-1.244490740596138</v>
      </c>
      <c r="X6" t="n">
        <v>-2.509999999845722</v>
      </c>
      <c r="Y6" t="n">
        <v>-1</v>
      </c>
      <c r="Z6" t="n">
        <v>-1.204999999846914</v>
      </c>
      <c r="AA6" t="n">
        <v>-1</v>
      </c>
      <c r="AB6" t="n">
        <v>3.297546296253124</v>
      </c>
      <c r="AC6" t="n">
        <v>0.0784710478347778</v>
      </c>
      <c r="AD6" t="n">
        <v>4.420657742048526</v>
      </c>
      <c r="AE6" t="n">
        <v>0</v>
      </c>
      <c r="AF6" t="n">
        <v>5.64624508672938</v>
      </c>
      <c r="AG6" t="n">
        <v>0</v>
      </c>
      <c r="AH6" t="n">
        <v>-1.042618088871012</v>
      </c>
      <c r="AI6" t="n">
        <v>6.442</v>
      </c>
      <c r="AJ6" t="n">
        <v>6.757999999999999</v>
      </c>
      <c r="AK6" s="1" t="n">
        <v>8.699864110865692e-06</v>
      </c>
      <c r="AL6" s="1" t="n">
        <v>1.901926352612971e-05</v>
      </c>
      <c r="AM6" t="n">
        <v>2.52098</v>
      </c>
      <c r="AN6" t="n">
        <v>-200.1826730632343</v>
      </c>
      <c r="AO6" t="n">
        <v>0.0761473356470217</v>
      </c>
      <c r="AP6" t="n">
        <v>0.07518440879189089</v>
      </c>
      <c r="AQ6" t="n">
        <v>0.0804084878459523</v>
      </c>
      <c r="AR6" t="n">
        <v>0.0898644150700626</v>
      </c>
      <c r="AS6" t="n">
        <v>0.0933759677697537</v>
      </c>
    </row>
    <row r="7">
      <c r="A7" t="inlineStr">
        <is>
          <t>butterworth</t>
        </is>
      </c>
      <c r="B7" t="inlineStr">
        <is>
          <t>42/2_LT_Fits</t>
        </is>
      </c>
      <c r="C7" t="inlineStr">
        <is>
          <t>c</t>
        </is>
      </c>
      <c r="D7" t="n">
        <v>0.88</v>
      </c>
      <c r="E7" t="n">
        <v>1.56</v>
      </c>
      <c r="F7" t="n">
        <v>-0.0117334331777558</v>
      </c>
      <c r="G7" t="n">
        <v>94.6355815433771</v>
      </c>
      <c r="H7" t="n">
        <v>2.325416666816682</v>
      </c>
      <c r="I7" t="n">
        <v>-1</v>
      </c>
      <c r="J7" t="n">
        <v>1.677320899612161</v>
      </c>
      <c r="K7" t="n">
        <v>-2.809999999845309</v>
      </c>
      <c r="L7" t="n">
        <v>-1</v>
      </c>
      <c r="M7" t="n">
        <v>5.536666666813757</v>
      </c>
      <c r="N7" t="n">
        <v>-1</v>
      </c>
      <c r="O7" t="n">
        <v>3.075661744120725</v>
      </c>
      <c r="P7" t="n">
        <v>0.131357646228484</v>
      </c>
      <c r="Q7" t="n">
        <v>-0.0183195967264307</v>
      </c>
      <c r="R7" t="n">
        <v>-0.0027805940790158</v>
      </c>
      <c r="S7" t="n">
        <v>-0.0117334331777558</v>
      </c>
      <c r="T7" t="n">
        <v>74.97401185051088</v>
      </c>
      <c r="U7" t="n">
        <v>2.208138889038874</v>
      </c>
      <c r="V7" t="n">
        <v>-1</v>
      </c>
      <c r="W7" t="n">
        <v>1.715319444585884</v>
      </c>
      <c r="X7" t="n">
        <v>-2.321666666512556</v>
      </c>
      <c r="Y7" t="n">
        <v>-1</v>
      </c>
      <c r="Z7" t="n">
        <v>4.426666666814636</v>
      </c>
      <c r="AA7" t="n">
        <v>-1</v>
      </c>
      <c r="AB7" t="n">
        <v>2.937050925974427</v>
      </c>
      <c r="AC7" t="n">
        <v>-0.0027805940790158</v>
      </c>
      <c r="AD7" t="n">
        <v>2.881297301671561</v>
      </c>
      <c r="AE7" t="n">
        <v>0</v>
      </c>
      <c r="AF7" t="n">
        <v>3.107799937161037</v>
      </c>
      <c r="AG7" t="n">
        <v>0</v>
      </c>
      <c r="AH7" t="n">
        <v>0.9717760203714488</v>
      </c>
      <c r="AI7" t="n">
        <v>12.608</v>
      </c>
      <c r="AJ7" t="n">
        <v>13.058</v>
      </c>
      <c r="AK7" t="n">
        <v>0.37033581304824</v>
      </c>
      <c r="AL7" t="n">
        <v>0.9235865396724072</v>
      </c>
      <c r="AM7" t="n">
        <v>8.823219999999999</v>
      </c>
      <c r="AN7" t="n">
        <v>137.9921948927457</v>
      </c>
      <c r="AO7" t="n">
        <v>0.0620608456581133</v>
      </c>
      <c r="AP7" t="n">
        <v>0.0553789604223857</v>
      </c>
      <c r="AQ7" t="n">
        <v>0.0519435539098858</v>
      </c>
      <c r="AR7" t="n">
        <v>0.07502773575068659</v>
      </c>
      <c r="AS7" t="n">
        <v>0.0732317933592487</v>
      </c>
    </row>
    <row r="8">
      <c r="A8" t="inlineStr">
        <is>
          <t>hinge75meet</t>
        </is>
      </c>
      <c r="B8" t="inlineStr">
        <is>
          <t>42/2_LT_Fits</t>
        </is>
      </c>
      <c r="C8" t="inlineStr">
        <is>
          <t>c</t>
        </is>
      </c>
      <c r="D8" t="n">
        <v>50.34</v>
      </c>
      <c r="E8" t="n">
        <v>74.95999999999999</v>
      </c>
      <c r="F8" t="n">
        <v>0.1526462287215015</v>
      </c>
      <c r="G8" t="n">
        <v>-373.7480859082738</v>
      </c>
      <c r="H8" t="n">
        <v>-5.344999999843008</v>
      </c>
      <c r="I8" t="n">
        <v>-1</v>
      </c>
      <c r="J8" t="n">
        <v>-3.606039682394648</v>
      </c>
      <c r="K8" t="n">
        <v>-5.344999999843008</v>
      </c>
      <c r="L8" t="n">
        <v>-1</v>
      </c>
      <c r="M8" t="n">
        <v>-5.344999999843008</v>
      </c>
      <c r="N8" t="n">
        <v>-1</v>
      </c>
      <c r="O8" t="n">
        <v>6.084275988848798</v>
      </c>
      <c r="P8" t="n">
        <v>0.0661118972161634</v>
      </c>
      <c r="Q8" t="n">
        <v>0.0903283948837514</v>
      </c>
      <c r="R8" t="n">
        <v>0.3002798568277288</v>
      </c>
      <c r="S8" t="n">
        <v>0.1526462287215016</v>
      </c>
      <c r="T8" t="n">
        <v>-391.0716240433313</v>
      </c>
      <c r="U8" t="n">
        <v>-4.856666666510255</v>
      </c>
      <c r="V8" t="n">
        <v>-1</v>
      </c>
      <c r="W8" t="n">
        <v>-4.301666666519279</v>
      </c>
      <c r="X8" t="n">
        <v>-4.856666666510255</v>
      </c>
      <c r="Y8" t="n">
        <v>-1</v>
      </c>
      <c r="Z8" t="n">
        <v>-4.856666666510255</v>
      </c>
      <c r="AA8" t="n">
        <v>-1</v>
      </c>
      <c r="AB8" t="n">
        <v>4.512222222103334</v>
      </c>
      <c r="AC8" t="n">
        <v>0.3002798568277288</v>
      </c>
      <c r="AD8" t="n">
        <v>2.990169205004038</v>
      </c>
      <c r="AE8" t="n">
        <v>0</v>
      </c>
      <c r="AF8" t="n">
        <v>3.002032994964586</v>
      </c>
      <c r="AG8" t="n">
        <v>0</v>
      </c>
      <c r="AH8" t="n">
        <v>-1.911168561354012</v>
      </c>
      <c r="AI8" t="n">
        <v>5.82</v>
      </c>
      <c r="AJ8" t="n">
        <v>6</v>
      </c>
      <c r="AK8" s="1" t="n">
        <v>3.811219927625455e-08</v>
      </c>
      <c r="AL8" s="1" t="n">
        <v>8.99339264970539e-08</v>
      </c>
      <c r="AM8" t="n">
        <v>1.69648</v>
      </c>
      <c r="AN8" t="n">
        <v>-298.142295571226</v>
      </c>
      <c r="AO8" t="n">
        <v>0.1703859995336014</v>
      </c>
      <c r="AP8" t="n">
        <v>0.2172533862491293</v>
      </c>
      <c r="AQ8" t="n">
        <v>0.253727628304893</v>
      </c>
      <c r="AR8" t="n">
        <v>0.2203762001725695</v>
      </c>
      <c r="AS8" t="n">
        <v>0.2555890010685754</v>
      </c>
    </row>
    <row r="9">
      <c r="A9" t="inlineStr">
        <is>
          <t>OLS_hinge75</t>
        </is>
      </c>
      <c r="B9" t="inlineStr">
        <is>
          <t>42/2_LT_Fits</t>
        </is>
      </c>
      <c r="C9" t="inlineStr">
        <is>
          <t>c</t>
        </is>
      </c>
      <c r="D9" t="n">
        <v>59.94</v>
      </c>
      <c r="E9" t="n">
        <v>99.7</v>
      </c>
      <c r="F9" t="n">
        <v>0.1110504491838992</v>
      </c>
      <c r="G9" t="n">
        <v>-987.9672683147496</v>
      </c>
      <c r="H9" t="n">
        <v>-4.006666666510896</v>
      </c>
      <c r="I9" t="n">
        <v>-1</v>
      </c>
      <c r="J9" t="n">
        <v>-2.652650793506121</v>
      </c>
      <c r="K9" t="n">
        <v>-4.006666666510896</v>
      </c>
      <c r="L9" t="n">
        <v>-1</v>
      </c>
      <c r="M9" t="n">
        <v>-4.006666666510896</v>
      </c>
      <c r="N9" t="n">
        <v>-1</v>
      </c>
      <c r="O9" t="n">
        <v>5.102710936361972</v>
      </c>
      <c r="P9" t="n">
        <v>0.0380556012800916</v>
      </c>
      <c r="Q9" t="n">
        <v>0.060938062370859</v>
      </c>
      <c r="R9" t="n">
        <v>0.2297888194020414</v>
      </c>
      <c r="S9" t="n">
        <v>0.1110504491838993</v>
      </c>
      <c r="T9" t="n">
        <v>-1052.0830981773</v>
      </c>
      <c r="U9" t="n">
        <v>-3.518333333178143</v>
      </c>
      <c r="V9" t="n">
        <v>-1</v>
      </c>
      <c r="W9" t="n">
        <v>-3.149166666520339</v>
      </c>
      <c r="X9" t="n">
        <v>-3.518333333178143</v>
      </c>
      <c r="Y9" t="n">
        <v>-1</v>
      </c>
      <c r="Z9" t="n">
        <v>-3.518333333178143</v>
      </c>
      <c r="AA9" t="n">
        <v>-1</v>
      </c>
      <c r="AB9" t="n">
        <v>3.743611111010143</v>
      </c>
      <c r="AC9" t="n">
        <v>0.2297888194020414</v>
      </c>
      <c r="AD9" t="n">
        <v>3.534199921730752</v>
      </c>
      <c r="AE9" t="n">
        <v>0</v>
      </c>
      <c r="AF9" t="n">
        <v>3.849351353495854</v>
      </c>
      <c r="AG9" t="n">
        <v>0</v>
      </c>
      <c r="AH9" t="n">
        <v>-6.187454517355636</v>
      </c>
      <c r="AI9" t="n">
        <v>5.84</v>
      </c>
      <c r="AJ9" t="n">
        <v>6</v>
      </c>
      <c r="AK9" s="1" t="n">
        <v>5.65960645125883e-17</v>
      </c>
      <c r="AL9" s="1" t="n">
        <v>8.593963189686946e-16</v>
      </c>
      <c r="AM9" t="n">
        <v>2.05546</v>
      </c>
      <c r="AN9" t="n">
        <v>-965.2429047074792</v>
      </c>
      <c r="AO9" t="n">
        <v>0.1342830079668491</v>
      </c>
      <c r="AP9" t="n">
        <v>0.1672760538102322</v>
      </c>
      <c r="AQ9" t="n">
        <v>0.1944184187658486</v>
      </c>
      <c r="AR9" t="n">
        <v>0.1713584788157352</v>
      </c>
      <c r="AS9" t="n">
        <v>0.1969897011115831</v>
      </c>
    </row>
    <row r="10">
      <c r="A10" t="inlineStr">
        <is>
          <t>OLS_refit</t>
        </is>
      </c>
      <c r="B10" t="inlineStr">
        <is>
          <t>42/2_LT_Fits</t>
        </is>
      </c>
      <c r="C10" t="inlineStr">
        <is>
          <t>c</t>
        </is>
      </c>
      <c r="D10" t="n">
        <v>108.74</v>
      </c>
      <c r="E10" t="n">
        <v>126.72</v>
      </c>
      <c r="F10" t="n">
        <v>-0.0927047676705266</v>
      </c>
      <c r="G10" t="n">
        <v>-1638.017652503956</v>
      </c>
      <c r="H10" t="n">
        <v>12.76333333347386</v>
      </c>
      <c r="I10" t="n">
        <v>-1</v>
      </c>
      <c r="J10" t="n">
        <v>12.88730158743265</v>
      </c>
      <c r="K10" t="n">
        <v>12.76333333347386</v>
      </c>
      <c r="L10" t="n">
        <v>-1</v>
      </c>
      <c r="M10" t="n">
        <v>12.76333333347386</v>
      </c>
      <c r="N10" t="n">
        <v>-1</v>
      </c>
      <c r="O10" t="n">
        <v>13.39800495991474</v>
      </c>
      <c r="P10" t="n">
        <v>0.0297518334957895</v>
      </c>
      <c r="Q10" t="n">
        <v>-0.0684715399372461</v>
      </c>
      <c r="R10" t="n">
        <v>0.0689949707467345</v>
      </c>
      <c r="S10" t="n">
        <v>-0.0927047676705266</v>
      </c>
      <c r="T10" t="n">
        <v>-1708.963987132287</v>
      </c>
      <c r="U10" t="n">
        <v>13.25166666680661</v>
      </c>
      <c r="V10" t="n">
        <v>-1</v>
      </c>
      <c r="W10" t="n">
        <v>12.65416666679862</v>
      </c>
      <c r="X10" t="n">
        <v>13.25166666680661</v>
      </c>
      <c r="Y10" t="n">
        <v>-1</v>
      </c>
      <c r="Z10" t="n">
        <v>13.25166666680661</v>
      </c>
      <c r="AA10" t="n">
        <v>-1</v>
      </c>
      <c r="AB10" t="n">
        <v>12.65416666679862</v>
      </c>
      <c r="AC10" t="n">
        <v>0.0689949707467345</v>
      </c>
      <c r="AD10" t="n">
        <v>0.0011958258687543</v>
      </c>
      <c r="AE10" t="n">
        <v>0</v>
      </c>
      <c r="AF10" t="n">
        <v>0.1200224999998939</v>
      </c>
      <c r="AG10" t="n">
        <v>0</v>
      </c>
      <c r="AH10" t="n">
        <v>-12.56382782523119</v>
      </c>
      <c r="AI10" t="n">
        <v>5.86</v>
      </c>
      <c r="AJ10" t="n">
        <v>6</v>
      </c>
      <c r="AK10" s="1" t="n">
        <v>3.350390031248845e-16</v>
      </c>
      <c r="AL10" s="1" t="n">
        <v>1.20292711401912e-14</v>
      </c>
      <c r="AM10" t="n">
        <v>0.7610399999999999</v>
      </c>
      <c r="AN10" t="n">
        <v>-1771.499723357598</v>
      </c>
      <c r="AO10" t="n">
        <v>0.1650328418623763</v>
      </c>
      <c r="AP10" t="n">
        <v>0.1937269101327364</v>
      </c>
      <c r="AQ10" t="n">
        <v>0.1740295933426905</v>
      </c>
      <c r="AR10" t="n">
        <v>0.1951652469653997</v>
      </c>
      <c r="AS10" t="n">
        <v>0.1751804117571997</v>
      </c>
    </row>
    <row r="11">
      <c r="A11" t="inlineStr">
        <is>
          <t>quartic</t>
        </is>
      </c>
      <c r="B11" t="inlineStr">
        <is>
          <t>42/2_LT_Fits</t>
        </is>
      </c>
      <c r="C11" t="inlineStr">
        <is>
          <t>c</t>
        </is>
      </c>
      <c r="D11" t="n">
        <v>33.36</v>
      </c>
      <c r="E11" t="n">
        <v>90.02</v>
      </c>
      <c r="F11" t="n">
        <v>0.0757440504989355</v>
      </c>
      <c r="G11" t="n">
        <v>4.796493476037154</v>
      </c>
      <c r="H11" t="n">
        <v>-9.168055555395092</v>
      </c>
      <c r="I11" t="n">
        <v>-1</v>
      </c>
      <c r="J11" t="n">
        <v>-7.078637565989376</v>
      </c>
      <c r="K11" t="n">
        <v>-9.426666666505977</v>
      </c>
      <c r="L11" t="n">
        <v>-1</v>
      </c>
      <c r="M11" t="n">
        <v>-9.426666666505977</v>
      </c>
      <c r="N11" t="n">
        <v>-1</v>
      </c>
      <c r="O11" t="n">
        <v>8.654649206105441</v>
      </c>
      <c r="P11" t="n">
        <v>0.0512221825704274</v>
      </c>
      <c r="Q11" t="n">
        <v>0.033631701671123</v>
      </c>
      <c r="R11" t="n">
        <v>0.0568700411263009</v>
      </c>
      <c r="S11" t="n">
        <v>0.0757440504989355</v>
      </c>
      <c r="T11" t="n">
        <v>-46.02005331742993</v>
      </c>
      <c r="U11" t="n">
        <v>-8.67972222206234</v>
      </c>
      <c r="V11" t="n">
        <v>-1</v>
      </c>
      <c r="W11" t="n">
        <v>-7.222037036888427</v>
      </c>
      <c r="X11" t="n">
        <v>-8.938333333173222</v>
      </c>
      <c r="Y11" t="n">
        <v>-1</v>
      </c>
      <c r="Z11" t="n">
        <v>-8.938333333173222</v>
      </c>
      <c r="AA11" t="n">
        <v>-1</v>
      </c>
      <c r="AB11" t="n">
        <v>7.55648148134978</v>
      </c>
      <c r="AC11" t="n">
        <v>0.0568700411263009</v>
      </c>
      <c r="AD11" t="n">
        <v>1.685787848160031</v>
      </c>
      <c r="AE11" t="n">
        <v>0</v>
      </c>
      <c r="AF11" t="n">
        <v>1.776812576932811</v>
      </c>
      <c r="AG11" t="n">
        <v>0</v>
      </c>
      <c r="AH11" t="n">
        <v>0.368348618586751</v>
      </c>
      <c r="AI11" t="n">
        <v>6.346</v>
      </c>
      <c r="AJ11" t="n">
        <v>6.646</v>
      </c>
      <c r="AK11" t="n">
        <v>0.0121659602738585</v>
      </c>
      <c r="AL11" t="n">
        <v>0.0310408287872422</v>
      </c>
      <c r="AM11" t="n">
        <v>3.0357</v>
      </c>
      <c r="AN11" t="n">
        <v>51.9371552207319</v>
      </c>
      <c r="AO11" t="n">
        <v>0.0923811966036609</v>
      </c>
      <c r="AP11" t="n">
        <v>0.0985686004457216</v>
      </c>
      <c r="AQ11" t="n">
        <v>0.1037106750096773</v>
      </c>
      <c r="AR11" t="n">
        <v>0.111483838849719</v>
      </c>
      <c r="AS11" t="n">
        <v>0.1149269587749552</v>
      </c>
    </row>
    <row r="12">
      <c r="A12" t="inlineStr">
        <is>
          <t>TheilSen_h7075</t>
        </is>
      </c>
      <c r="B12" t="inlineStr">
        <is>
          <t>42/2_LT_Fits</t>
        </is>
      </c>
      <c r="C12" t="inlineStr">
        <is>
          <t>c</t>
        </is>
      </c>
      <c r="D12" t="n">
        <v>71.62</v>
      </c>
      <c r="E12" t="n">
        <v>107.2</v>
      </c>
      <c r="F12" t="n">
        <v>0.1430103929258958</v>
      </c>
      <c r="G12" t="n">
        <v>-2100.804678102656</v>
      </c>
      <c r="H12" t="n">
        <v>-4.651666666510296</v>
      </c>
      <c r="I12" t="n">
        <v>-1</v>
      </c>
      <c r="J12" t="n">
        <v>-2.057829364936264</v>
      </c>
      <c r="K12" t="n">
        <v>-4.651666666510296</v>
      </c>
      <c r="L12" t="n">
        <v>-1</v>
      </c>
      <c r="M12" t="n">
        <v>-4.651666666510296</v>
      </c>
      <c r="N12" t="n">
        <v>-1</v>
      </c>
      <c r="O12" t="n">
        <v>6.192199163462851</v>
      </c>
      <c r="P12" t="n">
        <v>0.0389140403641576</v>
      </c>
      <c r="Q12" t="n">
        <v>0.0774807198012633</v>
      </c>
      <c r="R12" t="n">
        <v>0.3195892531128373</v>
      </c>
      <c r="S12" t="n">
        <v>0.1430103929258958</v>
      </c>
      <c r="T12" t="n">
        <v>-2166.34420793578</v>
      </c>
      <c r="U12" t="n">
        <v>-4.163333333177543</v>
      </c>
      <c r="V12" t="n">
        <v>-1</v>
      </c>
      <c r="W12" t="n">
        <v>-2.94208333318719</v>
      </c>
      <c r="X12" t="n">
        <v>-4.163333333177543</v>
      </c>
      <c r="Y12" t="n">
        <v>-1</v>
      </c>
      <c r="Z12" t="n">
        <v>-4.163333333177543</v>
      </c>
      <c r="AA12" t="n">
        <v>-1</v>
      </c>
      <c r="AB12" t="n">
        <v>3.686527777705564</v>
      </c>
      <c r="AC12" t="n">
        <v>0.3195892531128373</v>
      </c>
      <c r="AD12" t="n">
        <v>3.44737583837136</v>
      </c>
      <c r="AE12" t="n">
        <v>0</v>
      </c>
      <c r="AF12" t="n">
        <v>2.586560508331184</v>
      </c>
      <c r="AG12" t="n">
        <v>0</v>
      </c>
      <c r="AH12" t="n">
        <v>-12.91825464693832</v>
      </c>
      <c r="AI12" t="n">
        <v>5.82</v>
      </c>
      <c r="AJ12" t="n">
        <v>6.02</v>
      </c>
      <c r="AK12" s="1" t="n">
        <v>5.961131212247353e-33</v>
      </c>
      <c r="AL12" s="1" t="n">
        <v>6.401211553735437e-26</v>
      </c>
      <c r="AM12" t="n">
        <v>2.03348</v>
      </c>
      <c r="AN12" t="n">
        <v>-2015.247724922378</v>
      </c>
      <c r="AO12" t="n">
        <v>0.1862293778985921</v>
      </c>
      <c r="AP12" t="n">
        <v>0.2383576853771595</v>
      </c>
      <c r="AQ12" t="n">
        <v>0.2755254184022373</v>
      </c>
      <c r="AR12" t="n">
        <v>0.2406992566918417</v>
      </c>
      <c r="AS12" t="n">
        <v>0.2768537421163579</v>
      </c>
    </row>
    <row r="13">
      <c r="A13" t="inlineStr">
        <is>
          <t>etrend15y</t>
        </is>
      </c>
      <c r="B13" t="inlineStr">
        <is>
          <t>42/3_ST_Fits</t>
        </is>
      </c>
      <c r="C13" t="inlineStr">
        <is>
          <t>c</t>
        </is>
      </c>
      <c r="D13" t="n">
        <v>5.46</v>
      </c>
      <c r="E13" t="n">
        <v>31.34</v>
      </c>
      <c r="F13" t="n">
        <v>0.0117580577410183</v>
      </c>
      <c r="G13" t="n">
        <v>125.0034030082726</v>
      </c>
      <c r="H13" t="n">
        <v>1.484027777928543</v>
      </c>
      <c r="I13" t="n">
        <v>-1</v>
      </c>
      <c r="J13" t="n">
        <v>0.0723644181321406</v>
      </c>
      <c r="K13" t="n">
        <v>-3.691666666511205</v>
      </c>
      <c r="L13" t="n">
        <v>-1</v>
      </c>
      <c r="M13" t="n">
        <v>4.175000000148334</v>
      </c>
      <c r="N13" t="n">
        <v>-1</v>
      </c>
      <c r="O13" t="n">
        <v>3.127817145789458</v>
      </c>
      <c r="P13" t="n">
        <v>0.0588016332246494</v>
      </c>
      <c r="Q13" t="n">
        <v>0.0003182337919216</v>
      </c>
      <c r="R13" t="n">
        <v>0.009686030375957401</v>
      </c>
      <c r="S13" t="n">
        <v>0.0117580577410184</v>
      </c>
      <c r="T13" t="n">
        <v>81.88974176438312</v>
      </c>
      <c r="U13" t="n">
        <v>1.402638889039593</v>
      </c>
      <c r="V13" t="n">
        <v>-1</v>
      </c>
      <c r="W13" t="n">
        <v>0.3014305556987577</v>
      </c>
      <c r="X13" t="n">
        <v>-3.203333333178453</v>
      </c>
      <c r="Y13" t="n">
        <v>-1</v>
      </c>
      <c r="Z13" t="n">
        <v>3.070000000149193</v>
      </c>
      <c r="AA13" t="n">
        <v>-1</v>
      </c>
      <c r="AB13" t="n">
        <v>2.899958333347921</v>
      </c>
      <c r="AC13" t="n">
        <v>0.009686030375957499</v>
      </c>
      <c r="AD13" t="n">
        <v>4.233737876129195</v>
      </c>
      <c r="AE13" t="n">
        <v>0</v>
      </c>
      <c r="AF13" t="n">
        <v>5.327884668229135</v>
      </c>
      <c r="AG13" t="n">
        <v>0</v>
      </c>
      <c r="AH13" t="n">
        <v>1.167116764183059</v>
      </c>
      <c r="AI13" t="n">
        <v>10.57</v>
      </c>
      <c r="AJ13" t="n">
        <v>10.94</v>
      </c>
      <c r="AK13" t="n">
        <v>0.1339021043763201</v>
      </c>
      <c r="AL13" t="n">
        <v>0.2158028688886086</v>
      </c>
      <c r="AM13" t="n">
        <v>5.694260000000001</v>
      </c>
      <c r="AN13" t="n">
        <v>264.9355054695544</v>
      </c>
      <c r="AO13" t="n">
        <v>0.0670062756911257</v>
      </c>
      <c r="AP13" t="n">
        <v>0.058229286164566</v>
      </c>
      <c r="AQ13" t="n">
        <v>0.0549748646099756</v>
      </c>
      <c r="AR13" t="n">
        <v>0.0795122755741566</v>
      </c>
      <c r="AS13" t="n">
        <v>0.0773788211050518</v>
      </c>
    </row>
    <row r="14">
      <c r="A14" t="inlineStr">
        <is>
          <t>etrend30y</t>
        </is>
      </c>
      <c r="B14" t="inlineStr">
        <is>
          <t>42/3_ST_Fits</t>
        </is>
      </c>
      <c r="C14" t="inlineStr">
        <is>
          <t>c</t>
        </is>
      </c>
      <c r="D14" t="n">
        <v>5.26</v>
      </c>
      <c r="E14" t="n">
        <v>37.82</v>
      </c>
      <c r="F14" t="n">
        <v>0.0211490920684472</v>
      </c>
      <c r="G14" t="n">
        <v>141.3714746938972</v>
      </c>
      <c r="H14" t="n">
        <v>-1.914444444290558</v>
      </c>
      <c r="I14" t="n">
        <v>-1</v>
      </c>
      <c r="J14" t="n">
        <v>-1.418675925781853</v>
      </c>
      <c r="K14" t="n">
        <v>-2.659999999845436</v>
      </c>
      <c r="L14" t="n">
        <v>-1</v>
      </c>
      <c r="M14" t="n">
        <v>-2.1499999998459</v>
      </c>
      <c r="N14" t="n">
        <v>-1</v>
      </c>
      <c r="O14" t="n">
        <v>3.014922914890869</v>
      </c>
      <c r="P14" t="n">
        <v>0.0443177070935175</v>
      </c>
      <c r="Q14" t="n">
        <v>0.0015644460724894</v>
      </c>
      <c r="R14" t="n">
        <v>0.0321737522836654</v>
      </c>
      <c r="S14" t="n">
        <v>0.0211490920684473</v>
      </c>
      <c r="T14" t="n">
        <v>84.47439872194158</v>
      </c>
      <c r="U14" t="n">
        <v>-1.673611110957583</v>
      </c>
      <c r="V14" t="n">
        <v>-1</v>
      </c>
      <c r="W14" t="n">
        <v>-1.342683862289648</v>
      </c>
      <c r="X14" t="n">
        <v>-2.171666666512684</v>
      </c>
      <c r="Y14" t="n">
        <v>-1</v>
      </c>
      <c r="Z14" t="n">
        <v>-1.294999999846823</v>
      </c>
      <c r="AA14" t="n">
        <v>-1</v>
      </c>
      <c r="AB14" t="n">
        <v>3.037399470856067</v>
      </c>
      <c r="AC14" t="n">
        <v>0.0321737522836654</v>
      </c>
      <c r="AD14" t="n">
        <v>4.384524168282029</v>
      </c>
      <c r="AE14" t="n">
        <v>0</v>
      </c>
      <c r="AF14" t="n">
        <v>6.528098222702502</v>
      </c>
      <c r="AG14" t="n">
        <v>0</v>
      </c>
      <c r="AH14" t="n">
        <v>1.395257970981809</v>
      </c>
      <c r="AI14" t="n">
        <v>7.296</v>
      </c>
      <c r="AJ14" t="n">
        <v>7.672000000000001</v>
      </c>
      <c r="AK14" t="n">
        <v>0.1399199553360597</v>
      </c>
      <c r="AL14" t="n">
        <v>0.1762708486618234</v>
      </c>
      <c r="AM14" t="n">
        <v>2.9706</v>
      </c>
      <c r="AN14" t="n">
        <v>295.7946898481434</v>
      </c>
      <c r="AO14" t="n">
        <v>0.0551575898878843</v>
      </c>
      <c r="AP14" t="n">
        <v>0.0492851680536154</v>
      </c>
      <c r="AQ14" t="n">
        <v>0.0494894685534859</v>
      </c>
      <c r="AR14" t="n">
        <v>0.0697009073869706</v>
      </c>
      <c r="AS14" t="n">
        <v>0.0695113176955077</v>
      </c>
    </row>
    <row r="15">
      <c r="A15" t="inlineStr">
        <is>
          <t>etrend30y_3CS</t>
        </is>
      </c>
      <c r="B15" t="inlineStr">
        <is>
          <t>42/3_ST_Fits</t>
        </is>
      </c>
      <c r="C15" t="inlineStr">
        <is>
          <t>c</t>
        </is>
      </c>
      <c r="D15" t="n">
        <v>13.54</v>
      </c>
      <c r="E15" t="n">
        <v>62.2</v>
      </c>
      <c r="F15" t="n">
        <v>-0.0018208595836724</v>
      </c>
      <c r="G15" t="n">
        <v>96.72991941740584</v>
      </c>
      <c r="H15" t="n">
        <v>-1.914444444290558</v>
      </c>
      <c r="I15" t="n">
        <v>-1</v>
      </c>
      <c r="J15" t="n">
        <v>-0.4454920633488814</v>
      </c>
      <c r="K15" t="n">
        <v>-2.659999999845436</v>
      </c>
      <c r="L15" t="n">
        <v>-1</v>
      </c>
      <c r="M15" t="n">
        <v>-2.1499999998459</v>
      </c>
      <c r="N15" t="n">
        <v>-1</v>
      </c>
      <c r="O15" t="n">
        <v>3.041792396468865</v>
      </c>
      <c r="P15" t="n">
        <v>0.0443177070935175</v>
      </c>
      <c r="Q15" t="n">
        <v>-0.008295297325354299</v>
      </c>
      <c r="R15" t="n">
        <v>0.0321737522836654</v>
      </c>
      <c r="S15" t="n">
        <v>-0.0018208595836724</v>
      </c>
      <c r="T15" t="n">
        <v>62.524296391154</v>
      </c>
      <c r="U15" t="n">
        <v>-1.673611110957583</v>
      </c>
      <c r="V15" t="n">
        <v>-1</v>
      </c>
      <c r="W15" t="n">
        <v>-0.3702301585868334</v>
      </c>
      <c r="X15" t="n">
        <v>-2.171666666512684</v>
      </c>
      <c r="Y15" t="n">
        <v>-1</v>
      </c>
      <c r="Z15" t="n">
        <v>-1.294999999846823</v>
      </c>
      <c r="AA15" t="n">
        <v>-1</v>
      </c>
      <c r="AB15" t="n">
        <v>2.390593915312576</v>
      </c>
      <c r="AC15" t="n">
        <v>0.0321737522836654</v>
      </c>
      <c r="AD15" t="n">
        <v>4.384524168282029</v>
      </c>
      <c r="AE15" t="n">
        <v>0</v>
      </c>
      <c r="AF15" t="n">
        <v>6.528098222702502</v>
      </c>
      <c r="AG15" t="n">
        <v>0</v>
      </c>
      <c r="AH15" t="n">
        <v>1.184684597036094</v>
      </c>
      <c r="AI15" t="n">
        <v>7.336</v>
      </c>
      <c r="AJ15" t="n">
        <v>7.712000000000001</v>
      </c>
      <c r="AK15" t="n">
        <v>0.0547204571785803</v>
      </c>
      <c r="AL15" t="n">
        <v>0.0793648890045143</v>
      </c>
      <c r="AM15" t="n">
        <v>3.15498</v>
      </c>
      <c r="AN15" t="n">
        <v>251.153134571652</v>
      </c>
      <c r="AO15" t="n">
        <v>0.0637385433385574</v>
      </c>
      <c r="AP15" t="n">
        <v>0.0693242795620897</v>
      </c>
      <c r="AQ15" t="n">
        <v>0.0494894685534859</v>
      </c>
      <c r="AR15" t="n">
        <v>0.0775039709013752</v>
      </c>
      <c r="AS15" t="n">
        <v>0.0695113176955077</v>
      </c>
    </row>
    <row r="16">
      <c r="A16" t="inlineStr">
        <is>
          <t>lowess1dg20wnc</t>
        </is>
      </c>
      <c r="B16" t="inlineStr">
        <is>
          <t>42/3_ST_Fits</t>
        </is>
      </c>
      <c r="C16" t="inlineStr">
        <is>
          <t>c</t>
        </is>
      </c>
      <c r="D16" t="n">
        <v>3.88</v>
      </c>
      <c r="E16" t="n">
        <v>35.44</v>
      </c>
      <c r="F16" t="n">
        <v>0.028230902139957</v>
      </c>
      <c r="G16" t="n">
        <v>105.4863284891004</v>
      </c>
      <c r="H16" t="n">
        <v>-2.823333333178634</v>
      </c>
      <c r="I16" t="n">
        <v>-1</v>
      </c>
      <c r="J16" t="n">
        <v>-1.745041005147139</v>
      </c>
      <c r="K16" t="n">
        <v>-2.994999999845145</v>
      </c>
      <c r="L16" t="n">
        <v>-1</v>
      </c>
      <c r="M16" t="n">
        <v>-2.923333333178548</v>
      </c>
      <c r="N16" t="n">
        <v>-1</v>
      </c>
      <c r="O16" t="n">
        <v>3.757548852864335</v>
      </c>
      <c r="P16" t="n">
        <v>0.0609195591102263</v>
      </c>
      <c r="Q16" s="1" t="n">
        <v>9.487746757324836e-05</v>
      </c>
      <c r="R16" t="n">
        <v>0.0599784995317458</v>
      </c>
      <c r="S16" t="n">
        <v>0.0282309021399571</v>
      </c>
      <c r="T16" t="n">
        <v>46.04761475270377</v>
      </c>
      <c r="U16" t="n">
        <v>-2.334999999845881</v>
      </c>
      <c r="V16" t="n">
        <v>-1</v>
      </c>
      <c r="W16" t="n">
        <v>-1.778564814670193</v>
      </c>
      <c r="X16" t="n">
        <v>-2.506666666512392</v>
      </c>
      <c r="Y16" t="n">
        <v>-1</v>
      </c>
      <c r="Z16" t="n">
        <v>-2.349999999845868</v>
      </c>
      <c r="AA16" t="n">
        <v>-1</v>
      </c>
      <c r="AB16" t="n">
        <v>3.142268518440565</v>
      </c>
      <c r="AC16" t="n">
        <v>0.0599784995317458</v>
      </c>
      <c r="AD16" t="n">
        <v>4.77803959235247</v>
      </c>
      <c r="AE16" t="n">
        <v>0</v>
      </c>
      <c r="AF16" t="n">
        <v>6.472752943645006</v>
      </c>
      <c r="AG16" t="n">
        <v>0</v>
      </c>
      <c r="AH16" t="n">
        <v>1.253529689166573</v>
      </c>
      <c r="AI16" t="n">
        <v>6.22</v>
      </c>
      <c r="AJ16" t="n">
        <v>6.5</v>
      </c>
      <c r="AK16" t="n">
        <v>0.1460071293786795</v>
      </c>
      <c r="AL16" t="n">
        <v>0.1943539307755895</v>
      </c>
      <c r="AM16" t="n">
        <v>2.51734</v>
      </c>
      <c r="AN16" t="n">
        <v>289.5653581974784</v>
      </c>
      <c r="AO16" t="n">
        <v>0.0576573188010997</v>
      </c>
      <c r="AP16" t="n">
        <v>0.0581747408396545</v>
      </c>
      <c r="AQ16" t="n">
        <v>0.0608402144621169</v>
      </c>
      <c r="AR16" t="n">
        <v>0.0740607702579938</v>
      </c>
      <c r="AS16" t="n">
        <v>0.0754438456303439</v>
      </c>
    </row>
    <row r="17">
      <c r="A17" t="inlineStr">
        <is>
          <t>lowess1dt10wnc</t>
        </is>
      </c>
      <c r="B17" t="inlineStr">
        <is>
          <t>42/3_ST_Fits</t>
        </is>
      </c>
      <c r="C17" t="inlineStr">
        <is>
          <t>c</t>
        </is>
      </c>
      <c r="D17" t="n">
        <v>85.76000000000001</v>
      </c>
      <c r="E17" t="n">
        <v>149.96</v>
      </c>
      <c r="F17" t="n">
        <v>0.008646649502135799</v>
      </c>
      <c r="G17" t="n">
        <v>-267.8166178955833</v>
      </c>
      <c r="H17" t="n">
        <v>2.141194444594644</v>
      </c>
      <c r="I17" t="n">
        <v>-1</v>
      </c>
      <c r="J17" t="n">
        <v>0.6016665345337745</v>
      </c>
      <c r="K17" t="n">
        <v>-6.409999999842016</v>
      </c>
      <c r="L17" t="n">
        <v>-1</v>
      </c>
      <c r="M17" t="n">
        <v>5.595000000147042</v>
      </c>
      <c r="N17" t="n">
        <v>-1</v>
      </c>
      <c r="O17" t="n">
        <v>3.504042576166654</v>
      </c>
      <c r="P17" t="n">
        <v>0.0473163499474344</v>
      </c>
      <c r="Q17" t="n">
        <v>-0.0001743783006771</v>
      </c>
      <c r="R17" t="n">
        <v>0.0044266293644904</v>
      </c>
      <c r="S17" t="n">
        <v>0.008646649502135799</v>
      </c>
      <c r="T17" t="n">
        <v>-419.0106890523167</v>
      </c>
      <c r="U17" t="n">
        <v>2.794861111260581</v>
      </c>
      <c r="V17" t="n">
        <v>-1</v>
      </c>
      <c r="W17" t="n">
        <v>0.8634682541109445</v>
      </c>
      <c r="X17" t="n">
        <v>-5.921666666509264</v>
      </c>
      <c r="Y17" t="n">
        <v>-1</v>
      </c>
      <c r="Z17" t="n">
        <v>9.265000000143591</v>
      </c>
      <c r="AA17" t="n">
        <v>-1</v>
      </c>
      <c r="AB17" t="n">
        <v>2.646744709020993</v>
      </c>
      <c r="AC17" t="n">
        <v>0.0044266293644905</v>
      </c>
      <c r="AD17" t="n">
        <v>5.137315996992036</v>
      </c>
      <c r="AE17" t="n">
        <v>0</v>
      </c>
      <c r="AF17" t="n">
        <v>4.270829972632968</v>
      </c>
      <c r="AG17" t="n">
        <v>0</v>
      </c>
      <c r="AH17" t="n">
        <v>-1.601068054094529</v>
      </c>
      <c r="AI17" t="n">
        <v>15.38</v>
      </c>
      <c r="AJ17" t="n">
        <v>16.178</v>
      </c>
      <c r="AK17" s="1" t="n">
        <v>4.021461679176737e-11</v>
      </c>
      <c r="AL17" s="1" t="n">
        <v>5.647073809684654e-08</v>
      </c>
      <c r="AM17" t="n">
        <v>10.36836</v>
      </c>
      <c r="AN17" t="n">
        <v>-369.8467204958363</v>
      </c>
      <c r="AO17" t="n">
        <v>0.094254731805706</v>
      </c>
      <c r="AP17" t="n">
        <v>0.0879680142439546</v>
      </c>
      <c r="AQ17" t="n">
        <v>0.0847737422966246</v>
      </c>
      <c r="AR17" t="n">
        <v>0.1001577941356054</v>
      </c>
      <c r="AS17" t="n">
        <v>0.0976232342709223</v>
      </c>
    </row>
    <row r="18">
      <c r="A18" t="inlineStr">
        <is>
          <t>lowess1dt20wAR</t>
        </is>
      </c>
      <c r="B18" t="inlineStr">
        <is>
          <t>42/3_ST_Fits</t>
        </is>
      </c>
      <c r="C18" t="inlineStr">
        <is>
          <t>c</t>
        </is>
      </c>
      <c r="D18" t="n">
        <v>66.2</v>
      </c>
      <c r="E18" t="n">
        <v>133.96</v>
      </c>
      <c r="F18" t="n">
        <v>0.0118281452472392</v>
      </c>
      <c r="G18" t="n">
        <v>-36.18952037115432</v>
      </c>
      <c r="H18" t="n">
        <v>0.7677777779292303</v>
      </c>
      <c r="I18" t="n">
        <v>-1</v>
      </c>
      <c r="J18" t="n">
        <v>0.0256593916771564</v>
      </c>
      <c r="K18" t="n">
        <v>-3.819999999844372</v>
      </c>
      <c r="L18" t="n">
        <v>-1</v>
      </c>
      <c r="M18" t="n">
        <v>2.726666666816341</v>
      </c>
      <c r="N18" t="n">
        <v>-1</v>
      </c>
      <c r="O18" t="n">
        <v>3.071568488817194</v>
      </c>
      <c r="P18" t="n">
        <v>0.0399747908204511</v>
      </c>
      <c r="Q18" s="1" t="n">
        <v>7.325097522238659e-05</v>
      </c>
      <c r="R18" t="n">
        <v>0.009710980117320901</v>
      </c>
      <c r="S18" t="n">
        <v>0.0118281452472393</v>
      </c>
      <c r="T18" t="n">
        <v>-300.6981127318473</v>
      </c>
      <c r="U18" t="n">
        <v>0.6959722223736032</v>
      </c>
      <c r="V18" t="n">
        <v>-1</v>
      </c>
      <c r="W18" t="n">
        <v>0.3086481482913409</v>
      </c>
      <c r="X18" t="n">
        <v>-3.331666666511619</v>
      </c>
      <c r="Y18" t="n">
        <v>-1</v>
      </c>
      <c r="Z18" t="n">
        <v>2.048333333483479</v>
      </c>
      <c r="AA18" t="n">
        <v>-1</v>
      </c>
      <c r="AB18" t="n">
        <v>2.860259259262388</v>
      </c>
      <c r="AC18" t="n">
        <v>0.009710980117320999</v>
      </c>
      <c r="AD18" t="n">
        <v>5.397538112201858</v>
      </c>
      <c r="AE18" t="n">
        <v>0</v>
      </c>
      <c r="AF18" t="n">
        <v>7.538563495870378</v>
      </c>
      <c r="AG18" t="n">
        <v>0</v>
      </c>
      <c r="AH18" t="n">
        <v>-0.0364073742345846</v>
      </c>
      <c r="AI18" t="n">
        <v>10.242</v>
      </c>
      <c r="AJ18" t="n">
        <v>10.792</v>
      </c>
      <c r="AK18" s="1" t="n">
        <v>5.40795137344471e-06</v>
      </c>
      <c r="AL18" s="1" t="n">
        <v>7.217089627422826e-05</v>
      </c>
      <c r="AM18" t="n">
        <v>5.54242</v>
      </c>
      <c r="AN18" t="n">
        <v>-8.41010344818905</v>
      </c>
      <c r="AO18" t="n">
        <v>0.06567861110998351</v>
      </c>
      <c r="AP18" t="n">
        <v>0.0567962234230772</v>
      </c>
      <c r="AQ18" t="n">
        <v>0.0540012572643827</v>
      </c>
      <c r="AR18" t="n">
        <v>0.0776634496300067</v>
      </c>
      <c r="AS18" t="n">
        <v>0.0758779465278136</v>
      </c>
    </row>
    <row r="19">
      <c r="A19" t="inlineStr">
        <is>
          <t>lowess1dt20wARMA</t>
        </is>
      </c>
      <c r="B19" t="inlineStr">
        <is>
          <t>42/3_ST_Fits</t>
        </is>
      </c>
      <c r="C19" t="inlineStr">
        <is>
          <t>c</t>
        </is>
      </c>
      <c r="D19" t="n">
        <v>52.68</v>
      </c>
      <c r="E19" t="n">
        <v>118.74</v>
      </c>
      <c r="F19" t="n">
        <v>0.0118281452472392</v>
      </c>
      <c r="G19" t="n">
        <v>16.49159542563811</v>
      </c>
      <c r="H19" t="n">
        <v>0.7681944445958955</v>
      </c>
      <c r="I19" t="n">
        <v>-1</v>
      </c>
      <c r="J19" t="n">
        <v>0.0258981482909138</v>
      </c>
      <c r="K19" t="n">
        <v>-3.818333333177711</v>
      </c>
      <c r="L19" t="n">
        <v>-1</v>
      </c>
      <c r="M19" t="n">
        <v>2.728333333483001</v>
      </c>
      <c r="N19" t="n">
        <v>-1</v>
      </c>
      <c r="O19" t="n">
        <v>3.070181013156045</v>
      </c>
      <c r="P19" t="n">
        <v>0.0360760967317036</v>
      </c>
      <c r="Q19" t="n">
        <v>0.0009613262229642</v>
      </c>
      <c r="R19" t="n">
        <v>0.009710980117320901</v>
      </c>
      <c r="S19" t="n">
        <v>0.0118281452472393</v>
      </c>
      <c r="T19" t="n">
        <v>-189.5202565540362</v>
      </c>
      <c r="U19" t="n">
        <v>0.6963888890402684</v>
      </c>
      <c r="V19" t="n">
        <v>-1</v>
      </c>
      <c r="W19" t="n">
        <v>0.3085833334765265</v>
      </c>
      <c r="X19" t="n">
        <v>-3.329999999844958</v>
      </c>
      <c r="Y19" t="n">
        <v>-1</v>
      </c>
      <c r="Z19" t="n">
        <v>2.048333333483479</v>
      </c>
      <c r="AA19" t="n">
        <v>-1</v>
      </c>
      <c r="AB19" t="n">
        <v>2.860314814817952</v>
      </c>
      <c r="AC19" t="n">
        <v>0.009710980117320999</v>
      </c>
      <c r="AD19" t="n">
        <v>5.332256856772698</v>
      </c>
      <c r="AE19" t="n">
        <v>0</v>
      </c>
      <c r="AF19" t="n">
        <v>7.284632810247452</v>
      </c>
      <c r="AG19" t="n">
        <v>0</v>
      </c>
      <c r="AH19" t="n">
        <v>0.3406088743874225</v>
      </c>
      <c r="AI19" t="n">
        <v>10.242</v>
      </c>
      <c r="AJ19" t="n">
        <v>10.792</v>
      </c>
      <c r="AK19" s="1" t="n">
        <v>5.534756681726118e-05</v>
      </c>
      <c r="AL19" t="n">
        <v>0.0005088256172807</v>
      </c>
      <c r="AM19" t="n">
        <v>5.48754</v>
      </c>
      <c r="AN19" t="n">
        <v>73.53317636580988</v>
      </c>
      <c r="AO19" t="n">
        <v>0.06604951062616241</v>
      </c>
      <c r="AP19" t="n">
        <v>0.0567962234230772</v>
      </c>
      <c r="AQ19" t="n">
        <v>0.0540012572643827</v>
      </c>
      <c r="AR19" t="n">
        <v>0.0776634496300067</v>
      </c>
      <c r="AS19" t="n">
        <v>0.0758779465278136</v>
      </c>
    </row>
    <row r="20">
      <c r="A20" t="inlineStr">
        <is>
          <t>lowess1dt20wnc</t>
        </is>
      </c>
      <c r="B20" t="inlineStr">
        <is>
          <t>42/3_ST_Fits</t>
        </is>
      </c>
      <c r="C20" t="inlineStr">
        <is>
          <t>c</t>
        </is>
      </c>
      <c r="D20" t="n">
        <v>14.66</v>
      </c>
      <c r="E20" t="n">
        <v>56.18</v>
      </c>
      <c r="F20" t="n">
        <v>0.0118281452472392</v>
      </c>
      <c r="G20" t="n">
        <v>101.4343585201529</v>
      </c>
      <c r="H20" t="n">
        <v>0.7643055557069957</v>
      </c>
      <c r="I20" t="n">
        <v>-1</v>
      </c>
      <c r="J20" t="n">
        <v>0.0237632276559925</v>
      </c>
      <c r="K20" t="n">
        <v>-3.819999999844381</v>
      </c>
      <c r="L20" t="n">
        <v>-1</v>
      </c>
      <c r="M20" t="n">
        <v>2.725000000149662</v>
      </c>
      <c r="N20" t="n">
        <v>-1</v>
      </c>
      <c r="O20" t="n">
        <v>3.070086492585052</v>
      </c>
      <c r="P20" t="n">
        <v>0.057502055828865</v>
      </c>
      <c r="Q20" s="1" t="n">
        <v>7.325097522238659e-05</v>
      </c>
      <c r="R20" t="n">
        <v>0.009710980117320901</v>
      </c>
      <c r="S20" t="n">
        <v>0.0118281452472393</v>
      </c>
      <c r="T20" t="n">
        <v>-0.0704073813126206</v>
      </c>
      <c r="U20" t="n">
        <v>0.6931944445958106</v>
      </c>
      <c r="V20" t="n">
        <v>-1</v>
      </c>
      <c r="W20" t="n">
        <v>0.3069768519950437</v>
      </c>
      <c r="X20" t="n">
        <v>-3.331666666511628</v>
      </c>
      <c r="Y20" t="n">
        <v>-1</v>
      </c>
      <c r="Z20" t="n">
        <v>2.0466666668168</v>
      </c>
      <c r="AA20" t="n">
        <v>-1</v>
      </c>
      <c r="AB20" t="n">
        <v>2.860828703706837</v>
      </c>
      <c r="AC20" t="n">
        <v>0.009710980117320999</v>
      </c>
      <c r="AD20" t="n">
        <v>5.001072275928732</v>
      </c>
      <c r="AE20" t="n">
        <v>0</v>
      </c>
      <c r="AF20" t="n">
        <v>6.56726433472522</v>
      </c>
      <c r="AG20" t="n">
        <v>0</v>
      </c>
      <c r="AH20" t="n">
        <v>1.079536624222332</v>
      </c>
      <c r="AI20" t="n">
        <v>10.242</v>
      </c>
      <c r="AJ20" t="n">
        <v>10.792</v>
      </c>
      <c r="AK20" t="n">
        <v>0.0196183202817024</v>
      </c>
      <c r="AL20" t="n">
        <v>0.0490300030267443</v>
      </c>
      <c r="AM20" t="n">
        <v>5.54242</v>
      </c>
      <c r="AN20" t="n">
        <v>249.3729601953588</v>
      </c>
      <c r="AO20" t="n">
        <v>0.06567861110998351</v>
      </c>
      <c r="AP20" t="n">
        <v>0.0567962234230772</v>
      </c>
      <c r="AQ20" t="n">
        <v>0.0540012572643827</v>
      </c>
      <c r="AR20" t="n">
        <v>0.0776634496300067</v>
      </c>
      <c r="AS20" t="n">
        <v>0.0758779465278136</v>
      </c>
    </row>
    <row r="21">
      <c r="A21" t="inlineStr">
        <is>
          <t>lowess1dt26wnc</t>
        </is>
      </c>
      <c r="B21" t="inlineStr">
        <is>
          <t>42/3_ST_Fits</t>
        </is>
      </c>
      <c r="C21" t="inlineStr">
        <is>
          <t>c</t>
        </is>
      </c>
      <c r="D21" t="n">
        <v>4.54</v>
      </c>
      <c r="E21" t="n">
        <v>23.92</v>
      </c>
      <c r="F21" t="n">
        <v>0.0139375491980667</v>
      </c>
      <c r="G21" t="n">
        <v>135.9714437216366</v>
      </c>
      <c r="H21" t="n">
        <v>0.2408333334852606</v>
      </c>
      <c r="I21" t="n">
        <v>-1</v>
      </c>
      <c r="J21" t="n">
        <v>-0.29098280408976</v>
      </c>
      <c r="K21" t="n">
        <v>-3.111666666511697</v>
      </c>
      <c r="L21" t="n">
        <v>-1</v>
      </c>
      <c r="M21" t="n">
        <v>1.298333333484284</v>
      </c>
      <c r="N21" t="n">
        <v>-1</v>
      </c>
      <c r="O21" t="n">
        <v>3.088703120079156</v>
      </c>
      <c r="P21" t="n">
        <v>0.0600574426001478</v>
      </c>
      <c r="Q21" t="n">
        <v>0.0001644909125417</v>
      </c>
      <c r="R21" t="n">
        <v>0.0145846424102782</v>
      </c>
      <c r="S21" t="n">
        <v>0.0139375491980667</v>
      </c>
      <c r="T21" t="n">
        <v>47.93783486289375</v>
      </c>
      <c r="U21" t="n">
        <v>0.5627777779292751</v>
      </c>
      <c r="V21" t="n">
        <v>-1</v>
      </c>
      <c r="W21" t="n">
        <v>-0.0877962961532235</v>
      </c>
      <c r="X21" t="n">
        <v>-2.623333333178944</v>
      </c>
      <c r="Y21" t="n">
        <v>-1</v>
      </c>
      <c r="Z21" t="n">
        <v>1.971666666816882</v>
      </c>
      <c r="AA21" t="n">
        <v>-1</v>
      </c>
      <c r="AB21" t="n">
        <v>2.920990740720395</v>
      </c>
      <c r="AC21" t="n">
        <v>0.0145846424102783</v>
      </c>
      <c r="AD21" t="n">
        <v>5.083896387479713</v>
      </c>
      <c r="AE21" t="n">
        <v>0</v>
      </c>
      <c r="AF21" t="n">
        <v>6.957581029925239</v>
      </c>
      <c r="AG21" t="n">
        <v>0</v>
      </c>
      <c r="AH21" t="n">
        <v>1.32973740266254</v>
      </c>
      <c r="AI21" t="n">
        <v>8.77</v>
      </c>
      <c r="AJ21" t="n">
        <v>9.247999999999999</v>
      </c>
      <c r="AK21" t="n">
        <v>0.1178161453507223</v>
      </c>
      <c r="AL21" t="n">
        <v>0.2628424903959351</v>
      </c>
      <c r="AM21" t="n">
        <v>4.416399999999999</v>
      </c>
      <c r="AN21" t="n">
        <v>307.1693400150467</v>
      </c>
      <c r="AO21" t="n">
        <v>0.0583045282797403</v>
      </c>
      <c r="AP21" t="n">
        <v>0.048676209276576</v>
      </c>
      <c r="AQ21" t="n">
        <v>0.0473748912652581</v>
      </c>
      <c r="AR21" t="n">
        <v>0.071950064533973</v>
      </c>
      <c r="AS21" t="n">
        <v>0.071323962815973</v>
      </c>
    </row>
    <row r="22">
      <c r="A22" t="inlineStr">
        <is>
          <t>lowess1dt30wnc</t>
        </is>
      </c>
      <c r="B22" t="inlineStr">
        <is>
          <t>42/3_ST_Fits</t>
        </is>
      </c>
      <c r="C22" t="inlineStr">
        <is>
          <t>c</t>
        </is>
      </c>
      <c r="D22" t="n">
        <v>2.82</v>
      </c>
      <c r="E22" t="n">
        <v>12.9</v>
      </c>
      <c r="F22" t="n">
        <v>0.0155792151047632</v>
      </c>
      <c r="G22" t="n">
        <v>144.4237358057736</v>
      </c>
      <c r="H22" t="n">
        <v>-0.3786111109586341</v>
      </c>
      <c r="I22" t="n">
        <v>-1</v>
      </c>
      <c r="J22" t="n">
        <v>-0.5332341268408551</v>
      </c>
      <c r="K22" t="n">
        <v>-2.791666666511988</v>
      </c>
      <c r="L22" t="n">
        <v>-1</v>
      </c>
      <c r="M22" t="n">
        <v>0.5233333334849931</v>
      </c>
      <c r="N22" t="n">
        <v>-1</v>
      </c>
      <c r="O22" t="n">
        <v>3.06105150782637</v>
      </c>
      <c r="P22" t="n">
        <v>0.0612993954701889</v>
      </c>
      <c r="Q22" t="n">
        <v>0.0002443453500222</v>
      </c>
      <c r="R22" t="n">
        <v>0.0186175575256347</v>
      </c>
      <c r="S22" t="n">
        <v>0.0155792151047633</v>
      </c>
      <c r="T22" t="n">
        <v>64.18840302316784</v>
      </c>
      <c r="U22" t="n">
        <v>-0.295555555403289</v>
      </c>
      <c r="V22" t="n">
        <v>-1</v>
      </c>
      <c r="W22" t="n">
        <v>-0.4948240739306263</v>
      </c>
      <c r="X22" t="n">
        <v>-2.303333333179235</v>
      </c>
      <c r="Y22" t="n">
        <v>-1</v>
      </c>
      <c r="Z22" t="n">
        <v>0.728333333484661</v>
      </c>
      <c r="AA22" t="n">
        <v>-1</v>
      </c>
      <c r="AB22" t="n">
        <v>2.937361111085004</v>
      </c>
      <c r="AC22" t="n">
        <v>0.0186175575256347</v>
      </c>
      <c r="AD22" t="n">
        <v>4.878280926173798</v>
      </c>
      <c r="AE22" t="n">
        <v>0</v>
      </c>
      <c r="AF22" t="n">
        <v>6.92381194724565</v>
      </c>
      <c r="AG22" t="n">
        <v>0</v>
      </c>
      <c r="AH22" t="n">
        <v>1.402139163067166</v>
      </c>
      <c r="AI22" t="n">
        <v>8.282</v>
      </c>
      <c r="AJ22" t="n">
        <v>8.636000000000001</v>
      </c>
      <c r="AK22" t="n">
        <v>0.2386032564585447</v>
      </c>
      <c r="AL22" t="n">
        <v>0.3973781154584611</v>
      </c>
      <c r="AM22" t="n">
        <v>3.90704</v>
      </c>
      <c r="AN22" t="n">
        <v>323.8941466685154</v>
      </c>
      <c r="AO22" t="n">
        <v>0.0552897989339499</v>
      </c>
      <c r="AP22" t="n">
        <v>0.0461149191978531</v>
      </c>
      <c r="AQ22" t="n">
        <v>0.0456268001958802</v>
      </c>
      <c r="AR22" t="n">
        <v>0.06971826173941779</v>
      </c>
      <c r="AS22" t="n">
        <v>0.06956063580621499</v>
      </c>
    </row>
    <row r="23">
      <c r="A23" t="inlineStr">
        <is>
          <t>lowess1dt36wnc</t>
        </is>
      </c>
      <c r="B23" t="inlineStr">
        <is>
          <t>42/3_ST_Fits</t>
        </is>
      </c>
      <c r="C23" t="inlineStr">
        <is>
          <t>c</t>
        </is>
      </c>
      <c r="D23" t="n">
        <v>1.56</v>
      </c>
      <c r="E23" t="n">
        <v>7.64</v>
      </c>
      <c r="F23" t="n">
        <v>0.0184264949127867</v>
      </c>
      <c r="G23" t="n">
        <v>147.6416458462026</v>
      </c>
      <c r="H23" t="n">
        <v>-1.116944444291288</v>
      </c>
      <c r="I23" t="n">
        <v>-1</v>
      </c>
      <c r="J23" t="n">
        <v>-0.97187433848066</v>
      </c>
      <c r="K23" t="n">
        <v>-2.48166666651226</v>
      </c>
      <c r="L23" t="n">
        <v>-1</v>
      </c>
      <c r="M23" t="n">
        <v>-0.7233333331805306</v>
      </c>
      <c r="N23" t="n">
        <v>-1</v>
      </c>
      <c r="O23" t="n">
        <v>2.736282748893</v>
      </c>
      <c r="P23" t="n">
        <v>0.0627193125254744</v>
      </c>
      <c r="Q23" t="n">
        <v>0.0003996784907445</v>
      </c>
      <c r="R23" t="n">
        <v>0.0256172891259192</v>
      </c>
      <c r="S23" t="n">
        <v>0.0184264949127867</v>
      </c>
      <c r="T23" t="n">
        <v>77.64663253089789</v>
      </c>
      <c r="U23" t="n">
        <v>-0.9436111109582483</v>
      </c>
      <c r="V23" t="n">
        <v>-1</v>
      </c>
      <c r="W23" t="n">
        <v>-0.9299537035598516</v>
      </c>
      <c r="X23" t="n">
        <v>-1.993333333179508</v>
      </c>
      <c r="Y23" t="n">
        <v>-1</v>
      </c>
      <c r="Z23" t="n">
        <v>-0.1333333331812082</v>
      </c>
      <c r="AA23" t="n">
        <v>-1</v>
      </c>
      <c r="AB23" t="n">
        <v>3.023611111079187</v>
      </c>
      <c r="AC23" t="n">
        <v>0.0256172891259193</v>
      </c>
      <c r="AD23" t="n">
        <v>4.646630861785868</v>
      </c>
      <c r="AE23" t="n">
        <v>0</v>
      </c>
      <c r="AF23" t="n">
        <v>6.808130852396809</v>
      </c>
      <c r="AG23" t="n">
        <v>0</v>
      </c>
      <c r="AH23" t="n">
        <v>1.445795023956023</v>
      </c>
      <c r="AI23" t="n">
        <v>7.672000000000001</v>
      </c>
      <c r="AJ23" t="n">
        <v>8.048</v>
      </c>
      <c r="AK23" t="n">
        <v>0.397800673027442</v>
      </c>
      <c r="AL23" t="n">
        <v>0.5661184199097701</v>
      </c>
      <c r="AM23" t="n">
        <v>3.35472</v>
      </c>
      <c r="AN23" t="n">
        <v>333.9786505338413</v>
      </c>
      <c r="AO23" t="n">
        <v>0.0527548259263504</v>
      </c>
      <c r="AP23" t="n">
        <v>0.0450696088951263</v>
      </c>
      <c r="AQ23" t="n">
        <v>0.0455093698270998</v>
      </c>
      <c r="AR23" t="n">
        <v>0.0679286597973857</v>
      </c>
      <c r="AS23" t="n">
        <v>0.06813714888053531</v>
      </c>
    </row>
    <row r="24">
      <c r="A24" t="inlineStr">
        <is>
          <t>lowess2dt20wnc</t>
        </is>
      </c>
      <c r="B24" t="inlineStr">
        <is>
          <t>42/3_ST_Fits</t>
        </is>
      </c>
      <c r="C24" t="inlineStr">
        <is>
          <t>c</t>
        </is>
      </c>
      <c r="D24" t="n">
        <v>29.8</v>
      </c>
      <c r="E24" t="n">
        <v>87.44</v>
      </c>
      <c r="F24" t="n">
        <v>0.008381904782829601</v>
      </c>
      <c r="G24" t="n">
        <v>12.9482905246882</v>
      </c>
      <c r="H24" t="n">
        <v>2.188458333483492</v>
      </c>
      <c r="I24" t="n">
        <v>-1</v>
      </c>
      <c r="J24" t="n">
        <v>0.5314806879729885</v>
      </c>
      <c r="K24" t="n">
        <v>-6.189999999842198</v>
      </c>
      <c r="L24" t="n">
        <v>-1</v>
      </c>
      <c r="M24" t="n">
        <v>6.985000000145797</v>
      </c>
      <c r="N24" t="n">
        <v>-1</v>
      </c>
      <c r="O24" t="n">
        <v>3.660111392890063</v>
      </c>
      <c r="P24" t="n">
        <v>0.07207005442508491</v>
      </c>
      <c r="Q24" t="n">
        <v>-0.0002968392464765</v>
      </c>
      <c r="R24" t="n">
        <v>0.0031052191853523</v>
      </c>
      <c r="S24" t="n">
        <v>0.008381904782829699</v>
      </c>
      <c r="T24" t="n">
        <v>-39.88352254717498</v>
      </c>
      <c r="U24" t="n">
        <v>2.448555555705342</v>
      </c>
      <c r="V24" t="n">
        <v>-1</v>
      </c>
      <c r="W24" t="n">
        <v>0.6052129631058851</v>
      </c>
      <c r="X24" t="n">
        <v>-5.701666666509445</v>
      </c>
      <c r="Y24" t="n">
        <v>-1</v>
      </c>
      <c r="Z24" t="n">
        <v>9.571666666809978</v>
      </c>
      <c r="AA24" t="n">
        <v>-1</v>
      </c>
      <c r="AB24" t="n">
        <v>2.629046296305384</v>
      </c>
      <c r="AC24" t="n">
        <v>0.0031052191853523</v>
      </c>
      <c r="AD24" t="n">
        <v>4.355779026241224</v>
      </c>
      <c r="AE24" t="n">
        <v>0</v>
      </c>
      <c r="AF24" t="n">
        <v>3.922923381827178</v>
      </c>
      <c r="AG24" t="n">
        <v>0</v>
      </c>
      <c r="AH24" t="n">
        <v>0.4353409444605602</v>
      </c>
      <c r="AI24" t="n">
        <v>15.464</v>
      </c>
      <c r="AJ24" t="n">
        <v>16.176</v>
      </c>
      <c r="AK24" t="n">
        <v>0.0008436417018339</v>
      </c>
      <c r="AL24" t="n">
        <v>0.0077805219486656</v>
      </c>
      <c r="AM24" t="n">
        <v>10.61598</v>
      </c>
      <c r="AN24" t="n">
        <v>100.5637581703894</v>
      </c>
      <c r="AO24" t="n">
        <v>0.095919627252604</v>
      </c>
      <c r="AP24" t="n">
        <v>0.0900738844133134</v>
      </c>
      <c r="AQ24" t="n">
        <v>0.0845166405866066</v>
      </c>
      <c r="AR24" t="n">
        <v>0.1019856516589075</v>
      </c>
      <c r="AS24" t="n">
        <v>0.0973308264012179</v>
      </c>
    </row>
    <row r="25">
      <c r="A25" t="inlineStr">
        <is>
          <t>lowess2dt30wnc</t>
        </is>
      </c>
      <c r="B25" t="inlineStr">
        <is>
          <t>42/3_ST_Fits</t>
        </is>
      </c>
      <c r="C25" t="inlineStr">
        <is>
          <t>c</t>
        </is>
      </c>
      <c r="D25" t="n">
        <v>4.94</v>
      </c>
      <c r="E25" t="n">
        <v>26.6</v>
      </c>
      <c r="F25" t="n">
        <v>0.0089598740588177</v>
      </c>
      <c r="G25" t="n">
        <v>100.6082322349441</v>
      </c>
      <c r="H25" t="n">
        <v>1.563361111261842</v>
      </c>
      <c r="I25" t="n">
        <v>-1</v>
      </c>
      <c r="J25" t="n">
        <v>0.2871728837404067</v>
      </c>
      <c r="K25" t="n">
        <v>-4.913333333176711</v>
      </c>
      <c r="L25" t="n">
        <v>-1</v>
      </c>
      <c r="M25" t="n">
        <v>3.931666666815231</v>
      </c>
      <c r="N25" t="n">
        <v>-1</v>
      </c>
      <c r="O25" t="n">
        <v>3.396847059080564</v>
      </c>
      <c r="P25" t="n">
        <v>0.0796899853226157</v>
      </c>
      <c r="Q25" s="1" t="n">
        <v>-8.315414723909385e-05</v>
      </c>
      <c r="R25" t="n">
        <v>0.0031385375261306</v>
      </c>
      <c r="S25" t="n">
        <v>0.0089598740588177</v>
      </c>
      <c r="T25" t="n">
        <v>51.85963346887117</v>
      </c>
      <c r="U25" t="n">
        <v>1.831944444594792</v>
      </c>
      <c r="V25" t="n">
        <v>-1</v>
      </c>
      <c r="W25" t="n">
        <v>0.5582685186614831</v>
      </c>
      <c r="X25" t="n">
        <v>-4.424999999843958</v>
      </c>
      <c r="Y25" t="n">
        <v>-1</v>
      </c>
      <c r="Z25" t="n">
        <v>4.745000000147684</v>
      </c>
      <c r="AA25" t="n">
        <v>-1</v>
      </c>
      <c r="AB25" t="n">
        <v>2.435879629650375</v>
      </c>
      <c r="AC25" t="n">
        <v>0.0031385375261306</v>
      </c>
      <c r="AD25" t="n">
        <v>4.467211506727934</v>
      </c>
      <c r="AE25" t="n">
        <v>0</v>
      </c>
      <c r="AF25" t="n">
        <v>5.040834478691552</v>
      </c>
      <c r="AG25" t="n">
        <v>0</v>
      </c>
      <c r="AH25" t="n">
        <v>1.000944513004257</v>
      </c>
      <c r="AI25" t="n">
        <v>12.108</v>
      </c>
      <c r="AJ25" t="n">
        <v>12.802</v>
      </c>
      <c r="AK25" t="n">
        <v>0.1151596542852023</v>
      </c>
      <c r="AL25" t="n">
        <v>0.21954456278214</v>
      </c>
      <c r="AM25" t="n">
        <v>7.65974</v>
      </c>
      <c r="AN25" t="n">
        <v>231.2181825039835</v>
      </c>
      <c r="AO25" t="n">
        <v>0.0803705827281477</v>
      </c>
      <c r="AP25" t="n">
        <v>0.0701297094901502</v>
      </c>
      <c r="AQ25" t="n">
        <v>0.06548088312406471</v>
      </c>
      <c r="AR25" t="n">
        <v>0.0878100605562442</v>
      </c>
      <c r="AS25" t="n">
        <v>0.08448473771216269</v>
      </c>
    </row>
    <row r="26">
      <c r="A26" t="inlineStr">
        <is>
          <t>min_month_proj</t>
        </is>
      </c>
      <c r="B26" t="inlineStr">
        <is>
          <t>42/3_ST_Fits</t>
        </is>
      </c>
      <c r="C26" t="inlineStr">
        <is>
          <t>c</t>
        </is>
      </c>
      <c r="D26" t="n">
        <v>0.5</v>
      </c>
      <c r="E26" t="n">
        <v>5.6</v>
      </c>
      <c r="F26" t="n">
        <v>0.0518182541793683</v>
      </c>
      <c r="G26" t="n">
        <v>76.11458480775428</v>
      </c>
      <c r="H26" t="n">
        <v>-0.5302777776251499</v>
      </c>
      <c r="I26" t="n">
        <v>-1</v>
      </c>
      <c r="J26" t="n">
        <v>-1.850374999855529</v>
      </c>
      <c r="K26" t="n">
        <v>-7.13333333317471</v>
      </c>
      <c r="L26" t="n">
        <v>-1</v>
      </c>
      <c r="M26" t="n">
        <v>-0.2266666665143068</v>
      </c>
      <c r="N26" t="n">
        <v>-1</v>
      </c>
      <c r="O26" t="n">
        <v>4.512931724703412</v>
      </c>
      <c r="P26" t="n">
        <v>0.1432666514260893</v>
      </c>
      <c r="Q26" t="n">
        <v>0.0442941560748703</v>
      </c>
      <c r="R26" t="n">
        <v>0.039657810298544</v>
      </c>
      <c r="S26" t="n">
        <v>0.0518182541793683</v>
      </c>
      <c r="T26" t="n">
        <v>60.55030820939529</v>
      </c>
      <c r="U26" t="n">
        <v>-0.5882222220696818</v>
      </c>
      <c r="V26" t="n">
        <v>-1</v>
      </c>
      <c r="W26" t="n">
        <v>-1.787129629484527</v>
      </c>
      <c r="X26" t="n">
        <v>-6.644999999841957</v>
      </c>
      <c r="Y26" t="n">
        <v>-1</v>
      </c>
      <c r="Z26" t="n">
        <v>0.6416666668180915</v>
      </c>
      <c r="AA26" t="n">
        <v>-1</v>
      </c>
      <c r="AB26" t="n">
        <v>3.297268518458129</v>
      </c>
      <c r="AC26" t="n">
        <v>0.039657810298544</v>
      </c>
      <c r="AD26" t="n">
        <v>2.706815019257204</v>
      </c>
      <c r="AE26" t="n">
        <v>0</v>
      </c>
      <c r="AF26" t="n">
        <v>3.03707360316511</v>
      </c>
      <c r="AG26" t="n">
        <v>0</v>
      </c>
      <c r="AH26" t="n">
        <v>0.6973680426328366</v>
      </c>
      <c r="AI26" t="n">
        <v>10.9</v>
      </c>
      <c r="AJ26" t="n">
        <v>11.25</v>
      </c>
      <c r="AK26" t="n">
        <v>0.4906580973286094</v>
      </c>
      <c r="AL26" t="n">
        <v>0.6017781407459979</v>
      </c>
      <c r="AM26" t="n">
        <v>10.51748</v>
      </c>
      <c r="AN26" t="n">
        <v>154.8157054644897</v>
      </c>
      <c r="AO26" t="n">
        <v>0.1086465641479263</v>
      </c>
      <c r="AP26" t="n">
        <v>0.1081630596389439</v>
      </c>
      <c r="AQ26" t="n">
        <v>0.1001762797190792</v>
      </c>
      <c r="AR26" t="n">
        <v>0.1216908102618342</v>
      </c>
      <c r="AS26" t="n">
        <v>0.1147058293902825</v>
      </c>
    </row>
    <row r="27">
      <c r="A27" t="inlineStr">
        <is>
          <t>opt_clim_norm</t>
        </is>
      </c>
      <c r="B27" t="inlineStr">
        <is>
          <t>42/3_ST_Fits</t>
        </is>
      </c>
      <c r="C27" t="inlineStr">
        <is>
          <t>c</t>
        </is>
      </c>
      <c r="D27" t="n">
        <v>40.8</v>
      </c>
      <c r="E27" t="n">
        <v>84.81999999999999</v>
      </c>
      <c r="F27" t="n">
        <v>-0.0118807837467937</v>
      </c>
      <c r="G27" t="n">
        <v>-3519.386765515537</v>
      </c>
      <c r="H27" t="n">
        <v>1.630611111261766</v>
      </c>
      <c r="I27" t="n">
        <v>-1</v>
      </c>
      <c r="J27" t="n">
        <v>1.325309127124275</v>
      </c>
      <c r="K27" t="n">
        <v>-2.859999999845245</v>
      </c>
      <c r="L27" t="n">
        <v>-1</v>
      </c>
      <c r="M27" t="n">
        <v>2.640000000149753</v>
      </c>
      <c r="N27" t="n">
        <v>-1</v>
      </c>
      <c r="O27" t="n">
        <v>4.596458514571122</v>
      </c>
      <c r="P27" t="n">
        <v>0.049600979201366</v>
      </c>
      <c r="Q27" t="n">
        <v>-0.0146717059579605</v>
      </c>
      <c r="R27" t="n">
        <v>0.0042679974436759</v>
      </c>
      <c r="S27" t="n">
        <v>-0.0120410745162684</v>
      </c>
      <c r="T27" t="n">
        <v>-2393.494821186024</v>
      </c>
      <c r="U27" t="n">
        <v>2.240000000149962</v>
      </c>
      <c r="V27" t="n">
        <v>-1</v>
      </c>
      <c r="W27" t="n">
        <v>1.185259590088054</v>
      </c>
      <c r="X27" t="n">
        <v>-2.371666666512492</v>
      </c>
      <c r="Y27" t="n">
        <v>-1</v>
      </c>
      <c r="Z27" t="n">
        <v>2.801666666816136</v>
      </c>
      <c r="AA27" t="n">
        <v>-1</v>
      </c>
      <c r="AB27" t="n">
        <v>3.386235780453199</v>
      </c>
      <c r="AC27" t="n">
        <v>0.0036091170283158</v>
      </c>
      <c r="AD27" t="n">
        <v>4.372038651066806</v>
      </c>
      <c r="AE27" t="n">
        <v>0</v>
      </c>
      <c r="AF27" t="n">
        <v>4.250391504985831</v>
      </c>
      <c r="AG27" t="n">
        <v>0</v>
      </c>
      <c r="AH27" t="n">
        <v>-1513.437339257104</v>
      </c>
      <c r="AI27" t="n">
        <v>14.546</v>
      </c>
      <c r="AJ27" t="n">
        <v>14.984</v>
      </c>
      <c r="AK27" s="1" t="n">
        <v>1.791102379650224e-10</v>
      </c>
      <c r="AL27" t="n">
        <v>0.0002187146791845</v>
      </c>
      <c r="AM27" t="n">
        <v>12.0504</v>
      </c>
      <c r="AN27" t="n">
        <v>-349575.6812444265</v>
      </c>
      <c r="AO27" t="n">
        <v>0.08383836358608571</v>
      </c>
      <c r="AP27" t="n">
        <v>0.0890295833214072</v>
      </c>
      <c r="AQ27" t="n">
        <v>0.0748333377128744</v>
      </c>
      <c r="AR27" t="n">
        <v>0.1006769953051386</v>
      </c>
      <c r="AS27" t="n">
        <v>0.0872396589471849</v>
      </c>
    </row>
    <row r="28">
      <c r="A28" t="inlineStr">
        <is>
          <t>cubic_spline</t>
        </is>
      </c>
      <c r="B28" t="inlineStr">
        <is>
          <t>42/4_GAM_AR1</t>
        </is>
      </c>
      <c r="C28" t="inlineStr">
        <is>
          <t>c</t>
        </is>
      </c>
      <c r="D28" t="n">
        <v>1.8</v>
      </c>
      <c r="E28" t="n">
        <v>8.359999999999999</v>
      </c>
      <c r="F28" t="n">
        <v>0.0037157194923556</v>
      </c>
      <c r="G28" t="n">
        <v>118.5334342666026</v>
      </c>
      <c r="H28" t="n">
        <v>1.934527777928132</v>
      </c>
      <c r="I28" t="n">
        <v>-1</v>
      </c>
      <c r="J28" t="n">
        <v>1.331050396966965</v>
      </c>
      <c r="K28" t="n">
        <v>-0.8383333331804488</v>
      </c>
      <c r="L28" t="n">
        <v>-1</v>
      </c>
      <c r="M28" t="n">
        <v>3.373333333482365</v>
      </c>
      <c r="N28" t="n">
        <v>-1</v>
      </c>
      <c r="O28" t="n">
        <v>3.786019739643944</v>
      </c>
      <c r="P28" t="n">
        <v>0.0863752639504165</v>
      </c>
      <c r="Q28" t="n">
        <v>-0.0017334109150702</v>
      </c>
      <c r="R28" t="n">
        <v>0.0193933361691605</v>
      </c>
      <c r="S28" t="n">
        <v>0.0037157194923556</v>
      </c>
      <c r="T28" t="n">
        <v>96.21227888960512</v>
      </c>
      <c r="U28" t="n">
        <v>2.544305555702633</v>
      </c>
      <c r="V28" t="n">
        <v>-1</v>
      </c>
      <c r="W28" t="n">
        <v>1.511180555696742</v>
      </c>
      <c r="X28" t="n">
        <v>-0.5399999998502879</v>
      </c>
      <c r="Y28" t="n">
        <v>-1</v>
      </c>
      <c r="Z28" t="n">
        <v>3.71166666681248</v>
      </c>
      <c r="AA28" t="n">
        <v>-1</v>
      </c>
      <c r="AB28" t="n">
        <v>3.198810185198582</v>
      </c>
      <c r="AC28" t="n">
        <v>0.0193933361691605</v>
      </c>
      <c r="AD28" t="n">
        <v>3.71283895694349</v>
      </c>
      <c r="AE28" t="n">
        <v>0</v>
      </c>
      <c r="AF28" t="n">
        <v>4.208857987034218</v>
      </c>
      <c r="AG28" t="n">
        <v>0</v>
      </c>
      <c r="AH28" t="n">
        <v>0.993452157238542</v>
      </c>
      <c r="AI28" t="n">
        <v>9.821999999999999</v>
      </c>
      <c r="AJ28" t="n">
        <v>10.34</v>
      </c>
      <c r="AK28" t="n">
        <v>0.1909954307419073</v>
      </c>
      <c r="AL28" t="n">
        <v>0.4887870845495398</v>
      </c>
      <c r="AM28" t="n">
        <v>8.49682</v>
      </c>
      <c r="AN28" t="n">
        <v>209.6184051773323</v>
      </c>
      <c r="AO28" t="n">
        <v>0.091650707696863</v>
      </c>
      <c r="AP28" t="n">
        <v>0.0628619167102597</v>
      </c>
      <c r="AQ28" t="n">
        <v>0.0584053853196984</v>
      </c>
      <c r="AR28" t="n">
        <v>0.08347622705735749</v>
      </c>
      <c r="AS28" t="n">
        <v>0.0813240964348546</v>
      </c>
    </row>
    <row r="29">
      <c r="A29" t="inlineStr">
        <is>
          <t>GAM_AR0</t>
        </is>
      </c>
      <c r="B29" t="inlineStr">
        <is>
          <t>42/4_GAM_AR1</t>
        </is>
      </c>
      <c r="C29" t="inlineStr">
        <is>
          <t>c</t>
        </is>
      </c>
      <c r="D29" t="n">
        <v>8.94</v>
      </c>
      <c r="E29" t="n">
        <v>44.82</v>
      </c>
      <c r="F29" t="n">
        <v>0.0208328162826126</v>
      </c>
      <c r="G29" t="n">
        <v>144.3100754305303</v>
      </c>
      <c r="H29" t="n">
        <v>-1.365694444291053</v>
      </c>
      <c r="I29" t="n">
        <v>-1</v>
      </c>
      <c r="J29" t="n">
        <v>-1.172330687686826</v>
      </c>
      <c r="K29" t="n">
        <v>-2.6849999998454</v>
      </c>
      <c r="L29" t="n">
        <v>-1</v>
      </c>
      <c r="M29" t="n">
        <v>-0.9516666665136516</v>
      </c>
      <c r="N29" t="n">
        <v>-1</v>
      </c>
      <c r="O29" t="n">
        <v>3.028895408092603</v>
      </c>
      <c r="P29" t="n">
        <v>0.0500837953433491</v>
      </c>
      <c r="Q29" t="n">
        <v>0.0022101576361869</v>
      </c>
      <c r="R29" t="n">
        <v>0.0305308921139209</v>
      </c>
      <c r="S29" t="n">
        <v>0.0208328162826127</v>
      </c>
      <c r="T29" t="n">
        <v>89.57374778267727</v>
      </c>
      <c r="U29" t="n">
        <v>-0.9956944442915248</v>
      </c>
      <c r="V29" t="n">
        <v>-1</v>
      </c>
      <c r="W29" t="n">
        <v>-1.130916666522632</v>
      </c>
      <c r="X29" t="n">
        <v>-2.196666666512647</v>
      </c>
      <c r="Y29" t="n">
        <v>-1</v>
      </c>
      <c r="Z29" t="n">
        <v>-0.5283333331808353</v>
      </c>
      <c r="AA29" t="n">
        <v>-1</v>
      </c>
      <c r="AB29" t="n">
        <v>2.989407407375525</v>
      </c>
      <c r="AC29" t="n">
        <v>0.030530892113921</v>
      </c>
      <c r="AD29" t="n">
        <v>4.57997704212607</v>
      </c>
      <c r="AE29" t="n">
        <v>0</v>
      </c>
      <c r="AF29" t="n">
        <v>6.103043677607352</v>
      </c>
      <c r="AG29" t="n">
        <v>0</v>
      </c>
      <c r="AH29" t="n">
        <v>1.162845406893433</v>
      </c>
      <c r="AI29" t="n">
        <v>7.763999999999999</v>
      </c>
      <c r="AJ29" t="n">
        <v>8.022</v>
      </c>
      <c r="AK29" t="n">
        <v>0.0393089824482192</v>
      </c>
      <c r="AL29" t="n">
        <v>0.1085144219900921</v>
      </c>
      <c r="AM29" t="n">
        <v>5.39544</v>
      </c>
      <c r="AN29" t="n">
        <v>246.5232262614078</v>
      </c>
      <c r="AO29" t="n">
        <v>0.0689732659767958</v>
      </c>
      <c r="AP29" t="n">
        <v>0.0487713254005604</v>
      </c>
      <c r="AQ29" t="n">
        <v>0.0495121564740172</v>
      </c>
      <c r="AR29" t="n">
        <v>0.07040235408637679</v>
      </c>
      <c r="AS29" t="n">
        <v>0.070698149574607</v>
      </c>
    </row>
    <row r="30">
      <c r="A30" t="inlineStr">
        <is>
          <t>GAM_AR1</t>
        </is>
      </c>
      <c r="B30" t="inlineStr">
        <is>
          <t>42/4_GAM_AR1</t>
        </is>
      </c>
      <c r="C30" t="inlineStr">
        <is>
          <t>c</t>
        </is>
      </c>
      <c r="D30" t="n">
        <v>11.16</v>
      </c>
      <c r="E30" t="n">
        <v>39.28</v>
      </c>
      <c r="F30" t="n">
        <v>0.0218479619719933</v>
      </c>
      <c r="G30" t="n">
        <v>126.5791301376183</v>
      </c>
      <c r="H30" t="n">
        <v>-2.349722222067937</v>
      </c>
      <c r="I30" t="n">
        <v>-1</v>
      </c>
      <c r="J30" t="n">
        <v>-1.181107804088945</v>
      </c>
      <c r="K30" t="n">
        <v>-3.546666666511278</v>
      </c>
      <c r="L30" t="n">
        <v>-1</v>
      </c>
      <c r="M30" t="n">
        <v>-2.174999999845864</v>
      </c>
      <c r="N30" t="n">
        <v>-1</v>
      </c>
      <c r="O30" t="n">
        <v>2.783270782511391</v>
      </c>
      <c r="P30" t="n">
        <v>0.0535750140483677</v>
      </c>
      <c r="Q30" t="n">
        <v>-0.0061219028311879</v>
      </c>
      <c r="R30" t="n">
        <v>0.0464614060978668</v>
      </c>
      <c r="S30" t="n">
        <v>0.0218479619719934</v>
      </c>
      <c r="T30" t="n">
        <v>95.7744502051012</v>
      </c>
      <c r="U30" t="n">
        <v>-2.218055555401526</v>
      </c>
      <c r="V30" t="n">
        <v>-1</v>
      </c>
      <c r="W30" t="n">
        <v>-1.097583333188864</v>
      </c>
      <c r="X30" t="n">
        <v>-3.058333333178525</v>
      </c>
      <c r="Y30" t="n">
        <v>-1</v>
      </c>
      <c r="Z30" t="n">
        <v>-2.188333333179325</v>
      </c>
      <c r="AA30" t="n">
        <v>-1</v>
      </c>
      <c r="AB30" t="n">
        <v>2.824185185148194</v>
      </c>
      <c r="AC30" t="n">
        <v>0.0464614060978669</v>
      </c>
      <c r="AD30" t="n">
        <v>4.342161752656214</v>
      </c>
      <c r="AE30" t="n">
        <v>0</v>
      </c>
      <c r="AF30" t="n">
        <v>5.121369046705532</v>
      </c>
      <c r="AG30" t="n">
        <v>0</v>
      </c>
      <c r="AH30" t="n">
        <v>1.085592896938998</v>
      </c>
      <c r="AI30" t="n">
        <v>8.752000000000001</v>
      </c>
      <c r="AJ30" t="n">
        <v>9.288</v>
      </c>
      <c r="AK30" t="n">
        <v>0.0581229617538437</v>
      </c>
      <c r="AL30" t="n">
        <v>0.1042552918290593</v>
      </c>
      <c r="AM30" t="n">
        <v>6.1891</v>
      </c>
      <c r="AN30" t="n">
        <v>230.1456941510677</v>
      </c>
      <c r="AO30" t="n">
        <v>0.0659937801903866</v>
      </c>
      <c r="AP30" t="n">
        <v>0.0587190984553303</v>
      </c>
      <c r="AQ30" t="n">
        <v>0.0574758019548426</v>
      </c>
      <c r="AR30" t="n">
        <v>0.0765116275507384</v>
      </c>
      <c r="AS30" t="n">
        <v>0.0736301796063778</v>
      </c>
    </row>
    <row r="31">
      <c r="A31" t="inlineStr">
        <is>
          <t>Kal_flexLin</t>
        </is>
      </c>
      <c r="B31" t="inlineStr">
        <is>
          <t>42/5_Kalman</t>
        </is>
      </c>
      <c r="C31" t="inlineStr">
        <is>
          <t>c</t>
        </is>
      </c>
      <c r="D31" t="n">
        <v>0.8</v>
      </c>
      <c r="E31" t="n">
        <v>9.539999999999999</v>
      </c>
      <c r="F31" t="n">
        <v>0.0167508272044366</v>
      </c>
      <c r="G31" t="n">
        <v>150.6730007153982</v>
      </c>
      <c r="H31" t="n">
        <v>-0.9200555554025992</v>
      </c>
      <c r="I31" t="n">
        <v>-1</v>
      </c>
      <c r="J31" t="n">
        <v>-0.5522730157297212</v>
      </c>
      <c r="K31" t="n">
        <v>-3.241666666511605</v>
      </c>
      <c r="L31" t="n">
        <v>-1</v>
      </c>
      <c r="M31" t="n">
        <v>-0.4099999998475093</v>
      </c>
      <c r="N31" t="n">
        <v>-1</v>
      </c>
      <c r="O31" t="n">
        <v>2.600076338861908</v>
      </c>
      <c r="P31" t="n">
        <v>0.0519804156263939</v>
      </c>
      <c r="Q31" t="n">
        <v>0.0008816337171561</v>
      </c>
      <c r="R31" t="n">
        <v>0.0216346261324558</v>
      </c>
      <c r="S31" t="n">
        <v>0.0167508272044366</v>
      </c>
      <c r="T31" t="n">
        <v>102.1744541076248</v>
      </c>
      <c r="U31" t="n">
        <v>-0.6498611109585355</v>
      </c>
      <c r="V31" t="n">
        <v>-1</v>
      </c>
      <c r="W31" t="n">
        <v>-0.3899490739307142</v>
      </c>
      <c r="X31" t="n">
        <v>-2.753333333178853</v>
      </c>
      <c r="Y31" t="n">
        <v>-1</v>
      </c>
      <c r="Z31" t="n">
        <v>0.0483333334852704</v>
      </c>
      <c r="AA31" t="n">
        <v>-1</v>
      </c>
      <c r="AB31" t="n">
        <v>2.881810185159133</v>
      </c>
      <c r="AC31" t="n">
        <v>0.0216346261324559</v>
      </c>
      <c r="AD31" t="n">
        <v>4.824513176768111</v>
      </c>
      <c r="AE31" t="n">
        <v>0</v>
      </c>
      <c r="AF31" t="n">
        <v>6.097842496015235</v>
      </c>
      <c r="AG31" t="n">
        <v>0</v>
      </c>
      <c r="AH31" t="n">
        <v>1.521176474574512</v>
      </c>
      <c r="AI31" t="n">
        <v>8.960000000000001</v>
      </c>
      <c r="AJ31" t="n">
        <v>9.396000000000001</v>
      </c>
      <c r="AK31" t="n">
        <v>0.364646311781271</v>
      </c>
      <c r="AL31" t="n">
        <v>0.5429245661366054</v>
      </c>
      <c r="AM31" t="n">
        <v>4.63794</v>
      </c>
      <c r="AN31" t="n">
        <v>351.3917656267122</v>
      </c>
      <c r="AO31" t="n">
        <v>0.052565188679163</v>
      </c>
      <c r="AP31" t="n">
        <v>0.0460184941302813</v>
      </c>
      <c r="AQ31" t="n">
        <v>0.0465621770450084</v>
      </c>
      <c r="AR31" t="n">
        <v>0.0684647730777924</v>
      </c>
      <c r="AS31" t="n">
        <v>0.0687961093471095</v>
      </c>
    </row>
    <row r="32">
      <c r="A32" t="inlineStr">
        <is>
          <t>Kal_flexLin_ocn</t>
        </is>
      </c>
      <c r="B32" t="inlineStr">
        <is>
          <t>42/5_Kalman</t>
        </is>
      </c>
      <c r="C32" t="inlineStr">
        <is>
          <t>c</t>
        </is>
      </c>
      <c r="D32" t="n">
        <v>7.22</v>
      </c>
      <c r="E32" t="n">
        <v>70.76000000000001</v>
      </c>
      <c r="F32" t="n">
        <v>0.0495217002856031</v>
      </c>
      <c r="G32" t="n">
        <v>94.89499455819109</v>
      </c>
      <c r="H32" t="n">
        <v>-3.937222222066513</v>
      </c>
      <c r="I32" t="n">
        <v>-1</v>
      </c>
      <c r="J32" t="n">
        <v>-2.983097883452382</v>
      </c>
      <c r="K32" t="n">
        <v>-5.124999999843217</v>
      </c>
      <c r="L32" t="n">
        <v>-1</v>
      </c>
      <c r="M32" t="n">
        <v>-4.071666666510842</v>
      </c>
      <c r="N32" t="n">
        <v>-1</v>
      </c>
      <c r="O32" t="n">
        <v>4.478174030937033</v>
      </c>
      <c r="P32" t="n">
        <v>0.0478819034302331</v>
      </c>
      <c r="Q32" t="n">
        <v>0.0148308840312669</v>
      </c>
      <c r="R32" t="n">
        <v>0.0625308164279912</v>
      </c>
      <c r="S32" t="n">
        <v>0.0495217002856032</v>
      </c>
      <c r="T32" t="n">
        <v>41.88830509377429</v>
      </c>
      <c r="U32" t="n">
        <v>-3.635555555400257</v>
      </c>
      <c r="V32" t="n">
        <v>-1</v>
      </c>
      <c r="W32" t="n">
        <v>-2.876050925779838</v>
      </c>
      <c r="X32" t="n">
        <v>-4.636666666510464</v>
      </c>
      <c r="Y32" t="n">
        <v>-1</v>
      </c>
      <c r="Z32" t="n">
        <v>-3.833333333177861</v>
      </c>
      <c r="AA32" t="n">
        <v>-1</v>
      </c>
      <c r="AB32" t="n">
        <v>3.761791666582903</v>
      </c>
      <c r="AC32" t="n">
        <v>0.0625308164279912</v>
      </c>
      <c r="AD32" t="n">
        <v>3.545580520683451</v>
      </c>
      <c r="AE32" t="n">
        <v>0</v>
      </c>
      <c r="AF32" t="n">
        <v>4.529132195758161</v>
      </c>
      <c r="AG32" t="n">
        <v>0</v>
      </c>
      <c r="AH32" t="n">
        <v>1.245853958856435</v>
      </c>
      <c r="AI32" t="n">
        <v>8.208</v>
      </c>
      <c r="AJ32" t="n">
        <v>8.726000000000001</v>
      </c>
      <c r="AK32" t="n">
        <v>0.0603715573362654</v>
      </c>
      <c r="AL32" t="n">
        <v>0.1202691713838315</v>
      </c>
      <c r="AM32" t="n">
        <v>4.87674</v>
      </c>
      <c r="AN32" t="n">
        <v>287.7922644958364</v>
      </c>
      <c r="AO32" t="n">
        <v>0.0615200349026502</v>
      </c>
      <c r="AP32" t="n">
        <v>0.0678341332681872</v>
      </c>
      <c r="AQ32" t="n">
        <v>0.0726539003962386</v>
      </c>
      <c r="AR32" t="n">
        <v>0.08335959948919131</v>
      </c>
      <c r="AS32" t="n">
        <v>0.08730888391227661</v>
      </c>
    </row>
    <row r="33">
      <c r="A33" t="inlineStr">
        <is>
          <t>Kalman_RW</t>
        </is>
      </c>
      <c r="B33" t="inlineStr">
        <is>
          <t>42/5_Kalman</t>
        </is>
      </c>
      <c r="C33" t="inlineStr">
        <is>
          <t>c</t>
        </is>
      </c>
      <c r="D33" t="n">
        <v>1.2</v>
      </c>
      <c r="E33" t="n">
        <v>10.3</v>
      </c>
      <c r="F33" t="n">
        <v>-0.0145107250926674</v>
      </c>
      <c r="G33" t="n">
        <v>137.2576620911753</v>
      </c>
      <c r="H33" t="n">
        <v>3.056805555704889</v>
      </c>
      <c r="I33" t="n">
        <v>-1</v>
      </c>
      <c r="J33" t="n">
        <v>2.700115079505404</v>
      </c>
      <c r="K33" t="n">
        <v>-0.316666666514252</v>
      </c>
      <c r="L33" t="n">
        <v>-1</v>
      </c>
      <c r="M33" t="n">
        <v>5.711666666813576</v>
      </c>
      <c r="N33" t="n">
        <v>-1</v>
      </c>
      <c r="O33" t="n">
        <v>3.49554473493228</v>
      </c>
      <c r="P33" t="n">
        <v>0.0539348036943787</v>
      </c>
      <c r="Q33" t="n">
        <v>-0.017265927927216</v>
      </c>
      <c r="R33" t="n">
        <v>0.009283937588702801</v>
      </c>
      <c r="S33" t="n">
        <v>-0.0145107250926675</v>
      </c>
      <c r="T33" t="n">
        <v>100.9953541932975</v>
      </c>
      <c r="U33" t="n">
        <v>3.262638889037897</v>
      </c>
      <c r="V33" t="n">
        <v>-1</v>
      </c>
      <c r="W33" t="n">
        <v>2.896120370511205</v>
      </c>
      <c r="X33" t="n">
        <v>0.1716666668185006</v>
      </c>
      <c r="Y33" t="n">
        <v>-1</v>
      </c>
      <c r="Z33" t="n">
        <v>4.851666666814226</v>
      </c>
      <c r="AA33" t="n">
        <v>-1</v>
      </c>
      <c r="AB33" t="n">
        <v>3.372472222299501</v>
      </c>
      <c r="AC33" t="n">
        <v>0.0092839375887029</v>
      </c>
      <c r="AD33" t="n">
        <v>5.02782025496576</v>
      </c>
      <c r="AE33" t="n">
        <v>0</v>
      </c>
      <c r="AF33" t="n">
        <v>5.566477938356802</v>
      </c>
      <c r="AG33" t="n">
        <v>0</v>
      </c>
      <c r="AH33" t="n">
        <v>1.427226209427949</v>
      </c>
      <c r="AI33" t="n">
        <v>10.534</v>
      </c>
      <c r="AJ33" t="n">
        <v>11.026</v>
      </c>
      <c r="AK33" t="n">
        <v>0.2862687567686939</v>
      </c>
      <c r="AL33" t="n">
        <v>0.4825556045290123</v>
      </c>
      <c r="AM33" t="n">
        <v>6.10092</v>
      </c>
      <c r="AN33" t="n">
        <v>329.6892543778561</v>
      </c>
      <c r="AO33" t="n">
        <v>0.0576279711814173</v>
      </c>
      <c r="AP33" t="n">
        <v>0.0535368728942501</v>
      </c>
      <c r="AQ33" t="n">
        <v>0.0490454139786123</v>
      </c>
      <c r="AR33" t="n">
        <v>0.07142215674501599</v>
      </c>
      <c r="AS33" t="n">
        <v>0.06809730640941079</v>
      </c>
    </row>
    <row r="34">
      <c r="A34" t="inlineStr">
        <is>
          <t>Kalman_RW_ocn</t>
        </is>
      </c>
      <c r="B34" t="inlineStr">
        <is>
          <t>42/5_Kalman</t>
        </is>
      </c>
      <c r="C34" t="inlineStr">
        <is>
          <t>c</t>
        </is>
      </c>
      <c r="D34" t="n">
        <v>21.84</v>
      </c>
      <c r="E34" t="n">
        <v>89.88</v>
      </c>
      <c r="F34" t="n">
        <v>0.0622601002747253</v>
      </c>
      <c r="G34" t="n">
        <v>38.15819625758265</v>
      </c>
      <c r="H34" t="n">
        <v>-4.348888888732811</v>
      </c>
      <c r="I34" t="n">
        <v>-1</v>
      </c>
      <c r="J34" t="n">
        <v>-2.525297618903052</v>
      </c>
      <c r="K34" t="n">
        <v>-5.893333333175865</v>
      </c>
      <c r="L34" t="n">
        <v>-1</v>
      </c>
      <c r="M34" t="n">
        <v>-5.28833333317642</v>
      </c>
      <c r="N34" t="n">
        <v>-1</v>
      </c>
      <c r="O34" t="n">
        <v>4.51993928137683</v>
      </c>
      <c r="P34" t="n">
        <v>0.0510851387758082</v>
      </c>
      <c r="Q34" t="n">
        <v>0.0099935678839242</v>
      </c>
      <c r="R34" t="n">
        <v>0.1058323960012594</v>
      </c>
      <c r="S34" t="n">
        <v>0.0622601002747253</v>
      </c>
      <c r="T34" t="n">
        <v>-1.353288720366288</v>
      </c>
      <c r="U34" t="n">
        <v>-3.860555555400057</v>
      </c>
      <c r="V34" t="n">
        <v>-1</v>
      </c>
      <c r="W34" t="n">
        <v>-2.860902777631706</v>
      </c>
      <c r="X34" t="n">
        <v>-5.404999999843112</v>
      </c>
      <c r="Y34" t="n">
        <v>-1</v>
      </c>
      <c r="Z34" t="n">
        <v>-4.246666666510818</v>
      </c>
      <c r="AA34" t="n">
        <v>-1</v>
      </c>
      <c r="AB34" t="n">
        <v>3.622449073973218</v>
      </c>
      <c r="AC34" t="n">
        <v>0.1058323960012594</v>
      </c>
      <c r="AD34" t="n">
        <v>3.470402783863523</v>
      </c>
      <c r="AE34" t="n">
        <v>0</v>
      </c>
      <c r="AF34" t="n">
        <v>3.90654526279676</v>
      </c>
      <c r="AG34" t="n">
        <v>0</v>
      </c>
      <c r="AH34" t="n">
        <v>0.9201294590644348</v>
      </c>
      <c r="AI34" t="n">
        <v>9.336</v>
      </c>
      <c r="AJ34" t="n">
        <v>9.856</v>
      </c>
      <c r="AK34" t="n">
        <v>0.0131960388520519</v>
      </c>
      <c r="AL34" t="n">
        <v>0.0284388733462846</v>
      </c>
      <c r="AM34" t="n">
        <v>6.80664</v>
      </c>
      <c r="AN34" t="n">
        <v>212.5499050438845</v>
      </c>
      <c r="AO34" t="n">
        <v>0.0761069520465297</v>
      </c>
      <c r="AP34" t="n">
        <v>0.09112181703989659</v>
      </c>
      <c r="AQ34" t="n">
        <v>0.1021220564236543</v>
      </c>
      <c r="AR34" t="n">
        <v>0.102372284118463</v>
      </c>
      <c r="AS34" t="n">
        <v>0.1123049923187806</v>
      </c>
    </row>
    <row r="35">
      <c r="A35" t="inlineStr">
        <is>
          <t>removeGreensfx</t>
        </is>
      </c>
      <c r="B35" t="inlineStr">
        <is>
          <t>42/6_Remove_IV</t>
        </is>
      </c>
      <c r="C35" t="inlineStr">
        <is>
          <t>c</t>
        </is>
      </c>
      <c r="D35" t="n">
        <v>2.82</v>
      </c>
      <c r="E35" t="n">
        <v>30.48</v>
      </c>
      <c r="F35" t="n">
        <v>-0.009918829517050001</v>
      </c>
      <c r="G35" t="n">
        <v>116.3401538605052</v>
      </c>
      <c r="H35" t="n">
        <v>3.855444444593084</v>
      </c>
      <c r="I35" t="n">
        <v>-1</v>
      </c>
      <c r="J35" t="n">
        <v>2.65511527791816</v>
      </c>
      <c r="K35" t="n">
        <v>-2.398333333178994</v>
      </c>
      <c r="L35" t="n">
        <v>-1</v>
      </c>
      <c r="M35" t="n">
        <v>9.12500000014386</v>
      </c>
      <c r="N35" t="n">
        <v>-1</v>
      </c>
      <c r="O35" t="n">
        <v>3.815383151066019</v>
      </c>
      <c r="P35" t="n">
        <v>0.06</v>
      </c>
      <c r="Q35" t="n">
        <v>-0.0133026450458913</v>
      </c>
      <c r="R35" t="n">
        <v>0.0055163892507552</v>
      </c>
      <c r="S35" t="n">
        <v>-0.009918829517050001</v>
      </c>
      <c r="T35" t="n">
        <v>87.44624111197435</v>
      </c>
      <c r="U35" t="n">
        <v>4.166083333481553</v>
      </c>
      <c r="V35" t="n">
        <v>-1</v>
      </c>
      <c r="W35" t="n">
        <v>2.764750330828801</v>
      </c>
      <c r="X35" t="n">
        <v>-1.909999999846241</v>
      </c>
      <c r="Y35" t="n">
        <v>-1</v>
      </c>
      <c r="Z35" t="n">
        <v>9.46166666681007</v>
      </c>
      <c r="AA35" t="n">
        <v>-1</v>
      </c>
      <c r="AB35" t="n">
        <v>3.409721891617376</v>
      </c>
      <c r="AC35" t="n">
        <v>0.0055163892507553</v>
      </c>
      <c r="AD35" t="n">
        <v>4.349393337528381</v>
      </c>
      <c r="AE35" t="n">
        <v>0</v>
      </c>
      <c r="AF35" t="n">
        <v>4.432286437070554</v>
      </c>
      <c r="AG35" t="n">
        <v>0</v>
      </c>
      <c r="AH35" t="n">
        <v>1.153666225778236</v>
      </c>
      <c r="AI35" t="n">
        <v>15.672</v>
      </c>
      <c r="AJ35" t="n">
        <v>16.306</v>
      </c>
      <c r="AK35" t="n">
        <v>0.096928736610505</v>
      </c>
      <c r="AL35" t="n">
        <v>0.2226626560472299</v>
      </c>
      <c r="AM35" t="n">
        <v>14.26832</v>
      </c>
      <c r="AN35" t="n">
        <v>266.4968981547724</v>
      </c>
      <c r="AO35" t="n">
        <v>0.07303288913904001</v>
      </c>
      <c r="AP35" t="n">
        <v>0.0665977812775853</v>
      </c>
      <c r="AQ35" t="n">
        <v>0.0648426932186331</v>
      </c>
      <c r="AR35" t="n">
        <v>0.081983999957326</v>
      </c>
      <c r="AS35" t="n">
        <v>0.0805697035440668</v>
      </c>
    </row>
    <row r="36">
      <c r="A36" t="inlineStr">
        <is>
          <t>removeMEI_cons</t>
        </is>
      </c>
      <c r="B36" t="inlineStr">
        <is>
          <t>42/6_Remove_IV</t>
        </is>
      </c>
      <c r="C36" t="inlineStr">
        <is>
          <t>c</t>
        </is>
      </c>
      <c r="D36" t="n">
        <v>28.28</v>
      </c>
      <c r="E36" t="n">
        <v>59.88</v>
      </c>
      <c r="F36" t="n">
        <v>-0.0549848134634759</v>
      </c>
      <c r="G36" t="n">
        <v>-79.35616287685936</v>
      </c>
      <c r="H36" t="n">
        <v>8.75337103189023</v>
      </c>
      <c r="I36" t="n">
        <v>-1</v>
      </c>
      <c r="J36" t="n">
        <v>5.14809990565588</v>
      </c>
      <c r="K36" t="n">
        <v>-0.1033333331810581</v>
      </c>
      <c r="L36" t="n">
        <v>-1</v>
      </c>
      <c r="M36" t="n">
        <v>17.46500000013626</v>
      </c>
      <c r="N36" t="n">
        <v>-1</v>
      </c>
      <c r="O36" t="n">
        <v>6.408421733268244</v>
      </c>
      <c r="P36" t="n">
        <v>0.09281987537003519</v>
      </c>
      <c r="Q36" t="n">
        <v>0.0008761333489096</v>
      </c>
      <c r="R36" t="n">
        <v>-0.0801971619523601</v>
      </c>
      <c r="S36" t="n">
        <v>-0.0549848134634759</v>
      </c>
      <c r="T36" t="n">
        <v>-137.2953375869396</v>
      </c>
      <c r="U36" t="n">
        <v>9.298621693265259</v>
      </c>
      <c r="V36" t="n">
        <v>-1</v>
      </c>
      <c r="W36" t="n">
        <v>5.413921737349113</v>
      </c>
      <c r="X36" t="n">
        <v>0.3850000001516946</v>
      </c>
      <c r="Y36" t="n">
        <v>-1</v>
      </c>
      <c r="Z36" t="n">
        <v>18.18000000013548</v>
      </c>
      <c r="AA36" t="n">
        <v>-1</v>
      </c>
      <c r="AB36" t="n">
        <v>5.583353615632876</v>
      </c>
      <c r="AC36" t="n">
        <v>-0.0801971619523601</v>
      </c>
      <c r="AD36" t="n">
        <v>2.2927484817434</v>
      </c>
      <c r="AE36" t="n">
        <v>0</v>
      </c>
      <c r="AF36" t="n">
        <v>2.633257547433518</v>
      </c>
      <c r="AG36" t="n">
        <v>0</v>
      </c>
      <c r="AH36" t="n">
        <v>-0.1546153357117537</v>
      </c>
      <c r="AI36" t="n">
        <v>19.744</v>
      </c>
      <c r="AJ36" t="n">
        <v>19.776</v>
      </c>
      <c r="AK36" s="1" t="n">
        <v>5.329952706023836e-10</v>
      </c>
      <c r="AL36" s="1" t="n">
        <v>7.616021586943107e-05</v>
      </c>
      <c r="AM36" t="n">
        <v>21.27642</v>
      </c>
      <c r="AN36" t="n">
        <v>-35.71614254941511</v>
      </c>
      <c r="AO36" t="n">
        <v>0.0936950224974018</v>
      </c>
      <c r="AP36" t="n">
        <v>0.0931226762696184</v>
      </c>
      <c r="AQ36" t="n">
        <v>0.0984324805711999</v>
      </c>
      <c r="AR36" t="n">
        <v>0.1044306048773087</v>
      </c>
      <c r="AS36" t="n">
        <v>0.1093496854601744</v>
      </c>
    </row>
    <row r="37">
      <c r="A37" t="inlineStr">
        <is>
          <t>removeMEI_volc_cons</t>
        </is>
      </c>
      <c r="B37" t="inlineStr">
        <is>
          <t>42/6_Remove_IV</t>
        </is>
      </c>
      <c r="C37" t="inlineStr">
        <is>
          <t>c</t>
        </is>
      </c>
      <c r="D37" t="n">
        <v>6.18</v>
      </c>
      <c r="E37" t="n">
        <v>30.94</v>
      </c>
      <c r="F37" t="n">
        <v>-0.0303346717919949</v>
      </c>
      <c r="G37" t="n">
        <v>90.74868899135905</v>
      </c>
      <c r="H37" t="n">
        <v>8.020440476335319</v>
      </c>
      <c r="I37" t="n">
        <v>-1</v>
      </c>
      <c r="J37" t="n">
        <v>2.953071075977842</v>
      </c>
      <c r="K37" t="n">
        <v>-2.404999999845681</v>
      </c>
      <c r="L37" t="n">
        <v>-1</v>
      </c>
      <c r="M37" t="n">
        <v>18.42333333346871</v>
      </c>
      <c r="N37" t="n">
        <v>-1</v>
      </c>
      <c r="O37" t="n">
        <v>5.678078790706153</v>
      </c>
      <c r="P37" t="n">
        <v>0.0797670165741165</v>
      </c>
      <c r="Q37" t="n">
        <v>0.007981625489499201</v>
      </c>
      <c r="R37" t="n">
        <v>-0.06886156660838599</v>
      </c>
      <c r="S37" t="n">
        <v>-0.0303346717919949</v>
      </c>
      <c r="T37" t="n">
        <v>74.50804511314027</v>
      </c>
      <c r="U37" t="n">
        <v>8.284660053054518</v>
      </c>
      <c r="V37" t="n">
        <v>-1</v>
      </c>
      <c r="W37" t="n">
        <v>3.119742725006456</v>
      </c>
      <c r="X37" t="n">
        <v>-1.916666666512929</v>
      </c>
      <c r="Y37" t="n">
        <v>-1</v>
      </c>
      <c r="Z37" t="n">
        <v>18.31833333346868</v>
      </c>
      <c r="AA37" t="n">
        <v>-1</v>
      </c>
      <c r="AB37" t="n">
        <v>3.742416446283152</v>
      </c>
      <c r="AC37" t="n">
        <v>-0.06886156660838599</v>
      </c>
      <c r="AD37" t="n">
        <v>3.205486918036703</v>
      </c>
      <c r="AE37" t="n">
        <v>0</v>
      </c>
      <c r="AF37" t="n">
        <v>3.441126533265225</v>
      </c>
      <c r="AG37" t="n">
        <v>0</v>
      </c>
      <c r="AH37" t="n">
        <v>0.6944689008224763</v>
      </c>
      <c r="AI37" t="n">
        <v>23.396</v>
      </c>
      <c r="AJ37" t="n">
        <v>23.662</v>
      </c>
      <c r="AK37" t="n">
        <v>0.0319679208479711</v>
      </c>
      <c r="AL37" t="n">
        <v>0.1248147796307135</v>
      </c>
      <c r="AM37" t="n">
        <v>25.1905</v>
      </c>
      <c r="AN37" t="n">
        <v>83.33626809869715</v>
      </c>
      <c r="AO37" t="n">
        <v>0.1133847655474938</v>
      </c>
      <c r="AP37" t="n">
        <v>0.08894233320578949</v>
      </c>
      <c r="AQ37" t="n">
        <v>0.0909360229974313</v>
      </c>
      <c r="AR37" t="n">
        <v>0.1005650417546221</v>
      </c>
      <c r="AS37" t="n">
        <v>0.1022812348854013</v>
      </c>
    </row>
    <row r="38">
      <c r="A38" t="inlineStr">
        <is>
          <t>removeMEI_volc_refit</t>
        </is>
      </c>
      <c r="B38" t="inlineStr">
        <is>
          <t>42/6_Remove_IV</t>
        </is>
      </c>
      <c r="C38" t="inlineStr">
        <is>
          <t>c</t>
        </is>
      </c>
      <c r="D38" t="n">
        <v>0</v>
      </c>
      <c r="E38" t="n">
        <v>1.9</v>
      </c>
      <c r="F38" t="n">
        <v>-0.08354797294158479</v>
      </c>
      <c r="G38" t="n">
        <v>65.98202907067491</v>
      </c>
      <c r="H38" t="n">
        <v>12.20313095252199</v>
      </c>
      <c r="I38" t="n">
        <v>-1</v>
      </c>
      <c r="J38" t="n">
        <v>7.508152513361589</v>
      </c>
      <c r="K38" t="n">
        <v>4.261666666814904</v>
      </c>
      <c r="L38" t="n">
        <v>-1</v>
      </c>
      <c r="M38" t="n">
        <v>19.208333333468</v>
      </c>
      <c r="N38" t="n">
        <v>-1</v>
      </c>
      <c r="O38" t="n">
        <v>8.888348146411781</v>
      </c>
      <c r="P38" t="n">
        <v>0.130348417808897</v>
      </c>
      <c r="Q38" t="n">
        <v>-0.0784829631000441</v>
      </c>
      <c r="R38" t="n">
        <v>-0.1067760745297421</v>
      </c>
      <c r="S38" t="n">
        <v>-0.08354797294158479</v>
      </c>
      <c r="T38" t="n">
        <v>60.69828189457411</v>
      </c>
      <c r="U38" t="n">
        <v>12.84051984140758</v>
      </c>
      <c r="V38" t="n">
        <v>-1</v>
      </c>
      <c r="W38" t="n">
        <v>7.751263889020607</v>
      </c>
      <c r="X38" t="n">
        <v>4.573333333478385</v>
      </c>
      <c r="Y38" t="n">
        <v>-1</v>
      </c>
      <c r="Z38" t="n">
        <v>19.8833333334645</v>
      </c>
      <c r="AA38" t="n">
        <v>-1</v>
      </c>
      <c r="AB38" t="n">
        <v>7.763439814940783</v>
      </c>
      <c r="AC38" t="n">
        <v>-0.106776074529742</v>
      </c>
      <c r="AD38" t="n">
        <v>2.390179427957228</v>
      </c>
      <c r="AE38" t="n">
        <v>0</v>
      </c>
      <c r="AF38" t="n">
        <v>2.07480541386295</v>
      </c>
      <c r="AG38" t="n">
        <v>0</v>
      </c>
      <c r="AH38" t="n">
        <v>0.7119822481182752</v>
      </c>
      <c r="AI38" t="n">
        <v>18.796</v>
      </c>
      <c r="AJ38" t="n">
        <v>19.2</v>
      </c>
      <c r="AK38" t="n">
        <v>0.801879413940828</v>
      </c>
      <c r="AL38" t="n">
        <v>0.838126000951625</v>
      </c>
      <c r="AM38" t="n">
        <v>23.21588</v>
      </c>
      <c r="AN38" t="n">
        <v>73.33417155618234</v>
      </c>
      <c r="AO38" t="n">
        <v>0.1174377914691948</v>
      </c>
      <c r="AP38" t="n">
        <v>0.1139418979316494</v>
      </c>
      <c r="AQ38" t="n">
        <v>0.1224365160368724</v>
      </c>
      <c r="AR38" t="n">
        <v>0.1226930849027441</v>
      </c>
      <c r="AS38" t="n">
        <v>0.13059970341891</v>
      </c>
    </row>
    <row r="39">
      <c r="A39" t="inlineStr">
        <is>
          <t>cons_hArrh_CO2forc</t>
        </is>
      </c>
      <c r="B39" t="inlineStr">
        <is>
          <t>43/0_Linear</t>
        </is>
      </c>
      <c r="C39" t="inlineStr">
        <is>
          <t>c</t>
        </is>
      </c>
      <c r="D39" t="n">
        <v>39.92</v>
      </c>
      <c r="E39" t="n">
        <v>49.8</v>
      </c>
      <c r="F39" t="n">
        <v>0.1631352086058131</v>
      </c>
      <c r="G39" t="n">
        <v>-10.30500516961168</v>
      </c>
      <c r="H39" t="n">
        <v>-12.03166666650647</v>
      </c>
      <c r="I39" t="n">
        <v>-1</v>
      </c>
      <c r="J39" t="n">
        <v>-6.573142857000671</v>
      </c>
      <c r="K39" t="n">
        <v>-12.23166666650647</v>
      </c>
      <c r="L39" t="n">
        <v>-1</v>
      </c>
      <c r="M39" t="n">
        <v>-12.23166666650647</v>
      </c>
      <c r="N39" t="n">
        <v>-1</v>
      </c>
      <c r="O39" t="n">
        <v>10.86680935616415</v>
      </c>
      <c r="P39" t="n">
        <v>0.2095807287196262</v>
      </c>
      <c r="Q39" t="n">
        <v>0.0969734243406347</v>
      </c>
      <c r="R39" t="n">
        <v>0.2133879620119046</v>
      </c>
      <c r="S39" t="n">
        <v>0.1631352086058131</v>
      </c>
      <c r="T39" t="n">
        <v>-9.666846032940924</v>
      </c>
      <c r="U39" t="n">
        <v>-12.62999999983653</v>
      </c>
      <c r="V39" t="n">
        <v>-1</v>
      </c>
      <c r="W39" t="n">
        <v>-9.335277777626288</v>
      </c>
      <c r="X39" t="n">
        <v>-12.62999999983653</v>
      </c>
      <c r="Y39" t="n">
        <v>-1</v>
      </c>
      <c r="Z39" t="n">
        <v>-12.62999999983653</v>
      </c>
      <c r="AA39" t="n">
        <v>-1</v>
      </c>
      <c r="AB39" t="n">
        <v>9.335277777626288</v>
      </c>
      <c r="AC39" t="n">
        <v>0.2133879620119046</v>
      </c>
      <c r="AD39" t="n">
        <v>0.7652321604815535</v>
      </c>
      <c r="AE39" t="n">
        <v>0</v>
      </c>
      <c r="AF39" t="n">
        <v>0.767004692704557</v>
      </c>
      <c r="AG39" t="n">
        <v>0</v>
      </c>
      <c r="AH39" t="n">
        <v>-2.174632207446304</v>
      </c>
      <c r="AI39" t="n">
        <v>5.6</v>
      </c>
      <c r="AJ39" t="n">
        <v>5.98</v>
      </c>
      <c r="AK39" s="1" t="n">
        <v>7.020574864957406e-07</v>
      </c>
      <c r="AL39" t="n">
        <v>0.0001938032335145</v>
      </c>
      <c r="AM39" t="n">
        <v>0.2233399999999999</v>
      </c>
      <c r="AN39" t="n">
        <v>-502.3400399200962</v>
      </c>
      <c r="AO39" t="n">
        <v>0.1346973001977365</v>
      </c>
      <c r="AP39" t="n">
        <v>0.1889085496772331</v>
      </c>
      <c r="AQ39" t="n">
        <v>0.2166273000926842</v>
      </c>
      <c r="AR39" t="n">
        <v>0.1834829063325455</v>
      </c>
      <c r="AS39" t="n">
        <v>0.2119649047170205</v>
      </c>
    </row>
    <row r="40">
      <c r="A40" t="inlineStr">
        <is>
          <t>OLS_refit_CO2forc</t>
        </is>
      </c>
      <c r="B40" t="inlineStr">
        <is>
          <t>43/0_Linear</t>
        </is>
      </c>
      <c r="C40" t="inlineStr">
        <is>
          <t>c</t>
        </is>
      </c>
      <c r="D40" t="n">
        <v>114.46</v>
      </c>
      <c r="E40" t="n">
        <v>174.1</v>
      </c>
      <c r="F40" t="n">
        <v>0.036806414045136</v>
      </c>
      <c r="G40" t="n">
        <v>-80.91034400073055</v>
      </c>
      <c r="H40" t="n">
        <v>-7.539999999841043</v>
      </c>
      <c r="I40" t="n">
        <v>-1</v>
      </c>
      <c r="J40" t="n">
        <v>-4.681337301442299</v>
      </c>
      <c r="K40" t="n">
        <v>-7.539999999841043</v>
      </c>
      <c r="L40" t="n">
        <v>-1</v>
      </c>
      <c r="M40" t="n">
        <v>-7.539999999841043</v>
      </c>
      <c r="N40" t="n">
        <v>-1</v>
      </c>
      <c r="O40" t="n">
        <v>7.130249434672534</v>
      </c>
      <c r="P40" t="n">
        <v>0.0241505954758872</v>
      </c>
      <c r="Q40" t="n">
        <v>0.0183400295823507</v>
      </c>
      <c r="R40" t="n">
        <v>0.0295651807045471</v>
      </c>
      <c r="S40" t="n">
        <v>0.0368064140451361</v>
      </c>
      <c r="T40" t="n">
        <v>-181.1743512317932</v>
      </c>
      <c r="U40" t="n">
        <v>-7.05166666650829</v>
      </c>
      <c r="V40" t="n">
        <v>-1</v>
      </c>
      <c r="W40" t="n">
        <v>-5.019583333187688</v>
      </c>
      <c r="X40" t="n">
        <v>-7.05166666650829</v>
      </c>
      <c r="Y40" t="n">
        <v>-1</v>
      </c>
      <c r="Z40" t="n">
        <v>-7.05166666650829</v>
      </c>
      <c r="AA40" t="n">
        <v>-1</v>
      </c>
      <c r="AB40" t="n">
        <v>6.130138888766168</v>
      </c>
      <c r="AC40" t="n">
        <v>0.0295651807045471</v>
      </c>
      <c r="AD40" t="n">
        <v>1.989527803332035</v>
      </c>
      <c r="AE40" t="n">
        <v>0</v>
      </c>
      <c r="AF40" t="n">
        <v>1.799307834919344</v>
      </c>
      <c r="AG40" t="n">
        <v>0</v>
      </c>
      <c r="AH40" t="n">
        <v>-2.47863151936634</v>
      </c>
      <c r="AI40" t="n">
        <v>5.84</v>
      </c>
      <c r="AJ40" t="n">
        <v>5.96</v>
      </c>
      <c r="AK40" s="1" t="n">
        <v>4.759007222186986e-07</v>
      </c>
      <c r="AL40" s="1" t="n">
        <v>4.62318989244749e-06</v>
      </c>
      <c r="AM40" t="n">
        <v>0.99412</v>
      </c>
      <c r="AN40" t="n">
        <v>-572.5638809736246</v>
      </c>
      <c r="AO40" t="n">
        <v>0.0684870098310372</v>
      </c>
      <c r="AP40" t="n">
        <v>0.06841336097048691</v>
      </c>
      <c r="AQ40" t="n">
        <v>0.0730014059936801</v>
      </c>
      <c r="AR40" t="n">
        <v>0.07839941081440049</v>
      </c>
      <c r="AS40" t="n">
        <v>0.0801328460028544</v>
      </c>
    </row>
    <row r="41">
      <c r="A41" t="inlineStr">
        <is>
          <t>FaIR_all</t>
        </is>
      </c>
      <c r="B41" t="inlineStr">
        <is>
          <t>43/1_ERF_FaIR</t>
        </is>
      </c>
      <c r="C41" t="inlineStr">
        <is>
          <t>c</t>
        </is>
      </c>
      <c r="D41" t="n">
        <v>138.6</v>
      </c>
      <c r="E41" t="n">
        <v>151.34</v>
      </c>
      <c r="F41" t="n">
        <v>0.0605856834227732</v>
      </c>
      <c r="G41" t="n">
        <v>-284385.4941844738</v>
      </c>
      <c r="H41" t="n">
        <v>-8.977638888728602</v>
      </c>
      <c r="I41" t="n">
        <v>-1</v>
      </c>
      <c r="J41" t="n">
        <v>-6.691634920486995</v>
      </c>
      <c r="K41" t="n">
        <v>-9.749999999839014</v>
      </c>
      <c r="L41" t="n">
        <v>-1</v>
      </c>
      <c r="M41" t="n">
        <v>-8.966666666506393</v>
      </c>
      <c r="N41" t="n">
        <v>-1</v>
      </c>
      <c r="O41" t="n">
        <v>8.567217741969099</v>
      </c>
      <c r="P41" t="n">
        <v>0.0055760758403966</v>
      </c>
      <c r="Q41" t="n">
        <v>0.0334468629865299</v>
      </c>
      <c r="R41" t="n">
        <v>0.0063759761263199</v>
      </c>
      <c r="S41" t="n">
        <v>0.0605856834227732</v>
      </c>
      <c r="T41" t="n">
        <v>-338008.3802922083</v>
      </c>
      <c r="U41" t="n">
        <v>-8.655694444284586</v>
      </c>
      <c r="V41" t="n">
        <v>-1</v>
      </c>
      <c r="W41" t="n">
        <v>-6.340398148001761</v>
      </c>
      <c r="X41" t="n">
        <v>-9.261666666506262</v>
      </c>
      <c r="Y41" t="n">
        <v>-1</v>
      </c>
      <c r="Z41" t="n">
        <v>-8.513333333173605</v>
      </c>
      <c r="AA41" t="n">
        <v>-1</v>
      </c>
      <c r="AB41" t="n">
        <v>6.731370370254259</v>
      </c>
      <c r="AC41" t="n">
        <v>0.0063759761263199</v>
      </c>
      <c r="AD41" t="n">
        <v>5.178944971362188</v>
      </c>
      <c r="AE41" t="n">
        <v>0</v>
      </c>
      <c r="AF41" t="n">
        <v>3.006456704369002</v>
      </c>
      <c r="AG41" t="n">
        <v>0</v>
      </c>
      <c r="AH41" t="n">
        <v>-2291.240573105212</v>
      </c>
      <c r="AI41" t="n">
        <v>7.04</v>
      </c>
      <c r="AJ41" t="n">
        <v>7.178</v>
      </c>
      <c r="AK41" s="1" t="n">
        <v>5.740217639450606e-35</v>
      </c>
      <c r="AL41" s="1" t="n">
        <v>2.385288238830201e-32</v>
      </c>
      <c r="AM41" t="n">
        <v>2.95168</v>
      </c>
      <c r="AN41" t="n">
        <v>-368889.732269939</v>
      </c>
      <c r="AO41" t="n">
        <v>0.080455529308846</v>
      </c>
      <c r="AP41" t="n">
        <v>0.0879029838356889</v>
      </c>
      <c r="AQ41" t="n">
        <v>0.07564705851777639</v>
      </c>
      <c r="AR41" t="n">
        <v>0.0947699998447378</v>
      </c>
      <c r="AS41" t="n">
        <v>0.0825388783428177</v>
      </c>
    </row>
    <row r="42">
      <c r="A42" t="inlineStr">
        <is>
          <t>FaIR_all_unB</t>
        </is>
      </c>
      <c r="B42" t="inlineStr">
        <is>
          <t>43/1_ERF_FaIR</t>
        </is>
      </c>
      <c r="C42" t="inlineStr">
        <is>
          <t>c</t>
        </is>
      </c>
      <c r="D42" t="n">
        <v>0</v>
      </c>
      <c r="E42" t="n">
        <v>0.02</v>
      </c>
      <c r="F42" t="n">
        <v>0.0270971834227732</v>
      </c>
      <c r="G42" t="n">
        <v>112.2022214114537</v>
      </c>
      <c r="H42" t="n">
        <v>-3.771666666511105</v>
      </c>
      <c r="I42" t="n">
        <v>-1</v>
      </c>
      <c r="J42" t="n">
        <v>-2.961744047480318</v>
      </c>
      <c r="K42" t="n">
        <v>-5.336666666509677</v>
      </c>
      <c r="L42" t="n">
        <v>-1</v>
      </c>
      <c r="M42" t="n">
        <v>-4.278333333177312</v>
      </c>
      <c r="N42" t="n">
        <v>-1</v>
      </c>
      <c r="O42" t="n">
        <v>8.154789624453301</v>
      </c>
      <c r="P42" t="n">
        <v>0.08379034722643169</v>
      </c>
      <c r="Q42" t="n">
        <v>0.001361381754579</v>
      </c>
      <c r="R42" t="n">
        <v>-0.02711252387368</v>
      </c>
      <c r="S42" t="n">
        <v>0.0270971834227732</v>
      </c>
      <c r="T42" t="n">
        <v>104.4276160744015</v>
      </c>
      <c r="U42" t="n">
        <v>-3.59569444428918</v>
      </c>
      <c r="V42" t="n">
        <v>-1</v>
      </c>
      <c r="W42" t="n">
        <v>-2.593458333197489</v>
      </c>
      <c r="X42" t="n">
        <v>-4.848333333176924</v>
      </c>
      <c r="Y42" t="n">
        <v>-1</v>
      </c>
      <c r="Z42" t="n">
        <v>-3.978333333177725</v>
      </c>
      <c r="AA42" t="n">
        <v>-1</v>
      </c>
      <c r="AB42" t="n">
        <v>4.363921296230653</v>
      </c>
      <c r="AC42" t="n">
        <v>-0.02711252387368</v>
      </c>
      <c r="AD42" t="n">
        <v>3.93310922762432</v>
      </c>
      <c r="AE42" t="n">
        <v>0</v>
      </c>
      <c r="AF42" t="n">
        <v>4.072099409210477</v>
      </c>
      <c r="AG42" t="n">
        <v>0</v>
      </c>
      <c r="AH42" t="n">
        <v>1.186567872187819</v>
      </c>
      <c r="AI42" t="n">
        <v>6.667999999999999</v>
      </c>
      <c r="AJ42" t="n">
        <v>6.638</v>
      </c>
      <c r="AK42" t="n">
        <v>0.938623758231771</v>
      </c>
      <c r="AL42" t="n">
        <v>0.9693106596448642</v>
      </c>
      <c r="AM42" t="n">
        <v>3.21392</v>
      </c>
      <c r="AN42" t="n">
        <v>191.0374274222388</v>
      </c>
      <c r="AO42" t="n">
        <v>0.0717945884902275</v>
      </c>
      <c r="AP42" t="n">
        <v>0.0692139211492911</v>
      </c>
      <c r="AQ42" t="n">
        <v>0.0629286872888548</v>
      </c>
      <c r="AR42" t="n">
        <v>0.0777495027907865</v>
      </c>
      <c r="AS42" t="n">
        <v>0.0710648201263962</v>
      </c>
    </row>
    <row r="43">
      <c r="A43" t="inlineStr">
        <is>
          <t>FaIR_anthro</t>
        </is>
      </c>
      <c r="B43" t="inlineStr">
        <is>
          <t>43/1_ERF_FaIR</t>
        </is>
      </c>
      <c r="C43" t="inlineStr">
        <is>
          <t>c</t>
        </is>
      </c>
      <c r="D43" t="n">
        <v>0</v>
      </c>
      <c r="E43" t="n">
        <v>5.76</v>
      </c>
      <c r="F43" t="n">
        <v>0.0278703891588375</v>
      </c>
      <c r="G43" t="n">
        <v>118.9697850408067</v>
      </c>
      <c r="H43" t="n">
        <v>-4.77111111095464</v>
      </c>
      <c r="I43" t="n">
        <v>-1</v>
      </c>
      <c r="J43" t="n">
        <v>-2.682095899331995</v>
      </c>
      <c r="K43" t="n">
        <v>-5.666666666509387</v>
      </c>
      <c r="L43" t="n">
        <v>-1</v>
      </c>
      <c r="M43" t="n">
        <v>-4.733333333176902</v>
      </c>
      <c r="N43" t="n">
        <v>-1</v>
      </c>
      <c r="O43" t="n">
        <v>7.541508495613994</v>
      </c>
      <c r="P43" t="n">
        <v>0.08243752963691429</v>
      </c>
      <c r="Q43" t="n">
        <v>-0.0112453094874565</v>
      </c>
      <c r="R43" t="n">
        <v>-0.0106569976436539</v>
      </c>
      <c r="S43" t="n">
        <v>0.0278703891588375</v>
      </c>
      <c r="T43" t="n">
        <v>114.1521358731796</v>
      </c>
      <c r="U43" t="n">
        <v>-4.506388888732795</v>
      </c>
      <c r="V43" t="n">
        <v>-1</v>
      </c>
      <c r="W43" t="n">
        <v>-2.397847222085606</v>
      </c>
      <c r="X43" t="n">
        <v>-5.178333333176633</v>
      </c>
      <c r="Y43" t="n">
        <v>-1</v>
      </c>
      <c r="Z43" t="n">
        <v>-4.589999999843831</v>
      </c>
      <c r="AA43" t="n">
        <v>-1</v>
      </c>
      <c r="AB43" t="n">
        <v>4.052384259192955</v>
      </c>
      <c r="AC43" t="n">
        <v>-0.0106569976436539</v>
      </c>
      <c r="AD43" t="n">
        <v>3.702491084612511</v>
      </c>
      <c r="AE43" t="n">
        <v>0</v>
      </c>
      <c r="AF43" t="n">
        <v>3.95469112434389</v>
      </c>
      <c r="AG43" t="n">
        <v>0</v>
      </c>
      <c r="AH43" t="n">
        <v>1.120797376387304</v>
      </c>
      <c r="AI43" t="n">
        <v>6.432</v>
      </c>
      <c r="AJ43" t="n">
        <v>6.468</v>
      </c>
      <c r="AK43" t="n">
        <v>0.7427998973695631</v>
      </c>
      <c r="AL43" t="n">
        <v>0.7427998973695631</v>
      </c>
      <c r="AM43" t="n">
        <v>1.58374</v>
      </c>
      <c r="AN43" t="n">
        <v>180.448377598356</v>
      </c>
      <c r="AO43" t="n">
        <v>0.0731405205215704</v>
      </c>
      <c r="AP43" t="n">
        <v>0.0614247977290861</v>
      </c>
      <c r="AQ43" t="n">
        <v>0.0616453605208216</v>
      </c>
      <c r="AR43" t="n">
        <v>0.0670733626535035</v>
      </c>
      <c r="AS43" t="n">
        <v>0.0666350378780553</v>
      </c>
    </row>
    <row r="44">
      <c r="A44" t="inlineStr">
        <is>
          <t>FaIR_anthro_unB</t>
        </is>
      </c>
      <c r="B44" t="inlineStr">
        <is>
          <t>43/1_ERF_FaIR</t>
        </is>
      </c>
      <c r="C44" t="inlineStr">
        <is>
          <t>c</t>
        </is>
      </c>
      <c r="D44" t="n">
        <v>0</v>
      </c>
      <c r="E44" t="n">
        <v>8.300000000000001</v>
      </c>
      <c r="F44" t="n">
        <v>0.0192903891588374</v>
      </c>
      <c r="G44" t="n">
        <v>120.1638539046762</v>
      </c>
      <c r="H44" t="n">
        <v>-3.611666666511249</v>
      </c>
      <c r="I44" t="n">
        <v>-1</v>
      </c>
      <c r="J44" t="n">
        <v>-1.809165343779102</v>
      </c>
      <c r="K44" t="n">
        <v>-4.68999999984359</v>
      </c>
      <c r="L44" t="n">
        <v>-1</v>
      </c>
      <c r="M44" t="n">
        <v>-3.993333333177566</v>
      </c>
      <c r="N44" t="n">
        <v>-1</v>
      </c>
      <c r="O44" t="n">
        <v>7.807130206369481</v>
      </c>
      <c r="P44" t="n">
        <v>0.08243752963691429</v>
      </c>
      <c r="Q44" t="n">
        <v>-0.0198253094874565</v>
      </c>
      <c r="R44" t="n">
        <v>-0.0192369976436539</v>
      </c>
      <c r="S44" t="n">
        <v>0.0192903891588375</v>
      </c>
      <c r="T44" t="n">
        <v>115.6065397876118</v>
      </c>
      <c r="U44" t="n">
        <v>-3.223611110956182</v>
      </c>
      <c r="V44" t="n">
        <v>-1</v>
      </c>
      <c r="W44" t="n">
        <v>-1.368643518385211</v>
      </c>
      <c r="X44" t="n">
        <v>-4.201666666510837</v>
      </c>
      <c r="Y44" t="n">
        <v>-1</v>
      </c>
      <c r="Z44" t="n">
        <v>-3.379999999844931</v>
      </c>
      <c r="AA44" t="n">
        <v>-1</v>
      </c>
      <c r="AB44" t="n">
        <v>3.555402777748761</v>
      </c>
      <c r="AC44" t="n">
        <v>-0.019236997643654</v>
      </c>
      <c r="AD44" t="n">
        <v>3.771238899591201</v>
      </c>
      <c r="AE44" t="n">
        <v>0</v>
      </c>
      <c r="AF44" t="n">
        <v>3.976483725113527</v>
      </c>
      <c r="AG44" t="n">
        <v>0</v>
      </c>
      <c r="AH44" t="n">
        <v>1.083928981216024</v>
      </c>
      <c r="AI44" t="n">
        <v>6.39</v>
      </c>
      <c r="AJ44" t="n">
        <v>6.468</v>
      </c>
      <c r="AK44" t="n">
        <v>0.6788029193899885</v>
      </c>
      <c r="AL44" t="n">
        <v>0.6823346596611581</v>
      </c>
      <c r="AM44" t="n">
        <v>1.58374</v>
      </c>
      <c r="AN44" t="n">
        <v>174.5125659757799</v>
      </c>
      <c r="AO44" t="n">
        <v>0.0749407876457875</v>
      </c>
      <c r="AP44" t="n">
        <v>0.0580376282948699</v>
      </c>
      <c r="AQ44" t="n">
        <v>0.0591004635050394</v>
      </c>
      <c r="AR44" t="n">
        <v>0.063985908602463</v>
      </c>
      <c r="AS44" t="n">
        <v>0.06428796610391629</v>
      </c>
    </row>
    <row r="45">
      <c r="A45" t="inlineStr">
        <is>
          <t>FaIR_comb_unB</t>
        </is>
      </c>
      <c r="B45" t="inlineStr">
        <is>
          <t>43/1_ERF_FaIR</t>
        </is>
      </c>
      <c r="C45" t="inlineStr">
        <is>
          <t>c</t>
        </is>
      </c>
      <c r="D45" t="n">
        <v>0</v>
      </c>
      <c r="E45" t="n">
        <v>0.12</v>
      </c>
      <c r="F45" t="n">
        <v>0.0217977140496607</v>
      </c>
      <c r="G45" t="n">
        <v>127.8396787012351</v>
      </c>
      <c r="H45" t="n">
        <v>-3.888888888733222</v>
      </c>
      <c r="I45" t="n">
        <v>-1</v>
      </c>
      <c r="J45" t="n">
        <v>-2.258826719438202</v>
      </c>
      <c r="K45" t="n">
        <v>-4.976666666510004</v>
      </c>
      <c r="L45" t="n">
        <v>-1</v>
      </c>
      <c r="M45" t="n">
        <v>-4.083333333177484</v>
      </c>
      <c r="N45" t="n">
        <v>-1</v>
      </c>
      <c r="O45" t="n">
        <v>7.299444615360218</v>
      </c>
      <c r="P45" t="n">
        <v>0.0714564911544303</v>
      </c>
      <c r="Q45" t="n">
        <v>-0.0015816484888944</v>
      </c>
      <c r="R45" t="n">
        <v>-0.0175737691570691</v>
      </c>
      <c r="S45" t="n">
        <v>0.0217977140496607</v>
      </c>
      <c r="T45" t="n">
        <v>118.2277588812248</v>
      </c>
      <c r="U45" t="n">
        <v>-3.682222222066882</v>
      </c>
      <c r="V45" t="n">
        <v>-1</v>
      </c>
      <c r="W45" t="n">
        <v>-1.862314814679164</v>
      </c>
      <c r="X45" t="n">
        <v>-4.488333333177252</v>
      </c>
      <c r="Y45" t="n">
        <v>-1</v>
      </c>
      <c r="Z45" t="n">
        <v>-3.904999999844449</v>
      </c>
      <c r="AA45" t="n">
        <v>-1</v>
      </c>
      <c r="AB45" t="n">
        <v>4.014351851806167</v>
      </c>
      <c r="AC45" t="n">
        <v>-0.0175737691570691</v>
      </c>
      <c r="AD45" t="n">
        <v>4.397592140272057</v>
      </c>
      <c r="AE45" t="n">
        <v>0</v>
      </c>
      <c r="AF45" t="n">
        <v>4.66519570279264</v>
      </c>
      <c r="AG45" t="n">
        <v>0</v>
      </c>
      <c r="AH45" t="n">
        <v>1.405855696122316</v>
      </c>
      <c r="AI45" t="n">
        <v>6.4</v>
      </c>
      <c r="AJ45" t="n">
        <v>6.434</v>
      </c>
      <c r="AK45" t="n">
        <v>0.9561276130468576</v>
      </c>
      <c r="AL45" t="n">
        <v>0.958261127570384</v>
      </c>
      <c r="AM45" t="n">
        <v>2.00012</v>
      </c>
      <c r="AN45" t="n">
        <v>220.7193442912037</v>
      </c>
      <c r="AO45" t="n">
        <v>0.0558392579844707</v>
      </c>
      <c r="AP45" t="n">
        <v>0.057426916559974</v>
      </c>
      <c r="AQ45" t="n">
        <v>0.0572072864328246</v>
      </c>
      <c r="AR45" t="n">
        <v>0.06650052892501911</v>
      </c>
      <c r="AS45" t="n">
        <v>0.0651385969026448</v>
      </c>
    </row>
    <row r="46">
      <c r="A46" t="inlineStr">
        <is>
          <t>FaIR_nonat</t>
        </is>
      </c>
      <c r="B46" t="inlineStr">
        <is>
          <t>43/1_ERF_FaIR</t>
        </is>
      </c>
      <c r="C46" t="inlineStr">
        <is>
          <t>c</t>
        </is>
      </c>
      <c r="D46" t="n">
        <v>0</v>
      </c>
      <c r="E46" t="n">
        <v>0</v>
      </c>
      <c r="F46" t="n">
        <v>0.0256311998994114</v>
      </c>
      <c r="G46" t="n">
        <v>108.2729249746842</v>
      </c>
      <c r="H46" t="n">
        <v>-4.488388888732649</v>
      </c>
      <c r="I46" t="n">
        <v>-1</v>
      </c>
      <c r="J46" t="n">
        <v>-2.994029629487972</v>
      </c>
      <c r="K46" t="n">
        <v>-5.723333333175965</v>
      </c>
      <c r="L46" t="n">
        <v>-1</v>
      </c>
      <c r="M46" t="n">
        <v>-4.34833333317722</v>
      </c>
      <c r="N46" t="n">
        <v>-1</v>
      </c>
      <c r="O46" t="n">
        <v>7.14665388494155</v>
      </c>
      <c r="P46" t="n">
        <v>0.101231538306441</v>
      </c>
      <c r="Q46" t="n">
        <v>0.0005101270240773</v>
      </c>
      <c r="R46" t="n">
        <v>-0.0128903229349342</v>
      </c>
      <c r="S46" t="n">
        <v>0.0256311998994115</v>
      </c>
      <c r="T46" t="n">
        <v>103.361695053617</v>
      </c>
      <c r="U46" t="n">
        <v>-4.340277777621807</v>
      </c>
      <c r="V46" t="n">
        <v>-1</v>
      </c>
      <c r="W46" t="n">
        <v>-2.684349206209952</v>
      </c>
      <c r="X46" t="n">
        <v>-5.234999999843212</v>
      </c>
      <c r="Y46" t="n">
        <v>-1</v>
      </c>
      <c r="Z46" t="n">
        <v>-4.361666666510673</v>
      </c>
      <c r="AA46" t="n">
        <v>-1</v>
      </c>
      <c r="AB46" t="n">
        <v>4.405460317382698</v>
      </c>
      <c r="AC46" t="n">
        <v>-0.0128903229349342</v>
      </c>
      <c r="AD46" t="n">
        <v>3.337513135056487</v>
      </c>
      <c r="AE46" t="n">
        <v>0</v>
      </c>
      <c r="AF46" t="n">
        <v>3.451733218463408</v>
      </c>
      <c r="AG46" t="n">
        <v>0</v>
      </c>
      <c r="AH46" t="n">
        <v>1.174049996286584</v>
      </c>
      <c r="AI46" t="n">
        <v>6.83</v>
      </c>
      <c r="AJ46" t="n">
        <v>6.842000000000001</v>
      </c>
      <c r="AK46" t="n">
        <v>0.9896636573802852</v>
      </c>
      <c r="AL46" t="n">
        <v>0.9896636573802852</v>
      </c>
      <c r="AM46" t="n">
        <v>1.99686</v>
      </c>
      <c r="AN46" t="n">
        <v>189.02204940214</v>
      </c>
      <c r="AO46" t="n">
        <v>0.0590007064708513</v>
      </c>
      <c r="AP46" t="n">
        <v>0.0594023570484695</v>
      </c>
      <c r="AQ46" t="n">
        <v>0.0588219820263439</v>
      </c>
      <c r="AR46" t="n">
        <v>0.06821114428711331</v>
      </c>
      <c r="AS46" t="n">
        <v>0.06665715791939859</v>
      </c>
    </row>
    <row r="47">
      <c r="A47" t="inlineStr">
        <is>
          <t>FaIR_nonat_unB</t>
        </is>
      </c>
      <c r="B47" t="inlineStr">
        <is>
          <t>43/1_ERF_FaIR</t>
        </is>
      </c>
      <c r="C47" t="inlineStr">
        <is>
          <t>c</t>
        </is>
      </c>
      <c r="D47" t="n">
        <v>0</v>
      </c>
      <c r="E47" t="n">
        <v>0</v>
      </c>
      <c r="F47" t="n">
        <v>0.0192604373161248</v>
      </c>
      <c r="G47" t="n">
        <v>122.20489744251</v>
      </c>
      <c r="H47" t="n">
        <v>-3.834722222066587</v>
      </c>
      <c r="I47" t="n">
        <v>-1</v>
      </c>
      <c r="J47" t="n">
        <v>-2.351554232664633</v>
      </c>
      <c r="K47" t="n">
        <v>-5.171666666509805</v>
      </c>
      <c r="L47" t="n">
        <v>-1</v>
      </c>
      <c r="M47" t="n">
        <v>-4.136666666510751</v>
      </c>
      <c r="N47" t="n">
        <v>-1</v>
      </c>
      <c r="O47" t="n">
        <v>7.28762386688891</v>
      </c>
      <c r="P47" t="n">
        <v>0.0810953948150941</v>
      </c>
      <c r="Q47" t="n">
        <v>-0.0030201851701053</v>
      </c>
      <c r="R47" t="n">
        <v>-0.0192573809009034</v>
      </c>
      <c r="S47" t="n">
        <v>0.0192604373161248</v>
      </c>
      <c r="T47" t="n">
        <v>114.598008241914</v>
      </c>
      <c r="U47" t="n">
        <v>-3.62527777762247</v>
      </c>
      <c r="V47" t="n">
        <v>-1</v>
      </c>
      <c r="W47" t="n">
        <v>-1.966018518381811</v>
      </c>
      <c r="X47" t="n">
        <v>-4.683333333177052</v>
      </c>
      <c r="Y47" t="n">
        <v>-1</v>
      </c>
      <c r="Z47" t="n">
        <v>-3.838333333177825</v>
      </c>
      <c r="AA47" t="n">
        <v>-1</v>
      </c>
      <c r="AB47" t="n">
        <v>4.038240740695024</v>
      </c>
      <c r="AC47" t="n">
        <v>-0.0192573809009034</v>
      </c>
      <c r="AD47" t="n">
        <v>4.026770236680942</v>
      </c>
      <c r="AE47" t="n">
        <v>0</v>
      </c>
      <c r="AF47" t="n">
        <v>4.228553511948332</v>
      </c>
      <c r="AG47" t="n">
        <v>0</v>
      </c>
      <c r="AH47" t="n">
        <v>1.325583833809322</v>
      </c>
      <c r="AI47" t="n">
        <v>6.596</v>
      </c>
      <c r="AJ47" t="n">
        <v>6.59</v>
      </c>
      <c r="AK47" t="n">
        <v>0.9823186945171716</v>
      </c>
      <c r="AL47" t="n">
        <v>0.9823186945171716</v>
      </c>
      <c r="AM47" t="n">
        <v>1.94938</v>
      </c>
      <c r="AN47" t="n">
        <v>213.4189972433009</v>
      </c>
      <c r="AO47" t="n">
        <v>0.0570002501321593</v>
      </c>
      <c r="AP47" t="n">
        <v>0.0569414934981343</v>
      </c>
      <c r="AQ47" t="n">
        <v>0.0571165372848775</v>
      </c>
      <c r="AR47" t="n">
        <v>0.0660806356411517</v>
      </c>
      <c r="AS47" t="n">
        <v>0.0651599928661681</v>
      </c>
    </row>
    <row r="48">
      <c r="A48" t="inlineStr">
        <is>
          <t>EBMKF_ta</t>
        </is>
      </c>
      <c r="B48" t="inlineStr">
        <is>
          <t>43/2_Kalman</t>
        </is>
      </c>
      <c r="C48" t="inlineStr">
        <is>
          <t>c</t>
        </is>
      </c>
      <c r="D48" t="n">
        <v>196.74</v>
      </c>
      <c r="E48" t="n">
        <v>216</v>
      </c>
      <c r="F48" t="n">
        <v>0.1861335457151884</v>
      </c>
      <c r="G48" t="n">
        <v>-2886.648304099063</v>
      </c>
      <c r="H48" t="n">
        <v>-12.41166666650893</v>
      </c>
      <c r="I48" t="n">
        <v>-1</v>
      </c>
      <c r="J48" t="n">
        <v>-5.98777777763798</v>
      </c>
      <c r="K48" t="n">
        <v>-12.81166666650893</v>
      </c>
      <c r="L48" t="n">
        <v>-1</v>
      </c>
      <c r="M48" t="n">
        <v>-12.81166666650893</v>
      </c>
      <c r="N48" t="n">
        <v>-1</v>
      </c>
      <c r="O48" t="n">
        <v>11.47989358353639</v>
      </c>
      <c r="P48" t="n">
        <v>0.0353614530592401</v>
      </c>
      <c r="Q48" t="n">
        <v>0.0010828341767156</v>
      </c>
      <c r="R48" t="n">
        <v>0.2987406747234045</v>
      </c>
      <c r="S48" t="n">
        <v>0.1861335457151884</v>
      </c>
      <c r="T48" t="n">
        <v>-2775.065565299526</v>
      </c>
      <c r="U48" t="n">
        <v>-14.07666666650187</v>
      </c>
      <c r="V48" t="n">
        <v>-1</v>
      </c>
      <c r="W48" t="n">
        <v>-9.714444444292134</v>
      </c>
      <c r="X48" t="n">
        <v>-14.07666666650187</v>
      </c>
      <c r="Y48" t="n">
        <v>-1</v>
      </c>
      <c r="Z48" t="n">
        <v>-14.07666666650187</v>
      </c>
      <c r="AA48" t="n">
        <v>-1</v>
      </c>
      <c r="AB48" t="n">
        <v>9.714444444292134</v>
      </c>
      <c r="AC48" t="n">
        <v>0.2987406747234044</v>
      </c>
      <c r="AD48" s="1" t="n">
        <v>3.781750276543076e-16</v>
      </c>
      <c r="AE48" t="n">
        <v>0</v>
      </c>
      <c r="AF48" t="n">
        <v>0.0007008434657289</v>
      </c>
      <c r="AG48" t="n">
        <v>0</v>
      </c>
      <c r="AH48" t="n">
        <v>-18.76662003678554</v>
      </c>
      <c r="AI48" t="n">
        <v>5.52</v>
      </c>
      <c r="AJ48" t="n">
        <v>6</v>
      </c>
      <c r="AK48" s="1" t="n">
        <v>3.212528048466889e-21</v>
      </c>
      <c r="AL48" s="1" t="n">
        <v>9.067775606013279e-21</v>
      </c>
      <c r="AM48" t="n">
        <v>0.53274</v>
      </c>
      <c r="AN48" t="n">
        <v>-4335.089228497461</v>
      </c>
      <c r="AO48" t="n">
        <v>0.1979714706565375</v>
      </c>
      <c r="AP48" t="n">
        <v>0.2502316725660072</v>
      </c>
      <c r="AQ48" t="n">
        <v>0.2829573535594076</v>
      </c>
      <c r="AR48" t="n">
        <v>0.2457168274755593</v>
      </c>
      <c r="AS48" t="n">
        <v>0.2790514724322487</v>
      </c>
    </row>
    <row r="49">
      <c r="A49" t="inlineStr">
        <is>
          <t>EBMKF_ta2</t>
        </is>
      </c>
      <c r="B49" t="inlineStr">
        <is>
          <t>43/2_Kalman</t>
        </is>
      </c>
      <c r="C49" t="inlineStr">
        <is>
          <t>c</t>
        </is>
      </c>
      <c r="D49" t="n">
        <v>86.34</v>
      </c>
      <c r="E49" t="n">
        <v>160.36</v>
      </c>
      <c r="F49" t="n">
        <v>0.0613859697872811</v>
      </c>
      <c r="G49" t="n">
        <v>-242.1343281727418</v>
      </c>
      <c r="H49" t="n">
        <v>-10.45499999983834</v>
      </c>
      <c r="I49" t="n">
        <v>-1</v>
      </c>
      <c r="J49" t="n">
        <v>-6.981924603026837</v>
      </c>
      <c r="K49" t="n">
        <v>-10.48833333317165</v>
      </c>
      <c r="L49" t="n">
        <v>-1</v>
      </c>
      <c r="M49" t="n">
        <v>-10.48833333317165</v>
      </c>
      <c r="N49" t="n">
        <v>-1</v>
      </c>
      <c r="O49" t="n">
        <v>8.693121750838273</v>
      </c>
      <c r="P49" t="n">
        <v>0.0311157752939098</v>
      </c>
      <c r="Q49" t="n">
        <v>0.0224552603340086</v>
      </c>
      <c r="R49" t="n">
        <v>0.0268939947676398</v>
      </c>
      <c r="S49" t="n">
        <v>0.0613859697872811</v>
      </c>
      <c r="T49" t="n">
        <v>-153.8751250208573</v>
      </c>
      <c r="U49" t="n">
        <v>-9.966666666505589</v>
      </c>
      <c r="V49" t="n">
        <v>-1</v>
      </c>
      <c r="W49" t="n">
        <v>-7.304259259109148</v>
      </c>
      <c r="X49" t="n">
        <v>-9.999999999838892</v>
      </c>
      <c r="Y49" t="n">
        <v>-1</v>
      </c>
      <c r="Z49" t="n">
        <v>-9.999999999838892</v>
      </c>
      <c r="AA49" t="n">
        <v>-1</v>
      </c>
      <c r="AB49" t="n">
        <v>7.304259259109148</v>
      </c>
      <c r="AC49" t="n">
        <v>0.0268939947676398</v>
      </c>
      <c r="AD49" t="n">
        <v>0.1559878002807126</v>
      </c>
      <c r="AE49" t="n">
        <v>0</v>
      </c>
      <c r="AF49" t="n">
        <v>0.5612083300645704</v>
      </c>
      <c r="AG49" t="n">
        <v>0</v>
      </c>
      <c r="AH49" t="n">
        <v>-0.5467032613541623</v>
      </c>
      <c r="AI49" t="n">
        <v>6.084</v>
      </c>
      <c r="AJ49" t="n">
        <v>6.524</v>
      </c>
      <c r="AK49" t="n">
        <v>0.0004107234145731</v>
      </c>
      <c r="AL49" t="n">
        <v>0.000539182164534</v>
      </c>
      <c r="AM49" t="n">
        <v>1.5378</v>
      </c>
      <c r="AN49" t="n">
        <v>-126.2884533728115</v>
      </c>
      <c r="AO49" t="n">
        <v>0.0671741661184537</v>
      </c>
      <c r="AP49" t="n">
        <v>0.0860287891439773</v>
      </c>
      <c r="AQ49" t="n">
        <v>0.0859434559597142</v>
      </c>
      <c r="AR49" t="n">
        <v>0.07789447089988639</v>
      </c>
      <c r="AS49" t="n">
        <v>0.0780577382403666</v>
      </c>
    </row>
    <row r="50">
      <c r="A50" t="inlineStr">
        <is>
          <t>EBMKF_ta4</t>
        </is>
      </c>
      <c r="B50" t="inlineStr">
        <is>
          <t>43/2_Kalman</t>
        </is>
      </c>
      <c r="C50" t="inlineStr">
        <is>
          <t>c</t>
        </is>
      </c>
      <c r="D50" t="n">
        <v>0.98</v>
      </c>
      <c r="E50" t="n">
        <v>9.1</v>
      </c>
      <c r="F50" t="n">
        <v>0.0073618305890699</v>
      </c>
      <c r="G50" t="n">
        <v>165.8289302102272</v>
      </c>
      <c r="H50" t="n">
        <v>1.148194444595525</v>
      </c>
      <c r="I50" t="n">
        <v>-1</v>
      </c>
      <c r="J50" t="n">
        <v>-0.0279563490635388</v>
      </c>
      <c r="K50" t="n">
        <v>-1.281666666513379</v>
      </c>
      <c r="L50" t="n">
        <v>-1</v>
      </c>
      <c r="M50" t="n">
        <v>2.366666666816641</v>
      </c>
      <c r="N50" t="n">
        <v>-1</v>
      </c>
      <c r="O50" t="n">
        <v>2.863121748212181</v>
      </c>
      <c r="P50" t="n">
        <v>0.048905779894959</v>
      </c>
      <c r="Q50" t="n">
        <v>0.0039673402142287</v>
      </c>
      <c r="R50" t="n">
        <v>0.0043853933060688</v>
      </c>
      <c r="S50" t="n">
        <v>0.0073618305890699</v>
      </c>
      <c r="T50" t="n">
        <v>90.37083529437716</v>
      </c>
      <c r="U50" t="n">
        <v>1.386666666817395</v>
      </c>
      <c r="V50" t="n">
        <v>-1</v>
      </c>
      <c r="W50" t="n">
        <v>0.4263981482902818</v>
      </c>
      <c r="X50" t="n">
        <v>-0.7933333331806262</v>
      </c>
      <c r="Y50" t="n">
        <v>-1</v>
      </c>
      <c r="Z50" t="n">
        <v>1.563333333483906</v>
      </c>
      <c r="AA50" t="n">
        <v>-1</v>
      </c>
      <c r="AB50" t="n">
        <v>2.466240740737548</v>
      </c>
      <c r="AC50" t="n">
        <v>0.0043853933060688</v>
      </c>
      <c r="AD50" t="n">
        <v>7.181116688748367</v>
      </c>
      <c r="AE50" t="n">
        <v>0</v>
      </c>
      <c r="AF50" t="n">
        <v>8.442321204492265</v>
      </c>
      <c r="AG50" t="n">
        <v>0</v>
      </c>
      <c r="AH50" t="n">
        <v>1.783407822297003</v>
      </c>
      <c r="AI50" t="n">
        <v>9.417999999999999</v>
      </c>
      <c r="AJ50" t="n">
        <v>9.752000000000001</v>
      </c>
      <c r="AK50" t="n">
        <v>0.2893746165689438</v>
      </c>
      <c r="AL50" t="n">
        <v>0.4928948579082447</v>
      </c>
      <c r="AM50" t="n">
        <v>3.55422</v>
      </c>
      <c r="AN50" t="n">
        <v>411.9672069506077</v>
      </c>
      <c r="AO50" t="n">
        <v>0.038632450183497</v>
      </c>
      <c r="AP50" t="n">
        <v>0.0382295290525109</v>
      </c>
      <c r="AQ50" t="n">
        <v>0.0370237858978651</v>
      </c>
      <c r="AR50" t="n">
        <v>0.0572817328099091</v>
      </c>
      <c r="AS50" t="n">
        <v>0.056747656122447</v>
      </c>
    </row>
    <row r="51">
      <c r="A51" t="inlineStr">
        <is>
          <t>GWI_anthro</t>
        </is>
      </c>
      <c r="B51" t="inlineStr">
        <is>
          <t>43/3_Human_Induced</t>
        </is>
      </c>
      <c r="C51" t="inlineStr">
        <is>
          <t>c</t>
        </is>
      </c>
      <c r="D51" t="n">
        <v>2.04</v>
      </c>
      <c r="E51" t="n">
        <v>17.04</v>
      </c>
      <c r="F51" t="n">
        <v>0.0066865805829693</v>
      </c>
      <c r="G51" t="n">
        <v>147.1683324369275</v>
      </c>
      <c r="H51" t="n">
        <v>1.715000000150571</v>
      </c>
      <c r="I51" t="n">
        <v>-1</v>
      </c>
      <c r="J51" t="n">
        <v>1.132912698545849</v>
      </c>
      <c r="K51" t="n">
        <v>1.715000000150571</v>
      </c>
      <c r="L51" t="n">
        <v>-1</v>
      </c>
      <c r="M51" t="n">
        <v>1.715000000150571</v>
      </c>
      <c r="N51" t="n">
        <v>-1</v>
      </c>
      <c r="O51" t="n">
        <v>6.649997677426783</v>
      </c>
      <c r="P51" t="n">
        <v>0.055211843554085</v>
      </c>
      <c r="Q51" t="n">
        <v>0.0129179178638021</v>
      </c>
      <c r="R51" t="n">
        <v>-0.0061198668417062</v>
      </c>
      <c r="S51" t="n">
        <v>0.0066865805829693</v>
      </c>
      <c r="T51" t="n">
        <v>141.9809585234117</v>
      </c>
      <c r="U51" t="n">
        <v>2.203333333483324</v>
      </c>
      <c r="V51" t="n">
        <v>-1</v>
      </c>
      <c r="W51" t="n">
        <v>1.315833333465139</v>
      </c>
      <c r="X51" t="n">
        <v>2.203333333483324</v>
      </c>
      <c r="Y51" t="n">
        <v>-1</v>
      </c>
      <c r="Z51" t="n">
        <v>2.203333333483324</v>
      </c>
      <c r="AA51" t="n">
        <v>-1</v>
      </c>
      <c r="AB51" t="n">
        <v>4.250555555565136</v>
      </c>
      <c r="AC51" t="n">
        <v>-0.0061198668417062</v>
      </c>
      <c r="AD51" t="n">
        <v>6.504207100926514</v>
      </c>
      <c r="AE51" t="n">
        <v>0</v>
      </c>
      <c r="AF51" t="n">
        <v>6.596034020914131</v>
      </c>
      <c r="AG51" t="n">
        <v>0</v>
      </c>
      <c r="AH51" t="n">
        <v>1.461807940740981</v>
      </c>
      <c r="AI51" t="n">
        <v>5.72</v>
      </c>
      <c r="AJ51" t="n">
        <v>5.78</v>
      </c>
      <c r="AK51" t="n">
        <v>0.4577525449454878</v>
      </c>
      <c r="AL51" t="n">
        <v>0.5656882196361582</v>
      </c>
      <c r="AM51" t="n">
        <v>1.53846</v>
      </c>
      <c r="AN51" t="n">
        <v>206.1149196444784</v>
      </c>
      <c r="AO51" t="n">
        <v>0.055657001416688</v>
      </c>
      <c r="AP51" t="n">
        <v>0.0476644899143436</v>
      </c>
      <c r="AQ51" t="n">
        <v>0.0421072325654774</v>
      </c>
      <c r="AR51" t="n">
        <v>0.0513477796374323</v>
      </c>
      <c r="AS51" t="n">
        <v>0.0412031358971989</v>
      </c>
    </row>
    <row r="52">
      <c r="A52" t="inlineStr">
        <is>
          <t>GWI_anthro_AR6</t>
        </is>
      </c>
      <c r="B52" t="inlineStr">
        <is>
          <t>43/3_Human_Induced</t>
        </is>
      </c>
      <c r="C52" t="inlineStr">
        <is>
          <t>c</t>
        </is>
      </c>
      <c r="D52" t="n">
        <v>0.38</v>
      </c>
      <c r="E52" t="n">
        <v>9.08</v>
      </c>
      <c r="F52" t="n">
        <v>-0.0114202246598043</v>
      </c>
      <c r="G52" t="n">
        <v>142.2572980237795</v>
      </c>
      <c r="H52" t="n">
        <v>3.346666666815759</v>
      </c>
      <c r="I52" t="n">
        <v>-1</v>
      </c>
      <c r="J52" t="n">
        <v>3.066158730295915</v>
      </c>
      <c r="K52" t="n">
        <v>3.346666666815759</v>
      </c>
      <c r="L52" t="n">
        <v>-1</v>
      </c>
      <c r="M52" t="n">
        <v>3.346666666815759</v>
      </c>
      <c r="N52" t="n">
        <v>-1</v>
      </c>
      <c r="O52" t="n">
        <v>5.106154670821262</v>
      </c>
      <c r="P52" t="n">
        <v>0.0477296450217162</v>
      </c>
      <c r="Q52" t="n">
        <v>-0.008491665610468799</v>
      </c>
      <c r="R52" t="n">
        <v>0.0115192064117985</v>
      </c>
      <c r="S52" t="n">
        <v>-0.0114202246598043</v>
      </c>
      <c r="T52" t="n">
        <v>136.7386266881776</v>
      </c>
      <c r="U52" t="n">
        <v>3.835000000148512</v>
      </c>
      <c r="V52" t="n">
        <v>-1</v>
      </c>
      <c r="W52" t="n">
        <v>3.169722222358526</v>
      </c>
      <c r="X52" t="n">
        <v>3.835000000148512</v>
      </c>
      <c r="Y52" t="n">
        <v>-1</v>
      </c>
      <c r="Z52" t="n">
        <v>3.835000000148512</v>
      </c>
      <c r="AA52" t="n">
        <v>-1</v>
      </c>
      <c r="AB52" t="n">
        <v>4.013055555599273</v>
      </c>
      <c r="AC52" t="n">
        <v>0.0115192064117985</v>
      </c>
      <c r="AD52" t="n">
        <v>5.886805819334636</v>
      </c>
      <c r="AE52" t="n">
        <v>0</v>
      </c>
      <c r="AF52" t="n">
        <v>5.534480193839138</v>
      </c>
      <c r="AG52" t="n">
        <v>0</v>
      </c>
      <c r="AH52" t="n">
        <v>1.590569028571125</v>
      </c>
      <c r="AI52" t="n">
        <v>5.86</v>
      </c>
      <c r="AJ52" t="n">
        <v>5.94</v>
      </c>
      <c r="AK52" t="n">
        <v>0.5926649812422702</v>
      </c>
      <c r="AL52" t="n">
        <v>0.6236463825402442</v>
      </c>
      <c r="AM52" t="n">
        <v>1.1519</v>
      </c>
      <c r="AN52" t="n">
        <v>224.2702330285287</v>
      </c>
      <c r="AO52" t="n">
        <v>0.0480441647612755</v>
      </c>
      <c r="AP52" t="n">
        <v>0.0491826940157918</v>
      </c>
      <c r="AQ52" t="n">
        <v>0.0471450317457484</v>
      </c>
      <c r="AR52" t="n">
        <v>0.0518066014495155</v>
      </c>
      <c r="AS52" t="n">
        <v>0.0459264562479278</v>
      </c>
    </row>
    <row r="53">
      <c r="A53" t="inlineStr">
        <is>
          <t>GWI_anthro_CGWL</t>
        </is>
      </c>
      <c r="B53" t="inlineStr">
        <is>
          <t>43/3_Human_Induced</t>
        </is>
      </c>
      <c r="C53" t="inlineStr">
        <is>
          <t>c</t>
        </is>
      </c>
      <c r="D53" t="n">
        <v>2.2</v>
      </c>
      <c r="E53" t="n">
        <v>19.98</v>
      </c>
      <c r="F53" t="n">
        <v>0.008336855898967601</v>
      </c>
      <c r="G53" t="n">
        <v>145.0872233037149</v>
      </c>
      <c r="H53" t="n">
        <v>1.876666666817096</v>
      </c>
      <c r="I53" t="n">
        <v>-1</v>
      </c>
      <c r="J53" t="n">
        <v>1.133329365214068</v>
      </c>
      <c r="K53" t="n">
        <v>1.876666666817096</v>
      </c>
      <c r="L53" t="n">
        <v>-1</v>
      </c>
      <c r="M53" t="n">
        <v>1.876666666817096</v>
      </c>
      <c r="N53" t="n">
        <v>-1</v>
      </c>
      <c r="O53" t="n">
        <v>6.587091184394938</v>
      </c>
      <c r="P53" t="n">
        <v>0.0566858118549526</v>
      </c>
      <c r="Q53" t="n">
        <v>0.0173679841104565</v>
      </c>
      <c r="R53" t="n">
        <v>-0.0076887553045514</v>
      </c>
      <c r="S53" t="n">
        <v>0.008336855898967601</v>
      </c>
      <c r="T53" t="n">
        <v>140.1170245739893</v>
      </c>
      <c r="U53" t="n">
        <v>2.365000000149848</v>
      </c>
      <c r="V53" t="n">
        <v>-1</v>
      </c>
      <c r="W53" t="n">
        <v>1.275555555687407</v>
      </c>
      <c r="X53" t="n">
        <v>2.365000000149848</v>
      </c>
      <c r="Y53" t="n">
        <v>-1</v>
      </c>
      <c r="Z53" t="n">
        <v>2.365000000149848</v>
      </c>
      <c r="AA53" t="n">
        <v>-1</v>
      </c>
      <c r="AB53" t="n">
        <v>4.32083333334284</v>
      </c>
      <c r="AC53" t="n">
        <v>-0.0076887553045514</v>
      </c>
      <c r="AD53" t="n">
        <v>6.420849573157559</v>
      </c>
      <c r="AE53" t="n">
        <v>0</v>
      </c>
      <c r="AF53" t="n">
        <v>6.529414622071726</v>
      </c>
      <c r="AG53" t="n">
        <v>0</v>
      </c>
      <c r="AH53" t="n">
        <v>1.398675044752676</v>
      </c>
      <c r="AI53" t="n">
        <v>5.74</v>
      </c>
      <c r="AJ53" t="n">
        <v>5.7</v>
      </c>
      <c r="AK53" t="n">
        <v>0.4495392861120601</v>
      </c>
      <c r="AL53" t="n">
        <v>0.5575394740946432</v>
      </c>
      <c r="AM53" t="n">
        <v>1.6811</v>
      </c>
      <c r="AN53" t="n">
        <v>197.2131813101273</v>
      </c>
      <c r="AO53" t="n">
        <v>0.060342424693229</v>
      </c>
      <c r="AP53" t="n">
        <v>0.0495729356543404</v>
      </c>
      <c r="AQ53" t="n">
        <v>0.0421962525142543</v>
      </c>
      <c r="AR53" t="n">
        <v>0.0531229129227857</v>
      </c>
      <c r="AS53" t="n">
        <v>0.0412330617755088</v>
      </c>
    </row>
    <row r="54">
      <c r="A54" t="inlineStr">
        <is>
          <t>GWI_anthro_SR15</t>
        </is>
      </c>
      <c r="B54" t="inlineStr">
        <is>
          <t>43/3_Human_Induced</t>
        </is>
      </c>
      <c r="C54" t="inlineStr">
        <is>
          <t>c</t>
        </is>
      </c>
      <c r="D54" t="n">
        <v>1.76</v>
      </c>
      <c r="E54" t="n">
        <v>15.86</v>
      </c>
      <c r="F54" t="n">
        <v>0.0066681414451895</v>
      </c>
      <c r="G54" t="n">
        <v>147.598852149523</v>
      </c>
      <c r="H54" t="n">
        <v>1.363333333484256</v>
      </c>
      <c r="I54" t="n">
        <v>-1</v>
      </c>
      <c r="J54" t="n">
        <v>1.041408730291975</v>
      </c>
      <c r="K54" t="n">
        <v>1.363333333484256</v>
      </c>
      <c r="L54" t="n">
        <v>-1</v>
      </c>
      <c r="M54" t="n">
        <v>1.363333333484256</v>
      </c>
      <c r="N54" t="n">
        <v>-1</v>
      </c>
      <c r="O54" t="n">
        <v>6.604851064468546</v>
      </c>
      <c r="P54" t="n">
        <v>0.0544368442249385</v>
      </c>
      <c r="Q54" t="n">
        <v>0.0103982902210087</v>
      </c>
      <c r="R54" t="n">
        <v>-0.0061177870122916</v>
      </c>
      <c r="S54" t="n">
        <v>0.0066681414451895</v>
      </c>
      <c r="T54" t="n">
        <v>141.5919902811792</v>
      </c>
      <c r="U54" t="n">
        <v>1.851666666817009</v>
      </c>
      <c r="V54" t="n">
        <v>-1</v>
      </c>
      <c r="W54" t="n">
        <v>1.224166666798569</v>
      </c>
      <c r="X54" t="n">
        <v>1.851666666817009</v>
      </c>
      <c r="Y54" t="n">
        <v>-1</v>
      </c>
      <c r="Z54" t="n">
        <v>1.851666666817009</v>
      </c>
      <c r="AA54" t="n">
        <v>-1</v>
      </c>
      <c r="AB54" t="n">
        <v>4.210555555565166</v>
      </c>
      <c r="AC54" t="n">
        <v>-0.0061177870122916</v>
      </c>
      <c r="AD54" t="n">
        <v>6.531984079559112</v>
      </c>
      <c r="AE54" t="n">
        <v>0</v>
      </c>
      <c r="AF54" t="n">
        <v>6.689488147084107</v>
      </c>
      <c r="AG54" t="n">
        <v>0</v>
      </c>
      <c r="AH54" t="n">
        <v>1.499576589621997</v>
      </c>
      <c r="AI54" t="n">
        <v>5.68</v>
      </c>
      <c r="AJ54" t="n">
        <v>5.74</v>
      </c>
      <c r="AK54" t="n">
        <v>0.4872440851266624</v>
      </c>
      <c r="AL54" t="n">
        <v>0.5739272325503402</v>
      </c>
      <c r="AM54" t="n">
        <v>1.4594</v>
      </c>
      <c r="AN54" t="n">
        <v>211.4402991367016</v>
      </c>
      <c r="AO54" t="n">
        <v>0.0533727744069725</v>
      </c>
      <c r="AP54" t="n">
        <v>0.0470095543214553</v>
      </c>
      <c r="AQ54" t="n">
        <v>0.0426269568534055</v>
      </c>
      <c r="AR54" t="n">
        <v>0.0508332675314558</v>
      </c>
      <c r="AS54" t="n">
        <v>0.0418409484866963</v>
      </c>
    </row>
    <row r="55">
      <c r="A55" t="inlineStr">
        <is>
          <t>GWI_tot</t>
        </is>
      </c>
      <c r="B55" t="inlineStr">
        <is>
          <t>43/3_Human_Induced</t>
        </is>
      </c>
      <c r="C55" t="inlineStr">
        <is>
          <t>c</t>
        </is>
      </c>
      <c r="D55" t="n">
        <v>3.24</v>
      </c>
      <c r="E55" t="n">
        <v>15.62</v>
      </c>
      <c r="F55" t="n">
        <v>0.0093871416139276</v>
      </c>
      <c r="G55" t="n">
        <v>146.8161640260279</v>
      </c>
      <c r="H55" t="n">
        <v>2.08083333348357</v>
      </c>
      <c r="I55" t="n">
        <v>-1</v>
      </c>
      <c r="J55" t="n">
        <v>0.6515674604524401</v>
      </c>
      <c r="K55" t="n">
        <v>1.895000000150408</v>
      </c>
      <c r="L55" t="n">
        <v>-1</v>
      </c>
      <c r="M55" t="n">
        <v>2.156666666816832</v>
      </c>
      <c r="N55" t="n">
        <v>-1</v>
      </c>
      <c r="O55" t="n">
        <v>6.544592117864453</v>
      </c>
      <c r="P55" t="n">
        <v>0.0544799993625356</v>
      </c>
      <c r="Q55" t="n">
        <v>0.009130058390401</v>
      </c>
      <c r="R55" t="n">
        <v>-0.008787188340814401</v>
      </c>
      <c r="S55" t="n">
        <v>0.0093871416139276</v>
      </c>
      <c r="T55" t="n">
        <v>127.1302795329793</v>
      </c>
      <c r="U55" t="n">
        <v>2.569166666816323</v>
      </c>
      <c r="V55" t="n">
        <v>-1</v>
      </c>
      <c r="W55" t="n">
        <v>0.9661111112437188</v>
      </c>
      <c r="X55" t="n">
        <v>2.383333333483161</v>
      </c>
      <c r="Y55" t="n">
        <v>-1</v>
      </c>
      <c r="Z55" t="n">
        <v>2.620000000149612</v>
      </c>
      <c r="AA55" t="n">
        <v>-1</v>
      </c>
      <c r="AB55" t="n">
        <v>4.379444444460129</v>
      </c>
      <c r="AC55" t="n">
        <v>-0.008787188340814401</v>
      </c>
      <c r="AD55" t="n">
        <v>6.157935216415352</v>
      </c>
      <c r="AE55" t="n">
        <v>0</v>
      </c>
      <c r="AF55" t="n">
        <v>6.673903977026136</v>
      </c>
      <c r="AG55" t="n">
        <v>0</v>
      </c>
      <c r="AH55" t="n">
        <v>1.363972603094281</v>
      </c>
      <c r="AI55" t="n">
        <v>5.9</v>
      </c>
      <c r="AJ55" t="n">
        <v>5.96</v>
      </c>
      <c r="AK55" t="n">
        <v>0.07817836935619089</v>
      </c>
      <c r="AL55" t="n">
        <v>0.3859778655325488</v>
      </c>
      <c r="AM55" t="n">
        <v>2.56286</v>
      </c>
      <c r="AN55" t="n">
        <v>192.3201370362936</v>
      </c>
      <c r="AO55" t="n">
        <v>0.0611778705697678</v>
      </c>
      <c r="AP55" t="n">
        <v>0.0493573400827785</v>
      </c>
      <c r="AQ55" t="n">
        <v>0.0401866271807511</v>
      </c>
      <c r="AR55" t="n">
        <v>0.0590209845825737</v>
      </c>
      <c r="AS55" t="n">
        <v>0.047349618568827</v>
      </c>
    </row>
    <row r="56">
      <c r="A56" t="inlineStr">
        <is>
          <t>GWI_tot_AR6</t>
        </is>
      </c>
      <c r="B56" t="inlineStr">
        <is>
          <t>43/3_Human_Induced</t>
        </is>
      </c>
      <c r="C56" t="inlineStr">
        <is>
          <t>c</t>
        </is>
      </c>
      <c r="D56" t="n">
        <v>3.5</v>
      </c>
      <c r="E56" t="n">
        <v>18.9</v>
      </c>
      <c r="F56" t="n">
        <v>-0.0116733217379456</v>
      </c>
      <c r="G56" t="n">
        <v>147.9308340683804</v>
      </c>
      <c r="H56" t="n">
        <v>3.186666666815886</v>
      </c>
      <c r="I56" t="n">
        <v>-1</v>
      </c>
      <c r="J56" t="n">
        <v>2.482452381090012</v>
      </c>
      <c r="K56" t="n">
        <v>3.186666666815886</v>
      </c>
      <c r="L56" t="n">
        <v>-1</v>
      </c>
      <c r="M56" t="n">
        <v>3.186666666815886</v>
      </c>
      <c r="N56" t="n">
        <v>-1</v>
      </c>
      <c r="O56" t="n">
        <v>4.718959745483541</v>
      </c>
      <c r="P56" t="n">
        <v>0.0460450861912156</v>
      </c>
      <c r="Q56" t="n">
        <v>-0.009088985717256699</v>
      </c>
      <c r="R56" t="n">
        <v>0.0107446491328622</v>
      </c>
      <c r="S56" t="n">
        <v>-0.0116733217379456</v>
      </c>
      <c r="T56" t="n">
        <v>127.9229580965988</v>
      </c>
      <c r="U56" t="n">
        <v>3.675000000148639</v>
      </c>
      <c r="V56" t="n">
        <v>-1</v>
      </c>
      <c r="W56" t="n">
        <v>2.658333333469632</v>
      </c>
      <c r="X56" t="n">
        <v>3.675000000148639</v>
      </c>
      <c r="Y56" t="n">
        <v>-1</v>
      </c>
      <c r="Z56" t="n">
        <v>3.675000000148639</v>
      </c>
      <c r="AA56" t="n">
        <v>-1</v>
      </c>
      <c r="AB56" t="n">
        <v>4.226944444493238</v>
      </c>
      <c r="AC56" t="n">
        <v>0.0107446491328622</v>
      </c>
      <c r="AD56" t="n">
        <v>5.936640922532408</v>
      </c>
      <c r="AE56" t="n">
        <v>0</v>
      </c>
      <c r="AF56" t="n">
        <v>6.240730630874894</v>
      </c>
      <c r="AG56" t="n">
        <v>0</v>
      </c>
      <c r="AH56" t="n">
        <v>1.437168449186514</v>
      </c>
      <c r="AI56" t="n">
        <v>5.9</v>
      </c>
      <c r="AJ56" t="n">
        <v>5.98</v>
      </c>
      <c r="AK56" t="n">
        <v>0.1943180740217654</v>
      </c>
      <c r="AL56" t="n">
        <v>0.3332822981625939</v>
      </c>
      <c r="AM56" t="n">
        <v>1.2498</v>
      </c>
      <c r="AN56" t="n">
        <v>202.6407513352984</v>
      </c>
      <c r="AO56" t="n">
        <v>0.0513881140909691</v>
      </c>
      <c r="AP56" t="n">
        <v>0.046468466849536</v>
      </c>
      <c r="AQ56" t="n">
        <v>0.0437571716662409</v>
      </c>
      <c r="AR56" t="n">
        <v>0.0557532941936868</v>
      </c>
      <c r="AS56" t="n">
        <v>0.0500388661866466</v>
      </c>
    </row>
    <row r="57">
      <c r="A57" t="inlineStr">
        <is>
          <t>GWI_tot_CGWL</t>
        </is>
      </c>
      <c r="B57" t="inlineStr">
        <is>
          <t>43/3_Human_Induced</t>
        </is>
      </c>
      <c r="C57" t="inlineStr">
        <is>
          <t>c</t>
        </is>
      </c>
      <c r="D57" t="n">
        <v>0.98</v>
      </c>
      <c r="E57" t="n">
        <v>9</v>
      </c>
      <c r="F57" t="n">
        <v>0.009162799880460201</v>
      </c>
      <c r="G57" t="n">
        <v>148.7590179837937</v>
      </c>
      <c r="H57" t="n">
        <v>1.985833333483638</v>
      </c>
      <c r="I57" t="n">
        <v>-1</v>
      </c>
      <c r="J57" t="n">
        <v>0.544716931353102</v>
      </c>
      <c r="K57" t="n">
        <v>1.970000000150317</v>
      </c>
      <c r="L57" t="n">
        <v>-1</v>
      </c>
      <c r="M57" t="n">
        <v>2.001666666816959</v>
      </c>
      <c r="N57" t="n">
        <v>-1</v>
      </c>
      <c r="O57" t="n">
        <v>6.4590329021212</v>
      </c>
      <c r="P57" t="n">
        <v>0.0553316520159933</v>
      </c>
      <c r="Q57" t="n">
        <v>0.0139579911503606</v>
      </c>
      <c r="R57" t="n">
        <v>-0.0089264356044671</v>
      </c>
      <c r="S57" t="n">
        <v>0.009162799880460201</v>
      </c>
      <c r="T57" t="n">
        <v>129.9471281961281</v>
      </c>
      <c r="U57" t="n">
        <v>2.474166666816391</v>
      </c>
      <c r="V57" t="n">
        <v>-1</v>
      </c>
      <c r="W57" t="n">
        <v>0.7914351853169923</v>
      </c>
      <c r="X57" t="n">
        <v>2.45833333348307</v>
      </c>
      <c r="Y57" t="n">
        <v>-1</v>
      </c>
      <c r="Z57" t="n">
        <v>2.490000000149712</v>
      </c>
      <c r="AA57" t="n">
        <v>-1</v>
      </c>
      <c r="AB57" t="n">
        <v>4.386712962968105</v>
      </c>
      <c r="AC57" t="n">
        <v>-0.0089264356044671</v>
      </c>
      <c r="AD57" t="n">
        <v>6.256953005572921</v>
      </c>
      <c r="AE57" t="n">
        <v>0</v>
      </c>
      <c r="AF57" t="n">
        <v>6.799422971066043</v>
      </c>
      <c r="AG57" t="n">
        <v>0</v>
      </c>
      <c r="AH57" t="n">
        <v>1.52497682303151</v>
      </c>
      <c r="AI57" t="n">
        <v>5.763999999999999</v>
      </c>
      <c r="AJ57" t="n">
        <v>5.684</v>
      </c>
      <c r="AK57" t="n">
        <v>0.6761063583069518</v>
      </c>
      <c r="AL57" t="n">
        <v>0.714943310865054</v>
      </c>
      <c r="AM57" t="n">
        <v>1.72474</v>
      </c>
      <c r="AN57" t="n">
        <v>215.0217320474429</v>
      </c>
      <c r="AO57" t="n">
        <v>0.0529632622443173</v>
      </c>
      <c r="AP57" t="n">
        <v>0.0479837899992655</v>
      </c>
      <c r="AQ57" t="n">
        <v>0.0396333013588885</v>
      </c>
      <c r="AR57" t="n">
        <v>0.0578756269888937</v>
      </c>
      <c r="AS57" t="n">
        <v>0.0468170420885393</v>
      </c>
    </row>
    <row r="58">
      <c r="A58" t="inlineStr">
        <is>
          <t>GWI_tot_SR15</t>
        </is>
      </c>
      <c r="B58" t="inlineStr">
        <is>
          <t>43/3_Human_Induced</t>
        </is>
      </c>
      <c r="C58" t="inlineStr">
        <is>
          <t>c</t>
        </is>
      </c>
      <c r="D58" t="n">
        <v>2.6</v>
      </c>
      <c r="E58" t="n">
        <v>11.24</v>
      </c>
      <c r="F58" t="n">
        <v>0.0088271754957353</v>
      </c>
      <c r="G58" t="n">
        <v>148.6107213847854</v>
      </c>
      <c r="H58" t="n">
        <v>1.770000000150526</v>
      </c>
      <c r="I58" t="n">
        <v>-1</v>
      </c>
      <c r="J58" t="n">
        <v>0.5488452382293335</v>
      </c>
      <c r="K58" t="n">
        <v>1.770000000150526</v>
      </c>
      <c r="L58" t="n">
        <v>-1</v>
      </c>
      <c r="M58" t="n">
        <v>1.770000000150526</v>
      </c>
      <c r="N58" t="n">
        <v>-1</v>
      </c>
      <c r="O58" t="n">
        <v>6.881128970054453</v>
      </c>
      <c r="P58" t="n">
        <v>0.0531536130614357</v>
      </c>
      <c r="Q58" t="n">
        <v>0.0061219055196405</v>
      </c>
      <c r="R58" t="n">
        <v>-0.009153940047479801</v>
      </c>
      <c r="S58" t="n">
        <v>0.0088271754957354</v>
      </c>
      <c r="T58" t="n">
        <v>128.3968666239245</v>
      </c>
      <c r="U58" t="n">
        <v>2.258333333483279</v>
      </c>
      <c r="V58" t="n">
        <v>-1</v>
      </c>
      <c r="W58" t="n">
        <v>0.8025000001317849</v>
      </c>
      <c r="X58" t="n">
        <v>2.258333333483279</v>
      </c>
      <c r="Y58" t="n">
        <v>-1</v>
      </c>
      <c r="Z58" t="n">
        <v>2.258333333483279</v>
      </c>
      <c r="AA58" t="n">
        <v>-1</v>
      </c>
      <c r="AB58" t="n">
        <v>4.48722222222154</v>
      </c>
      <c r="AC58" t="n">
        <v>-0.009153940047479801</v>
      </c>
      <c r="AD58" t="n">
        <v>6.237619788731117</v>
      </c>
      <c r="AE58" t="n">
        <v>0</v>
      </c>
      <c r="AF58" t="n">
        <v>6.822647202912005</v>
      </c>
      <c r="AG58" t="n">
        <v>0</v>
      </c>
      <c r="AH58" t="n">
        <v>1.451744497306045</v>
      </c>
      <c r="AI58" t="n">
        <v>5.76</v>
      </c>
      <c r="AJ58" t="n">
        <v>5.8</v>
      </c>
      <c r="AK58" t="n">
        <v>0.3571076079461664</v>
      </c>
      <c r="AL58" t="n">
        <v>0.4877101534387645</v>
      </c>
      <c r="AM58" t="n">
        <v>1.6582</v>
      </c>
      <c r="AN58" t="n">
        <v>204.6959741201524</v>
      </c>
      <c r="AO58" t="n">
        <v>0.0539895299113606</v>
      </c>
      <c r="AP58" t="n">
        <v>0.0481368057032157</v>
      </c>
      <c r="AQ58" t="n">
        <v>0.0401184062425248</v>
      </c>
      <c r="AR58" t="n">
        <v>0.0581230761417088</v>
      </c>
      <c r="AS58" t="n">
        <v>0.0473743878949889</v>
      </c>
    </row>
    <row r="59">
      <c r="A59" t="inlineStr">
        <is>
          <t>CGWL10y_pUKCP</t>
        </is>
      </c>
      <c r="B59" t="inlineStr">
        <is>
          <t>44/44_EarthModel_CGWL</t>
        </is>
      </c>
      <c r="C59" t="inlineStr">
        <is>
          <t>c</t>
        </is>
      </c>
      <c r="D59" t="n">
        <v>0</v>
      </c>
      <c r="E59" t="n">
        <v>1.54</v>
      </c>
      <c r="F59" t="n">
        <v>0.0555493661794769</v>
      </c>
      <c r="G59" t="n">
        <v>54.60556799682061</v>
      </c>
      <c r="H59" t="n">
        <v>-3.632499999844535</v>
      </c>
      <c r="I59" t="n">
        <v>-1</v>
      </c>
      <c r="J59" t="n">
        <v>-2.385190476045515</v>
      </c>
      <c r="K59" t="n">
        <v>-3.663333333177838</v>
      </c>
      <c r="L59" t="n">
        <v>-1</v>
      </c>
      <c r="M59" t="n">
        <v>-3.663333333177838</v>
      </c>
      <c r="N59" t="n">
        <v>-1</v>
      </c>
      <c r="O59" t="n">
        <v>3.999352295227382</v>
      </c>
      <c r="P59" t="n">
        <v>0.1282112407457569</v>
      </c>
      <c r="Q59" t="n">
        <v>0.0122354600904153</v>
      </c>
      <c r="R59" t="n">
        <v>0.1093251985625216</v>
      </c>
      <c r="S59" t="n">
        <v>0.0555493661794769</v>
      </c>
      <c r="T59" t="n">
        <v>54.5240954271224</v>
      </c>
      <c r="U59" t="n">
        <v>-3.144166666511783</v>
      </c>
      <c r="V59" t="n">
        <v>-1</v>
      </c>
      <c r="W59" t="n">
        <v>-2.583055555409726</v>
      </c>
      <c r="X59" t="n">
        <v>-3.174999999845086</v>
      </c>
      <c r="Y59" t="n">
        <v>-1</v>
      </c>
      <c r="Z59" t="n">
        <v>-3.174999999845086</v>
      </c>
      <c r="AA59" t="n">
        <v>-1</v>
      </c>
      <c r="AB59" t="n">
        <v>2.733055555438295</v>
      </c>
      <c r="AC59" t="n">
        <v>0.1093251985625216</v>
      </c>
      <c r="AD59" t="n">
        <v>1.755703099352128</v>
      </c>
      <c r="AE59" t="n">
        <v>0</v>
      </c>
      <c r="AF59" t="n">
        <v>1.77429243489266</v>
      </c>
      <c r="AG59" t="n">
        <v>0</v>
      </c>
      <c r="AH59" t="n">
        <v>1.04757666928865</v>
      </c>
      <c r="AI59" t="n">
        <v>5.964</v>
      </c>
      <c r="AJ59" t="n">
        <v>6.144</v>
      </c>
      <c r="AK59" t="n">
        <v>0.8633477155424066</v>
      </c>
      <c r="AL59" t="n">
        <v>0.8828770488757399</v>
      </c>
      <c r="AM59" t="n">
        <v>1.4762</v>
      </c>
      <c r="AN59" t="n">
        <v>239.8950572671008</v>
      </c>
      <c r="AO59" t="n">
        <v>0.0649968519515991</v>
      </c>
      <c r="AP59" t="n">
        <v>0.08536521770934211</v>
      </c>
      <c r="AQ59" t="n">
        <v>0.09848039980108669</v>
      </c>
      <c r="AR59" t="n">
        <v>0.085619139188614</v>
      </c>
      <c r="AS59" t="n">
        <v>0.0986807605030033</v>
      </c>
    </row>
    <row r="60">
      <c r="A60" t="inlineStr">
        <is>
          <t>CGWL10y_sfUKCP</t>
        </is>
      </c>
      <c r="B60" t="inlineStr">
        <is>
          <t>44/44_EarthModel_CGWL</t>
        </is>
      </c>
      <c r="C60" t="inlineStr">
        <is>
          <t>c</t>
        </is>
      </c>
      <c r="D60" t="n">
        <v>0</v>
      </c>
      <c r="E60" t="n">
        <v>0.02</v>
      </c>
      <c r="F60" t="n">
        <v>0.0258416618323057</v>
      </c>
      <c r="G60" t="n">
        <v>142.3271278460133</v>
      </c>
      <c r="H60" t="n">
        <v>-0.6961944442916799</v>
      </c>
      <c r="I60" t="n">
        <v>-1</v>
      </c>
      <c r="J60" t="n">
        <v>-1.05243994694621</v>
      </c>
      <c r="K60" t="n">
        <v>-3.58666666651126</v>
      </c>
      <c r="L60" t="n">
        <v>-1</v>
      </c>
      <c r="M60" t="n">
        <v>-0.9249999998470184</v>
      </c>
      <c r="N60" t="n">
        <v>-1</v>
      </c>
      <c r="O60" t="n">
        <v>2.950600137314616</v>
      </c>
      <c r="P60" t="n">
        <v>0.0524510714650492</v>
      </c>
      <c r="Q60" t="n">
        <v>0.0088232540363302</v>
      </c>
      <c r="R60" t="n">
        <v>0.0294580720600328</v>
      </c>
      <c r="S60" t="n">
        <v>0.0258416618323058</v>
      </c>
      <c r="T60" t="n">
        <v>112.9051261903314</v>
      </c>
      <c r="U60" t="n">
        <v>-0.4630555554031389</v>
      </c>
      <c r="V60" t="n">
        <v>-1</v>
      </c>
      <c r="W60" t="n">
        <v>-0.8671527776339982</v>
      </c>
      <c r="X60" t="n">
        <v>-3.098333333178507</v>
      </c>
      <c r="Y60" t="n">
        <v>-1</v>
      </c>
      <c r="Z60" t="n">
        <v>-0.2183333331811264</v>
      </c>
      <c r="AA60" t="n">
        <v>-1</v>
      </c>
      <c r="AB60" t="n">
        <v>3.011865740703095</v>
      </c>
      <c r="AC60" t="n">
        <v>0.0294580720600328</v>
      </c>
      <c r="AD60" t="n">
        <v>4.245368069256839</v>
      </c>
      <c r="AE60" t="n">
        <v>0</v>
      </c>
      <c r="AF60" t="n">
        <v>5.472944279327624</v>
      </c>
      <c r="AG60" t="n">
        <v>0</v>
      </c>
      <c r="AH60" t="n">
        <v>1.633533859933958</v>
      </c>
      <c r="AI60" t="n">
        <v>10.072</v>
      </c>
      <c r="AJ60" t="n">
        <v>10.466</v>
      </c>
      <c r="AK60" t="n">
        <v>0.9553084297003852</v>
      </c>
      <c r="AL60" t="n">
        <v>0.9727287762641766</v>
      </c>
      <c r="AM60" t="n">
        <v>5.819</v>
      </c>
      <c r="AN60" t="n">
        <v>359.3774491854708</v>
      </c>
      <c r="AO60" t="n">
        <v>0.0437734579858445</v>
      </c>
      <c r="AP60" t="n">
        <v>0.0451721310474399</v>
      </c>
      <c r="AQ60" t="n">
        <v>0.0443066530684003</v>
      </c>
      <c r="AR60" t="n">
        <v>0.0662206381960154</v>
      </c>
      <c r="AS60" t="n">
        <v>0.0657708053653026</v>
      </c>
    </row>
    <row r="61">
      <c r="A61" t="inlineStr">
        <is>
          <t>CGWL10y_sUKCP</t>
        </is>
      </c>
      <c r="B61" t="inlineStr">
        <is>
          <t>44/44_EarthModel_CGWL</t>
        </is>
      </c>
      <c r="C61" t="inlineStr">
        <is>
          <t>c</t>
        </is>
      </c>
      <c r="D61" t="n">
        <v>0</v>
      </c>
      <c r="E61" t="n">
        <v>0.02</v>
      </c>
      <c r="F61" t="n">
        <v>0.0282445937395095</v>
      </c>
      <c r="G61" t="n">
        <v>142.6617479085738</v>
      </c>
      <c r="H61" t="n">
        <v>-0.6036111109584454</v>
      </c>
      <c r="I61" t="n">
        <v>-1</v>
      </c>
      <c r="J61" t="n">
        <v>-1.15968849191966</v>
      </c>
      <c r="K61" t="n">
        <v>-1.889999999846164</v>
      </c>
      <c r="L61" t="n">
        <v>-1</v>
      </c>
      <c r="M61" t="n">
        <v>-0.9683333331803304</v>
      </c>
      <c r="N61" t="n">
        <v>-1</v>
      </c>
      <c r="O61" t="n">
        <v>3.228241150246305</v>
      </c>
      <c r="P61" t="n">
        <v>0.0538080944266508</v>
      </c>
      <c r="Q61" t="n">
        <v>0.0093545860970848</v>
      </c>
      <c r="R61" t="n">
        <v>0.0326365634955857</v>
      </c>
      <c r="S61" t="n">
        <v>0.0282445937395095</v>
      </c>
      <c r="T61" t="n">
        <v>113.554725277377</v>
      </c>
      <c r="U61" t="n">
        <v>-0.2427777776255773</v>
      </c>
      <c r="V61" t="n">
        <v>-1</v>
      </c>
      <c r="W61" t="n">
        <v>-1.065092592448636</v>
      </c>
      <c r="X61" t="n">
        <v>-1.401666666513411</v>
      </c>
      <c r="Y61" t="n">
        <v>-1</v>
      </c>
      <c r="Z61" t="n">
        <v>0.3266666668183552</v>
      </c>
      <c r="AA61" t="n">
        <v>-1</v>
      </c>
      <c r="AB61" t="n">
        <v>3.3906481481159</v>
      </c>
      <c r="AC61" t="n">
        <v>0.0326365634955857</v>
      </c>
      <c r="AD61" t="n">
        <v>3.98220218051081</v>
      </c>
      <c r="AE61" t="n">
        <v>0</v>
      </c>
      <c r="AF61" t="n">
        <v>5.291698179511116</v>
      </c>
      <c r="AG61" t="n">
        <v>0</v>
      </c>
      <c r="AH61" t="n">
        <v>1.612536509048173</v>
      </c>
      <c r="AI61" t="n">
        <v>7.938</v>
      </c>
      <c r="AJ61" t="n">
        <v>8.196</v>
      </c>
      <c r="AK61" t="n">
        <v>0.9618915148961932</v>
      </c>
      <c r="AL61" t="n">
        <v>0.9719956461995852</v>
      </c>
      <c r="AM61" t="n">
        <v>3.18452</v>
      </c>
      <c r="AN61" t="n">
        <v>354.7580319905981</v>
      </c>
      <c r="AO61" t="n">
        <v>0.0442727185756676</v>
      </c>
      <c r="AP61" t="n">
        <v>0.044007046379088</v>
      </c>
      <c r="AQ61" t="n">
        <v>0.0434142857618636</v>
      </c>
      <c r="AR61" t="n">
        <v>0.0659115002944855</v>
      </c>
      <c r="AS61" t="n">
        <v>0.0653364151409081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64"/>
  <sheetViews>
    <sheetView tabSelected="1" workbookViewId="0">
      <pane ySplit="1" topLeftCell="A2" activePane="bottomLeft" state="frozen"/>
      <selection pane="bottomLeft" activeCell="I17" sqref="I17"/>
    </sheetView>
  </sheetViews>
  <sheetFormatPr baseColWidth="10" defaultRowHeight="16"/>
  <cols>
    <col width="21.33203125" customWidth="1" min="1" max="1"/>
    <col width="19.33203125" customWidth="1" min="2" max="2"/>
    <col width="5.83203125" customWidth="1" min="3" max="3"/>
    <col width="6.83203125" customWidth="1" min="4" max="4"/>
    <col width="6.33203125" customWidth="1" min="5" max="5"/>
    <col width="7.1640625" customWidth="1" min="6" max="9"/>
    <col width="7.5" customWidth="1" min="10" max="10"/>
  </cols>
  <sheetData>
    <row r="1">
      <c r="A1" t="inlineStr">
        <is>
          <t>method_name</t>
        </is>
      </c>
      <c r="B1" t="inlineStr">
        <is>
          <t>method_class</t>
        </is>
      </c>
      <c r="C1" t="n">
        <v>0.06</v>
      </c>
      <c r="J1" t="inlineStr">
        <is>
          <t>c/r</t>
        </is>
      </c>
      <c r="K1" t="inlineStr">
        <is>
          <t>#q&lt;0.1</t>
        </is>
      </c>
      <c r="L1" t="inlineStr">
        <is>
          <t>#q&lt;0.5</t>
        </is>
      </c>
      <c r="M1" t="inlineStr">
        <is>
          <t>100bias</t>
        </is>
      </c>
      <c r="N1" t="inlineStr">
        <is>
          <t>100log-l</t>
        </is>
      </c>
      <c r="O1" t="inlineStr">
        <is>
          <t>Edyrs15</t>
        </is>
      </c>
      <c r="P1" t="inlineStr">
        <is>
          <t>Edyrs20</t>
        </is>
      </c>
      <c r="Q1" t="inlineStr">
        <is>
          <t>EdyrsA</t>
        </is>
      </c>
      <c r="R1" t="inlineStr">
        <is>
          <t>Fdyrs15</t>
        </is>
      </c>
      <c r="S1" t="inlineStr">
        <is>
          <t>Fdyrs20</t>
        </is>
      </c>
      <c r="T1" t="inlineStr">
        <is>
          <t>Mdyrs15</t>
        </is>
      </c>
      <c r="U1" t="inlineStr">
        <is>
          <t>Mdyrs20</t>
        </is>
      </c>
      <c r="V1" t="inlineStr">
        <is>
          <t>RMSyrsA</t>
        </is>
      </c>
      <c r="W1" t="inlineStr">
        <is>
          <t>avg_unc.(1se)</t>
        </is>
      </c>
      <c r="X1" t="inlineStr">
        <is>
          <t>bias</t>
        </is>
      </c>
      <c r="Y1" t="inlineStr">
        <is>
          <t>bias50</t>
        </is>
      </c>
      <c r="Z1" t="inlineStr">
        <is>
          <t>e100bias</t>
        </is>
      </c>
      <c r="AA1" t="inlineStr">
        <is>
          <t>e100log-l</t>
        </is>
      </c>
      <c r="AB1" t="inlineStr">
        <is>
          <t>eEdyrs15</t>
        </is>
      </c>
      <c r="AC1" t="inlineStr">
        <is>
          <t>eEdyrs20</t>
        </is>
      </c>
      <c r="AD1" t="inlineStr">
        <is>
          <t>eEdyrsA</t>
        </is>
      </c>
      <c r="AE1" t="inlineStr">
        <is>
          <t>eFdyrs15</t>
        </is>
      </c>
      <c r="AF1" t="inlineStr">
        <is>
          <t>eFdyrs20</t>
        </is>
      </c>
      <c r="AG1" t="inlineStr">
        <is>
          <t>eMdyrs15</t>
        </is>
      </c>
      <c r="AH1" t="inlineStr">
        <is>
          <t>eMdyrs20</t>
        </is>
      </c>
      <c r="AI1" t="inlineStr">
        <is>
          <t>eRMSyrsA</t>
        </is>
      </c>
      <c r="AJ1" t="inlineStr">
        <is>
          <t>ebias50</t>
        </is>
      </c>
      <c r="AK1" t="inlineStr">
        <is>
          <t>el15</t>
        </is>
      </c>
      <c r="AL1" t="inlineStr">
        <is>
          <t>el20</t>
        </is>
      </c>
      <c r="AM1" t="inlineStr">
        <is>
          <t>l15</t>
        </is>
      </c>
      <c r="AN1" t="inlineStr">
        <is>
          <t>l20</t>
        </is>
      </c>
      <c r="AO1" t="inlineStr">
        <is>
          <t>log-likeli</t>
        </is>
      </c>
      <c r="AP1" t="inlineStr">
        <is>
          <t>ncEdyrs</t>
        </is>
      </c>
      <c r="AQ1" t="inlineStr">
        <is>
          <t>nceEdyrs</t>
        </is>
      </c>
      <c r="AR1" t="inlineStr">
        <is>
          <t>q_min</t>
        </is>
      </c>
      <c r="AS1" t="inlineStr">
        <is>
          <t>q_small5</t>
        </is>
      </c>
      <c r="AT1" t="inlineStr">
        <is>
          <t>smooth_r</t>
        </is>
      </c>
      <c r="AU1" t="inlineStr">
        <is>
          <t>tlog-l</t>
        </is>
      </c>
      <c r="AV1" t="inlineStr">
        <is>
          <t>RMS</t>
        </is>
      </c>
      <c r="AW1" t="inlineStr">
        <is>
          <t>100RMS</t>
        </is>
      </c>
      <c r="AX1" t="inlineStr">
        <is>
          <t>75RMS</t>
        </is>
      </c>
      <c r="AY1" t="inlineStr">
        <is>
          <t>e100RMS</t>
        </is>
      </c>
      <c r="AZ1" t="inlineStr">
        <is>
          <t>e75RMS</t>
        </is>
      </c>
    </row>
    <row r="2">
      <c r="A2" t="inlineStr">
        <is>
          <t>lag10y</t>
        </is>
      </c>
      <c r="B2" t="inlineStr">
        <is>
          <t>42/1_Run_Means</t>
        </is>
      </c>
      <c r="C2">
        <f>IF(ISNUMBER(D2),SUM(INDIRECT(_xlfn.CONCAT("e",ROW(),":e",ROW()+D2-1))),"")</f>
        <v/>
      </c>
      <c r="D2" t="n">
        <v>4</v>
      </c>
      <c r="E2">
        <f>AND(AX2&lt;$C$1,averaged_runs370!AQ2&lt;$C$1,averaged_runs126!AQ2&lt;$C$1)*1</f>
        <v/>
      </c>
      <c r="F2" s="2">
        <f>IF(TRUE,SQRT(averaged_runs126!AQ2^2/2+averaged_runs370!AQ2^2/2+AX2^2*0),"")</f>
        <v/>
      </c>
      <c r="G2" s="2" t="n"/>
      <c r="H2" s="2" t="n"/>
      <c r="I2" s="2" t="n"/>
      <c r="J2" t="inlineStr">
        <is>
          <t>c</t>
        </is>
      </c>
      <c r="K2" t="n">
        <v>56.36</v>
      </c>
      <c r="L2" t="n">
        <v>146.24</v>
      </c>
      <c r="M2" t="n">
        <v>-0.0791596964165404</v>
      </c>
      <c r="N2" t="n">
        <v>-73.5341750909632</v>
      </c>
      <c r="O2" t="n">
        <v>4.750000000141349</v>
      </c>
      <c r="P2" t="n">
        <v>4.012500000163795</v>
      </c>
      <c r="Q2" t="n">
        <v>4.406791819456208</v>
      </c>
      <c r="R2" t="n">
        <v>4.750000000141349</v>
      </c>
      <c r="S2" t="n">
        <v>3.921666666830542</v>
      </c>
      <c r="T2" t="n">
        <v>4.750000000141349</v>
      </c>
      <c r="U2" t="n">
        <v>4.103333333497049</v>
      </c>
      <c r="V2" t="n">
        <v>4.650600151601552</v>
      </c>
      <c r="W2" t="n">
        <v>0.039112734465745</v>
      </c>
      <c r="X2" t="n">
        <v>-0.0472093330323853</v>
      </c>
      <c r="Y2" t="n">
        <v>-0.0650171915292739</v>
      </c>
      <c r="Z2" t="n">
        <v>-0.0791596964165404</v>
      </c>
      <c r="AA2" t="n">
        <v>-147.213722448095</v>
      </c>
      <c r="AB2" t="n">
        <v>4.751666666807978</v>
      </c>
      <c r="AC2" t="n">
        <v>4.015833333497135</v>
      </c>
      <c r="AD2" t="n">
        <v>4.500793650956986</v>
      </c>
      <c r="AE2" t="n">
        <v>4.751666666807978</v>
      </c>
      <c r="AF2" t="n">
        <v>3.925000000163882</v>
      </c>
      <c r="AG2" t="n">
        <v>4.751666666807978</v>
      </c>
      <c r="AH2" t="n">
        <v>4.106666666830388</v>
      </c>
      <c r="AI2" t="n">
        <v>4.500793650956986</v>
      </c>
      <c r="AJ2" t="n">
        <v>-0.0650171915292739</v>
      </c>
      <c r="AK2" t="n">
        <v>1.724783543663047</v>
      </c>
      <c r="AL2" t="n">
        <v>3.056678465143229</v>
      </c>
      <c r="AM2" t="n">
        <v>0.9352963398276414</v>
      </c>
      <c r="AN2" t="n">
        <v>1.861067491193857</v>
      </c>
      <c r="AO2" t="n">
        <v>0.411602368557992</v>
      </c>
      <c r="AP2" t="n">
        <v>14.58</v>
      </c>
      <c r="AQ2" t="n">
        <v>14.9</v>
      </c>
      <c r="AR2" t="n">
        <v>0.0003162488509016</v>
      </c>
      <c r="AS2" t="n">
        <v>0.0017976905627398</v>
      </c>
      <c r="AT2" t="n">
        <v>2.90498</v>
      </c>
      <c r="AU2" t="n">
        <v>95.08014713689616</v>
      </c>
      <c r="AV2" t="n">
        <v>0.0702293713508062</v>
      </c>
      <c r="AW2" t="n">
        <v>0.08649658096258479</v>
      </c>
      <c r="AX2" t="n">
        <v>0.084744435207165</v>
      </c>
      <c r="AY2" t="n">
        <v>0.09646528790361759</v>
      </c>
      <c r="AZ2" t="n">
        <v>0.0941981362382756</v>
      </c>
    </row>
    <row r="3">
      <c r="A3" t="inlineStr">
        <is>
          <t>lag5y</t>
        </is>
      </c>
      <c r="B3" t="inlineStr">
        <is>
          <t>42/1_Run_Means</t>
        </is>
      </c>
      <c r="C3">
        <f>IF(ISNUMBER(D3),SUM(INDIRECT(_xlfn.CONCAT("e",ROW(),":e",ROW()+D3-1))),"")</f>
        <v/>
      </c>
      <c r="E3">
        <f>AND(AX3&lt;$C$1,averaged_runs370!AQ3&lt;$C$1,averaged_runs126!AQ3&lt;$C$1)*1</f>
        <v/>
      </c>
      <c r="F3" s="2">
        <f>IF(TRUE,SQRT(averaged_runs126!AQ3^2/2+averaged_runs370!AQ3^2/2+AX3^2*0),"")</f>
        <v/>
      </c>
      <c r="G3" s="2">
        <f>IF(TRUE,averaged_runs126!AQ3,"")</f>
        <v/>
      </c>
      <c r="H3" s="2">
        <f>IF(TRUE,AX3,"")</f>
        <v/>
      </c>
      <c r="I3" s="2">
        <f>IF(TRUE,averaged_runs370!AQ3,"")</f>
        <v/>
      </c>
      <c r="J3" t="inlineStr">
        <is>
          <t>c</t>
        </is>
      </c>
      <c r="K3" t="n">
        <v>26.36</v>
      </c>
      <c r="L3" t="n">
        <v>80.12</v>
      </c>
      <c r="M3" t="n">
        <v>-0.03135272865767</v>
      </c>
      <c r="N3" t="n">
        <v>47.23611594925599</v>
      </c>
      <c r="O3" t="n">
        <v>2.342500000143541</v>
      </c>
      <c r="P3" t="n">
        <v>1.923333333499053</v>
      </c>
      <c r="Q3" t="n">
        <v>2.018297466588108</v>
      </c>
      <c r="R3" t="n">
        <v>1.87833333347729</v>
      </c>
      <c r="S3" t="n">
        <v>0.8950000001666558</v>
      </c>
      <c r="T3" t="n">
        <v>2.725000000143196</v>
      </c>
      <c r="U3" t="n">
        <v>2.985000000164755</v>
      </c>
      <c r="V3" t="n">
        <v>2.693402206275747</v>
      </c>
      <c r="W3" t="n">
        <v>0.0476558825613223</v>
      </c>
      <c r="X3" t="n">
        <v>-0.0218084248477437</v>
      </c>
      <c r="Y3" t="n">
        <v>-0.0253802733421325</v>
      </c>
      <c r="Z3" t="n">
        <v>-0.03135272865767</v>
      </c>
      <c r="AA3" t="n">
        <v>-22.61654708332703</v>
      </c>
      <c r="AB3" t="n">
        <v>2.34416666681017</v>
      </c>
      <c r="AC3" t="n">
        <v>1.926666666832392</v>
      </c>
      <c r="AD3" t="n">
        <v>2.031051587467416</v>
      </c>
      <c r="AE3" t="n">
        <v>1.880000000143918</v>
      </c>
      <c r="AF3" t="n">
        <v>0.8983333334999952</v>
      </c>
      <c r="AG3" t="n">
        <v>2.808333333476421</v>
      </c>
      <c r="AH3" t="n">
        <v>2.703333333498349</v>
      </c>
      <c r="AI3" t="n">
        <v>2.202400793769672</v>
      </c>
      <c r="AJ3" t="n">
        <v>-0.0253802733421325</v>
      </c>
      <c r="AK3" t="n">
        <v>4.384290007468022</v>
      </c>
      <c r="AL3" t="n">
        <v>4.099221370153565</v>
      </c>
      <c r="AM3" t="n">
        <v>4.125292235887954</v>
      </c>
      <c r="AN3" t="n">
        <v>5.711394763784449</v>
      </c>
      <c r="AO3" t="n">
        <v>0.7327628924419776</v>
      </c>
      <c r="AP3" t="n">
        <v>18.248</v>
      </c>
      <c r="AQ3" t="n">
        <v>18.848</v>
      </c>
      <c r="AR3" s="1" t="n">
        <v>1.849163373873089e-05</v>
      </c>
      <c r="AS3" t="n">
        <v>0.0026641235545372</v>
      </c>
      <c r="AT3" t="n">
        <v>5.648</v>
      </c>
      <c r="AU3" t="n">
        <v>169.2682281540968</v>
      </c>
      <c r="AV3" t="n">
        <v>0.06673762241477781</v>
      </c>
      <c r="AW3" t="n">
        <v>0.0626298718050117</v>
      </c>
      <c r="AX3" t="n">
        <v>0.0612613052773384</v>
      </c>
      <c r="AY3" t="n">
        <v>0.0751401543200908</v>
      </c>
      <c r="AZ3" t="n">
        <v>0.0736461699667434</v>
      </c>
    </row>
    <row r="4">
      <c r="A4" t="inlineStr">
        <is>
          <t>offset11y</t>
        </is>
      </c>
      <c r="B4" t="inlineStr">
        <is>
          <t>42/1_Run_Means</t>
        </is>
      </c>
      <c r="E4">
        <f>AND(AX4&lt;$C$1,averaged_runs370!AQ4&lt;$C$1,averaged_runs126!AQ4&lt;$C$1)*1</f>
        <v/>
      </c>
      <c r="F4" s="2">
        <f>IF(TRUE,SQRT(averaged_runs126!AQ4^2/2+averaged_runs370!AQ4^2/2+AX4^2*0),"")</f>
        <v/>
      </c>
      <c r="G4" s="2" t="n"/>
      <c r="H4" s="2" t="n"/>
      <c r="I4" s="2" t="n"/>
      <c r="J4" t="inlineStr">
        <is>
          <t>c</t>
        </is>
      </c>
      <c r="K4" t="n">
        <v>81.95999999999999</v>
      </c>
      <c r="L4" t="n">
        <v>150.28</v>
      </c>
      <c r="M4" t="n">
        <v>0.0212315084646035</v>
      </c>
      <c r="N4" t="n">
        <v>150.9840719190715</v>
      </c>
      <c r="O4" t="n">
        <v>-0.2083333331874882</v>
      </c>
      <c r="P4" t="n">
        <v>-0.8449999998317753</v>
      </c>
      <c r="Q4" t="n">
        <v>-1.221816239149957</v>
      </c>
      <c r="R4" t="n">
        <v>-0.2749999998540943</v>
      </c>
      <c r="S4" t="n">
        <v>-0.9266666664983676</v>
      </c>
      <c r="T4" t="n">
        <v>-0.2116666665208185</v>
      </c>
      <c r="U4" t="n">
        <v>-0.9266666664983676</v>
      </c>
      <c r="V4" t="n">
        <v>2.445421408006802</v>
      </c>
      <c r="W4" t="n">
        <v>0.0380040657036035</v>
      </c>
      <c r="X4" t="n">
        <v>0.057742297518549</v>
      </c>
      <c r="Y4" t="n">
        <v>0.0366290544867514</v>
      </c>
      <c r="Z4" t="n">
        <v>0.0212315084646035</v>
      </c>
      <c r="AA4" t="n">
        <v>87.83995980710375</v>
      </c>
      <c r="AB4" t="n">
        <v>-0.2066666665208595</v>
      </c>
      <c r="AC4" t="n">
        <v>-0.8416666664984359</v>
      </c>
      <c r="AD4" t="n">
        <v>-1.374801587134297</v>
      </c>
      <c r="AE4" t="n">
        <v>-0.2733333331874655</v>
      </c>
      <c r="AF4" t="n">
        <v>-0.9233333331650284</v>
      </c>
      <c r="AG4" t="n">
        <v>-0.2099999998541898</v>
      </c>
      <c r="AH4" t="n">
        <v>-0.9233333331650284</v>
      </c>
      <c r="AI4" t="n">
        <v>1.792896825275955</v>
      </c>
      <c r="AJ4" t="n">
        <v>0.0366290544867514</v>
      </c>
      <c r="AK4" t="n">
        <v>6.548961632505764</v>
      </c>
      <c r="AL4" t="n">
        <v>5.92505507675963</v>
      </c>
      <c r="AM4" t="n">
        <v>8.682325464470415</v>
      </c>
      <c r="AN4" t="n">
        <v>8.041327019270577</v>
      </c>
      <c r="AO4" t="n">
        <v>-0.1906271626273982</v>
      </c>
      <c r="AP4" t="n">
        <v>14.288</v>
      </c>
      <c r="AQ4" t="n">
        <v>14.788</v>
      </c>
      <c r="AR4" s="1" t="n">
        <v>1.265318398459896e-05</v>
      </c>
      <c r="AS4" s="1" t="n">
        <v>6.137131204632719e-05</v>
      </c>
      <c r="AT4" t="n">
        <v>2.65052</v>
      </c>
      <c r="AU4" t="n">
        <v>-44.03487456692898</v>
      </c>
      <c r="AV4" t="n">
        <v>0.07907211346661321</v>
      </c>
      <c r="AW4" t="n">
        <v>0.0403330837611161</v>
      </c>
      <c r="AX4" t="n">
        <v>0.0418961008410896</v>
      </c>
      <c r="AY4" t="n">
        <v>0.0580865575455457</v>
      </c>
      <c r="AZ4" t="n">
        <v>0.0580042075259437</v>
      </c>
    </row>
    <row r="5">
      <c r="A5" t="inlineStr">
        <is>
          <t>raw1y</t>
        </is>
      </c>
      <c r="B5" t="inlineStr">
        <is>
          <t>42/1_Run_Means</t>
        </is>
      </c>
      <c r="C5">
        <f>IF(ISNUMBER(D5),SUM(INDIRECT(_xlfn.CONCAT("e",ROW(),":e",ROW()+D5-1))),"")</f>
        <v/>
      </c>
      <c r="E5">
        <f>AND(AX5&lt;$C$1,averaged_runs370!AQ5&lt;$C$1,averaged_runs126!AQ5&lt;$C$1)*1</f>
        <v/>
      </c>
      <c r="F5" s="2">
        <f>IF(TRUE,SQRT(averaged_runs126!AQ5^2/2+averaged_runs370!AQ5^2/2+AX5^2*0),"")</f>
        <v/>
      </c>
      <c r="G5" s="2" t="n"/>
      <c r="H5" s="2" t="n"/>
      <c r="I5" s="2" t="n"/>
      <c r="J5" t="inlineStr">
        <is>
          <t>c</t>
        </is>
      </c>
      <c r="K5" t="n">
        <v>0.04</v>
      </c>
      <c r="L5" t="n">
        <v>0.9</v>
      </c>
      <c r="M5" t="n">
        <v>0.0044324491050216</v>
      </c>
      <c r="N5" t="n">
        <v>67.19678078125094</v>
      </c>
      <c r="O5" t="n">
        <v>-0.135138888743082</v>
      </c>
      <c r="P5" t="n">
        <v>1.180194444610815</v>
      </c>
      <c r="Q5" t="n">
        <v>-0.1290434980017085</v>
      </c>
      <c r="R5" t="n">
        <v>-4.969999999849802</v>
      </c>
      <c r="S5" t="n">
        <v>-5.334999999827696</v>
      </c>
      <c r="T5" t="n">
        <v>-1.128333333186624</v>
      </c>
      <c r="U5" t="n">
        <v>4.971666666829578</v>
      </c>
      <c r="V5" t="n">
        <v>2.517009074446424</v>
      </c>
      <c r="W5" t="n">
        <v>0.127191771547819</v>
      </c>
      <c r="X5" t="n">
        <v>-0.0011682738163108</v>
      </c>
      <c r="Y5" t="n">
        <v>0.0046354120969771</v>
      </c>
      <c r="Z5" t="n">
        <v>0.0044324491050216</v>
      </c>
      <c r="AA5" t="n">
        <v>61.75156133912176</v>
      </c>
      <c r="AB5" t="n">
        <v>-0.1334722220764532</v>
      </c>
      <c r="AC5" t="n">
        <v>1.183527777944155</v>
      </c>
      <c r="AD5" t="n">
        <v>-0.2715107708074721</v>
      </c>
      <c r="AE5" t="n">
        <v>-4.968333333183173</v>
      </c>
      <c r="AF5" t="n">
        <v>-5.331666666494357</v>
      </c>
      <c r="AG5" t="n">
        <v>-0.3533333331873654</v>
      </c>
      <c r="AH5" t="n">
        <v>5.253333333496003</v>
      </c>
      <c r="AI5" t="n">
        <v>1.411282879784559</v>
      </c>
      <c r="AJ5" t="n">
        <v>0.0046354120969771</v>
      </c>
      <c r="AK5" t="n">
        <v>2.336871406546472</v>
      </c>
      <c r="AL5" t="n">
        <v>2.301870706481717</v>
      </c>
      <c r="AM5" t="n">
        <v>2.5264418383815</v>
      </c>
      <c r="AN5" t="n">
        <v>2.262988468997826</v>
      </c>
      <c r="AO5" t="n">
        <v>0.7048186952698755</v>
      </c>
      <c r="AP5" t="n">
        <v>47.708</v>
      </c>
      <c r="AQ5" t="n">
        <v>49.568</v>
      </c>
      <c r="AR5" t="n">
        <v>0.6222774232002257</v>
      </c>
      <c r="AS5" t="n">
        <v>0.8793021002648933</v>
      </c>
      <c r="AT5" t="n">
        <v>29.13192</v>
      </c>
      <c r="AU5" t="n">
        <v>162.8131186073412</v>
      </c>
      <c r="AV5" t="n">
        <v>0.1185336511653112</v>
      </c>
      <c r="AW5" t="n">
        <v>0.115688841683095</v>
      </c>
      <c r="AX5" t="n">
        <v>0.1136049105161196</v>
      </c>
      <c r="AY5" t="n">
        <v>0.1228443029997868</v>
      </c>
      <c r="AZ5" t="n">
        <v>0.1208756858884249</v>
      </c>
    </row>
    <row r="6">
      <c r="A6" t="inlineStr">
        <is>
          <t>Bayes_seq_CP</t>
        </is>
      </c>
      <c r="B6" t="inlineStr">
        <is>
          <t>42/2_LT_Fits</t>
        </is>
      </c>
      <c r="C6">
        <f>IF(ISNUMBER(D6),SUM(INDIRECT(_xlfn.CONCAT("e",ROW(),":e",ROW()+D6-1))),"")</f>
        <v/>
      </c>
      <c r="D6" t="n">
        <v>7</v>
      </c>
      <c r="E6">
        <f>AND(AX6&lt;$C$1,averaged_runs370!AQ6&lt;$C$1,averaged_runs126!AQ6&lt;$C$1)*1</f>
        <v/>
      </c>
      <c r="F6" s="2">
        <f>IF(TRUE,SQRT(averaged_runs126!AQ6^2/2+averaged_runs370!AQ6^2/2+AX6^2*0),"")</f>
        <v/>
      </c>
      <c r="G6" s="2" t="n"/>
      <c r="H6" s="2" t="n"/>
      <c r="I6" s="2" t="n"/>
      <c r="J6" t="inlineStr">
        <is>
          <t>c</t>
        </is>
      </c>
      <c r="K6" t="n">
        <v>65.23999999999999</v>
      </c>
      <c r="L6" t="n">
        <v>119.46</v>
      </c>
      <c r="M6" t="n">
        <v>-0.0047616235447893</v>
      </c>
      <c r="N6" t="n">
        <v>40.95922768000935</v>
      </c>
      <c r="O6" t="n">
        <v>1.395000000144423</v>
      </c>
      <c r="P6" t="n">
        <v>0.6866666668334801</v>
      </c>
      <c r="Q6" t="n">
        <v>0.1784905374053361</v>
      </c>
      <c r="R6" t="n">
        <v>1.395000000144423</v>
      </c>
      <c r="S6" t="n">
        <v>0.6866666668334801</v>
      </c>
      <c r="T6" t="n">
        <v>1.395000000144423</v>
      </c>
      <c r="U6" t="n">
        <v>0.6866666668334801</v>
      </c>
      <c r="V6" t="n">
        <v>2.619100222984608</v>
      </c>
      <c r="W6" t="n">
        <v>0.030851052871287</v>
      </c>
      <c r="X6" t="n">
        <v>-0.0229197496556498</v>
      </c>
      <c r="Y6" t="n">
        <v>0.0277669226438522</v>
      </c>
      <c r="Z6" t="n">
        <v>-0.0047616235447894</v>
      </c>
      <c r="AA6" t="n">
        <v>-23.02107742234469</v>
      </c>
      <c r="AB6" t="n">
        <v>1.396666666811052</v>
      </c>
      <c r="AC6" t="n">
        <v>0.6900000001668195</v>
      </c>
      <c r="AD6" t="n">
        <v>-0.0800198411041354</v>
      </c>
      <c r="AE6" t="n">
        <v>1.396666666811052</v>
      </c>
      <c r="AF6" t="n">
        <v>0.6900000001668195</v>
      </c>
      <c r="AG6" t="n">
        <v>1.396666666811052</v>
      </c>
      <c r="AH6" t="n">
        <v>0.6900000001668195</v>
      </c>
      <c r="AI6" t="n">
        <v>1.35954365076652</v>
      </c>
      <c r="AJ6" t="n">
        <v>0.0277669226438521</v>
      </c>
      <c r="AK6" t="n">
        <v>6.483204308519504</v>
      </c>
      <c r="AL6" t="n">
        <v>8.543227151104253</v>
      </c>
      <c r="AM6" t="n">
        <v>6.820230912110005</v>
      </c>
      <c r="AN6" t="n">
        <v>9.202589573084856</v>
      </c>
      <c r="AO6" t="n">
        <v>-0.595285666081684</v>
      </c>
      <c r="AP6" t="n">
        <v>13.76</v>
      </c>
      <c r="AQ6" t="n">
        <v>14.2</v>
      </c>
      <c r="AR6" s="1" t="n">
        <v>4.152275551306349e-07</v>
      </c>
      <c r="AS6" s="1" t="n">
        <v>5.595280560672179e-06</v>
      </c>
      <c r="AT6" t="n">
        <v>2.17364</v>
      </c>
      <c r="AU6" t="n">
        <v>-114.2948478876833</v>
      </c>
      <c r="AV6" t="n">
        <v>0.0680902214068804</v>
      </c>
      <c r="AW6" t="n">
        <v>0.0565748252393876</v>
      </c>
      <c r="AX6" t="n">
        <v>0.0554690944243712</v>
      </c>
      <c r="AY6" t="n">
        <v>0.067221639327694</v>
      </c>
      <c r="AZ6" t="n">
        <v>0.0626329371278868</v>
      </c>
    </row>
    <row r="7">
      <c r="A7" t="inlineStr">
        <is>
          <t>butterworth</t>
        </is>
      </c>
      <c r="B7" t="inlineStr">
        <is>
          <t>42/2_LT_Fits</t>
        </is>
      </c>
      <c r="C7">
        <f>IF(ISNUMBER(D7),SUM(INDIRECT(_xlfn.CONCAT("e",ROW(),":e",ROW()+D7-1))),"")</f>
        <v/>
      </c>
      <c r="E7">
        <f>AND(AX7&lt;$C$1,averaged_runs370!AQ7&lt;$C$1,averaged_runs126!AQ7&lt;$C$1)*1</f>
        <v/>
      </c>
      <c r="F7" s="2">
        <f>IF(TRUE,SQRT(averaged_runs126!AQ7^2/2+averaged_runs370!AQ7^2/2+AX7^2*0),"")</f>
        <v/>
      </c>
      <c r="G7" s="2">
        <f>IF(TRUE,averaged_runs126!AQ7,"")</f>
        <v/>
      </c>
      <c r="H7" s="2">
        <f>IF(TRUE,AX7,"")</f>
        <v/>
      </c>
      <c r="I7" s="2">
        <f>IF(TRUE,averaged_runs370!AQ7,"")</f>
        <v/>
      </c>
      <c r="J7" t="inlineStr">
        <is>
          <t>c</t>
        </is>
      </c>
      <c r="K7" t="n">
        <v>0.72</v>
      </c>
      <c r="L7" t="n">
        <v>1.38</v>
      </c>
      <c r="M7" t="n">
        <v>-0.0261808281906943</v>
      </c>
      <c r="N7" t="n">
        <v>74.84036106530716</v>
      </c>
      <c r="O7" t="n">
        <v>1.899722222366154</v>
      </c>
      <c r="P7" t="n">
        <v>0.6666666668335393</v>
      </c>
      <c r="Q7" t="n">
        <v>1.325506715672776</v>
      </c>
      <c r="R7" t="n">
        <v>0.7850000001449416</v>
      </c>
      <c r="S7" t="n">
        <v>-0.5933333331653102</v>
      </c>
      <c r="T7" t="n">
        <v>2.681666666809893</v>
      </c>
      <c r="U7" t="n">
        <v>0.8916666668333255</v>
      </c>
      <c r="V7" t="n">
        <v>2.156956247611152</v>
      </c>
      <c r="W7" t="n">
        <v>0.1463648094227577</v>
      </c>
      <c r="X7" t="n">
        <v>-0.0275781386009195</v>
      </c>
      <c r="Y7" t="n">
        <v>-0.0208635203711814</v>
      </c>
      <c r="Z7" t="n">
        <v>-0.0261808281906943</v>
      </c>
      <c r="AA7" t="n">
        <v>67.71737214734914</v>
      </c>
      <c r="AB7" t="n">
        <v>1.901388889032782</v>
      </c>
      <c r="AC7" t="n">
        <v>0.6700000001668787</v>
      </c>
      <c r="AD7" t="n">
        <v>1.310664682706746</v>
      </c>
      <c r="AE7" t="n">
        <v>0.7866666668115704</v>
      </c>
      <c r="AF7" t="n">
        <v>-0.5899999998319708</v>
      </c>
      <c r="AG7" t="n">
        <v>2.445000000143409</v>
      </c>
      <c r="AH7" t="n">
        <v>0.4533333335003954</v>
      </c>
      <c r="AI7" t="n">
        <v>1.767728174682879</v>
      </c>
      <c r="AJ7" t="n">
        <v>-0.0208635203711815</v>
      </c>
      <c r="AK7" t="n">
        <v>2.20705478193388</v>
      </c>
      <c r="AL7" t="n">
        <v>2.096519242212602</v>
      </c>
      <c r="AM7" t="n">
        <v>2.27864983432008</v>
      </c>
      <c r="AN7" t="n">
        <v>2.088943173162379</v>
      </c>
      <c r="AO7" t="n">
        <v>0.8323730592582802</v>
      </c>
      <c r="AP7" t="n">
        <v>23.65</v>
      </c>
      <c r="AQ7" t="n">
        <v>24.41</v>
      </c>
      <c r="AR7" t="n">
        <v>0.4118601671067465</v>
      </c>
      <c r="AS7" t="n">
        <v>0.9114406511224664</v>
      </c>
      <c r="AT7" t="n">
        <v>10.1321</v>
      </c>
      <c r="AU7" t="n">
        <v>118.1969744146758</v>
      </c>
      <c r="AV7" t="n">
        <v>0.0652239454498776</v>
      </c>
      <c r="AW7" t="n">
        <v>0.0607872095511604</v>
      </c>
      <c r="AX7" t="n">
        <v>0.0596505883991262</v>
      </c>
      <c r="AY7" t="n">
        <v>0.0745433246903167</v>
      </c>
      <c r="AZ7" t="n">
        <v>0.0735219109829688</v>
      </c>
    </row>
    <row r="8">
      <c r="A8" t="inlineStr">
        <is>
          <t>hinge75meet</t>
        </is>
      </c>
      <c r="B8" t="inlineStr">
        <is>
          <t>42/2_LT_Fits</t>
        </is>
      </c>
      <c r="C8">
        <f>IF(ISNUMBER(D8),SUM(INDIRECT(_xlfn.CONCAT("e",ROW(),":e",ROW()+D8-1))),"")</f>
        <v/>
      </c>
      <c r="E8">
        <f>AND(AX8&lt;$C$1,averaged_runs370!AQ8&lt;$C$1,averaged_runs126!AQ8&lt;$C$1)*1</f>
        <v/>
      </c>
      <c r="F8" s="2">
        <f>IF(TRUE,SQRT(averaged_runs126!AQ8^2/2+averaged_runs370!AQ8^2/2+AX8^2*0),"")</f>
        <v/>
      </c>
      <c r="G8" s="2" t="n"/>
      <c r="H8" s="2" t="n"/>
      <c r="I8" s="2" t="n"/>
      <c r="J8" t="inlineStr">
        <is>
          <t>c</t>
        </is>
      </c>
      <c r="K8" t="n">
        <v>9.32</v>
      </c>
      <c r="L8" t="n">
        <v>24.46</v>
      </c>
      <c r="M8" t="n">
        <v>0.0157633849947189</v>
      </c>
      <c r="N8" t="n">
        <v>112.113357101711</v>
      </c>
      <c r="O8" t="n">
        <v>0.3183333334786994</v>
      </c>
      <c r="P8" t="n">
        <v>0.4300000001670833</v>
      </c>
      <c r="Q8" t="n">
        <v>-0.6800824174171679</v>
      </c>
      <c r="R8" t="n">
        <v>0.3183333334786994</v>
      </c>
      <c r="S8" t="n">
        <v>0.4300000001670833</v>
      </c>
      <c r="T8" t="n">
        <v>0.3183333334786994</v>
      </c>
      <c r="U8" t="n">
        <v>0.4300000001670833</v>
      </c>
      <c r="V8" t="n">
        <v>2.788385608265706</v>
      </c>
      <c r="W8" t="n">
        <v>0.0602357633294118</v>
      </c>
      <c r="X8" t="n">
        <v>0.0104800693764615</v>
      </c>
      <c r="Y8" t="n">
        <v>0.0408350274774485</v>
      </c>
      <c r="Z8" t="n">
        <v>0.0157633849947189</v>
      </c>
      <c r="AA8" t="n">
        <v>98.42682459410187</v>
      </c>
      <c r="AB8" t="n">
        <v>0.3200000001453281</v>
      </c>
      <c r="AC8" t="n">
        <v>0.4333333335004227</v>
      </c>
      <c r="AD8" t="n">
        <v>-0.9747619045958272</v>
      </c>
      <c r="AE8" t="n">
        <v>0.3200000001453281</v>
      </c>
      <c r="AF8" t="n">
        <v>0.4333333335004227</v>
      </c>
      <c r="AG8" t="n">
        <v>0.3200000001453281</v>
      </c>
      <c r="AH8" t="n">
        <v>0.4333333335004227</v>
      </c>
      <c r="AI8" t="n">
        <v>1.94357142851732</v>
      </c>
      <c r="AJ8" t="n">
        <v>0.0408350274774485</v>
      </c>
      <c r="AK8" t="n">
        <v>5.351071803941482</v>
      </c>
      <c r="AL8" t="n">
        <v>6.217156025464742</v>
      </c>
      <c r="AM8" t="n">
        <v>6.141652469073117</v>
      </c>
      <c r="AN8" t="n">
        <v>6.578764328230514</v>
      </c>
      <c r="AO8" t="n">
        <v>1.203327868197172</v>
      </c>
      <c r="AP8" t="n">
        <v>13.58</v>
      </c>
      <c r="AQ8" t="n">
        <v>14</v>
      </c>
      <c r="AR8" t="n">
        <v>0.0599341220389714</v>
      </c>
      <c r="AS8" t="n">
        <v>0.1460611633062765</v>
      </c>
      <c r="AT8" t="n">
        <v>1.70804</v>
      </c>
      <c r="AU8" t="n">
        <v>187.7191474387589</v>
      </c>
      <c r="AV8" t="n">
        <v>0.0581411634527849</v>
      </c>
      <c r="AW8" t="n">
        <v>0.0567970188653569</v>
      </c>
      <c r="AX8" t="n">
        <v>0.0618245219123149</v>
      </c>
      <c r="AY8" t="n">
        <v>0.0659466870191581</v>
      </c>
      <c r="AZ8" t="n">
        <v>0.06681735920945089</v>
      </c>
    </row>
    <row r="9">
      <c r="A9" t="inlineStr">
        <is>
          <t>OLS_hinge75</t>
        </is>
      </c>
      <c r="B9" t="inlineStr">
        <is>
          <t>42/2_LT_Fits</t>
        </is>
      </c>
      <c r="C9">
        <f>IF(ISNUMBER(D9),SUM(INDIRECT(_xlfn.CONCAT("e",ROW(),":e",ROW()+D9-1))),"")</f>
        <v/>
      </c>
      <c r="E9">
        <f>AND(AX9&lt;$C$1,averaged_runs370!AQ9&lt;$C$1,averaged_runs126!AQ9&lt;$C$1)*1</f>
        <v/>
      </c>
      <c r="F9" s="2">
        <f>IF(TRUE,SQRT(averaged_runs126!AQ9^2/2+averaged_runs370!AQ9^2/2+AX9^2*0),"")</f>
        <v/>
      </c>
      <c r="G9" s="2" t="n"/>
      <c r="H9" s="2" t="n"/>
      <c r="I9" s="2" t="n"/>
      <c r="J9" t="inlineStr">
        <is>
          <t>c</t>
        </is>
      </c>
      <c r="K9" t="n">
        <v>24.86</v>
      </c>
      <c r="L9" t="n">
        <v>65.59999999999999</v>
      </c>
      <c r="M9" t="n">
        <v>0.0048653681473728</v>
      </c>
      <c r="N9" t="n">
        <v>57.83823907833925</v>
      </c>
      <c r="O9" t="n">
        <v>0.9516666668114748</v>
      </c>
      <c r="P9" t="n">
        <v>0.6083333335002135</v>
      </c>
      <c r="Q9" t="n">
        <v>-0.2139835163185451</v>
      </c>
      <c r="R9" t="n">
        <v>0.9516666668114748</v>
      </c>
      <c r="S9" t="n">
        <v>0.6083333335002135</v>
      </c>
      <c r="T9" t="n">
        <v>0.9516666668114748</v>
      </c>
      <c r="U9" t="n">
        <v>0.6083333335002135</v>
      </c>
      <c r="V9" t="n">
        <v>2.657914757150166</v>
      </c>
      <c r="W9" t="n">
        <v>0.0359283333526958</v>
      </c>
      <c r="X9" t="n">
        <v>-0.0010032349004479</v>
      </c>
      <c r="Y9" t="n">
        <v>0.0340399337142544</v>
      </c>
      <c r="Z9" t="n">
        <v>0.0048653681473728</v>
      </c>
      <c r="AA9" t="n">
        <v>19.61749596605889</v>
      </c>
      <c r="AB9" t="n">
        <v>0.9533333334781036</v>
      </c>
      <c r="AC9" t="n">
        <v>0.6116666668335529</v>
      </c>
      <c r="AD9" t="n">
        <v>-0.5023809522151285</v>
      </c>
      <c r="AE9" t="n">
        <v>0.9533333334781036</v>
      </c>
      <c r="AF9" t="n">
        <v>0.6116666668335529</v>
      </c>
      <c r="AG9" t="n">
        <v>0.9533333334781036</v>
      </c>
      <c r="AH9" t="n">
        <v>0.6116666668335529</v>
      </c>
      <c r="AI9" t="n">
        <v>1.448809523762359</v>
      </c>
      <c r="AJ9" t="n">
        <v>0.0340399337142544</v>
      </c>
      <c r="AK9" t="n">
        <v>7.271346607938321</v>
      </c>
      <c r="AL9" t="n">
        <v>8.832942465223143</v>
      </c>
      <c r="AM9" t="n">
        <v>8.160418507864495</v>
      </c>
      <c r="AN9" t="n">
        <v>9.584450521095755</v>
      </c>
      <c r="AO9" t="n">
        <v>0.5164269402923702</v>
      </c>
      <c r="AP9" t="n">
        <v>13.58</v>
      </c>
      <c r="AQ9" t="n">
        <v>14</v>
      </c>
      <c r="AR9" t="n">
        <v>0.0002622063391489</v>
      </c>
      <c r="AS9" t="n">
        <v>0.0055938012631238</v>
      </c>
      <c r="AT9" t="n">
        <v>2.07002</v>
      </c>
      <c r="AU9" t="n">
        <v>80.56260268560976</v>
      </c>
      <c r="AV9" t="n">
        <v>0.0583326575212997</v>
      </c>
      <c r="AW9" t="n">
        <v>0.053875809184158</v>
      </c>
      <c r="AX9" t="n">
        <v>0.0568641517264896</v>
      </c>
      <c r="AY9" t="n">
        <v>0.06262092620151891</v>
      </c>
      <c r="AZ9" t="n">
        <v>0.0616688566634965</v>
      </c>
    </row>
    <row r="10">
      <c r="A10" t="inlineStr">
        <is>
          <t>OLS_refit</t>
        </is>
      </c>
      <c r="B10" t="inlineStr">
        <is>
          <t>42/2_LT_Fits</t>
        </is>
      </c>
      <c r="C10">
        <f>IF(ISNUMBER(D10),SUM(INDIRECT(_xlfn.CONCAT("e",ROW(),":e",ROW()+D10-1))),"")</f>
        <v/>
      </c>
      <c r="E10">
        <f>AND(AX10&lt;$C$1,averaged_runs370!AQ10&lt;$C$1,averaged_runs126!AQ10&lt;$C$1)*1</f>
        <v/>
      </c>
      <c r="F10" s="2">
        <f>IF(TRUE,SQRT(averaged_runs126!AQ10^2/2+averaged_runs370!AQ10^2/2+AX10^2*0),"")</f>
        <v/>
      </c>
      <c r="G10" s="2" t="n"/>
      <c r="H10" s="2" t="n"/>
      <c r="I10" s="2" t="n"/>
      <c r="J10" t="inlineStr">
        <is>
          <t>c</t>
        </is>
      </c>
      <c r="K10" t="n">
        <v>119.68</v>
      </c>
      <c r="L10" t="n">
        <v>131.52</v>
      </c>
      <c r="M10" t="n">
        <v>-0.2613315185248854</v>
      </c>
      <c r="N10" t="n">
        <v>-2762.168927845953</v>
      </c>
      <c r="O10" t="n">
        <v>14.77500000013222</v>
      </c>
      <c r="P10" t="n">
        <v>15.80500000015309</v>
      </c>
      <c r="Q10" t="n">
        <v>14.536584249242</v>
      </c>
      <c r="R10" t="n">
        <v>14.77500000013222</v>
      </c>
      <c r="S10" t="n">
        <v>15.80500000015309</v>
      </c>
      <c r="T10" t="n">
        <v>14.77500000013222</v>
      </c>
      <c r="U10" t="n">
        <v>15.80500000015309</v>
      </c>
      <c r="V10" t="n">
        <v>14.65114761429281</v>
      </c>
      <c r="W10" t="n">
        <v>0.0317808560134537</v>
      </c>
      <c r="X10" t="n">
        <v>-0.1773015706304848</v>
      </c>
      <c r="Y10" t="n">
        <v>-0.2544610937697421</v>
      </c>
      <c r="Z10" t="n">
        <v>-0.2613315185248854</v>
      </c>
      <c r="AA10" t="n">
        <v>-2811.869156604028</v>
      </c>
      <c r="AB10" t="n">
        <v>14.77666666679885</v>
      </c>
      <c r="AC10" t="n">
        <v>15.80833333348642</v>
      </c>
      <c r="AD10" t="n">
        <v>14.54952380967731</v>
      </c>
      <c r="AE10" t="n">
        <v>14.77666666679885</v>
      </c>
      <c r="AF10" t="n">
        <v>15.80833333348642</v>
      </c>
      <c r="AG10" t="n">
        <v>14.77666666679885</v>
      </c>
      <c r="AH10" t="n">
        <v>15.80833333348642</v>
      </c>
      <c r="AI10" t="n">
        <v>14.54952380967731</v>
      </c>
      <c r="AJ10" t="n">
        <v>-0.2544610937697422</v>
      </c>
      <c r="AK10" s="1" t="n">
        <v>1.351687643940597e-07</v>
      </c>
      <c r="AL10" s="1" t="n">
        <v>1.048039993479625e-10</v>
      </c>
      <c r="AM10" s="1" t="n">
        <v>1.275453400340313e-12</v>
      </c>
      <c r="AN10" s="1" t="n">
        <v>4.005533065757867e-12</v>
      </c>
      <c r="AO10" t="n">
        <v>-20.53653190567089</v>
      </c>
      <c r="AP10" t="n">
        <v>13.56</v>
      </c>
      <c r="AQ10" t="n">
        <v>13.74</v>
      </c>
      <c r="AR10" s="1" t="n">
        <v>1.071092663589323e-16</v>
      </c>
      <c r="AS10" s="1" t="n">
        <v>1.080210856927838e-16</v>
      </c>
      <c r="AT10" t="n">
        <v>0.7652800000000001</v>
      </c>
      <c r="AU10" t="n">
        <v>-2895.650998699595</v>
      </c>
      <c r="AV10" t="n">
        <v>0.2215745100166787</v>
      </c>
      <c r="AW10" t="n">
        <v>0.2672081831839346</v>
      </c>
      <c r="AX10" t="n">
        <v>0.2763897264579532</v>
      </c>
      <c r="AY10" t="n">
        <v>0.2684013360394243</v>
      </c>
      <c r="AZ10" t="n">
        <v>0.2771480410738952</v>
      </c>
    </row>
    <row r="11">
      <c r="A11" t="inlineStr">
        <is>
          <t>quartic</t>
        </is>
      </c>
      <c r="B11" t="inlineStr">
        <is>
          <t>42/2_LT_Fits</t>
        </is>
      </c>
      <c r="C11">
        <f>IF(ISNUMBER(D11),SUM(INDIRECT(_xlfn.CONCAT("e",ROW(),":e",ROW()+D11-1))),"")</f>
        <v/>
      </c>
      <c r="E11">
        <f>AND(AX11&lt;$C$1,averaged_runs370!AQ11&lt;$C$1,averaged_runs126!AQ11&lt;$C$1)*1</f>
        <v/>
      </c>
      <c r="F11" s="2">
        <f>IF(TRUE,SQRT(averaged_runs126!AQ11^2/2+averaged_runs370!AQ11^2/2+AX11^2*0),"")</f>
        <v/>
      </c>
      <c r="G11" s="2" t="n"/>
      <c r="H11" s="2" t="n"/>
      <c r="I11" s="2" t="n"/>
      <c r="J11" t="inlineStr">
        <is>
          <t>c</t>
        </is>
      </c>
      <c r="K11" t="n">
        <v>23.8</v>
      </c>
      <c r="L11" t="n">
        <v>91.31999999999999</v>
      </c>
      <c r="M11" t="n">
        <v>0.07230804255394729</v>
      </c>
      <c r="N11" t="n">
        <v>35.0611090164677</v>
      </c>
      <c r="O11" t="n">
        <v>-4.354999999850361</v>
      </c>
      <c r="P11" t="n">
        <v>-3.972499999828914</v>
      </c>
      <c r="Q11" t="n">
        <v>-4.501776556608071</v>
      </c>
      <c r="R11" t="n">
        <v>-4.441666666516953</v>
      </c>
      <c r="S11" t="n">
        <v>-4.02499999982887</v>
      </c>
      <c r="T11" t="n">
        <v>-4.441666666516953</v>
      </c>
      <c r="U11" t="n">
        <v>-4.02499999982887</v>
      </c>
      <c r="V11" t="n">
        <v>5.181585099097053</v>
      </c>
      <c r="W11" t="n">
        <v>0.050127230900368</v>
      </c>
      <c r="X11" t="n">
        <v>0.0314141362598185</v>
      </c>
      <c r="Y11" t="n">
        <v>0.07361309483616101</v>
      </c>
      <c r="Z11" t="n">
        <v>0.07230804255394729</v>
      </c>
      <c r="AA11" t="n">
        <v>-8.664883364905192</v>
      </c>
      <c r="AB11" t="n">
        <v>-4.353333333183732</v>
      </c>
      <c r="AC11" t="n">
        <v>-3.969166666495576</v>
      </c>
      <c r="AD11" t="n">
        <v>-4.527380952211637</v>
      </c>
      <c r="AE11" t="n">
        <v>-4.439999999850325</v>
      </c>
      <c r="AF11" t="n">
        <v>-4.021666666495531</v>
      </c>
      <c r="AG11" t="n">
        <v>-4.439999999850325</v>
      </c>
      <c r="AH11" t="n">
        <v>-3.916666666495621</v>
      </c>
      <c r="AI11" t="n">
        <v>4.593333333176665</v>
      </c>
      <c r="AJ11" t="n">
        <v>0.07361309483616101</v>
      </c>
      <c r="AK11" t="n">
        <v>2.859132428315628</v>
      </c>
      <c r="AL11" t="n">
        <v>3.07281821377878</v>
      </c>
      <c r="AM11" t="n">
        <v>2.702259702634484</v>
      </c>
      <c r="AN11" t="n">
        <v>2.376426061273788</v>
      </c>
      <c r="AO11" t="n">
        <v>0.5824511814592437</v>
      </c>
      <c r="AP11" t="n">
        <v>14.112</v>
      </c>
      <c r="AQ11" t="n">
        <v>14.612</v>
      </c>
      <c r="AR11" t="n">
        <v>0.0346893859559418</v>
      </c>
      <c r="AS11" t="n">
        <v>0.0704987631374862</v>
      </c>
      <c r="AT11" t="n">
        <v>3.04846</v>
      </c>
      <c r="AU11" t="n">
        <v>82.12561658575336</v>
      </c>
      <c r="AV11" t="n">
        <v>0.083762639628187</v>
      </c>
      <c r="AW11" t="n">
        <v>0.0858110674723645</v>
      </c>
      <c r="AX11" t="n">
        <v>0.0878405592018565</v>
      </c>
      <c r="AY11" t="n">
        <v>0.09685943245932881</v>
      </c>
      <c r="AZ11" t="n">
        <v>0.0971654895291589</v>
      </c>
    </row>
    <row r="12">
      <c r="A12" t="inlineStr">
        <is>
          <t>TheilSen_h7075</t>
        </is>
      </c>
      <c r="B12" t="inlineStr">
        <is>
          <t>42/2_LT_Fits</t>
        </is>
      </c>
      <c r="C12">
        <f>IF(ISNUMBER(D12),SUM(INDIRECT(_xlfn.CONCAT("e",ROW(),":e",ROW()+D12-1))),"")</f>
        <v/>
      </c>
      <c r="E12">
        <f>AND(AX12&lt;$C$1,averaged_runs370!AQ12&lt;$C$1,averaged_runs126!AQ12&lt;$C$1)*1</f>
        <v/>
      </c>
      <c r="F12" s="2">
        <f>IF(TRUE,SQRT(averaged_runs126!AQ12^2/2+averaged_runs370!AQ12^2/2+AX12^2*0),"")</f>
        <v/>
      </c>
      <c r="G12" s="2">
        <f>IF(E12,averaged_runs126!AP11,"")</f>
        <v/>
      </c>
      <c r="H12" s="2">
        <f>IF(E12,AW12,"")</f>
        <v/>
      </c>
      <c r="I12" s="2">
        <f>IF(E12,averaged_runs370!AP11,"")</f>
        <v/>
      </c>
      <c r="J12" t="inlineStr">
        <is>
          <t>c</t>
        </is>
      </c>
      <c r="K12" t="n">
        <v>33.02</v>
      </c>
      <c r="L12" t="n">
        <v>81.18000000000001</v>
      </c>
      <c r="M12" t="n">
        <v>-0.0171709250098903</v>
      </c>
      <c r="N12" t="n">
        <v>-10.38401103886696</v>
      </c>
      <c r="O12" t="n">
        <v>1.136666666811311</v>
      </c>
      <c r="P12" t="n">
        <v>1.913333333499031</v>
      </c>
      <c r="Q12" t="n">
        <v>0.7682692309339937</v>
      </c>
      <c r="R12" t="n">
        <v>1.136666666811311</v>
      </c>
      <c r="S12" t="n">
        <v>1.913333333499031</v>
      </c>
      <c r="T12" t="n">
        <v>1.136666666811311</v>
      </c>
      <c r="U12" t="n">
        <v>1.913333333499031</v>
      </c>
      <c r="V12" t="n">
        <v>3.166073745685145</v>
      </c>
      <c r="W12" t="n">
        <v>0.0366158489588317</v>
      </c>
      <c r="X12" t="n">
        <v>-0.0159583823279452</v>
      </c>
      <c r="Y12" t="n">
        <v>0.0103482773539298</v>
      </c>
      <c r="Z12" t="n">
        <v>-0.0171709250098903</v>
      </c>
      <c r="AA12" t="n">
        <v>-35.68332335755897</v>
      </c>
      <c r="AB12" t="n">
        <v>1.13833333347794</v>
      </c>
      <c r="AC12" t="n">
        <v>1.91666666683237</v>
      </c>
      <c r="AD12" t="n">
        <v>0.4846428573083955</v>
      </c>
      <c r="AE12" t="n">
        <v>1.13833333347794</v>
      </c>
      <c r="AF12" t="n">
        <v>1.91666666683237</v>
      </c>
      <c r="AG12" t="n">
        <v>1.13833333347794</v>
      </c>
      <c r="AH12" t="n">
        <v>1.91666666683237</v>
      </c>
      <c r="AI12" t="n">
        <v>1.802500000045189</v>
      </c>
      <c r="AJ12" t="n">
        <v>0.0103482773539297</v>
      </c>
      <c r="AK12" t="n">
        <v>5.477871763835546</v>
      </c>
      <c r="AL12" t="n">
        <v>5.764444072721987</v>
      </c>
      <c r="AM12" t="n">
        <v>5.701162286207125</v>
      </c>
      <c r="AN12" t="n">
        <v>5.346987895388581</v>
      </c>
      <c r="AO12" t="n">
        <v>0.4818778342398158</v>
      </c>
      <c r="AP12" t="n">
        <v>13.58</v>
      </c>
      <c r="AQ12" t="n">
        <v>14</v>
      </c>
      <c r="AR12" t="n">
        <v>0.0043433348262067</v>
      </c>
      <c r="AS12" t="n">
        <v>0.0273646138041747</v>
      </c>
      <c r="AT12" t="n">
        <v>2.1062</v>
      </c>
      <c r="AU12" t="n">
        <v>75.17294214141127</v>
      </c>
      <c r="AV12" t="n">
        <v>0.06706630154187029</v>
      </c>
      <c r="AW12" t="n">
        <v>0.071212754243484</v>
      </c>
      <c r="AX12" t="n">
        <v>0.0675853556730055</v>
      </c>
      <c r="AY12" t="n">
        <v>0.0764384894662874</v>
      </c>
      <c r="AZ12" t="n">
        <v>0.0691490192823781</v>
      </c>
    </row>
    <row r="13">
      <c r="A13" t="inlineStr">
        <is>
          <t>etrend15y</t>
        </is>
      </c>
      <c r="B13" t="inlineStr">
        <is>
          <t>42/3_ST_Fits</t>
        </is>
      </c>
      <c r="C13">
        <f>IF(ISNUMBER(D13),SUM(INDIRECT(_xlfn.CONCAT("e",ROW(),":e",ROW()+D13-1))),"")</f>
        <v/>
      </c>
      <c r="D13" t="n">
        <v>15</v>
      </c>
      <c r="E13">
        <f>AND(AX13&lt;$C$1,averaged_runs370!AQ13&lt;$C$1,averaged_runs126!AQ13&lt;$C$1)*1</f>
        <v/>
      </c>
      <c r="F13" s="2">
        <f>IF(TRUE,SQRT(averaged_runs126!AQ13^2/2+averaged_runs370!AQ13^2/2+AX13^2*0),"")</f>
        <v/>
      </c>
      <c r="G13" s="2">
        <f>IF(E13,averaged_runs126!AQ13,"")</f>
        <v/>
      </c>
      <c r="H13" s="2">
        <f>IF(E13,AX13,"")</f>
        <v/>
      </c>
      <c r="I13" s="2">
        <f>IF(E13,averaged_runs370!AQ13,"")</f>
        <v/>
      </c>
      <c r="J13" t="inlineStr">
        <is>
          <t>c</t>
        </is>
      </c>
      <c r="K13" t="n">
        <v>5.74</v>
      </c>
      <c r="L13" t="n">
        <v>31.54</v>
      </c>
      <c r="M13" t="n">
        <v>0.0064456428747909</v>
      </c>
      <c r="N13" t="n">
        <v>126.5532777244349</v>
      </c>
      <c r="O13" t="n">
        <v>0.1680555557010681</v>
      </c>
      <c r="P13" t="n">
        <v>-0.6724999998319465</v>
      </c>
      <c r="Q13" t="n">
        <v>-0.2216288154621633</v>
      </c>
      <c r="R13" t="n">
        <v>-0.566666666520482</v>
      </c>
      <c r="S13" t="n">
        <v>-1.463333333164555</v>
      </c>
      <c r="T13" t="n">
        <v>0.1983333334788176</v>
      </c>
      <c r="U13" t="n">
        <v>-0.8749999998317617</v>
      </c>
      <c r="V13" t="n">
        <v>1.993556516168208</v>
      </c>
      <c r="W13" t="n">
        <v>0.0583152071483387</v>
      </c>
      <c r="X13" t="n">
        <v>-0.0018114126963016</v>
      </c>
      <c r="Y13" t="n">
        <v>0.0088992033243178</v>
      </c>
      <c r="Z13" t="n">
        <v>0.0064456428747909</v>
      </c>
      <c r="AA13" t="n">
        <v>93.03125026995362</v>
      </c>
      <c r="AB13" t="n">
        <v>0.1697222223676968</v>
      </c>
      <c r="AC13" t="n">
        <v>-0.6691666664986073</v>
      </c>
      <c r="AD13" t="n">
        <v>-0.2999464284038377</v>
      </c>
      <c r="AE13" t="n">
        <v>-0.5649999998538533</v>
      </c>
      <c r="AF13" t="n">
        <v>-1.459999999831216</v>
      </c>
      <c r="AG13" t="n">
        <v>0.3150000001453372</v>
      </c>
      <c r="AH13" t="n">
        <v>-1.196666666498122</v>
      </c>
      <c r="AI13" t="n">
        <v>1.3464027777572</v>
      </c>
      <c r="AJ13" t="n">
        <v>0.0088992033243178</v>
      </c>
      <c r="AK13" t="n">
        <v>4.5582681702375</v>
      </c>
      <c r="AL13" t="n">
        <v>3.934863289154016</v>
      </c>
      <c r="AM13" t="n">
        <v>5.071808865772916</v>
      </c>
      <c r="AN13" t="n">
        <v>5.238252892266249</v>
      </c>
      <c r="AO13" t="n">
        <v>1.173944406104479</v>
      </c>
      <c r="AP13" t="n">
        <v>18.43</v>
      </c>
      <c r="AQ13" t="n">
        <v>19.11</v>
      </c>
      <c r="AR13" t="n">
        <v>0.1277139692570248</v>
      </c>
      <c r="AS13" t="n">
        <v>0.227927350068696</v>
      </c>
      <c r="AT13" t="n">
        <v>5.71256</v>
      </c>
      <c r="AU13" t="n">
        <v>266.4853801857166</v>
      </c>
      <c r="AV13" t="n">
        <v>0.0667502626305348</v>
      </c>
      <c r="AW13" t="n">
        <v>0.057491124236911</v>
      </c>
      <c r="AX13" t="n">
        <v>0.0538638393092419</v>
      </c>
      <c r="AY13" t="n">
        <v>0.0744667638823521</v>
      </c>
      <c r="AZ13" t="n">
        <v>0.0714413798163455</v>
      </c>
    </row>
    <row r="14">
      <c r="A14" t="inlineStr">
        <is>
          <t>etrend30y</t>
        </is>
      </c>
      <c r="B14" t="inlineStr">
        <is>
          <t>42/3_ST_Fits</t>
        </is>
      </c>
      <c r="C14">
        <f>IF(ISNUMBER(D14),SUM(INDIRECT(_xlfn.CONCAT("e",ROW(),":e",ROW()+D14-1))),"")</f>
        <v/>
      </c>
      <c r="E14">
        <f>AND(AX14&lt;$C$1,averaged_runs370!AQ14&lt;$C$1,averaged_runs126!AQ14&lt;$C$1)*1</f>
        <v/>
      </c>
      <c r="F14" s="2">
        <f>IF(TRUE,SQRT(averaged_runs126!AQ14^2/2+averaged_runs370!AQ14^2/2+AX14^2*0),"")</f>
        <v/>
      </c>
      <c r="G14" s="2">
        <f>IF(E14,averaged_runs126!AQ14,"")</f>
        <v/>
      </c>
      <c r="H14" s="2">
        <f>IF(E14,AX14,"")</f>
        <v/>
      </c>
      <c r="I14" s="2">
        <f>IF(E14,averaged_runs370!AQ14,"")</f>
        <v/>
      </c>
      <c r="J14" t="inlineStr">
        <is>
          <t>c</t>
        </is>
      </c>
      <c r="K14" t="n">
        <v>4.36</v>
      </c>
      <c r="L14" t="n">
        <v>30.12</v>
      </c>
      <c r="M14" t="n">
        <v>0.0061584543928275</v>
      </c>
      <c r="N14" t="n">
        <v>155.585854682489</v>
      </c>
      <c r="O14" t="n">
        <v>0.7975000001449553</v>
      </c>
      <c r="P14" t="n">
        <v>-0.8441666664984586</v>
      </c>
      <c r="Q14" t="n">
        <v>-0.5605860804195029</v>
      </c>
      <c r="R14" t="n">
        <v>0.6950000001450508</v>
      </c>
      <c r="S14" t="n">
        <v>-0.8849999998317526</v>
      </c>
      <c r="T14" t="n">
        <v>0.9000000001448598</v>
      </c>
      <c r="U14" t="n">
        <v>-0.8033333331651648</v>
      </c>
      <c r="V14" t="n">
        <v>2.334262827707992</v>
      </c>
      <c r="W14" t="n">
        <v>0.0440167227930267</v>
      </c>
      <c r="X14" t="n">
        <v>-0.0048702144392151</v>
      </c>
      <c r="Y14" t="n">
        <v>0.0205272551005885</v>
      </c>
      <c r="Z14" t="n">
        <v>0.0061584543928275</v>
      </c>
      <c r="AA14" t="n">
        <v>109.5242930816896</v>
      </c>
      <c r="AB14" t="n">
        <v>0.799166666811584</v>
      </c>
      <c r="AC14" t="n">
        <v>-0.8408333331651192</v>
      </c>
      <c r="AD14" t="n">
        <v>-0.6072817458640631</v>
      </c>
      <c r="AE14" t="n">
        <v>0.6966666668116795</v>
      </c>
      <c r="AF14" t="n">
        <v>-0.8816666664984132</v>
      </c>
      <c r="AG14" t="n">
        <v>0.8150000001449007</v>
      </c>
      <c r="AH14" t="n">
        <v>-0.7999999998318253</v>
      </c>
      <c r="AI14" t="n">
        <v>1.43652777773061</v>
      </c>
      <c r="AJ14" t="n">
        <v>0.0205272551005884</v>
      </c>
      <c r="AK14" t="n">
        <v>5.671764270424733</v>
      </c>
      <c r="AL14" t="n">
        <v>4.753359039975106</v>
      </c>
      <c r="AM14" t="n">
        <v>6.321368479446078</v>
      </c>
      <c r="AN14" t="n">
        <v>6.649451341715179</v>
      </c>
      <c r="AO14" t="n">
        <v>1.462306933192147</v>
      </c>
      <c r="AP14" t="n">
        <v>14.712</v>
      </c>
      <c r="AQ14" t="n">
        <v>15.332</v>
      </c>
      <c r="AR14" t="n">
        <v>0.1599245804744324</v>
      </c>
      <c r="AS14" t="n">
        <v>0.2098323720280679</v>
      </c>
      <c r="AT14" t="n">
        <v>2.97912</v>
      </c>
      <c r="AU14" t="n">
        <v>310.0090698367352</v>
      </c>
      <c r="AV14" t="n">
        <v>0.0529254634928334</v>
      </c>
      <c r="AW14" t="n">
        <v>0.0432085997239088</v>
      </c>
      <c r="AX14" t="n">
        <v>0.0419475236081859</v>
      </c>
      <c r="AY14" t="n">
        <v>0.0607885238574515</v>
      </c>
      <c r="AZ14" t="n">
        <v>0.0587850413712788</v>
      </c>
    </row>
    <row r="15">
      <c r="A15" t="inlineStr">
        <is>
          <t>etrend30y_3CS</t>
        </is>
      </c>
      <c r="B15" t="inlineStr">
        <is>
          <t>42/3_ST_Fits</t>
        </is>
      </c>
      <c r="C15">
        <f>IF(ISNUMBER(D15),SUM(INDIRECT(_xlfn.CONCAT("e",ROW(),":e",ROW()+D15-1))),"")</f>
        <v/>
      </c>
      <c r="E15">
        <f>AND(AX15&lt;$C$1,averaged_runs370!AQ15&lt;$C$1,averaged_runs126!AQ15&lt;$C$1)*1</f>
        <v/>
      </c>
      <c r="F15" s="2">
        <f>IF(TRUE,SQRT(averaged_runs126!AQ15^2/2+averaged_runs370!AQ15^2/2+AX15^2*0),"")</f>
        <v/>
      </c>
      <c r="G15" s="2">
        <f>IF(E15,averaged_runs126!AQ15,"")</f>
        <v/>
      </c>
      <c r="H15" s="2">
        <f>IF(E15,AX15,"")</f>
        <v/>
      </c>
      <c r="I15" s="2">
        <f>IF(E15,averaged_runs370!AQ15,"")</f>
        <v/>
      </c>
      <c r="J15" t="inlineStr">
        <is>
          <t>c</t>
        </is>
      </c>
      <c r="K15" t="n">
        <v>12.12</v>
      </c>
      <c r="L15" t="n">
        <v>55.54</v>
      </c>
      <c r="M15" t="n">
        <v>-0.0169054396150806</v>
      </c>
      <c r="N15" t="n">
        <v>110.7332193889164</v>
      </c>
      <c r="O15" t="n">
        <v>0.7975000001449553</v>
      </c>
      <c r="P15" t="n">
        <v>-0.8441666664984586</v>
      </c>
      <c r="Q15" t="n">
        <v>-0.1178495114333412</v>
      </c>
      <c r="R15" t="n">
        <v>0.6950000001450508</v>
      </c>
      <c r="S15" t="n">
        <v>-0.8849999998317526</v>
      </c>
      <c r="T15" t="n">
        <v>0.9000000001448598</v>
      </c>
      <c r="U15" t="n">
        <v>-0.8033333331651648</v>
      </c>
      <c r="V15" t="n">
        <v>2.354941318914482</v>
      </c>
      <c r="W15" t="n">
        <v>0.0440167227930267</v>
      </c>
      <c r="X15" t="n">
        <v>-0.0147702821501568</v>
      </c>
      <c r="Y15" t="n">
        <v>0.0205272551005885</v>
      </c>
      <c r="Z15" t="n">
        <v>-0.0169054396150806</v>
      </c>
      <c r="AA15" t="n">
        <v>84.4490975328013</v>
      </c>
      <c r="AB15" t="n">
        <v>0.799166666811584</v>
      </c>
      <c r="AC15" t="n">
        <v>-0.8408333331651192</v>
      </c>
      <c r="AD15" t="n">
        <v>-0.1730952379279547</v>
      </c>
      <c r="AE15" t="n">
        <v>0.6966666668116795</v>
      </c>
      <c r="AF15" t="n">
        <v>-0.8816666664984132</v>
      </c>
      <c r="AG15" t="n">
        <v>0.8150000001449007</v>
      </c>
      <c r="AH15" t="n">
        <v>-0.7999999998318253</v>
      </c>
      <c r="AI15" t="n">
        <v>1.20246031744666</v>
      </c>
      <c r="AJ15" t="n">
        <v>0.0205272551005884</v>
      </c>
      <c r="AK15" t="n">
        <v>5.671764270424733</v>
      </c>
      <c r="AL15" t="n">
        <v>4.753359039975106</v>
      </c>
      <c r="AM15" t="n">
        <v>6.321368479446078</v>
      </c>
      <c r="AN15" t="n">
        <v>6.649451341715179</v>
      </c>
      <c r="AO15" t="n">
        <v>1.250737898788503</v>
      </c>
      <c r="AP15" t="n">
        <v>14.692</v>
      </c>
      <c r="AQ15" t="n">
        <v>15.312</v>
      </c>
      <c r="AR15" t="n">
        <v>0.0661544708207205</v>
      </c>
      <c r="AS15" t="n">
        <v>0.0968259457804595</v>
      </c>
      <c r="AT15" t="n">
        <v>3.14716</v>
      </c>
      <c r="AU15" t="n">
        <v>265.1564345431626</v>
      </c>
      <c r="AV15" t="n">
        <v>0.061727039699151</v>
      </c>
      <c r="AW15" t="n">
        <v>0.06494541096953189</v>
      </c>
      <c r="AX15" t="n">
        <v>0.0419475236081859</v>
      </c>
      <c r="AY15" t="n">
        <v>0.07077845701118619</v>
      </c>
      <c r="AZ15" t="n">
        <v>0.0587850413712788</v>
      </c>
    </row>
    <row r="16">
      <c r="A16" t="inlineStr">
        <is>
          <t>lowess1dg20wnc</t>
        </is>
      </c>
      <c r="B16" t="inlineStr">
        <is>
          <t>42/3_ST_Fits</t>
        </is>
      </c>
      <c r="C16">
        <f>IF(ISNUMBER(D16),SUM(INDIRECT(_xlfn.CONCAT("e",ROW(),":e",ROW()+D16-1))),"")</f>
        <v/>
      </c>
      <c r="E16">
        <f>AND(AX16&lt;$C$1,averaged_runs370!AQ16&lt;$C$1,averaged_runs126!AQ16&lt;$C$1)*1</f>
        <v/>
      </c>
      <c r="F16" s="2">
        <f>IF(TRUE,SQRT(averaged_runs126!AQ16^2/2+averaged_runs370!AQ16^2/2+AX16^2*0),"")</f>
        <v/>
      </c>
      <c r="G16" s="2">
        <f>IF(E16,averaged_runs126!AQ16,"")</f>
        <v/>
      </c>
      <c r="H16" s="2">
        <f>IF(E16,AX16,"")</f>
        <v/>
      </c>
      <c r="I16" s="2">
        <f>IF(E16,averaged_runs370!AQ16,"")</f>
        <v/>
      </c>
      <c r="J16" t="inlineStr">
        <is>
          <t>c</t>
        </is>
      </c>
      <c r="K16" t="n">
        <v>0.96</v>
      </c>
      <c r="L16" t="n">
        <v>8.16</v>
      </c>
      <c r="M16" t="n">
        <v>0.0009315145670712</v>
      </c>
      <c r="N16" t="n">
        <v>155.6760354760428</v>
      </c>
      <c r="O16" t="n">
        <v>0.7333333334783174</v>
      </c>
      <c r="P16" t="n">
        <v>-0.5955555553875517</v>
      </c>
      <c r="Q16" t="n">
        <v>-0.4859279607620813</v>
      </c>
      <c r="R16" t="n">
        <v>0.7333333334783174</v>
      </c>
      <c r="S16" t="n">
        <v>-0.6683333331652648</v>
      </c>
      <c r="T16" t="n">
        <v>0.7333333334783174</v>
      </c>
      <c r="U16" t="n">
        <v>-0.6683333331652648</v>
      </c>
      <c r="V16" t="n">
        <v>2.223936411176475</v>
      </c>
      <c r="W16" t="n">
        <v>0.0604484419616299</v>
      </c>
      <c r="X16" t="n">
        <v>-0.0106594267278059</v>
      </c>
      <c r="Y16" t="n">
        <v>0.0277727739810943</v>
      </c>
      <c r="Z16" t="n">
        <v>0.0009315145670712</v>
      </c>
      <c r="AA16" t="n">
        <v>108.7593004717922</v>
      </c>
      <c r="AB16" t="n">
        <v>0.7350000001449462</v>
      </c>
      <c r="AC16" t="n">
        <v>-0.5922222220542123</v>
      </c>
      <c r="AD16" t="n">
        <v>-0.6263492061822516</v>
      </c>
      <c r="AE16" t="n">
        <v>0.7350000001449462</v>
      </c>
      <c r="AF16" t="n">
        <v>-0.6649999998319254</v>
      </c>
      <c r="AG16" t="n">
        <v>0.7350000001449462</v>
      </c>
      <c r="AH16" t="n">
        <v>-0.6649999998319254</v>
      </c>
      <c r="AI16" t="n">
        <v>1.376587301540138</v>
      </c>
      <c r="AJ16" t="n">
        <v>0.0277727739810942</v>
      </c>
      <c r="AK16" t="n">
        <v>6.433427225900791</v>
      </c>
      <c r="AL16" t="n">
        <v>6.142161282880162</v>
      </c>
      <c r="AM16" t="n">
        <v>7.593165795718934</v>
      </c>
      <c r="AN16" t="n">
        <v>8.623228500973603</v>
      </c>
      <c r="AO16" t="n">
        <v>1.470801147984505</v>
      </c>
      <c r="AP16" t="n">
        <v>13.86</v>
      </c>
      <c r="AQ16" t="n">
        <v>14.4</v>
      </c>
      <c r="AR16" t="n">
        <v>0.399041333461249</v>
      </c>
      <c r="AS16" t="n">
        <v>0.5012050905673742</v>
      </c>
      <c r="AT16" t="n">
        <v>2.52608</v>
      </c>
      <c r="AU16" t="n">
        <v>339.7550651844207</v>
      </c>
      <c r="AV16" t="n">
        <v>0.0521219507863017</v>
      </c>
      <c r="AW16" t="n">
        <v>0.0429156959213211</v>
      </c>
      <c r="AX16" t="n">
        <v>0.0398708436775595</v>
      </c>
      <c r="AY16" t="n">
        <v>0.0584049221960925</v>
      </c>
      <c r="AZ16" t="n">
        <v>0.054357271652837</v>
      </c>
    </row>
    <row r="17">
      <c r="A17" t="inlineStr">
        <is>
          <t>lowess1dt10wnc</t>
        </is>
      </c>
      <c r="B17" t="inlineStr">
        <is>
          <t>42/3_ST_Fits</t>
        </is>
      </c>
      <c r="C17">
        <f>IF(ISNUMBER(D17),SUM(INDIRECT(_xlfn.CONCAT("e",ROW(),":e",ROW()+D17-1))),"")</f>
        <v/>
      </c>
      <c r="E17">
        <f>AND(AX17&lt;$C$1,averaged_runs370!AQ17&lt;$C$1,averaged_runs126!AQ17&lt;$C$1)*1</f>
        <v/>
      </c>
      <c r="F17" s="2">
        <f>IF(TRUE,SQRT(averaged_runs126!AQ17^2/2+averaged_runs370!AQ17^2/2+AX17^2*0),"")</f>
        <v/>
      </c>
      <c r="G17" s="2">
        <f>IF(E17,averaged_runs126!AQ17,"")</f>
        <v/>
      </c>
      <c r="H17" s="2">
        <f>IF(E17,AX17,"")</f>
        <v/>
      </c>
      <c r="I17" s="2">
        <f>IF(E17,averaged_runs370!AQ17,"")</f>
        <v/>
      </c>
      <c r="J17" t="inlineStr">
        <is>
          <t>c</t>
        </is>
      </c>
      <c r="K17" t="n">
        <v>84.36</v>
      </c>
      <c r="L17" t="n">
        <v>149.36</v>
      </c>
      <c r="M17" t="n">
        <v>0.0055550459060039</v>
      </c>
      <c r="N17" t="n">
        <v>-223.6560137660437</v>
      </c>
      <c r="O17" t="n">
        <v>0.0963888890344545</v>
      </c>
      <c r="P17" t="n">
        <v>-0.426944444276587</v>
      </c>
      <c r="Q17" t="n">
        <v>-0.1439807690640664</v>
      </c>
      <c r="R17" t="n">
        <v>-1.731666666519436</v>
      </c>
      <c r="S17" t="n">
        <v>-2.928333333163191</v>
      </c>
      <c r="T17" t="n">
        <v>-0.3216666665207185</v>
      </c>
      <c r="U17" t="n">
        <v>-0.4199999998321346</v>
      </c>
      <c r="V17" t="n">
        <v>2.14327453564784</v>
      </c>
      <c r="W17" t="n">
        <v>0.0470989514361585</v>
      </c>
      <c r="X17" t="n">
        <v>-0.0013922827476381</v>
      </c>
      <c r="Y17" t="n">
        <v>0.0050643843412398</v>
      </c>
      <c r="Z17" t="n">
        <v>0.0055550459060039</v>
      </c>
      <c r="AA17" t="n">
        <v>-337.5765242188923</v>
      </c>
      <c r="AB17" t="n">
        <v>0.09805555570108331</v>
      </c>
      <c r="AC17" t="n">
        <v>-0.4236111109432477</v>
      </c>
      <c r="AD17" t="n">
        <v>-0.2758849204673614</v>
      </c>
      <c r="AE17" t="n">
        <v>-1.729999999852807</v>
      </c>
      <c r="AF17" t="n">
        <v>-2.924999999829852</v>
      </c>
      <c r="AG17" t="n">
        <v>-0.1999999998541989</v>
      </c>
      <c r="AH17" t="n">
        <v>-0.9816666664982858</v>
      </c>
      <c r="AI17" t="n">
        <v>1.411400793623526</v>
      </c>
      <c r="AJ17" t="n">
        <v>0.0050643843412398</v>
      </c>
      <c r="AK17" t="n">
        <v>4.637702470255166</v>
      </c>
      <c r="AL17" t="n">
        <v>2.852303498313314</v>
      </c>
      <c r="AM17" t="n">
        <v>5.302859739967561</v>
      </c>
      <c r="AN17" t="n">
        <v>3.646868444308812</v>
      </c>
      <c r="AO17" t="n">
        <v>-1.409896607646306</v>
      </c>
      <c r="AP17" t="n">
        <v>25.686</v>
      </c>
      <c r="AQ17" t="n">
        <v>26.686</v>
      </c>
      <c r="AR17" s="1" t="n">
        <v>5.061565675436167e-10</v>
      </c>
      <c r="AS17" s="1" t="n">
        <v>6.198985883778548e-07</v>
      </c>
      <c r="AT17" t="n">
        <v>10.37252</v>
      </c>
      <c r="AU17" t="n">
        <v>-325.6861163662967</v>
      </c>
      <c r="AV17" t="n">
        <v>0.09315924591137691</v>
      </c>
      <c r="AW17" t="n">
        <v>0.08495411463466471</v>
      </c>
      <c r="AX17" t="n">
        <v>0.0809797983876351</v>
      </c>
      <c r="AY17" t="n">
        <v>0.09429971090043709</v>
      </c>
      <c r="AZ17" t="n">
        <v>0.0907923575247763</v>
      </c>
    </row>
    <row r="18">
      <c r="A18" t="inlineStr">
        <is>
          <t>lowess1dt20wAR</t>
        </is>
      </c>
      <c r="B18" t="inlineStr">
        <is>
          <t>42/3_ST_Fits</t>
        </is>
      </c>
      <c r="C18">
        <f>IF(ISNUMBER(D18),SUM(INDIRECT(_xlfn.CONCAT("e",ROW(),":e",ROW()+D18-1))),"")</f>
        <v/>
      </c>
      <c r="E18">
        <f>AND(AX18&lt;$C$1,averaged_runs370!AQ18&lt;$C$1,averaged_runs126!AQ18&lt;$C$1)*1</f>
        <v/>
      </c>
      <c r="F18" s="2">
        <f>IF(TRUE,SQRT(averaged_runs126!AQ18^2/2+averaged_runs370!AQ18^2/2+AX18^2*0),"")</f>
        <v/>
      </c>
      <c r="G18" s="2">
        <f>IF(E18,averaged_runs126!AQ18,"")</f>
        <v/>
      </c>
      <c r="H18" s="2">
        <f>IF(E18,AX18,"")</f>
        <v/>
      </c>
      <c r="I18" s="2">
        <f>IF(E18,averaged_runs370!AQ18,"")</f>
        <v/>
      </c>
      <c r="J18" t="inlineStr">
        <is>
          <t>c</t>
        </is>
      </c>
      <c r="K18" t="n">
        <v>64.72</v>
      </c>
      <c r="L18" t="n">
        <v>133.44</v>
      </c>
      <c r="M18" t="n">
        <v>0.0065469648287845</v>
      </c>
      <c r="N18" t="n">
        <v>-32.27038340248443</v>
      </c>
      <c r="O18" t="n">
        <v>0.3069444445898413</v>
      </c>
      <c r="P18" t="n">
        <v>-0.8008333331651617</v>
      </c>
      <c r="Q18" t="n">
        <v>-0.2413064711398227</v>
      </c>
      <c r="R18" t="n">
        <v>-0.2199999998541215</v>
      </c>
      <c r="S18" t="n">
        <v>-1.614999999831089</v>
      </c>
      <c r="T18" t="n">
        <v>0.273333333478763</v>
      </c>
      <c r="U18" t="n">
        <v>-1.206666666498131</v>
      </c>
      <c r="V18" t="n">
        <v>1.937342418763636</v>
      </c>
      <c r="W18" t="n">
        <v>0.0398622962408536</v>
      </c>
      <c r="X18" t="n">
        <v>-0.0020072140381081</v>
      </c>
      <c r="Y18" t="n">
        <v>0.0089164268970489</v>
      </c>
      <c r="Z18" t="n">
        <v>0.0065469648287846</v>
      </c>
      <c r="AA18" t="n">
        <v>-242.3428339196959</v>
      </c>
      <c r="AB18" t="n">
        <v>0.3086111112564701</v>
      </c>
      <c r="AC18" t="n">
        <v>-0.7974999998318224</v>
      </c>
      <c r="AD18" t="n">
        <v>-0.2966567458641022</v>
      </c>
      <c r="AE18" t="n">
        <v>-0.2183333331874928</v>
      </c>
      <c r="AF18" t="n">
        <v>-1.611666666497749</v>
      </c>
      <c r="AG18" t="n">
        <v>0.4666666668118796</v>
      </c>
      <c r="AH18" t="n">
        <v>-1.364999999831307</v>
      </c>
      <c r="AI18" t="n">
        <v>1.38699404757841</v>
      </c>
      <c r="AJ18" t="n">
        <v>0.0089164268970489</v>
      </c>
      <c r="AK18" t="n">
        <v>6.57772154232498</v>
      </c>
      <c r="AL18" t="n">
        <v>4.239953037331604</v>
      </c>
      <c r="AM18" t="n">
        <v>7.539635412340731</v>
      </c>
      <c r="AN18" t="n">
        <v>5.890869999061131</v>
      </c>
      <c r="AO18" t="n">
        <v>-0.0194414133312517</v>
      </c>
      <c r="AP18" t="n">
        <v>18.456</v>
      </c>
      <c r="AQ18" t="n">
        <v>19.136</v>
      </c>
      <c r="AR18" s="1" t="n">
        <v>2.06214612451338e-05</v>
      </c>
      <c r="AS18" t="n">
        <v>0.0004871966179445</v>
      </c>
      <c r="AT18" t="n">
        <v>5.55908</v>
      </c>
      <c r="AU18" t="n">
        <v>-4.490966479519152</v>
      </c>
      <c r="AV18" t="n">
        <v>0.0653295645157471</v>
      </c>
      <c r="AW18" t="n">
        <v>0.0557649740762872</v>
      </c>
      <c r="AX18" t="n">
        <v>0.0527354601264348</v>
      </c>
      <c r="AY18" t="n">
        <v>0.07240839298628041</v>
      </c>
      <c r="AZ18" t="n">
        <v>0.06988189785225229</v>
      </c>
    </row>
    <row r="19">
      <c r="A19" t="inlineStr">
        <is>
          <t>lowess1dt20wARMA</t>
        </is>
      </c>
      <c r="B19" t="inlineStr">
        <is>
          <t>42/3_ST_Fits</t>
        </is>
      </c>
      <c r="C19">
        <f>IF(ISNUMBER(D19),SUM(INDIRECT(_xlfn.CONCAT("e",ROW(),":e",ROW()+D19-1))),"")</f>
        <v/>
      </c>
      <c r="E19">
        <f>AND(AX19&lt;$C$1,averaged_runs370!AQ19&lt;$C$1,averaged_runs126!AQ19&lt;$C$1)*1</f>
        <v/>
      </c>
      <c r="F19" s="2">
        <f>IF(TRUE,SQRT(averaged_runs126!AQ19^2/2+averaged_runs370!AQ19^2/2+AX19^2*0),"")</f>
        <v/>
      </c>
      <c r="G19" s="2">
        <f>IF(E19,averaged_runs126!AQ19,"")</f>
        <v/>
      </c>
      <c r="H19" s="2">
        <f>IF(E19,AX19,"")</f>
        <v/>
      </c>
      <c r="I19" s="2">
        <f>IF(E19,averaged_runs370!AQ19,"")</f>
        <v/>
      </c>
      <c r="J19" t="inlineStr">
        <is>
          <t>c</t>
        </is>
      </c>
      <c r="K19" t="n">
        <v>51.54</v>
      </c>
      <c r="L19" t="n">
        <v>117.04</v>
      </c>
      <c r="M19" t="n">
        <v>0.0065469648287845</v>
      </c>
      <c r="N19" t="n">
        <v>20.82130728199538</v>
      </c>
      <c r="O19" t="n">
        <v>0.3069444445898323</v>
      </c>
      <c r="P19" t="n">
        <v>-0.8036111109429218</v>
      </c>
      <c r="Q19" t="n">
        <v>-0.2406181317014888</v>
      </c>
      <c r="R19" t="n">
        <v>-0.21833333318747</v>
      </c>
      <c r="S19" t="n">
        <v>-1.61666666649774</v>
      </c>
      <c r="T19" t="n">
        <v>0.2716666668120934</v>
      </c>
      <c r="U19" t="n">
        <v>-1.206666666498113</v>
      </c>
      <c r="V19" t="n">
        <v>1.935880155175658</v>
      </c>
      <c r="W19" t="n">
        <v>0.0359205028378807</v>
      </c>
      <c r="X19" t="n">
        <v>-0.0012636155274031</v>
      </c>
      <c r="Y19" t="n">
        <v>0.0089164268970489</v>
      </c>
      <c r="Z19" t="n">
        <v>0.0065469648287846</v>
      </c>
      <c r="AA19" t="n">
        <v>-140.5375540322985</v>
      </c>
      <c r="AB19" t="n">
        <v>0.308611111256461</v>
      </c>
      <c r="AC19" t="n">
        <v>-0.8002777776095824</v>
      </c>
      <c r="AD19" t="n">
        <v>-0.295813491895853</v>
      </c>
      <c r="AE19" t="n">
        <v>-0.2166666665208413</v>
      </c>
      <c r="AF19" t="n">
        <v>-1.613333333164401</v>
      </c>
      <c r="AG19" t="n">
        <v>0.4683333334785311</v>
      </c>
      <c r="AH19" t="n">
        <v>-1.364999999831289</v>
      </c>
      <c r="AI19" t="n">
        <v>1.385297619006985</v>
      </c>
      <c r="AJ19" t="n">
        <v>0.0089164268970489</v>
      </c>
      <c r="AK19" t="n">
        <v>6.29296844122606</v>
      </c>
      <c r="AL19" t="n">
        <v>4.19732527378866</v>
      </c>
      <c r="AM19" t="n">
        <v>7.253545065811757</v>
      </c>
      <c r="AN19" t="n">
        <v>5.946059623100369</v>
      </c>
      <c r="AO19" t="n">
        <v>0.3607225081331522</v>
      </c>
      <c r="AP19" t="n">
        <v>18.456</v>
      </c>
      <c r="AQ19" t="n">
        <v>19.136</v>
      </c>
      <c r="AR19" t="n">
        <v>0.0002152649278952</v>
      </c>
      <c r="AS19" t="n">
        <v>0.0019562038060898</v>
      </c>
      <c r="AT19" t="n">
        <v>5.50272</v>
      </c>
      <c r="AU19" t="n">
        <v>77.86288822216714</v>
      </c>
      <c r="AV19" t="n">
        <v>0.065678263861271</v>
      </c>
      <c r="AW19" t="n">
        <v>0.0557649740762872</v>
      </c>
      <c r="AX19" t="n">
        <v>0.0527354601264348</v>
      </c>
      <c r="AY19" t="n">
        <v>0.07240839298628041</v>
      </c>
      <c r="AZ19" t="n">
        <v>0.06988189785225229</v>
      </c>
    </row>
    <row r="20">
      <c r="A20" t="inlineStr">
        <is>
          <t>lowess1dt20wnc</t>
        </is>
      </c>
      <c r="B20" t="inlineStr">
        <is>
          <t>42/3_ST_Fits</t>
        </is>
      </c>
      <c r="C20">
        <f>IF(ISNUMBER(D20),SUM(INDIRECT(_xlfn.CONCAT("e",ROW(),":e",ROW()+D20-1))),"")</f>
        <v/>
      </c>
      <c r="E20">
        <f>AND(AX20&lt;$C$1,averaged_runs370!AQ20&lt;$C$1,averaged_runs126!AQ20&lt;$C$1)*1</f>
        <v/>
      </c>
      <c r="F20" s="2">
        <f>IF(TRUE,SQRT(averaged_runs126!AQ20^2/2+averaged_runs370!AQ20^2/2+AX20^2*0),"")</f>
        <v/>
      </c>
      <c r="G20" s="2">
        <f>IF(E20,averaged_runs126!AQ20,"")</f>
        <v/>
      </c>
      <c r="H20" s="2">
        <f>IF(E20,AX20,"")</f>
        <v/>
      </c>
      <c r="I20" s="2">
        <f>IF(E20,averaged_runs370!AQ20,"")</f>
        <v/>
      </c>
      <c r="J20" t="inlineStr">
        <is>
          <t>c</t>
        </is>
      </c>
      <c r="K20" t="n">
        <v>14.06</v>
      </c>
      <c r="L20" t="n">
        <v>54.98</v>
      </c>
      <c r="M20" t="n">
        <v>0.0065469648287845</v>
      </c>
      <c r="N20" t="n">
        <v>104.2521234992416</v>
      </c>
      <c r="O20" t="n">
        <v>0.3119444445898231</v>
      </c>
      <c r="P20" t="n">
        <v>-0.7961111109429173</v>
      </c>
      <c r="Q20" t="n">
        <v>-0.2382165749249266</v>
      </c>
      <c r="R20" t="n">
        <v>-0.2133333331874791</v>
      </c>
      <c r="S20" t="n">
        <v>-1.608333333164401</v>
      </c>
      <c r="T20" t="n">
        <v>0.2766666668120843</v>
      </c>
      <c r="U20" t="n">
        <v>-1.198333333164774</v>
      </c>
      <c r="V20" t="n">
        <v>1.93326426891348</v>
      </c>
      <c r="W20" t="n">
        <v>0.0572174894137517</v>
      </c>
      <c r="X20" t="n">
        <v>-0.0020072140381081</v>
      </c>
      <c r="Y20" t="n">
        <v>0.0089164268970489</v>
      </c>
      <c r="Z20" t="n">
        <v>0.0065469648287846</v>
      </c>
      <c r="AA20" t="n">
        <v>23.56849969608504</v>
      </c>
      <c r="AB20" t="n">
        <v>0.3136111112564519</v>
      </c>
      <c r="AC20" t="n">
        <v>-0.7927777776095779</v>
      </c>
      <c r="AD20" t="n">
        <v>-0.2940277776101365</v>
      </c>
      <c r="AE20" t="n">
        <v>-0.2116666665208504</v>
      </c>
      <c r="AF20" t="n">
        <v>-1.604999999831061</v>
      </c>
      <c r="AG20" t="n">
        <v>0.473333333478522</v>
      </c>
      <c r="AH20" t="n">
        <v>-1.356666666497949</v>
      </c>
      <c r="AI20" t="n">
        <v>1.383095238054599</v>
      </c>
      <c r="AJ20" t="n">
        <v>0.0089164268970489</v>
      </c>
      <c r="AK20" t="n">
        <v>5.591608971207859</v>
      </c>
      <c r="AL20" t="n">
        <v>4.086572668211448</v>
      </c>
      <c r="AM20" t="n">
        <v>6.410210280974091</v>
      </c>
      <c r="AN20" t="n">
        <v>5.793109276563221</v>
      </c>
      <c r="AO20" t="n">
        <v>1.091734741014924</v>
      </c>
      <c r="AP20" t="n">
        <v>18.456</v>
      </c>
      <c r="AQ20" t="n">
        <v>19.136</v>
      </c>
      <c r="AR20" t="n">
        <v>0.0284636931953965</v>
      </c>
      <c r="AS20" t="n">
        <v>0.066573807728446</v>
      </c>
      <c r="AT20" t="n">
        <v>5.55908</v>
      </c>
      <c r="AU20" t="n">
        <v>252.1907251744476</v>
      </c>
      <c r="AV20" t="n">
        <v>0.0653295645157471</v>
      </c>
      <c r="AW20" t="n">
        <v>0.0557649740762872</v>
      </c>
      <c r="AX20" t="n">
        <v>0.0527354601264348</v>
      </c>
      <c r="AY20" t="n">
        <v>0.07240839298628041</v>
      </c>
      <c r="AZ20" t="n">
        <v>0.06988189785225229</v>
      </c>
    </row>
    <row r="21">
      <c r="A21" t="inlineStr">
        <is>
          <t>lowess1dt26wnc</t>
        </is>
      </c>
      <c r="B21" t="inlineStr">
        <is>
          <t>42/3_ST_Fits</t>
        </is>
      </c>
      <c r="C21">
        <f>IF(ISNUMBER(D21),SUM(INDIRECT(_xlfn.CONCAT("e",ROW(),":e",ROW()+D21-1))),"")</f>
        <v/>
      </c>
      <c r="E21">
        <f>AND(AX21&lt;$C$1,averaged_runs370!AQ21&lt;$C$1,averaged_runs126!AQ21&lt;$C$1)*1</f>
        <v/>
      </c>
      <c r="F21" s="2">
        <f>IF(TRUE,SQRT(averaged_runs126!AQ21^2/2+averaged_runs370!AQ21^2/2+AX21^2*0),"")</f>
        <v/>
      </c>
      <c r="G21" s="2">
        <f>IF(E21,averaged_runs126!AQ21,"")</f>
        <v/>
      </c>
      <c r="H21" s="2">
        <f>IF(E21,AX21,"")</f>
        <v/>
      </c>
      <c r="I21" s="2">
        <f>IF(E21,averaged_runs370!AQ21,"")</f>
        <v/>
      </c>
      <c r="J21" t="inlineStr">
        <is>
          <t>c</t>
        </is>
      </c>
      <c r="K21" t="n">
        <v>4.06</v>
      </c>
      <c r="L21" t="n">
        <v>21.7</v>
      </c>
      <c r="M21" t="n">
        <v>0.0064372504543471</v>
      </c>
      <c r="N21" t="n">
        <v>141.1580215773933</v>
      </c>
      <c r="O21" t="n">
        <v>0.4716666668118887</v>
      </c>
      <c r="P21" t="n">
        <v>-0.9391666664983496</v>
      </c>
      <c r="Q21" t="n">
        <v>-0.2641224052057437</v>
      </c>
      <c r="R21" t="n">
        <v>0.2900000001453873</v>
      </c>
      <c r="S21" t="n">
        <v>-1.389999999831271</v>
      </c>
      <c r="T21" t="n">
        <v>0.558333333478472</v>
      </c>
      <c r="U21" t="n">
        <v>-1.389999999831271</v>
      </c>
      <c r="V21" t="n">
        <v>1.955495194741048</v>
      </c>
      <c r="W21" t="n">
        <v>0.0597960625064648</v>
      </c>
      <c r="X21" t="n">
        <v>-0.0027901722289235</v>
      </c>
      <c r="Y21" t="n">
        <v>0.0116396174430846</v>
      </c>
      <c r="Z21" t="n">
        <v>0.0064372504543471</v>
      </c>
      <c r="AA21" t="n">
        <v>70.1038268574609</v>
      </c>
      <c r="AB21" t="n">
        <v>0.4733333334785174</v>
      </c>
      <c r="AC21" t="n">
        <v>-0.9358333331650102</v>
      </c>
      <c r="AD21" t="n">
        <v>-0.3040178569752135</v>
      </c>
      <c r="AE21" t="n">
        <v>0.291666666812016</v>
      </c>
      <c r="AF21" t="n">
        <v>-1.386666666497931</v>
      </c>
      <c r="AG21" t="n">
        <v>0.6550000001450189</v>
      </c>
      <c r="AH21" t="n">
        <v>-1.386666666497931</v>
      </c>
      <c r="AI21" t="n">
        <v>1.446755952373782</v>
      </c>
      <c r="AJ21" t="n">
        <v>0.0116396174430846</v>
      </c>
      <c r="AK21" t="n">
        <v>5.748829145887346</v>
      </c>
      <c r="AL21" t="n">
        <v>4.435105293484812</v>
      </c>
      <c r="AM21" t="n">
        <v>6.917923821889981</v>
      </c>
      <c r="AN21" t="n">
        <v>6.654275492929241</v>
      </c>
      <c r="AO21" t="n">
        <v>1.352190120652828</v>
      </c>
      <c r="AP21" t="n">
        <v>16.916</v>
      </c>
      <c r="AQ21" t="n">
        <v>17.556</v>
      </c>
      <c r="AR21" t="n">
        <v>0.1859015560711145</v>
      </c>
      <c r="AS21" t="n">
        <v>0.2952843590694139</v>
      </c>
      <c r="AT21" t="n">
        <v>4.43022</v>
      </c>
      <c r="AU21" t="n">
        <v>312.3559178708034</v>
      </c>
      <c r="AV21" t="n">
        <v>0.0576595364704386</v>
      </c>
      <c r="AW21" t="n">
        <v>0.0466851893579621</v>
      </c>
      <c r="AX21" t="n">
        <v>0.0446835928930113</v>
      </c>
      <c r="AY21" t="n">
        <v>0.0658373174932757</v>
      </c>
      <c r="AZ21" t="n">
        <v>0.0641070855829998</v>
      </c>
    </row>
    <row r="22">
      <c r="A22" t="inlineStr">
        <is>
          <t>lowess1dt30wnc</t>
        </is>
      </c>
      <c r="B22" t="inlineStr">
        <is>
          <t>42/3_ST_Fits</t>
        </is>
      </c>
      <c r="C22">
        <f>IF(ISNUMBER(D22),SUM(INDIRECT(_xlfn.CONCAT("e",ROW(),":e",ROW()+D22-1))),"")</f>
        <v/>
      </c>
      <c r="E22">
        <f>AND(AX22&lt;$C$1,averaged_runs370!AQ22&lt;$C$1,averaged_runs126!AQ22&lt;$C$1)*1</f>
        <v/>
      </c>
      <c r="F22" s="2">
        <f>IF(TRUE,SQRT(averaged_runs126!AQ22^2/2+averaged_runs370!AQ22^2/2+AX22^2*0),"")</f>
        <v/>
      </c>
      <c r="G22" s="2">
        <f>IF(E22,averaged_runs126!AQ22,"")</f>
        <v/>
      </c>
      <c r="H22" s="2">
        <f>IF(E22,AX22,"")</f>
        <v/>
      </c>
      <c r="I22" s="2">
        <f>IF(E22,averaged_runs370!AQ22,"")</f>
        <v/>
      </c>
      <c r="J22" t="inlineStr">
        <is>
          <t>c</t>
        </is>
      </c>
      <c r="K22" t="n">
        <v>2.4</v>
      </c>
      <c r="L22" t="n">
        <v>12</v>
      </c>
      <c r="M22" t="n">
        <v>0.0063655982305714</v>
      </c>
      <c r="N22" t="n">
        <v>151.8262416187008</v>
      </c>
      <c r="O22" t="n">
        <v>0.5033333334785312</v>
      </c>
      <c r="P22" t="n">
        <v>-0.8083333331651693</v>
      </c>
      <c r="Q22" t="n">
        <v>-0.3796169107002645</v>
      </c>
      <c r="R22" t="n">
        <v>0.4183333334786084</v>
      </c>
      <c r="S22" t="n">
        <v>-1.004999999831653</v>
      </c>
      <c r="T22" t="n">
        <v>0.5083333334785266</v>
      </c>
      <c r="U22" t="n">
        <v>-1.004999999831653</v>
      </c>
      <c r="V22" t="n">
        <v>2.077023312757457</v>
      </c>
      <c r="W22" t="n">
        <v>0.0610475954983473</v>
      </c>
      <c r="X22" t="n">
        <v>-0.0033852612973866</v>
      </c>
      <c r="Y22" t="n">
        <v>0.0137807466983794</v>
      </c>
      <c r="Z22" t="n">
        <v>0.0063655982305715</v>
      </c>
      <c r="AA22" t="n">
        <v>87.12452303725455</v>
      </c>
      <c r="AB22" t="n">
        <v>0.5050000001451599</v>
      </c>
      <c r="AC22" t="n">
        <v>-0.8049999998318299</v>
      </c>
      <c r="AD22" t="n">
        <v>-0.3977976188799282</v>
      </c>
      <c r="AE22" t="n">
        <v>0.4200000001452372</v>
      </c>
      <c r="AF22" t="n">
        <v>-1.001666666498313</v>
      </c>
      <c r="AG22" t="n">
        <v>0.5900000001450826</v>
      </c>
      <c r="AH22" t="n">
        <v>-1.001666666498313</v>
      </c>
      <c r="AI22" t="n">
        <v>1.433948412677962</v>
      </c>
      <c r="AJ22" t="n">
        <v>0.0137807466983794</v>
      </c>
      <c r="AK22" t="n">
        <v>5.73348751110824</v>
      </c>
      <c r="AL22" t="n">
        <v>4.883039572685582</v>
      </c>
      <c r="AM22" t="n">
        <v>7.025873449690826</v>
      </c>
      <c r="AN22" t="n">
        <v>7.053424641049455</v>
      </c>
      <c r="AO22" t="n">
        <v>1.434184642776808</v>
      </c>
      <c r="AP22" t="n">
        <v>15.688</v>
      </c>
      <c r="AQ22" t="n">
        <v>16.248</v>
      </c>
      <c r="AR22" t="n">
        <v>0.3175181167953026</v>
      </c>
      <c r="AS22" t="n">
        <v>0.4488631290783403</v>
      </c>
      <c r="AT22" t="n">
        <v>3.91888</v>
      </c>
      <c r="AU22" t="n">
        <v>331.2966524814425</v>
      </c>
      <c r="AV22" t="n">
        <v>0.0543703132904171</v>
      </c>
      <c r="AW22" t="n">
        <v>0.0432507851256333</v>
      </c>
      <c r="AX22" t="n">
        <v>0.0417949759059774</v>
      </c>
      <c r="AY22" t="n">
        <v>0.06294390472132889</v>
      </c>
      <c r="AZ22" t="n">
        <v>0.061476920931105</v>
      </c>
    </row>
    <row r="23">
      <c r="A23" t="inlineStr">
        <is>
          <t>lowess1dt36wnc</t>
        </is>
      </c>
      <c r="B23" t="inlineStr">
        <is>
          <t>42/3_ST_Fits</t>
        </is>
      </c>
      <c r="E23">
        <f>AND(AX23&lt;$C$1,averaged_runs370!AQ23&lt;$C$1,averaged_runs126!AQ23&lt;$C$1)*1</f>
        <v/>
      </c>
      <c r="F23" s="2">
        <f>IF(TRUE,SQRT(averaged_runs126!AQ23^2/2+averaged_runs370!AQ23^2/2+AX23^2*0),"")</f>
        <v/>
      </c>
      <c r="G23" s="2">
        <f>IF(E23,averaged_runs126!AQ23,"")</f>
        <v/>
      </c>
      <c r="H23" s="2">
        <f>IF(E23,AX23,"")</f>
        <v/>
      </c>
      <c r="I23" s="2">
        <f>IF(E23,averaged_runs370!AQ23,"")</f>
        <v/>
      </c>
      <c r="J23" t="inlineStr">
        <is>
          <t>c</t>
        </is>
      </c>
      <c r="K23" t="n">
        <v>0.96</v>
      </c>
      <c r="L23" t="n">
        <v>4.8</v>
      </c>
      <c r="M23" t="n">
        <v>0.0062466096485053</v>
      </c>
      <c r="N23" t="n">
        <v>159.5095310355027</v>
      </c>
      <c r="O23" t="n">
        <v>0.5983333334784584</v>
      </c>
      <c r="P23" t="n">
        <v>-0.7724999998318254</v>
      </c>
      <c r="Q23" t="n">
        <v>-0.4658867519701208</v>
      </c>
      <c r="R23" t="n">
        <v>0.5600000001451599</v>
      </c>
      <c r="S23" t="n">
        <v>-0.7866666664984768</v>
      </c>
      <c r="T23" t="n">
        <v>0.6366666668117569</v>
      </c>
      <c r="U23" t="n">
        <v>-0.7583333331651738</v>
      </c>
      <c r="V23" t="n">
        <v>2.142097729203546</v>
      </c>
      <c r="W23" t="n">
        <v>0.0624657160007664</v>
      </c>
      <c r="X23" t="n">
        <v>-0.0043984581285177</v>
      </c>
      <c r="Y23" t="n">
        <v>0.0172741680741309</v>
      </c>
      <c r="Z23" t="n">
        <v>0.0062466096485053</v>
      </c>
      <c r="AA23" t="n">
        <v>103.4771718996846</v>
      </c>
      <c r="AB23" t="n">
        <v>0.6000000001450871</v>
      </c>
      <c r="AC23" t="n">
        <v>-0.769166666498486</v>
      </c>
      <c r="AD23" t="n">
        <v>-0.4990674601497467</v>
      </c>
      <c r="AE23" t="n">
        <v>0.5616666668117887</v>
      </c>
      <c r="AF23" t="n">
        <v>-0.7833333331651374</v>
      </c>
      <c r="AG23" t="n">
        <v>0.6383333334783856</v>
      </c>
      <c r="AH23" t="n">
        <v>-0.7549999998318344</v>
      </c>
      <c r="AI23" t="n">
        <v>1.43898809520422</v>
      </c>
      <c r="AJ23" t="n">
        <v>0.0172741680741309</v>
      </c>
      <c r="AK23" t="n">
        <v>5.775738600884719</v>
      </c>
      <c r="AL23" t="n">
        <v>5.068191278433112</v>
      </c>
      <c r="AM23" t="n">
        <v>7.071620582459587</v>
      </c>
      <c r="AN23" t="n">
        <v>7.180363229601687</v>
      </c>
      <c r="AO23" t="n">
        <v>1.49717115031663</v>
      </c>
      <c r="AP23" t="n">
        <v>14.924</v>
      </c>
      <c r="AQ23" t="n">
        <v>15.524</v>
      </c>
      <c r="AR23" t="n">
        <v>0.4816484327876565</v>
      </c>
      <c r="AS23" t="n">
        <v>0.6420459343179017</v>
      </c>
      <c r="AT23" t="n">
        <v>3.36506</v>
      </c>
      <c r="AU23" t="n">
        <v>345.8465357231416</v>
      </c>
      <c r="AV23" t="n">
        <v>0.0512705533591042</v>
      </c>
      <c r="AW23" t="n">
        <v>0.0404885917873927</v>
      </c>
      <c r="AX23" t="n">
        <v>0.0396911374897562</v>
      </c>
      <c r="AY23" t="n">
        <v>0.0600114268186169</v>
      </c>
      <c r="AZ23" t="n">
        <v>0.0586603187817658</v>
      </c>
    </row>
    <row r="24">
      <c r="A24" t="inlineStr">
        <is>
          <t>lowess2dt20wnc</t>
        </is>
      </c>
      <c r="B24" t="inlineStr">
        <is>
          <t>42/3_ST_Fits</t>
        </is>
      </c>
      <c r="E24">
        <f>AND(AX24&lt;$C$1,averaged_runs370!AQ24&lt;$C$1,averaged_runs126!AQ24&lt;$C$1)*1</f>
        <v/>
      </c>
      <c r="F24" s="2">
        <f>IF(TRUE,SQRT(averaged_runs126!AQ24^2/2+averaged_runs370!AQ24^2/2+AX24^2*0),"")</f>
        <v/>
      </c>
      <c r="G24" s="2">
        <f>IF(E24,averaged_runs126!AQ24,"")</f>
        <v/>
      </c>
      <c r="H24" s="2">
        <f>IF(E24,AX24,"")</f>
        <v/>
      </c>
      <c r="I24" s="2">
        <f>IF(E24,averaged_runs370!AQ24,"")</f>
        <v/>
      </c>
      <c r="J24" t="inlineStr">
        <is>
          <t>c</t>
        </is>
      </c>
      <c r="K24" t="n">
        <v>28.46</v>
      </c>
      <c r="L24" t="n">
        <v>83.86</v>
      </c>
      <c r="M24" t="n">
        <v>0.0061081608704157</v>
      </c>
      <c r="N24" t="n">
        <v>24.29972142396945</v>
      </c>
      <c r="O24" t="n">
        <v>0.1740277779232875</v>
      </c>
      <c r="P24" t="n">
        <v>-0.120833333165774</v>
      </c>
      <c r="Q24" t="n">
        <v>-0.2059101036183409</v>
      </c>
      <c r="R24" t="n">
        <v>-1.53833333318627</v>
      </c>
      <c r="S24" t="n">
        <v>-2.6083333331635</v>
      </c>
      <c r="T24" t="n">
        <v>-0.3399999998540397</v>
      </c>
      <c r="U24" t="n">
        <v>0.401666666833762</v>
      </c>
      <c r="V24" t="n">
        <v>2.204548299495771</v>
      </c>
      <c r="W24" t="n">
        <v>0.0717175202638755</v>
      </c>
      <c r="X24" t="n">
        <v>-0.0011925565453062</v>
      </c>
      <c r="Y24" t="n">
        <v>0.0046826443076133</v>
      </c>
      <c r="Z24" t="n">
        <v>0.0061081608704157</v>
      </c>
      <c r="AA24" t="n">
        <v>-16.7569800157242</v>
      </c>
      <c r="AB24" t="n">
        <v>0.1756944445899163</v>
      </c>
      <c r="AC24" t="n">
        <v>-0.1174999998324346</v>
      </c>
      <c r="AD24" t="n">
        <v>-0.3275615077688056</v>
      </c>
      <c r="AE24" t="n">
        <v>-1.536666666519641</v>
      </c>
      <c r="AF24" t="n">
        <v>-2.604999999830161</v>
      </c>
      <c r="AG24" t="n">
        <v>-0.1383333331875837</v>
      </c>
      <c r="AH24" t="n">
        <v>-0.4966666664987406</v>
      </c>
      <c r="AI24" t="n">
        <v>1.408212301526434</v>
      </c>
      <c r="AJ24" t="n">
        <v>0.0046826443076133</v>
      </c>
      <c r="AK24" t="n">
        <v>4.170024063285683</v>
      </c>
      <c r="AL24" t="n">
        <v>2.953449614948729</v>
      </c>
      <c r="AM24" t="n">
        <v>4.434028673158132</v>
      </c>
      <c r="AN24" t="n">
        <v>3.598830435300945</v>
      </c>
      <c r="AO24" t="n">
        <v>0.4844813379639422</v>
      </c>
      <c r="AP24" t="n">
        <v>25.802</v>
      </c>
      <c r="AQ24" t="n">
        <v>26.862</v>
      </c>
      <c r="AR24" t="n">
        <v>0.0028841847121911</v>
      </c>
      <c r="AS24" t="n">
        <v>0.009442670529157</v>
      </c>
      <c r="AT24" t="n">
        <v>10.64588</v>
      </c>
      <c r="AU24" t="n">
        <v>111.9151890696706</v>
      </c>
      <c r="AV24" t="n">
        <v>0.0951097789269307</v>
      </c>
      <c r="AW24" t="n">
        <v>0.0878669013627674</v>
      </c>
      <c r="AX24" t="n">
        <v>0.08204557643272389</v>
      </c>
      <c r="AY24" t="n">
        <v>0.09679455044777489</v>
      </c>
      <c r="AZ24" t="n">
        <v>0.09158661618143391</v>
      </c>
    </row>
    <row r="25">
      <c r="A25" t="inlineStr">
        <is>
          <t>lowess2dt30wnc</t>
        </is>
      </c>
      <c r="B25" t="inlineStr">
        <is>
          <t>42/3_ST_Fits</t>
        </is>
      </c>
      <c r="E25">
        <f>AND(AX25&lt;$C$1,averaged_runs370!AQ25&lt;$C$1,averaged_runs126!AQ25&lt;$C$1)*1</f>
        <v/>
      </c>
      <c r="F25" s="2">
        <f>IF(TRUE,SQRT(averaged_runs126!AQ25^2/2+averaged_runs370!AQ25^2/2+AX25^2*0),"")</f>
        <v/>
      </c>
      <c r="G25" s="2">
        <f>IF(E25,averaged_runs126!AQ25,"")</f>
        <v/>
      </c>
      <c r="H25" s="2">
        <f>IF(E25,AX25,"")</f>
        <v/>
      </c>
      <c r="I25" s="2">
        <f>IF(E25,averaged_runs370!AQ25,"")</f>
        <v/>
      </c>
      <c r="J25" t="inlineStr">
        <is>
          <t>c</t>
        </is>
      </c>
      <c r="K25" t="n">
        <v>5.16</v>
      </c>
      <c r="L25" t="n">
        <v>25.34</v>
      </c>
      <c r="M25" t="n">
        <v>0.0064682822961073</v>
      </c>
      <c r="N25" t="n">
        <v>102.840596791415</v>
      </c>
      <c r="O25" t="n">
        <v>0.3101388890342544</v>
      </c>
      <c r="P25" t="n">
        <v>-0.8477777776095619</v>
      </c>
      <c r="Q25" t="n">
        <v>-0.1901121793203511</v>
      </c>
      <c r="R25" t="n">
        <v>-0.9033333331868608</v>
      </c>
      <c r="S25" t="n">
        <v>-2.354999999830425</v>
      </c>
      <c r="T25" t="n">
        <v>0.2050000001454691</v>
      </c>
      <c r="U25" t="n">
        <v>-1.263333333164737</v>
      </c>
      <c r="V25" t="n">
        <v>2.064224059151156</v>
      </c>
      <c r="W25" t="n">
        <v>0.0793671008912966</v>
      </c>
      <c r="X25" t="n">
        <v>-0.0010646902961855</v>
      </c>
      <c r="Y25" t="n">
        <v>0.0052596195936202</v>
      </c>
      <c r="Z25" t="n">
        <v>0.0064682822961073</v>
      </c>
      <c r="AA25" t="n">
        <v>64.57176240796989</v>
      </c>
      <c r="AB25" t="n">
        <v>0.3118055557008832</v>
      </c>
      <c r="AC25" t="n">
        <v>-0.8444444442762226</v>
      </c>
      <c r="AD25" t="n">
        <v>-0.2806051585624199</v>
      </c>
      <c r="AE25" t="n">
        <v>-0.901666666520232</v>
      </c>
      <c r="AF25" t="n">
        <v>-2.351666666497085</v>
      </c>
      <c r="AG25" t="n">
        <v>0.4483333334785402</v>
      </c>
      <c r="AH25" t="n">
        <v>-1.233333333164755</v>
      </c>
      <c r="AI25" t="n">
        <v>1.430982142836592</v>
      </c>
      <c r="AJ25" t="n">
        <v>0.0052596195936202</v>
      </c>
      <c r="AK25" t="n">
        <v>4.56763809316102</v>
      </c>
      <c r="AL25" t="n">
        <v>3.53798808567592</v>
      </c>
      <c r="AM25" t="n">
        <v>4.98606405204125</v>
      </c>
      <c r="AN25" t="n">
        <v>4.550364542666621</v>
      </c>
      <c r="AO25" t="n">
        <v>1.010608428833136</v>
      </c>
      <c r="AP25" t="n">
        <v>20.992</v>
      </c>
      <c r="AQ25" t="n">
        <v>21.732</v>
      </c>
      <c r="AR25" t="n">
        <v>0.1181889654715579</v>
      </c>
      <c r="AS25" t="n">
        <v>0.2445794029628011</v>
      </c>
      <c r="AT25" t="n">
        <v>7.682580000000001</v>
      </c>
      <c r="AU25" t="n">
        <v>233.4505470604544</v>
      </c>
      <c r="AV25" t="n">
        <v>0.0800475923805658</v>
      </c>
      <c r="AW25" t="n">
        <v>0.06918561642463231</v>
      </c>
      <c r="AX25" t="n">
        <v>0.0643366222687692</v>
      </c>
      <c r="AY25" t="n">
        <v>0.0831039980661699</v>
      </c>
      <c r="AZ25" t="n">
        <v>0.0791227702614626</v>
      </c>
    </row>
    <row r="26">
      <c r="A26" t="inlineStr">
        <is>
          <t>min_month_proj</t>
        </is>
      </c>
      <c r="B26" t="inlineStr">
        <is>
          <t>42/3_ST_Fits</t>
        </is>
      </c>
      <c r="C26">
        <f>IF(ISNUMBER(D26),SUM(INDIRECT(_xlfn.CONCAT("e",ROW(),":e",ROW()+D26-1))),"")</f>
        <v/>
      </c>
      <c r="E26">
        <f>AND(AX26&lt;$C$1,averaged_runs370!AQ26&lt;$C$1,averaged_runs126!AQ26&lt;$C$1)*1</f>
        <v/>
      </c>
      <c r="F26" s="2">
        <f>IF(TRUE,SQRT(averaged_runs126!AQ26^2/2+averaged_runs370!AQ26^2/2+AX26^2*0),"")</f>
        <v/>
      </c>
      <c r="G26" s="2">
        <f>IF(E26,averaged_runs126!AQ26,"")</f>
        <v/>
      </c>
      <c r="H26" s="2">
        <f>IF(E26,AX26,"")</f>
        <v/>
      </c>
      <c r="I26" s="2">
        <f>IF(E26,averaged_runs370!AQ26,"")</f>
        <v/>
      </c>
      <c r="J26" t="inlineStr">
        <is>
          <t>c</t>
        </is>
      </c>
      <c r="K26" t="n">
        <v>0.42</v>
      </c>
      <c r="L26" t="n">
        <v>2.88</v>
      </c>
      <c r="M26" t="n">
        <v>0.035100594954284</v>
      </c>
      <c r="N26" t="n">
        <v>76.3673722227486</v>
      </c>
      <c r="O26" t="n">
        <v>-0.6386111109648968</v>
      </c>
      <c r="P26" t="n">
        <v>0.204722222389496</v>
      </c>
      <c r="Q26" t="n">
        <v>-0.8677762513586995</v>
      </c>
      <c r="R26" t="n">
        <v>-1.883333333185988</v>
      </c>
      <c r="S26" t="n">
        <v>-2.341666666497068</v>
      </c>
      <c r="T26" t="n">
        <v>-1.471666666519691</v>
      </c>
      <c r="U26" t="n">
        <v>1.186666666833044</v>
      </c>
      <c r="V26" t="n">
        <v>3.420681562264309</v>
      </c>
      <c r="W26" t="n">
        <v>0.1507579572394317</v>
      </c>
      <c r="X26" t="n">
        <v>0.0374414218880114</v>
      </c>
      <c r="Y26" t="n">
        <v>0.0170989524291059</v>
      </c>
      <c r="Z26" t="n">
        <v>0.035100594954284</v>
      </c>
      <c r="AA26" t="n">
        <v>68.55314003298699</v>
      </c>
      <c r="AB26" t="n">
        <v>-0.6369444442982679</v>
      </c>
      <c r="AC26" t="n">
        <v>0.2080555557228353</v>
      </c>
      <c r="AD26" t="n">
        <v>-0.8881448411027576</v>
      </c>
      <c r="AE26" t="n">
        <v>-1.881666666519359</v>
      </c>
      <c r="AF26" t="n">
        <v>-2.338333333163728</v>
      </c>
      <c r="AG26" t="n">
        <v>-1.488333333186383</v>
      </c>
      <c r="AH26" t="n">
        <v>1.251666666832998</v>
      </c>
      <c r="AI26" t="n">
        <v>1.763263888826972</v>
      </c>
      <c r="AJ26" t="n">
        <v>0.0170989524291059</v>
      </c>
      <c r="AK26" t="n">
        <v>2.706085508727638</v>
      </c>
      <c r="AL26" t="n">
        <v>2.331321273951521</v>
      </c>
      <c r="AM26" t="n">
        <v>2.90424224612188</v>
      </c>
      <c r="AN26" t="n">
        <v>2.476311739698957</v>
      </c>
      <c r="AO26" t="n">
        <v>0.6985067246823605</v>
      </c>
      <c r="AP26" t="n">
        <v>19.696</v>
      </c>
      <c r="AQ26" t="n">
        <v>20.276</v>
      </c>
      <c r="AR26" t="n">
        <v>0.6459100814643591</v>
      </c>
      <c r="AS26" t="n">
        <v>0.7669869104787774</v>
      </c>
      <c r="AT26" t="n">
        <v>10.68856</v>
      </c>
      <c r="AU26" t="n">
        <v>155.068492879484</v>
      </c>
      <c r="AV26" t="n">
        <v>0.1075488619986978</v>
      </c>
      <c r="AW26" t="n">
        <v>0.1054528113297258</v>
      </c>
      <c r="AX26" t="n">
        <v>0.0957595379281638</v>
      </c>
      <c r="AY26" t="n">
        <v>0.1147575250968642</v>
      </c>
      <c r="AZ26" t="n">
        <v>0.1056420753057623</v>
      </c>
    </row>
    <row r="27">
      <c r="A27" t="inlineStr">
        <is>
          <t>opt_clim_norm</t>
        </is>
      </c>
      <c r="B27" t="inlineStr">
        <is>
          <t>42/3_ST_Fits</t>
        </is>
      </c>
      <c r="C27">
        <f>IF(ISNUMBER(D27),SUM(INDIRECT(_xlfn.CONCAT("e",ROW(),":e",ROW()+D27-1))),"")</f>
        <v/>
      </c>
      <c r="E27">
        <f>AND(AX27&lt;$C$1,averaged_runs370!AQ27&lt;$C$1,averaged_runs126!AQ27&lt;$C$1)*1</f>
        <v/>
      </c>
      <c r="F27" s="2">
        <f>IF(TRUE,SQRT(averaged_runs126!AQ27^2/2+averaged_runs370!AQ27^2/2+AX27^2*0),"")</f>
        <v/>
      </c>
      <c r="G27" s="2">
        <f>IF(E27,averaged_runs126!AQ27,"")</f>
        <v/>
      </c>
      <c r="H27" s="2">
        <f>IF(E27,AX27,"")</f>
        <v/>
      </c>
      <c r="I27" s="2">
        <f>IF(E27,averaged_runs370!AQ27,"")</f>
        <v/>
      </c>
      <c r="J27" t="inlineStr">
        <is>
          <t>c</t>
        </is>
      </c>
      <c r="K27" t="n">
        <v>40.38</v>
      </c>
      <c r="L27" t="n">
        <v>87.66</v>
      </c>
      <c r="M27" t="n">
        <v>-0.0178337692821418</v>
      </c>
      <c r="N27" t="n">
        <v>-151740.4383907565</v>
      </c>
      <c r="O27" t="n">
        <v>0.2727222223676458</v>
      </c>
      <c r="P27" t="n">
        <v>0.7752777779445181</v>
      </c>
      <c r="Q27" t="n">
        <v>0.5078795571174695</v>
      </c>
      <c r="R27" t="n">
        <v>-2.924999999851675</v>
      </c>
      <c r="S27" t="n">
        <v>-2.103333333163955</v>
      </c>
      <c r="T27" t="n">
        <v>-0.2916666665207276</v>
      </c>
      <c r="U27" t="n">
        <v>2.036666666832252</v>
      </c>
      <c r="V27" t="n">
        <v>2.959337472510516</v>
      </c>
      <c r="W27" t="n">
        <v>0.0537926176545722</v>
      </c>
      <c r="X27" t="n">
        <v>-0.0173640348226756</v>
      </c>
      <c r="Y27" t="n">
        <v>-0.0136596636772155</v>
      </c>
      <c r="Z27" t="n">
        <v>-0.0178337692821419</v>
      </c>
      <c r="AA27" t="n">
        <v>-219855.488575513</v>
      </c>
      <c r="AB27" t="n">
        <v>0.2743888890342745</v>
      </c>
      <c r="AC27" t="n">
        <v>0.7786111112778574</v>
      </c>
      <c r="AD27" t="n">
        <v>0.4193117915501602</v>
      </c>
      <c r="AE27" t="n">
        <v>-2.923333333185046</v>
      </c>
      <c r="AF27" t="n">
        <v>-2.099999999830616</v>
      </c>
      <c r="AG27" t="n">
        <v>0.3533333334786493</v>
      </c>
      <c r="AH27" t="n">
        <v>1.095000000166455</v>
      </c>
      <c r="AI27" t="n">
        <v>1.479188775516005</v>
      </c>
      <c r="AJ27" t="n">
        <v>-0.0136596636772155</v>
      </c>
      <c r="AK27" t="n">
        <v>3.404908019206301</v>
      </c>
      <c r="AL27" t="n">
        <v>3.496685290959212</v>
      </c>
      <c r="AM27" t="n">
        <v>3.057946928927211</v>
      </c>
      <c r="AN27" t="n">
        <v>3.331094688073405</v>
      </c>
      <c r="AO27" t="n">
        <v>-2154.975223816132</v>
      </c>
      <c r="AP27" t="n">
        <v>31.13</v>
      </c>
      <c r="AQ27" t="n">
        <v>31.93</v>
      </c>
      <c r="AR27" s="1" t="n">
        <v>3.026292025959528e-12</v>
      </c>
      <c r="AS27" t="n">
        <v>0.0007647289645968</v>
      </c>
      <c r="AT27" t="n">
        <v>14.8872</v>
      </c>
      <c r="AU27" t="n">
        <v>-497799.2767015263</v>
      </c>
      <c r="AV27" t="n">
        <v>0.088321011670418</v>
      </c>
      <c r="AW27" t="n">
        <v>0.0981709789997768</v>
      </c>
      <c r="AX27" t="n">
        <v>0.0901889831478024</v>
      </c>
      <c r="AY27" t="n">
        <v>0.1065413503938522</v>
      </c>
      <c r="AZ27" t="n">
        <v>0.0987862863003772</v>
      </c>
    </row>
    <row r="28">
      <c r="A28" t="inlineStr">
        <is>
          <t>cubic_spline</t>
        </is>
      </c>
      <c r="B28" t="inlineStr">
        <is>
          <t>42/4_GAM_AR1</t>
        </is>
      </c>
      <c r="C28">
        <f>IF(ISNUMBER(D28),SUM(INDIRECT(_xlfn.CONCAT("e",ROW(),":e",ROW()+D28-1))),"")</f>
        <v/>
      </c>
      <c r="D28" t="n">
        <v>3</v>
      </c>
      <c r="E28">
        <f>AND(AX28&lt;$C$1,averaged_runs370!AQ28&lt;$C$1,averaged_runs126!AQ28&lt;$C$1)*1</f>
        <v/>
      </c>
      <c r="F28" s="2">
        <f>IF(TRUE,SQRT(averaged_runs126!AQ28^2/2+averaged_runs370!AQ28^2/2+AX28^2*0),"")</f>
        <v/>
      </c>
      <c r="G28" s="2">
        <f>IF(E28,averaged_runs126!AQ28,"")</f>
        <v/>
      </c>
      <c r="H28" s="2">
        <f>IF(E28,AX28,"")</f>
        <v/>
      </c>
      <c r="I28" s="2">
        <f>IF(E28,averaged_runs370!AQ28,"")</f>
        <v/>
      </c>
      <c r="J28" t="inlineStr">
        <is>
          <t>c</t>
        </is>
      </c>
      <c r="K28" t="n">
        <v>1.74</v>
      </c>
      <c r="L28" t="n">
        <v>8.44</v>
      </c>
      <c r="M28" t="n">
        <v>0.0048617835456764</v>
      </c>
      <c r="N28" t="n">
        <v>116.8423703239174</v>
      </c>
      <c r="O28" t="n">
        <v>1.645000000144182</v>
      </c>
      <c r="P28" t="n">
        <v>-1.76999999983093</v>
      </c>
      <c r="Q28" t="n">
        <v>-0.2193704210794085</v>
      </c>
      <c r="R28" t="n">
        <v>1.371666666811093</v>
      </c>
      <c r="S28" t="n">
        <v>-1.863333333164173</v>
      </c>
      <c r="T28" t="n">
        <v>1.716666666810784</v>
      </c>
      <c r="U28" t="n">
        <v>-1.863333333164173</v>
      </c>
      <c r="V28" t="n">
        <v>3.00073840937915</v>
      </c>
      <c r="W28" t="n">
        <v>0.0863011947638067</v>
      </c>
      <c r="X28" t="n">
        <v>-0.0012391368446806</v>
      </c>
      <c r="Y28" t="n">
        <v>0.0294652599929991</v>
      </c>
      <c r="Z28" t="n">
        <v>0.0048617835456764</v>
      </c>
      <c r="AA28" t="n">
        <v>100.3661942914579</v>
      </c>
      <c r="AB28" t="n">
        <v>1.646666666810811</v>
      </c>
      <c r="AC28" t="n">
        <v>-1.76666666649759</v>
      </c>
      <c r="AD28" t="n">
        <v>-0.2844146823724614</v>
      </c>
      <c r="AE28" t="n">
        <v>1.373333333477722</v>
      </c>
      <c r="AF28" t="n">
        <v>-1.859999999830834</v>
      </c>
      <c r="AG28" t="n">
        <v>1.805000000144</v>
      </c>
      <c r="AH28" t="n">
        <v>-1.859999999830834</v>
      </c>
      <c r="AI28" t="n">
        <v>1.565009920627808</v>
      </c>
      <c r="AJ28" t="n">
        <v>0.0294652599929991</v>
      </c>
      <c r="AK28" t="n">
        <v>3.23965744175074</v>
      </c>
      <c r="AL28" t="n">
        <v>3.464247053652809</v>
      </c>
      <c r="AM28" t="n">
        <v>3.639205602179178</v>
      </c>
      <c r="AN28" t="n">
        <v>3.941633786551374</v>
      </c>
      <c r="AO28" t="n">
        <v>0.9851914537897334</v>
      </c>
      <c r="AP28" t="n">
        <v>17.004</v>
      </c>
      <c r="AQ28" t="n">
        <v>17.604</v>
      </c>
      <c r="AR28" t="n">
        <v>0.1931412048087105</v>
      </c>
      <c r="AS28" t="n">
        <v>0.5041404094046554</v>
      </c>
      <c r="AT28" t="n">
        <v>8.53532</v>
      </c>
      <c r="AU28" t="n">
        <v>207.8753967496337</v>
      </c>
      <c r="AV28" t="n">
        <v>0.09225588437203661</v>
      </c>
      <c r="AW28" t="n">
        <v>0.06488205053786</v>
      </c>
      <c r="AX28" t="n">
        <v>0.0613810240482266</v>
      </c>
      <c r="AY28" t="n">
        <v>0.0804846205202629</v>
      </c>
      <c r="AZ28" t="n">
        <v>0.0782795234303761</v>
      </c>
    </row>
    <row r="29">
      <c r="A29" t="inlineStr">
        <is>
          <t>GAM_AR0</t>
        </is>
      </c>
      <c r="B29" t="inlineStr">
        <is>
          <t>42/4_GAM_AR1</t>
        </is>
      </c>
      <c r="C29">
        <f>IF(ISNUMBER(D29),SUM(INDIRECT(_xlfn.CONCAT("e",ROW(),":e",ROW()+D29-1))),"")</f>
        <v/>
      </c>
      <c r="E29">
        <f>AND(AX29&lt;$C$1,averaged_runs370!AQ29&lt;$C$1,averaged_runs126!AQ29&lt;$C$1)*1</f>
        <v/>
      </c>
      <c r="F29" s="2">
        <f>IF(TRUE,SQRT(averaged_runs126!AQ29^2/2+averaged_runs370!AQ29^2/2+AX29^2*0),"")</f>
        <v/>
      </c>
      <c r="G29" s="2">
        <f>IF(E29,averaged_runs126!AQ29,"")</f>
        <v/>
      </c>
      <c r="H29" s="2">
        <f>IF(E29,AX29,"")</f>
        <v/>
      </c>
      <c r="I29" s="2">
        <f>IF(E29,averaged_runs370!AQ29,"")</f>
        <v/>
      </c>
      <c r="J29" t="inlineStr">
        <is>
          <t>c</t>
        </is>
      </c>
      <c r="K29" t="n">
        <v>8.1</v>
      </c>
      <c r="L29" t="n">
        <v>37</v>
      </c>
      <c r="M29" t="n">
        <v>0.008164720447273</v>
      </c>
      <c r="N29" t="n">
        <v>155.8882578006143</v>
      </c>
      <c r="O29" t="n">
        <v>0.560000000145169</v>
      </c>
      <c r="P29" t="n">
        <v>-1.100555555387115</v>
      </c>
      <c r="Q29" t="n">
        <v>-0.5836401097233987</v>
      </c>
      <c r="R29" t="n">
        <v>0.3900000001453145</v>
      </c>
      <c r="S29" t="n">
        <v>-1.239999999831434</v>
      </c>
      <c r="T29" t="n">
        <v>0.5933333334784721</v>
      </c>
      <c r="U29" t="n">
        <v>-1.239999999831434</v>
      </c>
      <c r="V29" t="n">
        <v>2.292105594339775</v>
      </c>
      <c r="W29" t="n">
        <v>0.0499255104461135</v>
      </c>
      <c r="X29" t="n">
        <v>-0.0032275627459634</v>
      </c>
      <c r="Y29" t="n">
        <v>0.0209003912701187</v>
      </c>
      <c r="Z29" t="n">
        <v>0.008164720447273</v>
      </c>
      <c r="AA29" t="n">
        <v>114.6996622498539</v>
      </c>
      <c r="AB29" t="n">
        <v>0.5616666668117978</v>
      </c>
      <c r="AC29" t="n">
        <v>-1.097222222053776</v>
      </c>
      <c r="AD29" t="n">
        <v>-0.6138690474512323</v>
      </c>
      <c r="AE29" t="n">
        <v>0.3916666668119433</v>
      </c>
      <c r="AF29" t="n">
        <v>-1.236666666498095</v>
      </c>
      <c r="AG29" t="n">
        <v>0.4633333334785493</v>
      </c>
      <c r="AH29" t="n">
        <v>-1.236666666498095</v>
      </c>
      <c r="AI29" t="n">
        <v>1.504702380898408</v>
      </c>
      <c r="AJ29" t="n">
        <v>0.0209003912701187</v>
      </c>
      <c r="AK29" t="n">
        <v>5.200517121160818</v>
      </c>
      <c r="AL29" t="n">
        <v>5.20938821206966</v>
      </c>
      <c r="AM29" t="n">
        <v>6.519967469948241</v>
      </c>
      <c r="AN29" t="n">
        <v>6.513449189993136</v>
      </c>
      <c r="AO29" t="n">
        <v>1.217459474676848</v>
      </c>
      <c r="AP29" t="n">
        <v>14.86</v>
      </c>
      <c r="AQ29" t="n">
        <v>15.46</v>
      </c>
      <c r="AR29" t="n">
        <v>0.051039637754637</v>
      </c>
      <c r="AS29" t="n">
        <v>0.1350708387769047</v>
      </c>
      <c r="AT29" t="n">
        <v>5.41652</v>
      </c>
      <c r="AU29" t="n">
        <v>258.1014086314918</v>
      </c>
      <c r="AV29" t="n">
        <v>0.06743310928914251</v>
      </c>
      <c r="AW29" t="n">
        <v>0.0434650237037518</v>
      </c>
      <c r="AX29" t="n">
        <v>0.0426948749032877</v>
      </c>
      <c r="AY29" t="n">
        <v>0.0618947911471763</v>
      </c>
      <c r="AZ29" t="n">
        <v>0.0603943004049581</v>
      </c>
    </row>
    <row r="30">
      <c r="A30" t="inlineStr">
        <is>
          <t>GAM_AR1</t>
        </is>
      </c>
      <c r="B30" t="inlineStr">
        <is>
          <t>42/4_GAM_AR1</t>
        </is>
      </c>
      <c r="C30">
        <f>IF(ISNUMBER(D30),SUM(INDIRECT(_xlfn.CONCAT("e",ROW(),":e",ROW()+D30-1))),"")</f>
        <v/>
      </c>
      <c r="E30">
        <f>AND(AX30&lt;$C$1,averaged_runs370!AQ30&lt;$C$1,averaged_runs126!AQ30&lt;$C$1)*1</f>
        <v/>
      </c>
      <c r="F30" s="2">
        <f>IF(TRUE,SQRT(averaged_runs126!AQ30^2/2+averaged_runs370!AQ30^2/2+AX30^2*0),"")</f>
        <v/>
      </c>
      <c r="G30" s="2">
        <f>IF(E30,averaged_runs126!AQ30,"")</f>
        <v/>
      </c>
      <c r="H30" s="2">
        <f>IF(E30,AX30,"")</f>
        <v/>
      </c>
      <c r="I30" s="2">
        <f>IF(E30,averaged_runs370!AQ30,"")</f>
        <v/>
      </c>
      <c r="J30" t="inlineStr">
        <is>
          <t>c</t>
        </is>
      </c>
      <c r="K30" t="n">
        <v>11.1</v>
      </c>
      <c r="L30" t="n">
        <v>32.44</v>
      </c>
      <c r="M30" t="n">
        <v>0.001523610893712</v>
      </c>
      <c r="N30" t="n">
        <v>140.954160734137</v>
      </c>
      <c r="O30" t="n">
        <v>0.5383333334785312</v>
      </c>
      <c r="P30" t="n">
        <v>-0.8155555553873348</v>
      </c>
      <c r="Q30" t="n">
        <v>-0.4740048838388532</v>
      </c>
      <c r="R30" t="n">
        <v>0.3700000001453509</v>
      </c>
      <c r="S30" t="n">
        <v>-1.03499999983158</v>
      </c>
      <c r="T30" t="n">
        <v>0.6116666668118023</v>
      </c>
      <c r="U30" t="n">
        <v>-0.9316666664983404</v>
      </c>
      <c r="V30" t="n">
        <v>2.06007902459595</v>
      </c>
      <c r="W30" t="n">
        <v>0.0530400786133272</v>
      </c>
      <c r="X30" t="n">
        <v>-0.0148460346619597</v>
      </c>
      <c r="Y30" t="n">
        <v>0.0264613324795082</v>
      </c>
      <c r="Z30" t="n">
        <v>0.0015236108937119</v>
      </c>
      <c r="AA30" t="n">
        <v>118.2130109294539</v>
      </c>
      <c r="AB30" t="n">
        <v>0.5400000001451599</v>
      </c>
      <c r="AC30" t="n">
        <v>-0.8122222220539954</v>
      </c>
      <c r="AD30" t="n">
        <v>-0.5931547617376892</v>
      </c>
      <c r="AE30" t="n">
        <v>0.3716666668119797</v>
      </c>
      <c r="AF30" t="n">
        <v>-1.03166666649824</v>
      </c>
      <c r="AG30" t="n">
        <v>0.5533333334784766</v>
      </c>
      <c r="AH30" t="n">
        <v>-0.9816666664982858</v>
      </c>
      <c r="AI30" t="n">
        <v>1.420813492009542</v>
      </c>
      <c r="AJ30" t="n">
        <v>0.0264613324795082</v>
      </c>
      <c r="AK30" t="n">
        <v>4.952477567476585</v>
      </c>
      <c r="AL30" t="n">
        <v>4.945214075792891</v>
      </c>
      <c r="AM30" t="n">
        <v>5.767696469408216</v>
      </c>
      <c r="AN30" t="n">
        <v>5.706007376958047</v>
      </c>
      <c r="AO30" t="n">
        <v>1.153399645035785</v>
      </c>
      <c r="AP30" t="n">
        <v>16.66</v>
      </c>
      <c r="AQ30" t="n">
        <v>17.5</v>
      </c>
      <c r="AR30" t="n">
        <v>0.0671058619409878</v>
      </c>
      <c r="AS30" t="n">
        <v>0.1147691476059798</v>
      </c>
      <c r="AT30" t="n">
        <v>6.09796</v>
      </c>
      <c r="AU30" t="n">
        <v>244.5207247475864</v>
      </c>
      <c r="AV30" t="n">
        <v>0.0623203860482505</v>
      </c>
      <c r="AW30" t="n">
        <v>0.0484752090517771</v>
      </c>
      <c r="AX30" t="n">
        <v>0.0421964304939521</v>
      </c>
      <c r="AY30" t="n">
        <v>0.0642012671631869</v>
      </c>
      <c r="AZ30" t="n">
        <v>0.0565079814768343</v>
      </c>
    </row>
    <row r="31">
      <c r="A31" t="inlineStr">
        <is>
          <t>Kal_flexLin</t>
        </is>
      </c>
      <c r="B31" t="inlineStr">
        <is>
          <t>42/5_Kalman</t>
        </is>
      </c>
      <c r="C31">
        <f>IF(ISNUMBER(D31),SUM(INDIRECT(_xlfn.CONCAT("e",ROW(),":e",ROW()+D31-1))),"")</f>
        <v/>
      </c>
      <c r="D31" t="n">
        <v>4</v>
      </c>
      <c r="E31">
        <f>AND(AX31&lt;$C$1,averaged_runs370!AQ31&lt;$C$1,averaged_runs126!AQ31&lt;$C$1)*1</f>
        <v/>
      </c>
      <c r="F31" s="2">
        <f>IF(TRUE,SQRT(averaged_runs126!AQ31^2/2+averaged_runs370!AQ31^2/2+AX31^2*0),"")</f>
        <v/>
      </c>
      <c r="G31" s="2">
        <f>IF(E31,averaged_runs126!AQ31,"")</f>
        <v/>
      </c>
      <c r="H31" s="2">
        <f>IF(E31,AX31,"")</f>
        <v/>
      </c>
      <c r="I31" s="2">
        <f>IF(E31,averaged_runs370!AQ31,"")</f>
        <v/>
      </c>
      <c r="J31" t="inlineStr">
        <is>
          <t>c</t>
        </is>
      </c>
      <c r="K31" t="n">
        <v>0.74</v>
      </c>
      <c r="L31" t="n">
        <v>9.24</v>
      </c>
      <c r="M31" t="n">
        <v>0.0063357360955588</v>
      </c>
      <c r="N31" t="n">
        <v>156.6285732880286</v>
      </c>
      <c r="O31" t="n">
        <v>0.6250000001451145</v>
      </c>
      <c r="P31" t="n">
        <v>-0.682499999831939</v>
      </c>
      <c r="Q31" t="n">
        <v>-0.35670177028519</v>
      </c>
      <c r="R31" t="n">
        <v>0.4250000001453054</v>
      </c>
      <c r="S31" t="n">
        <v>-0.8999999998317435</v>
      </c>
      <c r="T31" t="n">
        <v>0.7333333334783447</v>
      </c>
      <c r="U31" t="n">
        <v>-0.8999999998317435</v>
      </c>
      <c r="V31" t="n">
        <v>1.875099463874084</v>
      </c>
      <c r="W31" t="n">
        <v>0.0519804156263939</v>
      </c>
      <c r="X31" t="n">
        <v>-0.0032212809620986</v>
      </c>
      <c r="Y31" t="n">
        <v>0.0149231917274618</v>
      </c>
      <c r="Z31" t="n">
        <v>0.0063357360955588</v>
      </c>
      <c r="AA31" t="n">
        <v>119.9871167360957</v>
      </c>
      <c r="AB31" t="n">
        <v>0.6266666668117432</v>
      </c>
      <c r="AC31" t="n">
        <v>-0.6791666664985996</v>
      </c>
      <c r="AD31" t="n">
        <v>-0.4116269839594305</v>
      </c>
      <c r="AE31" t="n">
        <v>0.4266666668119342</v>
      </c>
      <c r="AF31" t="n">
        <v>-0.8966666664984041</v>
      </c>
      <c r="AG31" t="n">
        <v>0.6666666668117068</v>
      </c>
      <c r="AH31" t="n">
        <v>-0.8966666664984041</v>
      </c>
      <c r="AI31" t="n">
        <v>1.411785714265251</v>
      </c>
      <c r="AJ31" t="n">
        <v>0.0149231917274617</v>
      </c>
      <c r="AK31" t="n">
        <v>5.063335698104527</v>
      </c>
      <c r="AL31" t="n">
        <v>4.658947681098276</v>
      </c>
      <c r="AM31" t="n">
        <v>6.244638024309917</v>
      </c>
      <c r="AN31" t="n">
        <v>5.858019792925342</v>
      </c>
      <c r="AO31" t="n">
        <v>1.546958174023128</v>
      </c>
      <c r="AP31" t="n">
        <v>16.62</v>
      </c>
      <c r="AQ31" t="n">
        <v>17.3</v>
      </c>
      <c r="AR31" t="n">
        <v>0.4171493334328653</v>
      </c>
      <c r="AS31" t="n">
        <v>0.5890263121455179</v>
      </c>
      <c r="AT31" t="n">
        <v>4.65244</v>
      </c>
      <c r="AU31" t="n">
        <v>357.3473381993426</v>
      </c>
      <c r="AV31" t="n">
        <v>0.0513691324511823</v>
      </c>
      <c r="AW31" t="n">
        <v>0.0424516474150841</v>
      </c>
      <c r="AX31" t="n">
        <v>0.0421155615830552</v>
      </c>
      <c r="AY31" t="n">
        <v>0.0611850552934664</v>
      </c>
      <c r="AZ31" t="n">
        <v>0.0602674522722084</v>
      </c>
    </row>
    <row r="32">
      <c r="A32" t="inlineStr">
        <is>
          <t>Kal_flexLin_ocn</t>
        </is>
      </c>
      <c r="B32" t="inlineStr">
        <is>
          <t>42/5_Kalman</t>
        </is>
      </c>
      <c r="C32">
        <f>IF(ISNUMBER(D32),SUM(INDIRECT(_xlfn.CONCAT("e",ROW(),":e",ROW()+D32-1))),"")</f>
        <v/>
      </c>
      <c r="E32">
        <f>AND(AX32&lt;$C$1,averaged_runs370!AQ32&lt;$C$1,averaged_runs126!AQ32&lt;$C$1)*1</f>
        <v/>
      </c>
      <c r="F32" s="2">
        <f>IF(TRUE,SQRT(averaged_runs126!AQ32^2/2+averaged_runs370!AQ32^2/2+AX32^2*0),"")</f>
        <v/>
      </c>
      <c r="G32" s="2">
        <f>IF(E32,averaged_runs126!AQ32,"")</f>
        <v/>
      </c>
      <c r="H32" s="2">
        <f>IF(E32,AX32,"")</f>
        <v/>
      </c>
      <c r="I32" s="2">
        <f>IF(E32,averaged_runs370!AQ32,"")</f>
        <v/>
      </c>
      <c r="J32" t="inlineStr">
        <is>
          <t>c</t>
        </is>
      </c>
      <c r="K32" t="n">
        <v>7.38</v>
      </c>
      <c r="L32" t="n">
        <v>69.09999999999999</v>
      </c>
      <c r="M32" t="n">
        <v>0.0454288453253025</v>
      </c>
      <c r="N32" t="n">
        <v>98.86164629528533</v>
      </c>
      <c r="O32" t="n">
        <v>-1.050833333186715</v>
      </c>
      <c r="P32" t="n">
        <v>-3.101111110940862</v>
      </c>
      <c r="Q32" t="n">
        <v>-2.612235958319284</v>
      </c>
      <c r="R32" t="n">
        <v>-1.243333333186542</v>
      </c>
      <c r="S32" t="n">
        <v>-3.423333333162791</v>
      </c>
      <c r="T32" t="n">
        <v>-1.243333333186542</v>
      </c>
      <c r="U32" t="n">
        <v>-3.423333333162791</v>
      </c>
      <c r="V32" t="n">
        <v>3.714743041633208</v>
      </c>
      <c r="W32" t="n">
        <v>0.0478819034302331</v>
      </c>
      <c r="X32" t="n">
        <v>0.0132185472287243</v>
      </c>
      <c r="Y32" t="n">
        <v>0.07091494815966499</v>
      </c>
      <c r="Z32" t="n">
        <v>0.0454288453253025</v>
      </c>
      <c r="AA32" t="n">
        <v>58.13678118141733</v>
      </c>
      <c r="AB32" t="n">
        <v>-1.049166666520086</v>
      </c>
      <c r="AC32" t="n">
        <v>-3.097777777607523</v>
      </c>
      <c r="AD32" t="n">
        <v>-2.803317460149695</v>
      </c>
      <c r="AE32" t="n">
        <v>-1.241666666519914</v>
      </c>
      <c r="AF32" t="n">
        <v>-3.419999999829451</v>
      </c>
      <c r="AG32" t="n">
        <v>-1.146666666519995</v>
      </c>
      <c r="AH32" t="n">
        <v>-3.219999999829643</v>
      </c>
      <c r="AI32" t="n">
        <v>2.896888888741023</v>
      </c>
      <c r="AJ32" t="n">
        <v>0.0709149481596649</v>
      </c>
      <c r="AK32" t="n">
        <v>5.381013864240231</v>
      </c>
      <c r="AL32" t="n">
        <v>3.605451717970143</v>
      </c>
      <c r="AM32" t="n">
        <v>6.386548373492747</v>
      </c>
      <c r="AN32" t="n">
        <v>3.105878332657801</v>
      </c>
      <c r="AO32" t="n">
        <v>1.263025611397968</v>
      </c>
      <c r="AP32" t="n">
        <v>16.02</v>
      </c>
      <c r="AQ32" t="n">
        <v>16.78</v>
      </c>
      <c r="AR32" t="n">
        <v>0.0613368793653449</v>
      </c>
      <c r="AS32" t="n">
        <v>0.1175849018611293</v>
      </c>
      <c r="AT32" t="n">
        <v>4.9037</v>
      </c>
      <c r="AU32" t="n">
        <v>291.7589162329306</v>
      </c>
      <c r="AV32" t="n">
        <v>0.0609550282372286</v>
      </c>
      <c r="AW32" t="n">
        <v>0.06652676198312719</v>
      </c>
      <c r="AX32" t="n">
        <v>0.0715349554495007</v>
      </c>
      <c r="AY32" t="n">
        <v>0.0789257486071301</v>
      </c>
      <c r="AZ32" t="n">
        <v>0.0828793740968764</v>
      </c>
    </row>
    <row r="33">
      <c r="A33" t="inlineStr">
        <is>
          <t>Kalman_RW</t>
        </is>
      </c>
      <c r="B33" t="inlineStr">
        <is>
          <t>42/5_Kalman</t>
        </is>
      </c>
      <c r="C33">
        <f>IF(ISNUMBER(D33),SUM(INDIRECT(_xlfn.CONCAT("e",ROW(),":e",ROW()+D33-1))),"")</f>
        <v/>
      </c>
      <c r="E33">
        <f>AND(AX33&lt;$C$1,averaged_runs370!AQ33&lt;$C$1,averaged_runs126!AQ33&lt;$C$1)*1</f>
        <v/>
      </c>
      <c r="F33" s="2">
        <f>IF(TRUE,SQRT(averaged_runs126!AQ33^2/2+averaged_runs370!AQ33^2/2+AX33^2*0),"")</f>
        <v/>
      </c>
      <c r="G33" s="2">
        <f>IF(E33,averaged_runs126!AQ33,"")</f>
        <v/>
      </c>
      <c r="H33" s="2">
        <f>IF(E33,AX33,"")</f>
        <v/>
      </c>
      <c r="I33" s="2">
        <f>IF(E33,averaged_runs370!AQ33,"")</f>
        <v/>
      </c>
      <c r="J33" t="inlineStr">
        <is>
          <t>c</t>
        </is>
      </c>
      <c r="K33" t="n">
        <v>1.42</v>
      </c>
      <c r="L33" t="n">
        <v>18.5</v>
      </c>
      <c r="M33" t="n">
        <v>-0.0414212509045001</v>
      </c>
      <c r="N33" t="n">
        <v>121.1861796784215</v>
      </c>
      <c r="O33" t="n">
        <v>2.800833333476462</v>
      </c>
      <c r="P33" t="n">
        <v>1.920833333499055</v>
      </c>
      <c r="Q33" t="n">
        <v>2.317981532521914</v>
      </c>
      <c r="R33" t="n">
        <v>2.316666666810238</v>
      </c>
      <c r="S33" t="n">
        <v>1.135000000166438</v>
      </c>
      <c r="T33" t="n">
        <v>3.285000000142686</v>
      </c>
      <c r="U33" t="n">
        <v>2.723333333498322</v>
      </c>
      <c r="V33" t="n">
        <v>2.809230530938527</v>
      </c>
      <c r="W33" t="n">
        <v>0.0539348036943787</v>
      </c>
      <c r="X33" t="n">
        <v>-0.0278670441561198</v>
      </c>
      <c r="Y33" t="n">
        <v>-0.0314539918337459</v>
      </c>
      <c r="Z33" t="n">
        <v>-0.0414212509045002</v>
      </c>
      <c r="AA33" t="n">
        <v>93.72748331060342</v>
      </c>
      <c r="AB33" t="n">
        <v>2.80250000014309</v>
      </c>
      <c r="AC33" t="n">
        <v>1.924166666832395</v>
      </c>
      <c r="AD33" t="n">
        <v>2.276081349372717</v>
      </c>
      <c r="AE33" t="n">
        <v>2.318333333476867</v>
      </c>
      <c r="AF33" t="n">
        <v>1.138333333499777</v>
      </c>
      <c r="AG33" t="n">
        <v>3.24166666680936</v>
      </c>
      <c r="AH33" t="n">
        <v>2.49000000016521</v>
      </c>
      <c r="AI33" t="n">
        <v>2.398561508076097</v>
      </c>
      <c r="AJ33" t="n">
        <v>-0.031453991833746</v>
      </c>
      <c r="AK33" t="n">
        <v>3.407036580808561</v>
      </c>
      <c r="AL33" t="n">
        <v>4.426583582224976</v>
      </c>
      <c r="AM33" t="n">
        <v>3.979527898788403</v>
      </c>
      <c r="AN33" t="n">
        <v>5.472994826027873</v>
      </c>
      <c r="AO33" t="n">
        <v>1.357652692489621</v>
      </c>
      <c r="AP33" t="n">
        <v>18.144</v>
      </c>
      <c r="AQ33" t="n">
        <v>18.744</v>
      </c>
      <c r="AR33" t="n">
        <v>0.2348084049222109</v>
      </c>
      <c r="AS33" t="n">
        <v>0.3761324006997661</v>
      </c>
      <c r="AT33" t="n">
        <v>6.1206</v>
      </c>
      <c r="AU33" t="n">
        <v>313.6177719651023</v>
      </c>
      <c r="AV33" t="n">
        <v>0.0609195253217862</v>
      </c>
      <c r="AW33" t="n">
        <v>0.0621024832081476</v>
      </c>
      <c r="AX33" t="n">
        <v>0.0609141170880377</v>
      </c>
      <c r="AY33" t="n">
        <v>0.07449201116316061</v>
      </c>
      <c r="AZ33" t="n">
        <v>0.0730077857309402</v>
      </c>
    </row>
    <row r="34">
      <c r="A34" t="inlineStr">
        <is>
          <t>Kalman_RW_ocn</t>
        </is>
      </c>
      <c r="B34" t="inlineStr">
        <is>
          <t>42/5_Kalman</t>
        </is>
      </c>
      <c r="C34">
        <f>IF(ISNUMBER(D34),SUM(INDIRECT(_xlfn.CONCAT("e",ROW(),":e",ROW()+D34-1))),"")</f>
        <v/>
      </c>
      <c r="E34">
        <f>AND(AX34&lt;$C$1,averaged_runs370!AQ34&lt;$C$1,averaged_runs126!AQ34&lt;$C$1)*1</f>
        <v/>
      </c>
      <c r="F34" s="2">
        <f>IF(TRUE,SQRT(averaged_runs126!AQ34^2/2+averaged_runs370!AQ34^2/2+AX34^2*0),"")</f>
        <v/>
      </c>
      <c r="G34" s="2">
        <f>IF(E34,averaged_runs126!AQ34,"")</f>
        <v/>
      </c>
      <c r="H34" s="2">
        <f>IF(E34,AX34,"")</f>
        <v/>
      </c>
      <c r="I34" s="2">
        <f>IF(E34,averaged_runs370!AQ34,"")</f>
        <v/>
      </c>
      <c r="J34" t="inlineStr">
        <is>
          <t>c</t>
        </is>
      </c>
      <c r="K34" t="n">
        <v>17.94</v>
      </c>
      <c r="L34" t="n">
        <v>77.72</v>
      </c>
      <c r="M34" t="n">
        <v>0.0520678396009587</v>
      </c>
      <c r="N34" t="n">
        <v>55.21460948087276</v>
      </c>
      <c r="O34" t="n">
        <v>-0.807777777631389</v>
      </c>
      <c r="P34" t="n">
        <v>-3.752083333162459</v>
      </c>
      <c r="Q34" t="n">
        <v>-2.866259157343249</v>
      </c>
      <c r="R34" t="n">
        <v>-1.364999999853112</v>
      </c>
      <c r="S34" t="n">
        <v>-4.411666666495194</v>
      </c>
      <c r="T34" t="n">
        <v>-1.169999999853285</v>
      </c>
      <c r="U34" t="n">
        <v>-4.411666666495194</v>
      </c>
      <c r="V34" t="n">
        <v>4.458035726528311</v>
      </c>
      <c r="W34" t="n">
        <v>0.0510851387758082</v>
      </c>
      <c r="X34" t="n">
        <v>0.0059784348912282</v>
      </c>
      <c r="Y34" t="n">
        <v>0.1012909969657856</v>
      </c>
      <c r="Z34" t="n">
        <v>0.0520678396009587</v>
      </c>
      <c r="AA34" t="n">
        <v>24.60702696477393</v>
      </c>
      <c r="AB34" t="n">
        <v>-0.8061111109647602</v>
      </c>
      <c r="AC34" t="n">
        <v>-3.74874999982912</v>
      </c>
      <c r="AD34" t="n">
        <v>-3.164047618880701</v>
      </c>
      <c r="AE34" t="n">
        <v>-1.363333333186483</v>
      </c>
      <c r="AF34" t="n">
        <v>-4.408333333161854</v>
      </c>
      <c r="AG34" t="n">
        <v>-0.9949999998534804</v>
      </c>
      <c r="AH34" t="n">
        <v>-4.298333333161954</v>
      </c>
      <c r="AI34" t="n">
        <v>3.206071428417714</v>
      </c>
      <c r="AJ34" t="n">
        <v>0.1012909969657855</v>
      </c>
      <c r="AK34" t="n">
        <v>5.018836987923671</v>
      </c>
      <c r="AL34" t="n">
        <v>2.994163532421145</v>
      </c>
      <c r="AM34" t="n">
        <v>5.887421805277428</v>
      </c>
      <c r="AN34" t="n">
        <v>2.385788454129281</v>
      </c>
      <c r="AO34" t="n">
        <v>0.9939667457453444</v>
      </c>
      <c r="AP34" t="n">
        <v>18.168</v>
      </c>
      <c r="AQ34" t="n">
        <v>18.868</v>
      </c>
      <c r="AR34" t="n">
        <v>0.0129995208656329</v>
      </c>
      <c r="AS34" t="n">
        <v>0.0326878162789064</v>
      </c>
      <c r="AT34" t="n">
        <v>6.846660000000001</v>
      </c>
      <c r="AU34" t="n">
        <v>229.6063182671746</v>
      </c>
      <c r="AV34" t="n">
        <v>0.07363471917737929</v>
      </c>
      <c r="AW34" t="n">
        <v>0.08581058511879951</v>
      </c>
      <c r="AX34" t="n">
        <v>0.0958324945152534</v>
      </c>
      <c r="AY34" t="n">
        <v>0.0951303943473823</v>
      </c>
      <c r="AZ34" t="n">
        <v>0.1041068017482858</v>
      </c>
    </row>
    <row r="35">
      <c r="A35" t="inlineStr">
        <is>
          <t>removeGreensfx</t>
        </is>
      </c>
      <c r="B35" t="inlineStr">
        <is>
          <t>42/6_Remove_IV</t>
        </is>
      </c>
      <c r="C35">
        <f>IF(ISNUMBER(D35),SUM(INDIRECT(_xlfn.CONCAT("e",ROW(),":e",ROW()+D35-1))),"")</f>
        <v/>
      </c>
      <c r="D35" t="n">
        <v>4</v>
      </c>
      <c r="E35">
        <f>AND(AX35&lt;$C$1,averaged_runs370!AQ35&lt;$C$1,averaged_runs126!AQ35&lt;$C$1)*1</f>
        <v/>
      </c>
      <c r="F35" s="2">
        <f>IF(TRUE,SQRT(averaged_runs126!AQ35^2/2+averaged_runs370!AQ35^2/2+AX35^2*0),"")</f>
        <v/>
      </c>
      <c r="G35" s="2">
        <f>IF(TRUE,averaged_runs126!AQ35,"")</f>
        <v/>
      </c>
      <c r="H35" s="2">
        <f>IF(TRUE,AX35,"")</f>
        <v/>
      </c>
      <c r="I35" s="2">
        <f>IF(TRUE,averaged_runs370!AQ35,"")</f>
        <v/>
      </c>
      <c r="J35" t="inlineStr">
        <is>
          <t>c</t>
        </is>
      </c>
      <c r="K35" t="n">
        <v>3.66</v>
      </c>
      <c r="L35" t="n">
        <v>38.08</v>
      </c>
      <c r="M35" t="n">
        <v>-0.031400051156243</v>
      </c>
      <c r="N35" t="n">
        <v>109.029269713621</v>
      </c>
      <c r="O35" t="n">
        <v>2.465277777921196</v>
      </c>
      <c r="P35" t="n">
        <v>1.66736111127707</v>
      </c>
      <c r="Q35" t="n">
        <v>2.010239469030094</v>
      </c>
      <c r="R35" t="n">
        <v>1.175000000144605</v>
      </c>
      <c r="S35" t="n">
        <v>-0.0566666664991316</v>
      </c>
      <c r="T35" t="n">
        <v>3.660000000142321</v>
      </c>
      <c r="U35" t="n">
        <v>3.130000000164637</v>
      </c>
      <c r="V35" t="n">
        <v>2.667310605613312</v>
      </c>
      <c r="W35" t="n">
        <v>0.06</v>
      </c>
      <c r="X35" t="n">
        <v>-0.0217517573853445</v>
      </c>
      <c r="Y35" t="n">
        <v>-0.0258342342972754</v>
      </c>
      <c r="Z35" t="n">
        <v>-0.0314000511562431</v>
      </c>
      <c r="AA35" t="n">
        <v>87.04812280578885</v>
      </c>
      <c r="AB35" t="n">
        <v>2.466944444587825</v>
      </c>
      <c r="AC35" t="n">
        <v>1.67069444461041</v>
      </c>
      <c r="AD35" t="n">
        <v>1.932740079531584</v>
      </c>
      <c r="AE35" t="n">
        <v>1.176666666811234</v>
      </c>
      <c r="AF35" t="n">
        <v>-0.0533333331657922</v>
      </c>
      <c r="AG35" t="n">
        <v>3.216666666809352</v>
      </c>
      <c r="AH35" t="n">
        <v>2.321666666832043</v>
      </c>
      <c r="AI35" t="n">
        <v>2.134089285827197</v>
      </c>
      <c r="AJ35" t="n">
        <v>-0.0258342342972755</v>
      </c>
      <c r="AK35" t="n">
        <v>3.892676001769623</v>
      </c>
      <c r="AL35" t="n">
        <v>3.762338702466105</v>
      </c>
      <c r="AM35" t="n">
        <v>3.38587209676586</v>
      </c>
      <c r="AN35" t="n">
        <v>4.262525936357402</v>
      </c>
      <c r="AO35" t="n">
        <v>1.122074152984111</v>
      </c>
      <c r="AP35" t="n">
        <v>26.2</v>
      </c>
      <c r="AQ35" t="n">
        <v>26.98</v>
      </c>
      <c r="AR35" t="n">
        <v>0.0916387628912354</v>
      </c>
      <c r="AS35" t="n">
        <v>0.1957952174095378</v>
      </c>
      <c r="AT35" t="n">
        <v>14.40884</v>
      </c>
      <c r="AU35" t="n">
        <v>259.1991293393295</v>
      </c>
      <c r="AV35" t="n">
        <v>0.0745738950311234</v>
      </c>
      <c r="AW35" t="n">
        <v>0.0708075423380128</v>
      </c>
      <c r="AX35" t="n">
        <v>0.07006513623180009</v>
      </c>
      <c r="AY35" t="n">
        <v>0.0821758828329963</v>
      </c>
      <c r="AZ35" t="n">
        <v>0.08131941362979039</v>
      </c>
    </row>
    <row r="36">
      <c r="A36" t="inlineStr">
        <is>
          <t>removeMEI_cons</t>
        </is>
      </c>
      <c r="B36" t="inlineStr">
        <is>
          <t>42/6_Remove_IV</t>
        </is>
      </c>
      <c r="C36">
        <f>IF(ISNUMBER(D36),SUM(INDIRECT(_xlfn.CONCAT("e",ROW(),":e",ROW()+D36-1))),"")</f>
        <v/>
      </c>
      <c r="E36">
        <f>AND(AX36&lt;$C$1,averaged_runs370!AQ36&lt;$C$1,averaged_runs126!AQ36&lt;$C$1)*1</f>
        <v/>
      </c>
      <c r="F36" s="2">
        <f>IF(TRUE,SQRT(averaged_runs126!AQ36^2/2+averaged_runs370!AQ36^2/2+AX36^2*0),"")</f>
        <v/>
      </c>
      <c r="G36" s="2">
        <f>IF(E36,averaged_runs126!AQ36,"")</f>
        <v/>
      </c>
      <c r="H36" s="2">
        <f>IF(E36,AX36,"")</f>
        <v/>
      </c>
      <c r="I36" s="2">
        <f>IF(E36,averaged_runs370!AQ36,"")</f>
        <v/>
      </c>
      <c r="J36" t="inlineStr">
        <is>
          <t>c</t>
        </is>
      </c>
      <c r="K36" t="n">
        <v>28.14</v>
      </c>
      <c r="L36" t="n">
        <v>61.82</v>
      </c>
      <c r="M36" t="n">
        <v>-0.06664038219819771</v>
      </c>
      <c r="N36" t="n">
        <v>-93.61754955413252</v>
      </c>
      <c r="O36" t="n">
        <v>3.03952777792068</v>
      </c>
      <c r="P36" t="n">
        <v>7.108611111272105</v>
      </c>
      <c r="Q36" t="n">
        <v>5.178924864980623</v>
      </c>
      <c r="R36" t="n">
        <v>1.111666666811329</v>
      </c>
      <c r="S36" t="n">
        <v>2.510000000165201</v>
      </c>
      <c r="T36" t="n">
        <v>4.730000000141349</v>
      </c>
      <c r="U36" t="n">
        <v>11.61333333349021</v>
      </c>
      <c r="V36" t="n">
        <v>6.676236973599877</v>
      </c>
      <c r="W36" t="n">
        <v>0.1000237967735906</v>
      </c>
      <c r="X36" t="n">
        <v>0.0022780991572964</v>
      </c>
      <c r="Y36" t="n">
        <v>-0.1094359941159746</v>
      </c>
      <c r="Z36" t="n">
        <v>-0.06664038219819771</v>
      </c>
      <c r="AA36" t="n">
        <v>-136.1058665935583</v>
      </c>
      <c r="AB36" t="n">
        <v>3.041194444587309</v>
      </c>
      <c r="AC36" t="n">
        <v>7.111944444605444</v>
      </c>
      <c r="AD36" t="n">
        <v>5.493028911722098</v>
      </c>
      <c r="AE36" t="n">
        <v>1.113333333477958</v>
      </c>
      <c r="AF36" t="n">
        <v>2.51333333349854</v>
      </c>
      <c r="AG36" t="n">
        <v>4.613333333474747</v>
      </c>
      <c r="AH36" t="n">
        <v>11.49666666682366</v>
      </c>
      <c r="AI36" t="n">
        <v>5.493028911722098</v>
      </c>
      <c r="AJ36" t="n">
        <v>-0.1094359941159746</v>
      </c>
      <c r="AK36" t="n">
        <v>3.172193576118027</v>
      </c>
      <c r="AL36" t="n">
        <v>2.130641328457779</v>
      </c>
      <c r="AM36" t="n">
        <v>3.508665594160819</v>
      </c>
      <c r="AN36" t="n">
        <v>2.048450339882242</v>
      </c>
      <c r="AO36" t="n">
        <v>-0.2603379017729264</v>
      </c>
      <c r="AP36" t="n">
        <v>34.398</v>
      </c>
      <c r="AQ36" t="n">
        <v>34.458</v>
      </c>
      <c r="AR36" s="1" t="n">
        <v>1.474638461965224e-08</v>
      </c>
      <c r="AS36" s="1" t="n">
        <v>4.104369852480616e-05</v>
      </c>
      <c r="AT36" t="n">
        <v>21.61248</v>
      </c>
      <c r="AU36" t="n">
        <v>-60.138055309546</v>
      </c>
      <c r="AV36" t="n">
        <v>0.1014803306532353</v>
      </c>
      <c r="AW36" t="n">
        <v>0.1060631958709264</v>
      </c>
      <c r="AX36" t="n">
        <v>0.1151140090040396</v>
      </c>
      <c r="AY36" t="n">
        <v>0.1134508165875978</v>
      </c>
      <c r="AZ36" t="n">
        <v>0.1219155994158736</v>
      </c>
    </row>
    <row r="37">
      <c r="A37" t="inlineStr">
        <is>
          <t>removeMEI_volc_cons</t>
        </is>
      </c>
      <c r="B37" t="inlineStr">
        <is>
          <t>42/6_Remove_IV</t>
        </is>
      </c>
      <c r="C37">
        <f>IF(ISNUMBER(D37),SUM(INDIRECT(_xlfn.CONCAT("e",ROW(),":e",ROW()+D37-1))),"")</f>
        <v/>
      </c>
      <c r="E37">
        <f>AND(AX37&lt;$C$1,averaged_runs370!AQ37&lt;$C$1,averaged_runs126!AQ37&lt;$C$1)*1</f>
        <v/>
      </c>
      <c r="F37" s="2">
        <f>IF(TRUE,SQRT(averaged_runs126!AQ37^2/2+averaged_runs370!AQ37^2/2+AX37^2*0),"")</f>
        <v/>
      </c>
      <c r="G37" s="2">
        <f>IF(E37,averaged_runs126!AQ37,"")</f>
        <v/>
      </c>
      <c r="H37" s="2">
        <f>IF(E37,AX37,"")</f>
        <v/>
      </c>
      <c r="I37" s="2">
        <f>IF(E37,averaged_runs370!AQ37,"")</f>
        <v/>
      </c>
      <c r="J37" t="inlineStr">
        <is>
          <t>c</t>
        </is>
      </c>
      <c r="K37" t="n">
        <v>7.14</v>
      </c>
      <c r="L37" t="n">
        <v>42.06</v>
      </c>
      <c r="M37" t="n">
        <v>-0.0203473831486221</v>
      </c>
      <c r="N37" t="n">
        <v>88.51716708058412</v>
      </c>
      <c r="O37" t="n">
        <v>0.3331666668120372</v>
      </c>
      <c r="P37" t="n">
        <v>3.959611111274951</v>
      </c>
      <c r="Q37" t="n">
        <v>2.285419861060319</v>
      </c>
      <c r="R37" t="n">
        <v>-1.716666666519418</v>
      </c>
      <c r="S37" t="n">
        <v>-0.3933333331655285</v>
      </c>
      <c r="T37" t="n">
        <v>0.331666666812057</v>
      </c>
      <c r="U37" t="n">
        <v>8.113333333493374</v>
      </c>
      <c r="V37" t="n">
        <v>4.552054411492294</v>
      </c>
      <c r="W37" t="n">
        <v>0.06985258211713349</v>
      </c>
      <c r="X37" t="n">
        <v>0.0096958378776067</v>
      </c>
      <c r="Y37" t="n">
        <v>-0.0687969468621152</v>
      </c>
      <c r="Z37" t="n">
        <v>-0.0203473831486221</v>
      </c>
      <c r="AA37" t="n">
        <v>72.96307782152944</v>
      </c>
      <c r="AB37" t="n">
        <v>0.3348333334786659</v>
      </c>
      <c r="AC37" t="n">
        <v>3.96294444460829</v>
      </c>
      <c r="AD37" t="n">
        <v>2.458424178169665</v>
      </c>
      <c r="AE37" t="n">
        <v>-1.714999999852789</v>
      </c>
      <c r="AF37" t="n">
        <v>-0.3899999998321891</v>
      </c>
      <c r="AG37" t="n">
        <v>0.6383333334784038</v>
      </c>
      <c r="AH37" t="n">
        <v>7.478333333493975</v>
      </c>
      <c r="AI37" t="n">
        <v>2.643219529609461</v>
      </c>
      <c r="AJ37" t="n">
        <v>-0.0687969468621152</v>
      </c>
      <c r="AK37" t="n">
        <v>3.916701006422713</v>
      </c>
      <c r="AL37" t="n">
        <v>3.506109360605893</v>
      </c>
      <c r="AM37" t="n">
        <v>4.394412876938673</v>
      </c>
      <c r="AN37" t="n">
        <v>3.412462971853577</v>
      </c>
      <c r="AO37" t="n">
        <v>0.739933435710373</v>
      </c>
      <c r="AP37" t="n">
        <v>36.756</v>
      </c>
      <c r="AQ37" t="n">
        <v>37.176</v>
      </c>
      <c r="AR37" t="n">
        <v>0.0607993692953177</v>
      </c>
      <c r="AS37" t="n">
        <v>0.1463306782241933</v>
      </c>
      <c r="AT37" t="n">
        <v>22.52086</v>
      </c>
      <c r="AU37" t="n">
        <v>88.79201228524477</v>
      </c>
      <c r="AV37" t="n">
        <v>0.09835270040132379</v>
      </c>
      <c r="AW37" t="n">
        <v>0.08589891594340029</v>
      </c>
      <c r="AX37" t="n">
        <v>0.0866615443031486</v>
      </c>
      <c r="AY37" t="n">
        <v>0.0949610282588977</v>
      </c>
      <c r="AZ37" t="n">
        <v>0.0956929770152883</v>
      </c>
    </row>
    <row r="38">
      <c r="A38" t="inlineStr">
        <is>
          <t>removeMEI_volc_refit</t>
        </is>
      </c>
      <c r="B38" t="inlineStr">
        <is>
          <t>42/6_Remove_IV</t>
        </is>
      </c>
      <c r="E38">
        <f>AND(AX38&lt;$C$1,averaged_runs370!AQ38&lt;$C$1,averaged_runs126!AQ38&lt;$C$1)*1</f>
        <v/>
      </c>
      <c r="F38" s="2">
        <f>IF(TRUE,SQRT(averaged_runs126!AQ38^2/2+averaged_runs370!AQ38^2/2+AX38^2*0),"")</f>
        <v/>
      </c>
      <c r="G38" s="2">
        <f>IF(E38,averaged_runs126!AQ38,"")</f>
        <v/>
      </c>
      <c r="H38" s="2">
        <f>IF(E38,AX38,"")</f>
        <v/>
      </c>
      <c r="I38" s="2">
        <f>IF(E38,averaged_runs370!AQ38,"")</f>
        <v/>
      </c>
      <c r="J38" t="inlineStr">
        <is>
          <t>c</t>
        </is>
      </c>
      <c r="K38" t="n">
        <v>0.04</v>
      </c>
      <c r="L38" t="n">
        <v>15.08</v>
      </c>
      <c r="M38" t="n">
        <v>-0.1118819069013933</v>
      </c>
      <c r="N38" t="n">
        <v>44.28747806251789</v>
      </c>
      <c r="O38" t="n">
        <v>5.095583333474361</v>
      </c>
      <c r="P38" t="n">
        <v>10.75591666682434</v>
      </c>
      <c r="Q38" t="n">
        <v>8.261586996489548</v>
      </c>
      <c r="R38" t="n">
        <v>3.013333333476253</v>
      </c>
      <c r="S38" t="n">
        <v>6.000000000162017</v>
      </c>
      <c r="T38" t="n">
        <v>7.213333333472433</v>
      </c>
      <c r="U38" t="n">
        <v>15.43833333348674</v>
      </c>
      <c r="V38" t="n">
        <v>9.898924221062494</v>
      </c>
      <c r="W38" t="n">
        <v>0.1305226631225041</v>
      </c>
      <c r="X38" t="n">
        <v>-0.1035158562101662</v>
      </c>
      <c r="Y38" t="n">
        <v>-0.1604141471048728</v>
      </c>
      <c r="Z38" t="n">
        <v>-0.1118819069013933</v>
      </c>
      <c r="AA38" t="n">
        <v>40.20453923817117</v>
      </c>
      <c r="AB38" t="n">
        <v>5.09725000014099</v>
      </c>
      <c r="AC38" t="n">
        <v>10.80813888904652</v>
      </c>
      <c r="AD38" t="n">
        <v>8.743780895836331</v>
      </c>
      <c r="AE38" t="n">
        <v>3.015000000142882</v>
      </c>
      <c r="AF38" t="n">
        <v>6.003333333495357</v>
      </c>
      <c r="AG38" t="n">
        <v>7.050000000139216</v>
      </c>
      <c r="AH38" t="n">
        <v>15.55666666681996</v>
      </c>
      <c r="AI38" t="n">
        <v>8.743780895836331</v>
      </c>
      <c r="AJ38" t="n">
        <v>-0.1604141471048729</v>
      </c>
      <c r="AK38" t="n">
        <v>1.876347422740007</v>
      </c>
      <c r="AL38" t="n">
        <v>1.681928172637473</v>
      </c>
      <c r="AM38" t="n">
        <v>2.069291365989865</v>
      </c>
      <c r="AN38" t="n">
        <v>1.677201825086413</v>
      </c>
      <c r="AO38" t="n">
        <v>0.5013555393012166</v>
      </c>
      <c r="AP38" t="n">
        <v>34.426</v>
      </c>
      <c r="AQ38" t="n">
        <v>34.526</v>
      </c>
      <c r="AR38" t="n">
        <v>0.5179053158849467</v>
      </c>
      <c r="AS38" t="n">
        <v>0.5991500812350156</v>
      </c>
      <c r="AT38" t="n">
        <v>23.76224</v>
      </c>
      <c r="AU38" t="n">
        <v>51.63962054802531</v>
      </c>
      <c r="AV38" t="n">
        <v>0.1425062426103835</v>
      </c>
      <c r="AW38" t="n">
        <v>0.1426830584450512</v>
      </c>
      <c r="AX38" t="n">
        <v>0.1582752266025711</v>
      </c>
      <c r="AY38" t="n">
        <v>0.1480783477593631</v>
      </c>
      <c r="AZ38" t="n">
        <v>0.1630654155477349</v>
      </c>
    </row>
    <row r="39">
      <c r="A39" t="inlineStr">
        <is>
          <t>cons_hArrh_CO2forc</t>
        </is>
      </c>
      <c r="B39" t="inlineStr">
        <is>
          <t>43/0_Linear</t>
        </is>
      </c>
      <c r="C39">
        <f>IF(ISNUMBER(D39),SUM(INDIRECT(_xlfn.CONCAT("e",ROW(),":e",ROW()+D39-1))),"")</f>
        <v/>
      </c>
      <c r="D39" t="n">
        <v>2</v>
      </c>
      <c r="E39">
        <f>AND(AX39&lt;$C$1,averaged_runs370!AQ39&lt;$C$1,averaged_runs126!AQ39&lt;$C$1)*1</f>
        <v/>
      </c>
      <c r="F39" s="2">
        <f>IF(TRUE,SQRT(averaged_runs126!AQ39^2/2+averaged_runs370!AQ39^2/2+AX39^2*0),"")</f>
        <v/>
      </c>
      <c r="G39" s="2">
        <f>IF(E39,averaged_runs126!AQ39,"")</f>
        <v/>
      </c>
      <c r="H39" s="2">
        <f>IF(E39,AX39,"")</f>
        <v/>
      </c>
      <c r="I39" s="2">
        <f>IF(E39,averaged_runs370!AQ39,"")</f>
        <v/>
      </c>
      <c r="J39" t="inlineStr">
        <is>
          <t>c</t>
        </is>
      </c>
      <c r="K39" t="n">
        <v>39.92</v>
      </c>
      <c r="L39" t="n">
        <v>49.8</v>
      </c>
      <c r="M39" t="n">
        <v>0.3139346873336398</v>
      </c>
      <c r="N39" t="n">
        <v>-35.28885434283288</v>
      </c>
      <c r="O39" t="n">
        <v>-7.371666666514306</v>
      </c>
      <c r="P39" t="n">
        <v>-14.98833333315224</v>
      </c>
      <c r="Q39" t="n">
        <v>-7.410705128055778</v>
      </c>
      <c r="R39" t="n">
        <v>-7.371666666514306</v>
      </c>
      <c r="S39" t="n">
        <v>-14.98833333315224</v>
      </c>
      <c r="T39" t="n">
        <v>-7.371666666514306</v>
      </c>
      <c r="U39" t="n">
        <v>-14.98833333315224</v>
      </c>
      <c r="V39" t="n">
        <v>13.78562018507985</v>
      </c>
      <c r="W39" t="n">
        <v>0.2681711985621391</v>
      </c>
      <c r="X39" t="n">
        <v>0.1563792795970513</v>
      </c>
      <c r="Y39" t="n">
        <v>0.534978697286171</v>
      </c>
      <c r="Z39" t="n">
        <v>0.3139346873336398</v>
      </c>
      <c r="AA39" t="n">
        <v>-34.86160708092678</v>
      </c>
      <c r="AB39" t="n">
        <v>-7.369999999847677</v>
      </c>
      <c r="AC39" t="n">
        <v>-14.9849999998189</v>
      </c>
      <c r="AD39" t="n">
        <v>-6.19083333318994</v>
      </c>
      <c r="AE39" t="n">
        <v>-7.369999999847677</v>
      </c>
      <c r="AF39" t="n">
        <v>-14.9849999998189</v>
      </c>
      <c r="AG39" t="n">
        <v>-7.369999999847677</v>
      </c>
      <c r="AH39" t="n">
        <v>-14.9849999998189</v>
      </c>
      <c r="AI39" t="n">
        <v>6.19083333318994</v>
      </c>
      <c r="AJ39" t="n">
        <v>0.5349786972861709</v>
      </c>
      <c r="AK39" t="n">
        <v>0.7553974127950877</v>
      </c>
      <c r="AL39" t="n">
        <v>0.4775087565396152</v>
      </c>
      <c r="AM39" t="n">
        <v>0.7635006674201849</v>
      </c>
      <c r="AN39" t="n">
        <v>0.4808212045035765</v>
      </c>
      <c r="AO39" t="n">
        <v>-2.28278739867237</v>
      </c>
      <c r="AP39" t="n">
        <v>12.42</v>
      </c>
      <c r="AQ39" t="n">
        <v>12.34</v>
      </c>
      <c r="AR39" s="1" t="n">
        <v>7.020574864957406e-07</v>
      </c>
      <c r="AS39" t="n">
        <v>0.0001938032335145</v>
      </c>
      <c r="AT39" t="n">
        <v>0.21714</v>
      </c>
      <c r="AU39" t="n">
        <v>-527.3238890933175</v>
      </c>
      <c r="AV39" t="n">
        <v>0.2512728966044494</v>
      </c>
      <c r="AW39" t="n">
        <v>0.3871740829017208</v>
      </c>
      <c r="AX39" t="n">
        <v>0.4525183593723971</v>
      </c>
      <c r="AY39" t="n">
        <v>0.385148514808606</v>
      </c>
      <c r="AZ39" t="n">
        <v>0.4508176755431992</v>
      </c>
    </row>
    <row r="40">
      <c r="A40" t="inlineStr">
        <is>
          <t>OLS_refit_CO2forc</t>
        </is>
      </c>
      <c r="B40" t="inlineStr">
        <is>
          <t>43/0_Linear</t>
        </is>
      </c>
      <c r="C40">
        <f>IF(ISNUMBER(D40),SUM(INDIRECT(_xlfn.CONCAT("e",ROW(),":e",ROW()+D40-1))),"")</f>
        <v/>
      </c>
      <c r="E40">
        <f>AND(AX40&lt;$C$1,averaged_runs370!AQ40&lt;$C$1,averaged_runs126!AQ40&lt;$C$1)*1</f>
        <v/>
      </c>
      <c r="F40" s="2">
        <f>IF(TRUE,SQRT(averaged_runs126!AQ40^2/2+averaged_runs370!AQ40^2/2+AX40^2*0),"")</f>
        <v/>
      </c>
      <c r="G40" s="2">
        <f>IF(E40,averaged_runs126!AQ40,"")</f>
        <v/>
      </c>
      <c r="H40" s="2">
        <f>IF(E40,AX40,"")</f>
        <v/>
      </c>
      <c r="I40" s="2">
        <f>IF(E40,averaged_runs370!AQ40,"")</f>
        <v/>
      </c>
      <c r="J40" t="inlineStr">
        <is>
          <t>c</t>
        </is>
      </c>
      <c r="K40" t="n">
        <v>140.26</v>
      </c>
      <c r="L40" t="n">
        <v>186.98</v>
      </c>
      <c r="M40" t="n">
        <v>0.0892517086542101</v>
      </c>
      <c r="N40" t="n">
        <v>-601.3103460916675</v>
      </c>
      <c r="O40" t="n">
        <v>-4.466666666516963</v>
      </c>
      <c r="P40" t="n">
        <v>-6.733333333159772</v>
      </c>
      <c r="Q40" t="n">
        <v>-5.715311355144191</v>
      </c>
      <c r="R40" t="n">
        <v>-4.466666666516963</v>
      </c>
      <c r="S40" t="n">
        <v>-6.733333333159772</v>
      </c>
      <c r="T40" t="n">
        <v>-4.466666666516963</v>
      </c>
      <c r="U40" t="n">
        <v>-6.733333333159772</v>
      </c>
      <c r="V40" t="n">
        <v>6.799549274236036</v>
      </c>
      <c r="W40" t="n">
        <v>0.0257323727191337</v>
      </c>
      <c r="X40" t="n">
        <v>0.0390002971556223</v>
      </c>
      <c r="Y40" t="n">
        <v>0.1401437843438388</v>
      </c>
      <c r="Z40" t="n">
        <v>0.0892517086542101</v>
      </c>
      <c r="AA40" t="n">
        <v>-680.7291524277596</v>
      </c>
      <c r="AB40" t="n">
        <v>-4.464999999850334</v>
      </c>
      <c r="AC40" t="n">
        <v>-6.729999999826432</v>
      </c>
      <c r="AD40" t="n">
        <v>-5.986547618879321</v>
      </c>
      <c r="AE40" t="n">
        <v>-4.464999999850334</v>
      </c>
      <c r="AF40" t="n">
        <v>-6.729999999826432</v>
      </c>
      <c r="AG40" t="n">
        <v>-4.464999999850334</v>
      </c>
      <c r="AH40" t="n">
        <v>-6.729999999826432</v>
      </c>
      <c r="AI40" t="n">
        <v>5.986547618879321</v>
      </c>
      <c r="AJ40" t="n">
        <v>0.1401437843438388</v>
      </c>
      <c r="AK40" t="n">
        <v>1.456875085039547</v>
      </c>
      <c r="AL40" t="n">
        <v>0.5664597069703077</v>
      </c>
      <c r="AM40" t="n">
        <v>0.8134525012633591</v>
      </c>
      <c r="AN40" t="n">
        <v>0.0817459056987261</v>
      </c>
      <c r="AO40" t="n">
        <v>-4.731445381231867</v>
      </c>
      <c r="AP40" t="n">
        <v>13.58</v>
      </c>
      <c r="AQ40" t="n">
        <v>14</v>
      </c>
      <c r="AR40" s="1" t="n">
        <v>5.22803919106937e-11</v>
      </c>
      <c r="AS40" s="1" t="n">
        <v>7.807324814034715e-08</v>
      </c>
      <c r="AT40" t="n">
        <v>1.06578</v>
      </c>
      <c r="AU40" t="n">
        <v>-1092.963883064561</v>
      </c>
      <c r="AV40" t="n">
        <v>0.0899911228275037</v>
      </c>
      <c r="AW40" t="n">
        <v>0.1154612118191942</v>
      </c>
      <c r="AX40" t="n">
        <v>0.1318727043007897</v>
      </c>
      <c r="AY40" t="n">
        <v>0.1216864421014357</v>
      </c>
      <c r="AZ40" t="n">
        <v>0.1360347821894737</v>
      </c>
    </row>
    <row r="41">
      <c r="A41" t="inlineStr">
        <is>
          <t>FaIR_all</t>
        </is>
      </c>
      <c r="B41" t="inlineStr">
        <is>
          <t>43/1_ERF_FaIR</t>
        </is>
      </c>
      <c r="C41">
        <f>IF(ISNUMBER(D41),SUM(INDIRECT(_xlfn.CONCAT("e",ROW(),":e",ROW()+D41-1))),"")</f>
        <v/>
      </c>
      <c r="D41" t="n">
        <v>7</v>
      </c>
      <c r="E41">
        <f>AND(AX41&lt;$C$1,averaged_runs370!AQ41&lt;$C$1,averaged_runs126!AQ41&lt;$C$1)*1</f>
        <v/>
      </c>
      <c r="F41" s="2">
        <f>IF(TRUE,SQRT(averaged_runs126!AQ41^2/2+averaged_runs370!AQ41^2/2+AX41^2*0),"")</f>
        <v/>
      </c>
      <c r="G41" s="2">
        <f>IF(E41,averaged_runs126!AQ41,"")</f>
        <v/>
      </c>
      <c r="H41" s="2">
        <f>IF(E41,AX41,"")</f>
        <v/>
      </c>
      <c r="I41" s="2">
        <f>IF(E41,averaged_runs370!AQ41,"")</f>
        <v/>
      </c>
      <c r="J41" t="inlineStr">
        <is>
          <t>c</t>
        </is>
      </c>
      <c r="K41" t="n">
        <v>139.28</v>
      </c>
      <c r="L41" t="n">
        <v>152.5</v>
      </c>
      <c r="M41" t="n">
        <v>0.0557472080232789</v>
      </c>
      <c r="N41" t="n">
        <v>-199760.5095249469</v>
      </c>
      <c r="O41" t="n">
        <v>-4.494166666516917</v>
      </c>
      <c r="P41" t="n">
        <v>-1.098333333164901</v>
      </c>
      <c r="Q41" t="n">
        <v>-3.020796703127649</v>
      </c>
      <c r="R41" t="n">
        <v>-4.53666666651688</v>
      </c>
      <c r="S41" t="n">
        <v>-1.098333333164901</v>
      </c>
      <c r="T41" t="n">
        <v>-4.53666666651688</v>
      </c>
      <c r="U41" t="n">
        <v>-1.098333333164901</v>
      </c>
      <c r="V41" t="n">
        <v>4.090996667248344</v>
      </c>
      <c r="W41" t="n">
        <v>0.0055733761870296</v>
      </c>
      <c r="X41" t="n">
        <v>0.030770830499435</v>
      </c>
      <c r="Y41" t="n">
        <v>0.0150692122888477</v>
      </c>
      <c r="Z41" t="n">
        <v>0.0557472080232789</v>
      </c>
      <c r="AA41" t="n">
        <v>-235597.3004582472</v>
      </c>
      <c r="AB41" t="n">
        <v>-4.492499999850288</v>
      </c>
      <c r="AC41" t="n">
        <v>-1.094999999831562</v>
      </c>
      <c r="AD41" t="n">
        <v>-2.922023809354487</v>
      </c>
      <c r="AE41" t="n">
        <v>-4.534999999850252</v>
      </c>
      <c r="AF41" t="n">
        <v>-1.094999999831562</v>
      </c>
      <c r="AG41" t="n">
        <v>-4.534999999850252</v>
      </c>
      <c r="AH41" t="n">
        <v>-1.094999999831562</v>
      </c>
      <c r="AI41" t="n">
        <v>3.190476190332265</v>
      </c>
      <c r="AJ41" t="n">
        <v>0.0150692122888477</v>
      </c>
      <c r="AK41" t="n">
        <v>0.304224718841757</v>
      </c>
      <c r="AL41" t="n">
        <v>10.55595724795952</v>
      </c>
      <c r="AM41" s="1" t="n">
        <v>2.153675128010457e-27</v>
      </c>
      <c r="AN41" t="n">
        <v>11.47446841440271</v>
      </c>
      <c r="AO41" t="n">
        <v>-1765.72432970224</v>
      </c>
      <c r="AP41" t="n">
        <v>13.784</v>
      </c>
      <c r="AQ41" t="n">
        <v>14.284</v>
      </c>
      <c r="AR41" s="1" t="n">
        <v>1.633039675058025e-35</v>
      </c>
      <c r="AS41" s="1" t="n">
        <v>5.701379805447466e-28</v>
      </c>
      <c r="AT41" t="n">
        <v>3.11664</v>
      </c>
      <c r="AU41" t="n">
        <v>-284281.6170820608</v>
      </c>
      <c r="AV41" t="n">
        <v>0.07301320471962081</v>
      </c>
      <c r="AW41" t="n">
        <v>0.0755971717953416</v>
      </c>
      <c r="AX41" t="n">
        <v>0.0582010742675249</v>
      </c>
      <c r="AY41" t="n">
        <v>0.0814815914361159</v>
      </c>
      <c r="AZ41" t="n">
        <v>0.0637556846614039</v>
      </c>
    </row>
    <row r="42">
      <c r="A42" t="inlineStr">
        <is>
          <t>FaIR_all_unB</t>
        </is>
      </c>
      <c r="B42" t="inlineStr">
        <is>
          <t>43/1_ERF_FaIR</t>
        </is>
      </c>
      <c r="C42">
        <f>IF(ISNUMBER(D42),SUM(INDIRECT(_xlfn.CONCAT("e",ROW(),":e",ROW()+D42-1))),"")</f>
        <v/>
      </c>
      <c r="E42">
        <f>AND(AX42&lt;$C$1,averaged_runs370!AQ42&lt;$C$1,averaged_runs126!AQ42&lt;$C$1)*1</f>
        <v/>
      </c>
      <c r="F42" s="2">
        <f>IF(TRUE,SQRT(averaged_runs126!AQ42^2/2+averaged_runs370!AQ42^2/2+AX42^2*0),"")</f>
        <v/>
      </c>
      <c r="G42" s="2">
        <f>IF(E42,averaged_runs126!AQ42,"")</f>
        <v/>
      </c>
      <c r="H42" s="2">
        <f>IF(E42,AX42,"")</f>
        <v/>
      </c>
      <c r="I42" s="2">
        <f>IF(E42,averaged_runs370!AQ42,"")</f>
        <v/>
      </c>
      <c r="J42" t="inlineStr">
        <is>
          <t>c</t>
        </is>
      </c>
      <c r="K42" t="n">
        <v>0</v>
      </c>
      <c r="L42" t="n">
        <v>0.02</v>
      </c>
      <c r="M42" t="n">
        <v>0.020361208023279</v>
      </c>
      <c r="N42" t="n">
        <v>116.0463690571843</v>
      </c>
      <c r="O42" t="n">
        <v>-2.096666666519118</v>
      </c>
      <c r="P42" t="n">
        <v>0.9666666668332344</v>
      </c>
      <c r="Q42" t="n">
        <v>-0.8495619656436881</v>
      </c>
      <c r="R42" t="n">
        <v>-2.096666666519118</v>
      </c>
      <c r="S42" t="n">
        <v>0.9666666668332344</v>
      </c>
      <c r="T42" t="n">
        <v>-2.096666666519118</v>
      </c>
      <c r="U42" t="n">
        <v>0.9666666668332344</v>
      </c>
      <c r="V42" t="n">
        <v>2.939728289193084</v>
      </c>
      <c r="W42" t="n">
        <v>0.0869966848530003</v>
      </c>
      <c r="X42" t="n">
        <v>-0.0031913774047284</v>
      </c>
      <c r="Y42" t="n">
        <v>-0.020316787711152</v>
      </c>
      <c r="Z42" t="n">
        <v>0.020361208023279</v>
      </c>
      <c r="AA42" t="n">
        <v>111.185565459191</v>
      </c>
      <c r="AB42" t="n">
        <v>-2.094999999852489</v>
      </c>
      <c r="AC42" t="n">
        <v>0.970000000166574</v>
      </c>
      <c r="AD42" t="n">
        <v>-0.5382341268179649</v>
      </c>
      <c r="AE42" t="n">
        <v>-2.094999999852489</v>
      </c>
      <c r="AF42" t="n">
        <v>0.970000000166574</v>
      </c>
      <c r="AG42" t="n">
        <v>-2.094999999852489</v>
      </c>
      <c r="AH42" t="n">
        <v>0.970000000166574</v>
      </c>
      <c r="AI42" t="n">
        <v>1.788472222171204</v>
      </c>
      <c r="AJ42" t="n">
        <v>-0.0203167877111521</v>
      </c>
      <c r="AK42" t="n">
        <v>3.52938889838949</v>
      </c>
      <c r="AL42" t="n">
        <v>3.684255481586185</v>
      </c>
      <c r="AM42" t="n">
        <v>3.792407932164808</v>
      </c>
      <c r="AN42" t="n">
        <v>3.956536063318946</v>
      </c>
      <c r="AO42" t="n">
        <v>1.20800913513294</v>
      </c>
      <c r="AP42" t="n">
        <v>13.9</v>
      </c>
      <c r="AQ42" t="n">
        <v>14.24</v>
      </c>
      <c r="AR42" t="n">
        <v>0.9442500457222472</v>
      </c>
      <c r="AS42" t="n">
        <v>0.9876766799455032</v>
      </c>
      <c r="AT42" t="n">
        <v>3.37588</v>
      </c>
      <c r="AU42" t="n">
        <v>194.4894707564033</v>
      </c>
      <c r="AV42" t="n">
        <v>0.06472455043299739</v>
      </c>
      <c r="AW42" t="n">
        <v>0.0549705373198306</v>
      </c>
      <c r="AX42" t="n">
        <v>0.044102165456599</v>
      </c>
      <c r="AY42" t="n">
        <v>0.0628178106331207</v>
      </c>
      <c r="AZ42" t="n">
        <v>0.0512096014309002</v>
      </c>
    </row>
    <row r="43">
      <c r="A43" t="inlineStr">
        <is>
          <t>FaIR_anthro</t>
        </is>
      </c>
      <c r="B43" t="inlineStr">
        <is>
          <t>43/1_ERF_FaIR</t>
        </is>
      </c>
      <c r="C43">
        <f>IF(ISNUMBER(D43),SUM(INDIRECT(_xlfn.CONCAT("e",ROW(),":e",ROW()+D43-1))),"")</f>
        <v/>
      </c>
      <c r="E43">
        <f>AND(AX43&lt;$C$1,averaged_runs370!AQ43&lt;$C$1,averaged_runs126!AQ43&lt;$C$1)*1</f>
        <v/>
      </c>
      <c r="F43" s="2">
        <f>IF(TRUE,SQRT(averaged_runs126!AQ43^2/2+averaged_runs370!AQ43^2/2+AX43^2*0),"")</f>
        <v/>
      </c>
      <c r="G43" s="2">
        <f>IF(E43,averaged_runs126!AQ43,"")</f>
        <v/>
      </c>
      <c r="H43" s="2">
        <f>IF(E43,AX43,"")</f>
        <v/>
      </c>
      <c r="I43" s="2">
        <f>IF(E43,averaged_runs370!AQ43,"")</f>
        <v/>
      </c>
      <c r="J43" t="inlineStr">
        <is>
          <t>c</t>
        </is>
      </c>
      <c r="K43" t="n">
        <v>0</v>
      </c>
      <c r="L43" t="n">
        <v>4.28</v>
      </c>
      <c r="M43" t="n">
        <v>0.0189699549116032</v>
      </c>
      <c r="N43" t="n">
        <v>117.6414971337878</v>
      </c>
      <c r="O43" t="n">
        <v>-2.571666666518654</v>
      </c>
      <c r="P43" t="n">
        <v>0.2900000001672197</v>
      </c>
      <c r="Q43" t="n">
        <v>-1.03311660544857</v>
      </c>
      <c r="R43" t="n">
        <v>-2.584999999851976</v>
      </c>
      <c r="S43" t="n">
        <v>0.2900000001672197</v>
      </c>
      <c r="T43" t="n">
        <v>-2.584999999851976</v>
      </c>
      <c r="U43" t="n">
        <v>0.2900000001672197</v>
      </c>
      <c r="V43" t="n">
        <v>2.593370308095792</v>
      </c>
      <c r="W43" t="n">
        <v>0.08703590890891461</v>
      </c>
      <c r="X43" t="n">
        <v>-0.0162771199542445</v>
      </c>
      <c r="Y43" t="n">
        <v>-0.0084605989500641</v>
      </c>
      <c r="Z43" t="n">
        <v>0.0189699549116032</v>
      </c>
      <c r="AA43" t="n">
        <v>114.1532375032828</v>
      </c>
      <c r="AB43" t="n">
        <v>-2.569999999852025</v>
      </c>
      <c r="AC43" t="n">
        <v>0.293333333500559</v>
      </c>
      <c r="AD43" t="n">
        <v>-0.8869841268157436</v>
      </c>
      <c r="AE43" t="n">
        <v>-2.583333333185347</v>
      </c>
      <c r="AF43" t="n">
        <v>0.293333333500559</v>
      </c>
      <c r="AG43" t="n">
        <v>-2.583333333185347</v>
      </c>
      <c r="AH43" t="n">
        <v>0.293333333500559</v>
      </c>
      <c r="AI43" t="n">
        <v>1.649206349117272</v>
      </c>
      <c r="AJ43" t="n">
        <v>-0.008460598950064201</v>
      </c>
      <c r="AK43" t="n">
        <v>3.514629185390003</v>
      </c>
      <c r="AL43" t="n">
        <v>3.800769013021487</v>
      </c>
      <c r="AM43" t="n">
        <v>3.679868043207977</v>
      </c>
      <c r="AN43" t="n">
        <v>3.798396204706498</v>
      </c>
      <c r="AO43" t="n">
        <v>1.114448513416225</v>
      </c>
      <c r="AP43" t="n">
        <v>13.724</v>
      </c>
      <c r="AQ43" t="n">
        <v>14.104</v>
      </c>
      <c r="AR43" t="n">
        <v>0.7743059574363308</v>
      </c>
      <c r="AS43" t="n">
        <v>0.7743059574363308</v>
      </c>
      <c r="AT43" t="n">
        <v>1.6911</v>
      </c>
      <c r="AU43" t="n">
        <v>179.4262106600123</v>
      </c>
      <c r="AV43" t="n">
        <v>0.0664399622230171</v>
      </c>
      <c r="AW43" t="n">
        <v>0.0461996528029602</v>
      </c>
      <c r="AX43" t="n">
        <v>0.0427594784107377</v>
      </c>
      <c r="AY43" t="n">
        <v>0.0521785628605732</v>
      </c>
      <c r="AZ43" t="n">
        <v>0.0475441204116627</v>
      </c>
    </row>
    <row r="44">
      <c r="A44" t="inlineStr">
        <is>
          <t>FaIR_anthro_unB</t>
        </is>
      </c>
      <c r="B44" t="inlineStr">
        <is>
          <t>43/1_ERF_FaIR</t>
        </is>
      </c>
      <c r="C44">
        <f>IF(ISNUMBER(D44),SUM(INDIRECT(_xlfn.CONCAT("e",ROW(),":e",ROW()+D44-1))),"")</f>
        <v/>
      </c>
      <c r="E44">
        <f>AND(AX44&lt;$C$1,averaged_runs370!AQ44&lt;$C$1,averaged_runs126!AQ44&lt;$C$1)*1</f>
        <v/>
      </c>
      <c r="F44" s="2">
        <f>IF(TRUE,SQRT(averaged_runs126!AQ44^2/2+averaged_runs370!AQ44^2/2+AX44^2*0),"")</f>
        <v/>
      </c>
      <c r="G44" s="2">
        <f>IF(E44,averaged_runs126!AQ44,"")</f>
        <v/>
      </c>
      <c r="H44" s="2">
        <f>IF(E44,AX44,"")</f>
        <v/>
      </c>
      <c r="I44" s="2">
        <f>IF(E44,averaged_runs370!AQ44,"")</f>
        <v/>
      </c>
      <c r="J44" t="inlineStr">
        <is>
          <t>c</t>
        </is>
      </c>
      <c r="K44" t="n">
        <v>0</v>
      </c>
      <c r="L44" t="n">
        <v>5.16</v>
      </c>
      <c r="M44" t="n">
        <v>0.0137399549116031</v>
      </c>
      <c r="N44" t="n">
        <v>118.4494770406881</v>
      </c>
      <c r="O44" t="n">
        <v>-2.19333333318566</v>
      </c>
      <c r="P44" t="n">
        <v>0.558333333500268</v>
      </c>
      <c r="Q44" t="n">
        <v>-0.7310027470848258</v>
      </c>
      <c r="R44" t="n">
        <v>-2.19333333318566</v>
      </c>
      <c r="S44" t="n">
        <v>0.558333333500268</v>
      </c>
      <c r="T44" t="n">
        <v>-2.19333333318566</v>
      </c>
      <c r="U44" t="n">
        <v>0.558333333500268</v>
      </c>
      <c r="V44" t="n">
        <v>2.505468615503576</v>
      </c>
      <c r="W44" t="n">
        <v>0.08703590890891461</v>
      </c>
      <c r="X44" t="n">
        <v>-0.0215071199542445</v>
      </c>
      <c r="Y44" t="n">
        <v>-0.0136905989500642</v>
      </c>
      <c r="Z44" t="n">
        <v>0.0137399549116031</v>
      </c>
      <c r="AA44" t="n">
        <v>114.9737442050246</v>
      </c>
      <c r="AB44" t="n">
        <v>-2.191666666519032</v>
      </c>
      <c r="AC44" t="n">
        <v>0.5616666668336074</v>
      </c>
      <c r="AD44" t="n">
        <v>-0.5294642855468179</v>
      </c>
      <c r="AE44" t="n">
        <v>-2.191666666519032</v>
      </c>
      <c r="AF44" t="n">
        <v>0.5616666668336074</v>
      </c>
      <c r="AG44" t="n">
        <v>-2.191666666519032</v>
      </c>
      <c r="AH44" t="n">
        <v>0.5616666668336074</v>
      </c>
      <c r="AI44" t="n">
        <v>1.567321428508524</v>
      </c>
      <c r="AJ44" t="n">
        <v>-0.0136905989500642</v>
      </c>
      <c r="AK44" t="n">
        <v>3.586479284852524</v>
      </c>
      <c r="AL44" t="n">
        <v>3.792951403830328</v>
      </c>
      <c r="AM44" t="n">
        <v>3.744417740067549</v>
      </c>
      <c r="AN44" t="n">
        <v>3.785599455755552</v>
      </c>
      <c r="AO44" t="n">
        <v>1.092552658754026</v>
      </c>
      <c r="AP44" t="n">
        <v>13.7</v>
      </c>
      <c r="AQ44" t="n">
        <v>14.06</v>
      </c>
      <c r="AR44" t="n">
        <v>0.7272201517423877</v>
      </c>
      <c r="AS44" t="n">
        <v>0.7276030292691417</v>
      </c>
      <c r="AT44" t="n">
        <v>1.6911</v>
      </c>
      <c r="AU44" t="n">
        <v>175.9009780593981</v>
      </c>
      <c r="AV44" t="n">
        <v>0.06791082502014931</v>
      </c>
      <c r="AW44" t="n">
        <v>0.044309537243563</v>
      </c>
      <c r="AX44" t="n">
        <v>0.0416218084485834</v>
      </c>
      <c r="AY44" t="n">
        <v>0.0505126676569296</v>
      </c>
      <c r="AZ44" t="n">
        <v>0.046523599713381</v>
      </c>
    </row>
    <row r="45">
      <c r="A45" t="inlineStr">
        <is>
          <t>FaIR_comb_unB</t>
        </is>
      </c>
      <c r="B45" t="inlineStr">
        <is>
          <t>43/1_ERF_FaIR</t>
        </is>
      </c>
      <c r="C45">
        <f>IF(ISNUMBER(D45),SUM(INDIRECT(_xlfn.CONCAT("e",ROW(),":e",ROW()+D45-1))),"")</f>
        <v/>
      </c>
      <c r="E45">
        <f>AND(AX45&lt;$C$1,averaged_runs370!AQ45&lt;$C$1,averaged_runs126!AQ45&lt;$C$1)*1</f>
        <v/>
      </c>
      <c r="F45" s="2">
        <f>IF(TRUE,SQRT(averaged_runs126!AQ45^2/2+averaged_runs370!AQ45^2/2+AX45^2*0),"")</f>
        <v/>
      </c>
      <c r="G45" s="2">
        <f>IF(E45,averaged_runs126!AQ45,"")</f>
        <v/>
      </c>
      <c r="H45" s="2">
        <f>IF(E45,AX45,"")</f>
        <v/>
      </c>
      <c r="I45" s="2">
        <f>IF(E45,averaged_runs370!AQ45,"")</f>
        <v/>
      </c>
      <c r="J45" t="inlineStr">
        <is>
          <t>c</t>
        </is>
      </c>
      <c r="K45" t="n">
        <v>0</v>
      </c>
      <c r="L45" t="n">
        <v>0</v>
      </c>
      <c r="M45" t="n">
        <v>0.0148757821865682</v>
      </c>
      <c r="N45" t="n">
        <v>131.5094764855949</v>
      </c>
      <c r="O45" t="n">
        <v>-1.983333333185888</v>
      </c>
      <c r="P45" t="n">
        <v>0.8350000001667195</v>
      </c>
      <c r="Q45" t="n">
        <v>-0.7519627592948532</v>
      </c>
      <c r="R45" t="n">
        <v>-1.983333333185888</v>
      </c>
      <c r="S45" t="n">
        <v>0.8350000001667195</v>
      </c>
      <c r="T45" t="n">
        <v>-1.983333333185888</v>
      </c>
      <c r="U45" t="n">
        <v>0.8350000001667195</v>
      </c>
      <c r="V45" t="n">
        <v>2.540689603531108</v>
      </c>
      <c r="W45" t="n">
        <v>0.0742576652366935</v>
      </c>
      <c r="X45" t="n">
        <v>-0.0038937199398568</v>
      </c>
      <c r="Y45" t="n">
        <v>-0.0149832012902873</v>
      </c>
      <c r="Z45" t="n">
        <v>0.0148757821865682</v>
      </c>
      <c r="AA45" t="n">
        <v>125.4523368751224</v>
      </c>
      <c r="AB45" t="n">
        <v>-1.981666666519259</v>
      </c>
      <c r="AC45" t="n">
        <v>0.8383333335000589</v>
      </c>
      <c r="AD45" t="n">
        <v>-0.6206150791968721</v>
      </c>
      <c r="AE45" t="n">
        <v>-1.981666666519259</v>
      </c>
      <c r="AF45" t="n">
        <v>0.8383333335000589</v>
      </c>
      <c r="AG45" t="n">
        <v>-1.981666666519259</v>
      </c>
      <c r="AH45" t="n">
        <v>0.8383333335000589</v>
      </c>
      <c r="AI45" t="n">
        <v>1.59771825391285</v>
      </c>
      <c r="AJ45" t="n">
        <v>-0.0149832012902874</v>
      </c>
      <c r="AK45" t="n">
        <v>4.114345536156994</v>
      </c>
      <c r="AL45" t="n">
        <v>4.264938765552721</v>
      </c>
      <c r="AM45" t="n">
        <v>4.399850891526972</v>
      </c>
      <c r="AN45" t="n">
        <v>4.525644136788002</v>
      </c>
      <c r="AO45" t="n">
        <v>1.439864052706403</v>
      </c>
      <c r="AP45" t="n">
        <v>13.8</v>
      </c>
      <c r="AQ45" t="n">
        <v>14.28</v>
      </c>
      <c r="AR45" t="n">
        <v>0.9894841184782096</v>
      </c>
      <c r="AS45" t="n">
        <v>0.9894841184782096</v>
      </c>
      <c r="AT45" t="n">
        <v>2.13872</v>
      </c>
      <c r="AU45" t="n">
        <v>226.0586562749052</v>
      </c>
      <c r="AV45" t="n">
        <v>0.0476015514408505</v>
      </c>
      <c r="AW45" t="n">
        <v>0.0450451955255017</v>
      </c>
      <c r="AX45" t="n">
        <v>0.0406574437123247</v>
      </c>
      <c r="AY45" t="n">
        <v>0.0535367244855836</v>
      </c>
      <c r="AZ45" t="n">
        <v>0.0474681314093596</v>
      </c>
    </row>
    <row r="46">
      <c r="A46" t="inlineStr">
        <is>
          <t>FaIR_nonat</t>
        </is>
      </c>
      <c r="B46" t="inlineStr">
        <is>
          <t>43/1_ERF_FaIR</t>
        </is>
      </c>
      <c r="C46">
        <f>IF(ISNUMBER(D46),SUM(INDIRECT(_xlfn.CONCAT("e",ROW(),":e",ROW()+D46-1))),"")</f>
        <v/>
      </c>
      <c r="E46">
        <f>AND(AX46&lt;$C$1,averaged_runs370!AQ46&lt;$C$1,averaged_runs126!AQ46&lt;$C$1)*1</f>
        <v/>
      </c>
      <c r="F46" s="2">
        <f>IF(TRUE,SQRT(averaged_runs126!AQ46^2/2+averaged_runs370!AQ46^2/2+AX46^2*0),"")</f>
        <v/>
      </c>
      <c r="G46" s="2">
        <f>IF(E46,averaged_runs126!AQ46,"")</f>
        <v/>
      </c>
      <c r="H46" s="2">
        <f>IF(E46,AX46,"")</f>
        <v/>
      </c>
      <c r="I46" s="2">
        <f>IF(E46,averaged_runs370!AQ46,"")</f>
        <v/>
      </c>
      <c r="J46" t="inlineStr">
        <is>
          <t>c</t>
        </is>
      </c>
      <c r="K46" t="n">
        <v>0</v>
      </c>
      <c r="L46" t="n">
        <v>0</v>
      </c>
      <c r="M46" t="n">
        <v>0.0196712080716224</v>
      </c>
      <c r="N46" t="n">
        <v>106.9762875641291</v>
      </c>
      <c r="O46" t="n">
        <v>-2.280833333185619</v>
      </c>
      <c r="P46" t="n">
        <v>0.3566666668337802</v>
      </c>
      <c r="Q46" t="n">
        <v>-1.115402930234987</v>
      </c>
      <c r="R46" t="n">
        <v>-2.301666666518936</v>
      </c>
      <c r="S46" t="n">
        <v>0.3566666668337802</v>
      </c>
      <c r="T46" t="n">
        <v>-2.301666666518936</v>
      </c>
      <c r="U46" t="n">
        <v>0.3566666668337802</v>
      </c>
      <c r="V46" t="n">
        <v>2.531519564995648</v>
      </c>
      <c r="W46" t="n">
        <v>0.1051445907231987</v>
      </c>
      <c r="X46" t="n">
        <v>-0.0027313179143396</v>
      </c>
      <c r="Y46" t="n">
        <v>-0.006317108678941</v>
      </c>
      <c r="Z46" t="n">
        <v>0.0196712080716224</v>
      </c>
      <c r="AA46" t="n">
        <v>103.8802061501586</v>
      </c>
      <c r="AB46" t="n">
        <v>-2.279166666518991</v>
      </c>
      <c r="AC46" t="n">
        <v>0.3600000001671196</v>
      </c>
      <c r="AD46" t="n">
        <v>-0.989702380784108</v>
      </c>
      <c r="AE46" t="n">
        <v>-2.299999999852308</v>
      </c>
      <c r="AF46" t="n">
        <v>0.3600000001671196</v>
      </c>
      <c r="AG46" t="n">
        <v>-2.299999999852308</v>
      </c>
      <c r="AH46" t="n">
        <v>0.3600000001671196</v>
      </c>
      <c r="AI46" t="n">
        <v>1.733988095155695</v>
      </c>
      <c r="AJ46" t="n">
        <v>-0.006317108678941</v>
      </c>
      <c r="AK46" t="n">
        <v>3.15422653272474</v>
      </c>
      <c r="AL46" t="n">
        <v>3.135555701045532</v>
      </c>
      <c r="AM46" t="n">
        <v>3.245993126053702</v>
      </c>
      <c r="AN46" t="n">
        <v>3.333238622809272</v>
      </c>
      <c r="AO46" t="n">
        <v>1.166888471559751</v>
      </c>
      <c r="AP46" t="n">
        <v>13.884</v>
      </c>
      <c r="AQ46" t="n">
        <v>14.384</v>
      </c>
      <c r="AR46" t="n">
        <v>0.9950111497735762</v>
      </c>
      <c r="AS46" t="n">
        <v>0.9950111497735762</v>
      </c>
      <c r="AT46" t="n">
        <v>2.1422</v>
      </c>
      <c r="AU46" t="n">
        <v>187.8690439211199</v>
      </c>
      <c r="AV46" t="n">
        <v>0.0512918260421264</v>
      </c>
      <c r="AW46" t="n">
        <v>0.0450987746046301</v>
      </c>
      <c r="AX46" t="n">
        <v>0.0406333877628079</v>
      </c>
      <c r="AY46" t="n">
        <v>0.0535993873754841</v>
      </c>
      <c r="AZ46" t="n">
        <v>0.0476772985810427</v>
      </c>
    </row>
    <row r="47">
      <c r="A47" t="inlineStr">
        <is>
          <t>FaIR_nonat_unB</t>
        </is>
      </c>
      <c r="B47" t="inlineStr">
        <is>
          <t>43/1_ERF_FaIR</t>
        </is>
      </c>
      <c r="C47">
        <f>IF(ISNUMBER(D47),SUM(INDIRECT(_xlfn.CONCAT("e",ROW(),":e",ROW()+D47-1))),"")</f>
        <v/>
      </c>
      <c r="E47">
        <f>AND(AX47&lt;$C$1,averaged_runs370!AQ47&lt;$C$1,averaged_runs126!AQ47&lt;$C$1)*1</f>
        <v/>
      </c>
      <c r="F47" s="2">
        <f>IF(TRUE,SQRT(averaged_runs126!AQ47^2/2+averaged_runs370!AQ47^2/2+AX47^2*0),"")</f>
        <v/>
      </c>
      <c r="G47" s="2">
        <f>IF(E47,averaged_runs126!AQ47,"")</f>
        <v/>
      </c>
      <c r="H47" s="2">
        <f>IF(E47,AX47,"")</f>
        <v/>
      </c>
      <c r="I47" s="2">
        <f>IF(E47,averaged_runs370!AQ47,"")</f>
        <v/>
      </c>
      <c r="J47" t="inlineStr">
        <is>
          <t>c</t>
        </is>
      </c>
      <c r="K47" t="n">
        <v>0</v>
      </c>
      <c r="L47" t="n">
        <v>0</v>
      </c>
      <c r="M47" t="n">
        <v>0.0130147094190957</v>
      </c>
      <c r="N47" t="n">
        <v>124.5613367737621</v>
      </c>
      <c r="O47" t="n">
        <v>-1.905833333185942</v>
      </c>
      <c r="P47" t="n">
        <v>0.7083333335001498</v>
      </c>
      <c r="Q47" t="n">
        <v>-0.7239041512362985</v>
      </c>
      <c r="R47" t="n">
        <v>-1.919999999852594</v>
      </c>
      <c r="S47" t="n">
        <v>0.7083333335001498</v>
      </c>
      <c r="T47" t="n">
        <v>-1.919999999852594</v>
      </c>
      <c r="U47" t="n">
        <v>0.7083333335001498</v>
      </c>
      <c r="V47" t="n">
        <v>2.425111983998699</v>
      </c>
      <c r="W47" t="n">
        <v>0.0842232990055</v>
      </c>
      <c r="X47" t="n">
        <v>-0.0065542987729227</v>
      </c>
      <c r="Y47" t="n">
        <v>-0.0129688830184029</v>
      </c>
      <c r="Z47" t="n">
        <v>0.0130147094190957</v>
      </c>
      <c r="AA47" t="n">
        <v>119.7213115476047</v>
      </c>
      <c r="AB47" t="n">
        <v>-1.904166666519313</v>
      </c>
      <c r="AC47" t="n">
        <v>0.7116666668334892</v>
      </c>
      <c r="AD47" t="n">
        <v>-0.5319841268167409</v>
      </c>
      <c r="AE47" t="n">
        <v>-1.918333333185965</v>
      </c>
      <c r="AF47" t="n">
        <v>0.7116666668334892</v>
      </c>
      <c r="AG47" t="n">
        <v>-1.918333333185965</v>
      </c>
      <c r="AH47" t="n">
        <v>0.7116666668334892</v>
      </c>
      <c r="AI47" t="n">
        <v>1.614325396776042</v>
      </c>
      <c r="AJ47" t="n">
        <v>-0.0129688830184029</v>
      </c>
      <c r="AK47" t="n">
        <v>3.802457982384722</v>
      </c>
      <c r="AL47" t="n">
        <v>3.795956532099026</v>
      </c>
      <c r="AM47" t="n">
        <v>4.000331158559316</v>
      </c>
      <c r="AN47" t="n">
        <v>4.063658732054322</v>
      </c>
      <c r="AO47" t="n">
        <v>1.340643127442702</v>
      </c>
      <c r="AP47" t="n">
        <v>13.904</v>
      </c>
      <c r="AQ47" t="n">
        <v>14.364</v>
      </c>
      <c r="AR47" t="n">
        <v>0.991468166224168</v>
      </c>
      <c r="AS47" t="n">
        <v>0.991468166224168</v>
      </c>
      <c r="AT47" t="n">
        <v>2.09408</v>
      </c>
      <c r="AU47" t="n">
        <v>215.8435435182751</v>
      </c>
      <c r="AV47" t="n">
        <v>0.0494416062470263</v>
      </c>
      <c r="AW47" t="n">
        <v>0.0426103990460504</v>
      </c>
      <c r="AX47" t="n">
        <v>0.0391737601165571</v>
      </c>
      <c r="AY47" t="n">
        <v>0.0515269774512438</v>
      </c>
      <c r="AZ47" t="n">
        <v>0.0464471957690289</v>
      </c>
    </row>
    <row r="48">
      <c r="A48" t="inlineStr">
        <is>
          <t>EBMKF_ta</t>
        </is>
      </c>
      <c r="B48" t="inlineStr">
        <is>
          <t>43/2_Kalman</t>
        </is>
      </c>
      <c r="C48">
        <f>IF(ISNUMBER(D48),SUM(INDIRECT(_xlfn.CONCAT("e",ROW(),":e",ROW()+D48-1))),"")</f>
        <v/>
      </c>
      <c r="D48" t="n">
        <v>3</v>
      </c>
      <c r="E48">
        <f>AND(AX48&lt;$C$1,averaged_runs370!AQ48&lt;$C$1,averaged_runs126!AQ48&lt;$C$1)*1</f>
        <v/>
      </c>
      <c r="F48" s="2">
        <f>IF(TRUE,SQRT(averaged_runs126!AQ48^2/2+averaged_runs370!AQ48^2/2+AX48^2*0),"")</f>
        <v/>
      </c>
      <c r="G48" s="2">
        <f>IF(E48,averaged_runs126!AQ48,"")</f>
        <v/>
      </c>
      <c r="H48" s="2">
        <f>IF(E48,AX48,"")</f>
        <v/>
      </c>
      <c r="I48" s="2">
        <f>IF(E48,averaged_runs370!AQ48,"")</f>
        <v/>
      </c>
      <c r="J48" t="inlineStr">
        <is>
          <t>c</t>
        </is>
      </c>
      <c r="K48" t="n">
        <v>196.86</v>
      </c>
      <c r="L48" t="n">
        <v>216.2</v>
      </c>
      <c r="M48" t="n">
        <v>0.2190918340551036</v>
      </c>
      <c r="N48" t="n">
        <v>-4120.180832477589</v>
      </c>
      <c r="O48" t="n">
        <v>-8.209999999846874</v>
      </c>
      <c r="P48" t="n">
        <v>-13.32666666648708</v>
      </c>
      <c r="Q48" t="n">
        <v>-9.491382783721033</v>
      </c>
      <c r="R48" t="n">
        <v>-8.209999999846874</v>
      </c>
      <c r="S48" t="n">
        <v>-13.32666666648708</v>
      </c>
      <c r="T48" t="n">
        <v>-8.209999999846874</v>
      </c>
      <c r="U48" t="n">
        <v>-13.32666666648708</v>
      </c>
      <c r="V48" t="n">
        <v>12.7755335127013</v>
      </c>
      <c r="W48" t="n">
        <v>0.0353712107795112</v>
      </c>
      <c r="X48" t="n">
        <v>0.0140434310299902</v>
      </c>
      <c r="Y48" t="n">
        <v>0.3886522429868253</v>
      </c>
      <c r="Z48" t="n">
        <v>0.2190918340551036</v>
      </c>
      <c r="AA48" t="n">
        <v>-4037.164056805808</v>
      </c>
      <c r="AB48" t="n">
        <v>-8.208333333180244</v>
      </c>
      <c r="AC48" t="n">
        <v>-13.32333333315374</v>
      </c>
      <c r="AD48" t="n">
        <v>-7.706190476037425</v>
      </c>
      <c r="AE48" t="n">
        <v>-8.208333333180244</v>
      </c>
      <c r="AF48" t="n">
        <v>-13.32333333315374</v>
      </c>
      <c r="AG48" t="n">
        <v>-8.208333333180244</v>
      </c>
      <c r="AH48" t="n">
        <v>-13.32333333315374</v>
      </c>
      <c r="AI48" t="n">
        <v>7.706190476037425</v>
      </c>
      <c r="AJ48" t="n">
        <v>0.3886522429868252</v>
      </c>
      <c r="AK48" s="1" t="n">
        <v>5.201559482165553e-10</v>
      </c>
      <c r="AL48" s="1" t="n">
        <v>6.933434920574513e-27</v>
      </c>
      <c r="AM48" t="n">
        <v>0.0291215698003835</v>
      </c>
      <c r="AN48" s="1" t="n">
        <v>5.15179874759657e-10</v>
      </c>
      <c r="AO48" t="n">
        <v>-24.11026368675744</v>
      </c>
      <c r="AP48" t="n">
        <v>13.22</v>
      </c>
      <c r="AQ48" t="n">
        <v>13</v>
      </c>
      <c r="AR48" s="1" t="n">
        <v>4.267562289662497e-42</v>
      </c>
      <c r="AS48" s="1" t="n">
        <v>2.749975159144759e-36</v>
      </c>
      <c r="AT48" t="n">
        <v>0.51892</v>
      </c>
      <c r="AU48" t="n">
        <v>-5569.470911640969</v>
      </c>
      <c r="AV48" t="n">
        <v>0.2214042236357864</v>
      </c>
      <c r="AW48" t="n">
        <v>0.2958789792957599</v>
      </c>
      <c r="AX48" t="n">
        <v>0.3382703121531102</v>
      </c>
      <c r="AY48" t="n">
        <v>0.2930464968494415</v>
      </c>
      <c r="AZ48" t="n">
        <v>0.3358908899550215</v>
      </c>
    </row>
    <row r="49">
      <c r="A49" t="inlineStr">
        <is>
          <t>EBMKF_ta2</t>
        </is>
      </c>
      <c r="B49" t="inlineStr">
        <is>
          <t>43/2_Kalman</t>
        </is>
      </c>
      <c r="C49">
        <f>IF(ISNUMBER(D49),SUM(INDIRECT(_xlfn.CONCAT("e",ROW(),":e",ROW()+D49-1))),"")</f>
        <v/>
      </c>
      <c r="E49">
        <f>AND(AX49&lt;$C$1,averaged_runs370!AQ49&lt;$C$1,averaged_runs126!AQ49&lt;$C$1)*1</f>
        <v/>
      </c>
      <c r="F49" s="2">
        <f>IF(TRUE,SQRT(averaged_runs126!AQ49^2/2+averaged_runs370!AQ49^2/2+AX49^2*0),"")</f>
        <v/>
      </c>
      <c r="G49" s="2">
        <f>IF(E49,averaged_runs126!AQ49,"")</f>
        <v/>
      </c>
      <c r="H49" s="2">
        <f>IF(E49,AX49,"")</f>
        <v/>
      </c>
      <c r="I49" s="2">
        <f>IF(E49,averaged_runs370!AQ49,"")</f>
        <v/>
      </c>
      <c r="J49" t="inlineStr">
        <is>
          <t>c</t>
        </is>
      </c>
      <c r="K49" t="n">
        <v>122.04</v>
      </c>
      <c r="L49" t="n">
        <v>179.56</v>
      </c>
      <c r="M49" t="n">
        <v>0.1130867096037384</v>
      </c>
      <c r="N49" t="n">
        <v>-851.5958543238226</v>
      </c>
      <c r="O49" t="n">
        <v>-8.964999999846164</v>
      </c>
      <c r="P49" t="n">
        <v>-7.694999999825573</v>
      </c>
      <c r="Q49" t="n">
        <v>-7.141959706789541</v>
      </c>
      <c r="R49" t="n">
        <v>-8.964999999846164</v>
      </c>
      <c r="S49" t="n">
        <v>-7.733333333158871</v>
      </c>
      <c r="T49" t="n">
        <v>-8.964999999846164</v>
      </c>
      <c r="U49" t="n">
        <v>-7.733333333158871</v>
      </c>
      <c r="V49" t="n">
        <v>7.453084346499042</v>
      </c>
      <c r="W49" t="n">
        <v>0.0311237237838425</v>
      </c>
      <c r="X49" t="n">
        <v>0.0428072351181645</v>
      </c>
      <c r="Y49" t="n">
        <v>0.1020942776427022</v>
      </c>
      <c r="Z49" t="n">
        <v>0.1130867096037384</v>
      </c>
      <c r="AA49" t="n">
        <v>-786.7657393064906</v>
      </c>
      <c r="AB49" t="n">
        <v>-8.963333333179534</v>
      </c>
      <c r="AC49" t="n">
        <v>-7.691666666492234</v>
      </c>
      <c r="AD49" t="n">
        <v>-7.217202380781105</v>
      </c>
      <c r="AE49" t="n">
        <v>-8.963333333179534</v>
      </c>
      <c r="AF49" t="n">
        <v>-7.729999999825532</v>
      </c>
      <c r="AG49" t="n">
        <v>-8.963333333179534</v>
      </c>
      <c r="AH49" t="n">
        <v>-7.729999999825532</v>
      </c>
      <c r="AI49" t="n">
        <v>7.217202380781105</v>
      </c>
      <c r="AJ49" t="n">
        <v>0.1020942776427021</v>
      </c>
      <c r="AK49" t="n">
        <v>4.214002357015921e-09</v>
      </c>
      <c r="AL49" t="n">
        <v>0.0011317622484864</v>
      </c>
      <c r="AM49" t="n">
        <v>0.0001343204165792</v>
      </c>
      <c r="AN49" t="n">
        <v>0.1201588968014036</v>
      </c>
      <c r="AO49" t="n">
        <v>-3.185160019918424</v>
      </c>
      <c r="AP49" t="n">
        <v>13.7</v>
      </c>
      <c r="AQ49" t="n">
        <v>14.12</v>
      </c>
      <c r="AR49" s="1" t="n">
        <v>8.661537444241942e-08</v>
      </c>
      <c r="AS49" t="n">
        <v>9.026211926761249e-08</v>
      </c>
      <c r="AT49" t="n">
        <v>1.54534</v>
      </c>
      <c r="AU49" t="n">
        <v>-735.7719646011559</v>
      </c>
      <c r="AV49" t="n">
        <v>0.0902661086839691</v>
      </c>
      <c r="AW49" t="n">
        <v>0.1289552043256926</v>
      </c>
      <c r="AX49" t="n">
        <v>0.1414467056671185</v>
      </c>
      <c r="AY49" t="n">
        <v>0.1250949915976525</v>
      </c>
      <c r="AZ49" t="n">
        <v>0.1381097410376502</v>
      </c>
    </row>
    <row r="50">
      <c r="A50" t="inlineStr">
        <is>
          <t>EBMKF_ta4</t>
        </is>
      </c>
      <c r="B50" t="inlineStr">
        <is>
          <t>43/2_Kalman</t>
        </is>
      </c>
      <c r="C50">
        <f>IF(ISNUMBER(D50),SUM(INDIRECT(_xlfn.CONCAT("e",ROW(),":e",ROW()+D50-1))),"")</f>
        <v/>
      </c>
      <c r="E50">
        <f>AND(AX50&lt;$C$1,averaged_runs370!AQ50&lt;$C$1,averaged_runs126!AQ50&lt;$C$1)*1</f>
        <v/>
      </c>
      <c r="F50" s="2">
        <f>IF(TRUE,SQRT(averaged_runs126!AQ50^2/2+averaged_runs370!AQ50^2/2+AX50^2*0),"")</f>
        <v/>
      </c>
      <c r="G50" s="2">
        <f>IF(E50,averaged_runs126!AQ50,"")</f>
        <v/>
      </c>
      <c r="H50" s="2">
        <f>IF(E50,AX50,"")</f>
        <v/>
      </c>
      <c r="I50" s="2">
        <f>IF(E50,averaged_runs370!AQ50,"")</f>
        <v/>
      </c>
      <c r="J50" t="inlineStr">
        <is>
          <t>c</t>
        </is>
      </c>
      <c r="K50" t="n">
        <v>0.9</v>
      </c>
      <c r="L50" t="n">
        <v>8.24</v>
      </c>
      <c r="M50" t="n">
        <v>0.0055319214005228</v>
      </c>
      <c r="N50" t="n">
        <v>168.3236128683526</v>
      </c>
      <c r="O50" t="n">
        <v>0.0116666668123161</v>
      </c>
      <c r="P50" t="n">
        <v>-0.0558333331658377</v>
      </c>
      <c r="Q50" t="n">
        <v>-0.3535134308464153</v>
      </c>
      <c r="R50" t="n">
        <v>-0.1833333331875064</v>
      </c>
      <c r="S50" t="n">
        <v>-0.2066666664990316</v>
      </c>
      <c r="T50" t="n">
        <v>0.0066666668123207</v>
      </c>
      <c r="U50" t="n">
        <v>0.0150000001674288</v>
      </c>
      <c r="V50" t="n">
        <v>1.70719956716631</v>
      </c>
      <c r="W50" t="n">
        <v>0.0489105185908786</v>
      </c>
      <c r="X50" t="n">
        <v>0.0032582787924767</v>
      </c>
      <c r="Y50" t="n">
        <v>0.0002941725682287</v>
      </c>
      <c r="Z50" t="n">
        <v>0.0055319214005228</v>
      </c>
      <c r="AA50" t="n">
        <v>111.8483251577645</v>
      </c>
      <c r="AB50" t="n">
        <v>0.0133333334789449</v>
      </c>
      <c r="AC50" t="n">
        <v>-0.0524999998324983</v>
      </c>
      <c r="AD50" t="n">
        <v>-0.3541666664986463</v>
      </c>
      <c r="AE50" t="n">
        <v>-0.1816666665208777</v>
      </c>
      <c r="AF50" t="n">
        <v>-0.2033333331656922</v>
      </c>
      <c r="AG50" t="n">
        <v>0.1050000001455282</v>
      </c>
      <c r="AH50" t="n">
        <v>-0.1383333331657559</v>
      </c>
      <c r="AI50" t="n">
        <v>1.23734126982079</v>
      </c>
      <c r="AJ50" t="n">
        <v>0.0002941725682287</v>
      </c>
      <c r="AK50" t="n">
        <v>6.601821088183256</v>
      </c>
      <c r="AL50" t="n">
        <v>6.022700099106876</v>
      </c>
      <c r="AM50" t="n">
        <v>8.767359044989329</v>
      </c>
      <c r="AN50" t="n">
        <v>8.074039129842099</v>
      </c>
      <c r="AO50" t="n">
        <v>1.794227204698696</v>
      </c>
      <c r="AP50" t="n">
        <v>15.74</v>
      </c>
      <c r="AQ50" t="n">
        <v>16.28</v>
      </c>
      <c r="AR50" t="n">
        <v>0.3311068690953966</v>
      </c>
      <c r="AS50" t="n">
        <v>0.5260236407440151</v>
      </c>
      <c r="AT50" t="n">
        <v>3.57244</v>
      </c>
      <c r="AU50" t="n">
        <v>414.4664842853989</v>
      </c>
      <c r="AV50" t="n">
        <v>0.0383258189403335</v>
      </c>
      <c r="AW50" t="n">
        <v>0.0374345567445968</v>
      </c>
      <c r="AX50" t="n">
        <v>0.0364064803495301</v>
      </c>
      <c r="AY50" t="n">
        <v>0.0525763160364632</v>
      </c>
      <c r="AZ50" t="n">
        <v>0.0513817970114507</v>
      </c>
    </row>
    <row r="51">
      <c r="A51" t="inlineStr">
        <is>
          <t>GWI_anthro</t>
        </is>
      </c>
      <c r="B51" t="inlineStr">
        <is>
          <t>43/3_Human_Induced</t>
        </is>
      </c>
      <c r="C51">
        <f>IF(ISNUMBER(D51),SUM(INDIRECT(_xlfn.CONCAT("e",ROW(),":e",ROW()+D51-1))),"")</f>
        <v/>
      </c>
      <c r="D51" t="n">
        <v>8</v>
      </c>
      <c r="E51">
        <f>AND(AX51&lt;$C$1,averaged_runs370!AQ51&lt;$C$1,averaged_runs126!AQ51&lt;$C$1)*1</f>
        <v/>
      </c>
      <c r="F51" s="2">
        <f>IF(TRUE,SQRT(averaged_runs126!AQ51^2/2+averaged_runs370!AQ51^2/2+AX51^2*0),"")</f>
        <v/>
      </c>
      <c r="G51" s="2">
        <f>IF(E51,averaged_runs126!AQ51,"")</f>
        <v/>
      </c>
      <c r="H51" s="2">
        <f>IF(E51,AX51,"")</f>
        <v/>
      </c>
      <c r="I51" s="2">
        <f>IF(E51,averaged_runs370!AQ51,"")</f>
        <v/>
      </c>
      <c r="J51" t="inlineStr">
        <is>
          <t>c</t>
        </is>
      </c>
      <c r="K51" t="n">
        <v>3.7</v>
      </c>
      <c r="L51" t="n">
        <v>20.24</v>
      </c>
      <c r="M51" t="n">
        <v>0.013543137783748</v>
      </c>
      <c r="N51" t="n">
        <v>145.659010667236</v>
      </c>
      <c r="O51" t="n">
        <v>-1.4166666665197</v>
      </c>
      <c r="P51" t="n">
        <v>1.24833333349964</v>
      </c>
      <c r="Q51" t="n">
        <v>-0.458685897268538</v>
      </c>
      <c r="R51" t="n">
        <v>-1.4166666665197</v>
      </c>
      <c r="S51" t="n">
        <v>1.24833333349964</v>
      </c>
      <c r="T51" t="n">
        <v>-1.4166666665197</v>
      </c>
      <c r="U51" t="n">
        <v>1.24833333349964</v>
      </c>
      <c r="V51" t="n">
        <v>2.53696008697433</v>
      </c>
      <c r="W51" t="n">
        <v>0.0535949200057892</v>
      </c>
      <c r="X51" t="n">
        <v>0.0214002919667941</v>
      </c>
      <c r="Y51" t="n">
        <v>-0.01291138541197</v>
      </c>
      <c r="Z51" t="n">
        <v>0.0135431377837479</v>
      </c>
      <c r="AA51" t="n">
        <v>139.4239988979653</v>
      </c>
      <c r="AB51" t="n">
        <v>-1.414999999853071</v>
      </c>
      <c r="AC51" t="n">
        <v>1.25166666683298</v>
      </c>
      <c r="AD51" t="n">
        <v>-0.4800595236412093</v>
      </c>
      <c r="AE51" t="n">
        <v>-1.414999999853071</v>
      </c>
      <c r="AF51" t="n">
        <v>1.25166666683298</v>
      </c>
      <c r="AG51" t="n">
        <v>-1.414999999853071</v>
      </c>
      <c r="AH51" t="n">
        <v>1.25166666683298</v>
      </c>
      <c r="AI51" t="n">
        <v>1.565535714224459</v>
      </c>
      <c r="AJ51" t="n">
        <v>-0.0129113854119701</v>
      </c>
      <c r="AK51" t="n">
        <v>6.094603287944691</v>
      </c>
      <c r="AL51" t="n">
        <v>6.259331758720265</v>
      </c>
      <c r="AM51" t="n">
        <v>6.557301105049786</v>
      </c>
      <c r="AN51" t="n">
        <v>6.063159953189402</v>
      </c>
      <c r="AO51" t="n">
        <v>1.410621989130259</v>
      </c>
      <c r="AP51" t="n">
        <v>13.64</v>
      </c>
      <c r="AQ51" t="n">
        <v>14.06</v>
      </c>
      <c r="AR51" t="n">
        <v>0.3260204157925707</v>
      </c>
      <c r="AS51" t="n">
        <v>0.4846553224887167</v>
      </c>
      <c r="AT51" t="n">
        <v>1.65018</v>
      </c>
      <c r="AU51" t="n">
        <v>198.8977004673665</v>
      </c>
      <c r="AV51" t="n">
        <v>0.0588893556305973</v>
      </c>
      <c r="AW51" t="n">
        <v>0.0496859683325002</v>
      </c>
      <c r="AX51" t="n">
        <v>0.0420810947411708</v>
      </c>
      <c r="AY51" t="n">
        <v>0.0535921927458384</v>
      </c>
      <c r="AZ51" t="n">
        <v>0.0418715929616581</v>
      </c>
    </row>
    <row r="52">
      <c r="A52" t="inlineStr">
        <is>
          <t>GWI_anthro_AR6</t>
        </is>
      </c>
      <c r="B52" t="inlineStr">
        <is>
          <t>43/3_Human_Induced</t>
        </is>
      </c>
      <c r="C52">
        <f>IF(ISNUMBER(D52),SUM(INDIRECT(_xlfn.CONCAT("e",ROW(),":e",ROW()+D52-1))),"")</f>
        <v/>
      </c>
      <c r="E52">
        <f>AND(AX52&lt;$C$1,averaged_runs370!AQ52&lt;$C$1,averaged_runs126!AQ52&lt;$C$1)*1</f>
        <v/>
      </c>
      <c r="F52" s="2">
        <f>IF(TRUE,SQRT(averaged_runs126!AQ52^2/2+averaged_runs370!AQ52^2/2+AX52^2*0),"")</f>
        <v/>
      </c>
      <c r="G52" s="2">
        <f>IF(E52,averaged_runs126!AQ52,"")</f>
        <v/>
      </c>
      <c r="H52" s="2">
        <f>IF(E52,AX52,"")</f>
        <v/>
      </c>
      <c r="I52" s="2">
        <f>IF(E52,averaged_runs370!AQ52,"")</f>
        <v/>
      </c>
      <c r="J52" t="inlineStr">
        <is>
          <t>c</t>
        </is>
      </c>
      <c r="K52" t="n">
        <v>5.94</v>
      </c>
      <c r="L52" t="n">
        <v>28.84</v>
      </c>
      <c r="M52" t="n">
        <v>0.0067197846618846</v>
      </c>
      <c r="N52" t="n">
        <v>158.1543998489153</v>
      </c>
      <c r="O52" t="n">
        <v>-0.481666666520573</v>
      </c>
      <c r="P52" t="n">
        <v>1.270000000166328</v>
      </c>
      <c r="Q52" t="n">
        <v>-0.0365567763902372</v>
      </c>
      <c r="R52" t="n">
        <v>-0.481666666520573</v>
      </c>
      <c r="S52" t="n">
        <v>1.270000000166328</v>
      </c>
      <c r="T52" t="n">
        <v>-0.481666666520573</v>
      </c>
      <c r="U52" t="n">
        <v>1.270000000166328</v>
      </c>
      <c r="V52" t="n">
        <v>2.069675513693042</v>
      </c>
      <c r="W52" t="n">
        <v>0.0462283212418198</v>
      </c>
      <c r="X52" t="n">
        <v>0.0251675480865838</v>
      </c>
      <c r="Y52" t="n">
        <v>-0.0061399458795025</v>
      </c>
      <c r="Z52" t="n">
        <v>0.0067197846618845</v>
      </c>
      <c r="AA52" t="n">
        <v>148.8788347816932</v>
      </c>
      <c r="AB52" t="n">
        <v>-0.4799999998539442</v>
      </c>
      <c r="AC52" t="n">
        <v>1.273333333499668</v>
      </c>
      <c r="AD52" t="n">
        <v>-0.1420238093563733</v>
      </c>
      <c r="AE52" t="n">
        <v>-0.4799999998539442</v>
      </c>
      <c r="AF52" t="n">
        <v>1.273333333499668</v>
      </c>
      <c r="AG52" t="n">
        <v>-0.4799999998539442</v>
      </c>
      <c r="AH52" t="n">
        <v>1.273333333499668</v>
      </c>
      <c r="AI52" t="n">
        <v>1.373928571381037</v>
      </c>
      <c r="AJ52" t="n">
        <v>-0.0061399458795026</v>
      </c>
      <c r="AK52" t="n">
        <v>6.884834897874669</v>
      </c>
      <c r="AL52" t="n">
        <v>6.526627514369713</v>
      </c>
      <c r="AM52" t="n">
        <v>7.323017797730164</v>
      </c>
      <c r="AN52" t="n">
        <v>6.286716897636048</v>
      </c>
      <c r="AO52" t="n">
        <v>1.382542194537646</v>
      </c>
      <c r="AP52" t="n">
        <v>13.58</v>
      </c>
      <c r="AQ52" t="n">
        <v>14</v>
      </c>
      <c r="AR52" t="n">
        <v>0.1457255807684878</v>
      </c>
      <c r="AS52" t="n">
        <v>0.2711702544949055</v>
      </c>
      <c r="AT52" t="n">
        <v>1.24662</v>
      </c>
      <c r="AU52" t="n">
        <v>194.938449429808</v>
      </c>
      <c r="AV52" t="n">
        <v>0.0551405879149022</v>
      </c>
      <c r="AW52" t="n">
        <v>0.0407804254445443</v>
      </c>
      <c r="AX52" t="n">
        <v>0.0379925225354976</v>
      </c>
      <c r="AY52" t="n">
        <v>0.044773392964083</v>
      </c>
      <c r="AZ52" t="n">
        <v>0.0375290475334885</v>
      </c>
    </row>
    <row r="53">
      <c r="A53" t="inlineStr">
        <is>
          <t>GWI_anthro_CGWL</t>
        </is>
      </c>
      <c r="B53" t="inlineStr">
        <is>
          <t>43/3_Human_Induced</t>
        </is>
      </c>
      <c r="C53">
        <f>IF(ISNUMBER(D53),SUM(INDIRECT(_xlfn.CONCAT("e",ROW(),":e",ROW()+D53-1))),"")</f>
        <v/>
      </c>
      <c r="E53">
        <f>AND(AX53&lt;$C$1,averaged_runs370!AQ53&lt;$C$1,averaged_runs126!AQ53&lt;$C$1)*1</f>
        <v/>
      </c>
      <c r="F53" s="2">
        <f>IF(TRUE,SQRT(averaged_runs126!AQ53^2/2+averaged_runs370!AQ53^2/2+AX53^2*0),"")</f>
        <v/>
      </c>
      <c r="G53" s="2">
        <f>IF(E53,averaged_runs126!AQ53,"")</f>
        <v/>
      </c>
      <c r="H53" s="2">
        <f>IF(E53,AX53,"")</f>
        <v/>
      </c>
      <c r="I53" s="2">
        <f>IF(E53,averaged_runs370!AQ53,"")</f>
        <v/>
      </c>
      <c r="J53" t="inlineStr">
        <is>
          <t>c</t>
        </is>
      </c>
      <c r="K53" t="n">
        <v>3.72</v>
      </c>
      <c r="L53" t="n">
        <v>21.3</v>
      </c>
      <c r="M53" t="n">
        <v>0.0152782634338391</v>
      </c>
      <c r="N53" t="n">
        <v>142.5921205914264</v>
      </c>
      <c r="O53" t="n">
        <v>-1.536666666519591</v>
      </c>
      <c r="P53" t="n">
        <v>1.265000000166292</v>
      </c>
      <c r="Q53" t="n">
        <v>-0.5488095236420397</v>
      </c>
      <c r="R53" t="n">
        <v>-1.536666666519591</v>
      </c>
      <c r="S53" t="n">
        <v>1.265000000166292</v>
      </c>
      <c r="T53" t="n">
        <v>-1.536666666519591</v>
      </c>
      <c r="U53" t="n">
        <v>1.265000000166292</v>
      </c>
      <c r="V53" t="n">
        <v>2.666690873174004</v>
      </c>
      <c r="W53" t="n">
        <v>0.0557249338908352</v>
      </c>
      <c r="X53" t="n">
        <v>0.0234947179396759</v>
      </c>
      <c r="Y53" t="n">
        <v>-0.0146521756349688</v>
      </c>
      <c r="Z53" t="n">
        <v>0.015278263433839</v>
      </c>
      <c r="AA53" t="n">
        <v>136.2843159485872</v>
      </c>
      <c r="AB53" t="n">
        <v>-1.534999999852962</v>
      </c>
      <c r="AC53" t="n">
        <v>1.268333333499631</v>
      </c>
      <c r="AD53" t="n">
        <v>-0.6107142855459379</v>
      </c>
      <c r="AE53" t="n">
        <v>-1.534999999852962</v>
      </c>
      <c r="AF53" t="n">
        <v>1.268333333499631</v>
      </c>
      <c r="AG53" t="n">
        <v>-1.534999999852962</v>
      </c>
      <c r="AH53" t="n">
        <v>1.268333333499631</v>
      </c>
      <c r="AI53" t="n">
        <v>1.560476190414766</v>
      </c>
      <c r="AJ53" t="n">
        <v>-0.0146521756349689</v>
      </c>
      <c r="AK53" t="n">
        <v>5.974492712501404</v>
      </c>
      <c r="AL53" t="n">
        <v>6.201761165718283</v>
      </c>
      <c r="AM53" t="n">
        <v>6.455305479616317</v>
      </c>
      <c r="AN53" t="n">
        <v>6.025101012592907</v>
      </c>
      <c r="AO53" t="n">
        <v>1.362594756431129</v>
      </c>
      <c r="AP53" t="n">
        <v>13.68</v>
      </c>
      <c r="AQ53" t="n">
        <v>14.1</v>
      </c>
      <c r="AR53" t="n">
        <v>0.3571297264145178</v>
      </c>
      <c r="AS53" t="n">
        <v>0.4832728698607982</v>
      </c>
      <c r="AT53" t="n">
        <v>1.7901</v>
      </c>
      <c r="AU53" t="n">
        <v>192.1258606567892</v>
      </c>
      <c r="AV53" t="n">
        <v>0.0625885944964982</v>
      </c>
      <c r="AW53" t="n">
        <v>0.0519710021799797</v>
      </c>
      <c r="AX53" t="n">
        <v>0.0429462910518704</v>
      </c>
      <c r="AY53" t="n">
        <v>0.0557870407929568</v>
      </c>
      <c r="AZ53" t="n">
        <v>0.0427497059518954</v>
      </c>
    </row>
    <row r="54">
      <c r="A54" t="inlineStr">
        <is>
          <t>GWI_anthro_SR15</t>
        </is>
      </c>
      <c r="B54" t="inlineStr">
        <is>
          <t>43/3_Human_Induced</t>
        </is>
      </c>
      <c r="C54">
        <f>IF(ISNUMBER(D54),SUM(INDIRECT(_xlfn.CONCAT("e",ROW(),":e",ROW()+D54-1))),"")</f>
        <v/>
      </c>
      <c r="E54">
        <f>AND(AX54&lt;$C$1,averaged_runs370!AQ54&lt;$C$1,averaged_runs126!AQ54&lt;$C$1)*1</f>
        <v/>
      </c>
      <c r="F54" s="2">
        <f>IF(TRUE,SQRT(averaged_runs126!AQ54^2/2+averaged_runs370!AQ54^2/2+AX54^2*0),"")</f>
        <v/>
      </c>
      <c r="G54" s="2">
        <f>IF(E54,averaged_runs126!AQ54,"")</f>
        <v/>
      </c>
      <c r="H54" s="2">
        <f>IF(E54,AX54,"")</f>
        <v/>
      </c>
      <c r="I54" s="2">
        <f>IF(E54,averaged_runs370!AQ54,"")</f>
        <v/>
      </c>
      <c r="J54" t="inlineStr">
        <is>
          <t>c</t>
        </is>
      </c>
      <c r="K54" t="n">
        <v>3.14</v>
      </c>
      <c r="L54" t="n">
        <v>18.4</v>
      </c>
      <c r="M54" t="n">
        <v>0.0125317054325414</v>
      </c>
      <c r="N54" t="n">
        <v>147.5562621073645</v>
      </c>
      <c r="O54" t="n">
        <v>-1.413333333186406</v>
      </c>
      <c r="P54" t="n">
        <v>1.156666666833071</v>
      </c>
      <c r="Q54" t="n">
        <v>-0.3929670327997817</v>
      </c>
      <c r="R54" t="n">
        <v>-1.413333333186406</v>
      </c>
      <c r="S54" t="n">
        <v>1.156666666833071</v>
      </c>
      <c r="T54" t="n">
        <v>-1.413333333186406</v>
      </c>
      <c r="U54" t="n">
        <v>1.156666666833071</v>
      </c>
      <c r="V54" t="n">
        <v>2.426727144961412</v>
      </c>
      <c r="W54" t="n">
        <v>0.0527127166340235</v>
      </c>
      <c r="X54" t="n">
        <v>0.0188513844730405</v>
      </c>
      <c r="Y54" t="n">
        <v>-0.011880276406187</v>
      </c>
      <c r="Z54" t="n">
        <v>0.0125317054325413</v>
      </c>
      <c r="AA54" t="n">
        <v>141.1901546580006</v>
      </c>
      <c r="AB54" t="n">
        <v>-1.411666666519777</v>
      </c>
      <c r="AC54" t="n">
        <v>1.16000000016641</v>
      </c>
      <c r="AD54" t="n">
        <v>-0.423214285546089</v>
      </c>
      <c r="AE54" t="n">
        <v>-1.411666666519777</v>
      </c>
      <c r="AF54" t="n">
        <v>1.16000000016641</v>
      </c>
      <c r="AG54" t="n">
        <v>-1.411666666519777</v>
      </c>
      <c r="AH54" t="n">
        <v>1.16000000016641</v>
      </c>
      <c r="AI54" t="n">
        <v>1.527261904700704</v>
      </c>
      <c r="AJ54" t="n">
        <v>-0.011880276406187</v>
      </c>
      <c r="AK54" t="n">
        <v>6.122005587863651</v>
      </c>
      <c r="AL54" t="n">
        <v>6.336944660124666</v>
      </c>
      <c r="AM54" t="n">
        <v>6.564710420464636</v>
      </c>
      <c r="AN54" t="n">
        <v>6.130401436701942</v>
      </c>
      <c r="AO54" t="n">
        <v>1.459721782305094</v>
      </c>
      <c r="AP54" t="n">
        <v>13.58</v>
      </c>
      <c r="AQ54" t="n">
        <v>14</v>
      </c>
      <c r="AR54" t="n">
        <v>0.340923671068492</v>
      </c>
      <c r="AS54" t="n">
        <v>0.4800604465852038</v>
      </c>
      <c r="AT54" t="n">
        <v>1.5689</v>
      </c>
      <c r="AU54" t="n">
        <v>205.8207713050182</v>
      </c>
      <c r="AV54" t="n">
        <v>0.0560292052230036</v>
      </c>
      <c r="AW54" t="n">
        <v>0.0481281645669705</v>
      </c>
      <c r="AX54" t="n">
        <v>0.0419204470345251</v>
      </c>
      <c r="AY54" t="n">
        <v>0.0521819170378729</v>
      </c>
      <c r="AZ54" t="n">
        <v>0.0416939353981991</v>
      </c>
    </row>
    <row r="55">
      <c r="A55" t="inlineStr">
        <is>
          <t>GWI_tot</t>
        </is>
      </c>
      <c r="B55" t="inlineStr">
        <is>
          <t>43/3_Human_Induced</t>
        </is>
      </c>
      <c r="C55">
        <f>IF(ISNUMBER(D55),SUM(INDIRECT(_xlfn.CONCAT("e",ROW(),":e",ROW()+D55-1))),"")</f>
        <v/>
      </c>
      <c r="E55">
        <f>AND(AX55&lt;$C$1,averaged_runs370!AQ55&lt;$C$1,averaged_runs126!AQ55&lt;$C$1)*1</f>
        <v/>
      </c>
      <c r="F55" s="2">
        <f>IF(TRUE,SQRT(averaged_runs126!AQ55^2/2+averaged_runs370!AQ55^2/2+AX55^2*0),"")</f>
        <v/>
      </c>
      <c r="G55" s="2">
        <f>IF(E55,averaged_runs126!AQ55,"")</f>
        <v/>
      </c>
      <c r="H55" s="2">
        <f>IF(E55,AX55,"")</f>
        <v/>
      </c>
      <c r="I55" s="2">
        <f>IF(E55,averaged_runs370!AQ55,"")</f>
        <v/>
      </c>
      <c r="J55" t="inlineStr">
        <is>
          <t>c</t>
        </is>
      </c>
      <c r="K55" t="n">
        <v>3.54</v>
      </c>
      <c r="L55" t="n">
        <v>14.84</v>
      </c>
      <c r="M55" t="n">
        <v>-0.0006320747169819</v>
      </c>
      <c r="N55" t="n">
        <v>144.4014639740575</v>
      </c>
      <c r="O55" t="n">
        <v>-0.6199999998537851</v>
      </c>
      <c r="P55" t="n">
        <v>2.44333333349854</v>
      </c>
      <c r="Q55" t="n">
        <v>0.4181730770902954</v>
      </c>
      <c r="R55" t="n">
        <v>-0.6199999998537851</v>
      </c>
      <c r="S55" t="n">
        <v>2.44333333349854</v>
      </c>
      <c r="T55" t="n">
        <v>-0.6199999998537851</v>
      </c>
      <c r="U55" t="n">
        <v>2.44333333349854</v>
      </c>
      <c r="V55" t="n">
        <v>2.713552749290958</v>
      </c>
      <c r="W55" t="n">
        <v>0.0531324183922459</v>
      </c>
      <c r="X55" t="n">
        <v>0.0013026934467223</v>
      </c>
      <c r="Y55" t="n">
        <v>-0.0334226862608797</v>
      </c>
      <c r="Z55" t="n">
        <v>-0.0006320747169819</v>
      </c>
      <c r="AA55" t="n">
        <v>128.8334703487216</v>
      </c>
      <c r="AB55" t="n">
        <v>-0.6183333331871563</v>
      </c>
      <c r="AC55" t="n">
        <v>2.446666666831879</v>
      </c>
      <c r="AD55" t="n">
        <v>0.4563690477867888</v>
      </c>
      <c r="AE55" t="n">
        <v>-0.6183333331871563</v>
      </c>
      <c r="AF55" t="n">
        <v>2.446666666831879</v>
      </c>
      <c r="AG55" t="n">
        <v>-0.6183333331871563</v>
      </c>
      <c r="AH55" t="n">
        <v>2.446666666831879</v>
      </c>
      <c r="AI55" t="n">
        <v>1.593392857155123</v>
      </c>
      <c r="AJ55" t="n">
        <v>-0.0334226862608797</v>
      </c>
      <c r="AK55" t="n">
        <v>6.064137463313201</v>
      </c>
      <c r="AL55" t="n">
        <v>5.737815916835955</v>
      </c>
      <c r="AM55" t="n">
        <v>6.756235380797556</v>
      </c>
      <c r="AN55" t="n">
        <v>5.528432043522576</v>
      </c>
      <c r="AO55" t="n">
        <v>1.353612537694191</v>
      </c>
      <c r="AP55" t="n">
        <v>13.7</v>
      </c>
      <c r="AQ55" t="n">
        <v>14.1</v>
      </c>
      <c r="AR55" t="n">
        <v>0.07051539675650199</v>
      </c>
      <c r="AS55" t="n">
        <v>0.3497918636894727</v>
      </c>
      <c r="AT55" t="n">
        <v>2.67092</v>
      </c>
      <c r="AU55" t="n">
        <v>190.8593678148809</v>
      </c>
      <c r="AV55" t="n">
        <v>0.0614473278866102</v>
      </c>
      <c r="AW55" t="n">
        <v>0.0501573724837729</v>
      </c>
      <c r="AX55" t="n">
        <v>0.0433085378018659</v>
      </c>
      <c r="AY55" t="n">
        <v>0.058023019788108</v>
      </c>
      <c r="AZ55" t="n">
        <v>0.0480074755994582</v>
      </c>
    </row>
    <row r="56">
      <c r="A56" t="inlineStr">
        <is>
          <t>GWI_tot_AR6</t>
        </is>
      </c>
      <c r="B56" t="inlineStr">
        <is>
          <t>43/3_Human_Induced</t>
        </is>
      </c>
      <c r="C56">
        <f>IF(ISNUMBER(D56),SUM(INDIRECT(_xlfn.CONCAT("e",ROW(),":e",ROW()+D56-1))),"")</f>
        <v/>
      </c>
      <c r="E56">
        <f>AND(AX56&lt;$C$1,averaged_runs370!AQ56&lt;$C$1,averaged_runs126!AQ56&lt;$C$1)*1</f>
        <v/>
      </c>
      <c r="F56" s="2">
        <f>IF(TRUE,SQRT(averaged_runs126!AQ56^2/2+averaged_runs370!AQ56^2/2+AX56^2*0),"")</f>
        <v/>
      </c>
      <c r="G56" s="2">
        <f>IF(E56,averaged_runs126!AQ56,"")</f>
        <v/>
      </c>
      <c r="H56" s="2">
        <f>IF(E56,AX56,"")</f>
        <v/>
      </c>
      <c r="I56" s="2">
        <f>IF(E56,averaged_runs370!AQ56,"")</f>
        <v/>
      </c>
      <c r="J56" t="inlineStr">
        <is>
          <t>c</t>
        </is>
      </c>
      <c r="K56" t="n">
        <v>14.34</v>
      </c>
      <c r="L56" t="n">
        <v>26.4</v>
      </c>
      <c r="M56" t="n">
        <v>0.0069684840715586</v>
      </c>
      <c r="N56" t="n">
        <v>164.7575833126725</v>
      </c>
      <c r="O56" t="n">
        <v>-0.7366666665203183</v>
      </c>
      <c r="P56" t="n">
        <v>1.328333333499568</v>
      </c>
      <c r="Q56" t="n">
        <v>-0.3127106225437567</v>
      </c>
      <c r="R56" t="n">
        <v>-0.7366666665203183</v>
      </c>
      <c r="S56" t="n">
        <v>1.328333333499568</v>
      </c>
      <c r="T56" t="n">
        <v>-0.7366666665203183</v>
      </c>
      <c r="U56" t="n">
        <v>1.328333333499568</v>
      </c>
      <c r="V56" t="n">
        <v>2.141418273675453</v>
      </c>
      <c r="W56" t="n">
        <v>0.0449544244878435</v>
      </c>
      <c r="X56" t="n">
        <v>0.0255993639906881</v>
      </c>
      <c r="Y56" t="n">
        <v>-0.0073713467387055</v>
      </c>
      <c r="Z56" t="n">
        <v>0.0069684840715586</v>
      </c>
      <c r="AA56" t="n">
        <v>147.6810180654658</v>
      </c>
      <c r="AB56" t="n">
        <v>-0.7349999998536896</v>
      </c>
      <c r="AC56" t="n">
        <v>1.331666666832907</v>
      </c>
      <c r="AD56" t="n">
        <v>-0.391785714117932</v>
      </c>
      <c r="AE56" t="n">
        <v>-0.7349999998536896</v>
      </c>
      <c r="AF56" t="n">
        <v>1.331666666832907</v>
      </c>
      <c r="AG56" t="n">
        <v>-0.7349999998536896</v>
      </c>
      <c r="AH56" t="n">
        <v>1.331666666832907</v>
      </c>
      <c r="AI56" t="n">
        <v>1.551547619013274</v>
      </c>
      <c r="AJ56" t="n">
        <v>-0.0073713467387056</v>
      </c>
      <c r="AK56" t="n">
        <v>6.506371864113927</v>
      </c>
      <c r="AL56" t="n">
        <v>6.447828337989302</v>
      </c>
      <c r="AM56" t="n">
        <v>7.246017654102566</v>
      </c>
      <c r="AN56" t="n">
        <v>6.481049477776772</v>
      </c>
      <c r="AO56" t="n">
        <v>0.9383771675458622</v>
      </c>
      <c r="AP56" t="n">
        <v>13.58</v>
      </c>
      <c r="AQ56" t="n">
        <v>14</v>
      </c>
      <c r="AR56" t="n">
        <v>0.075450670220244</v>
      </c>
      <c r="AS56" t="n">
        <v>0.1014109827170259</v>
      </c>
      <c r="AT56" t="n">
        <v>1.3354</v>
      </c>
      <c r="AU56" t="n">
        <v>132.3111806239666</v>
      </c>
      <c r="AV56" t="n">
        <v>0.0585900740170749</v>
      </c>
      <c r="AW56" t="n">
        <v>0.038097638544079</v>
      </c>
      <c r="AX56" t="n">
        <v>0.0344223850612498</v>
      </c>
      <c r="AY56" t="n">
        <v>0.0473533780456362</v>
      </c>
      <c r="AZ56" t="n">
        <v>0.039992102587117</v>
      </c>
    </row>
    <row r="57">
      <c r="A57" t="inlineStr">
        <is>
          <t>GWI_tot_CGWL</t>
        </is>
      </c>
      <c r="B57" t="inlineStr">
        <is>
          <t>43/3_Human_Induced</t>
        </is>
      </c>
      <c r="C57">
        <f>IF(ISNUMBER(D57),SUM(INDIRECT(_xlfn.CONCAT("e",ROW(),":e",ROW()+D57-1))),"")</f>
        <v/>
      </c>
      <c r="E57">
        <f>AND(AX57&lt;$C$1,averaged_runs370!AQ57&lt;$C$1,averaged_runs126!AQ57&lt;$C$1)*1</f>
        <v/>
      </c>
      <c r="F57" s="2">
        <f>IF(TRUE,SQRT(averaged_runs126!AQ57^2/2+averaged_runs370!AQ57^2/2+AX57^2*0),"")</f>
        <v/>
      </c>
      <c r="G57" s="2">
        <f>IF(E57,averaged_runs126!AQ57,"")</f>
        <v/>
      </c>
      <c r="H57" s="2">
        <f>IF(E57,AX57,"")</f>
        <v/>
      </c>
      <c r="I57" s="2">
        <f>IF(E57,averaged_runs370!AQ57,"")</f>
        <v/>
      </c>
      <c r="J57" t="inlineStr">
        <is>
          <t>c</t>
        </is>
      </c>
      <c r="K57" t="n">
        <v>1.72</v>
      </c>
      <c r="L57" t="n">
        <v>10.34</v>
      </c>
      <c r="M57" t="n">
        <v>0.0166076213137406</v>
      </c>
      <c r="N57" t="n">
        <v>146.2305575697466</v>
      </c>
      <c r="O57" t="n">
        <v>-1.809999999852712</v>
      </c>
      <c r="P57" t="n">
        <v>1.35166666683288</v>
      </c>
      <c r="Q57" t="n">
        <v>-0.7324908423231019</v>
      </c>
      <c r="R57" t="n">
        <v>-1.809999999852712</v>
      </c>
      <c r="S57" t="n">
        <v>1.35166666683288</v>
      </c>
      <c r="T57" t="n">
        <v>-1.809999999852712</v>
      </c>
      <c r="U57" t="n">
        <v>1.35166666683288</v>
      </c>
      <c r="V57" t="n">
        <v>2.823406441978467</v>
      </c>
      <c r="W57" t="n">
        <v>0.0545837983725452</v>
      </c>
      <c r="X57" t="n">
        <v>0.021158422753258</v>
      </c>
      <c r="Y57" t="n">
        <v>-0.0163726757398764</v>
      </c>
      <c r="Z57" t="n">
        <v>0.0166076213137406</v>
      </c>
      <c r="AA57" t="n">
        <v>130.1735636010067</v>
      </c>
      <c r="AB57" t="n">
        <v>-1.808333333186083</v>
      </c>
      <c r="AC57" t="n">
        <v>1.355000000166219</v>
      </c>
      <c r="AD57" t="n">
        <v>-0.7951785712599998</v>
      </c>
      <c r="AE57" t="n">
        <v>-1.808333333186083</v>
      </c>
      <c r="AF57" t="n">
        <v>1.355000000166219</v>
      </c>
      <c r="AG57" t="n">
        <v>-1.808333333186083</v>
      </c>
      <c r="AH57" t="n">
        <v>1.355000000166219</v>
      </c>
      <c r="AI57" t="n">
        <v>1.663273809462241</v>
      </c>
      <c r="AJ57" t="n">
        <v>-0.0163726757398764</v>
      </c>
      <c r="AK57" t="n">
        <v>5.711931548484571</v>
      </c>
      <c r="AL57" t="n">
        <v>6.080922622976248</v>
      </c>
      <c r="AM57" t="n">
        <v>6.277708613466821</v>
      </c>
      <c r="AN57" t="n">
        <v>6.183535723312819</v>
      </c>
      <c r="AO57" t="n">
        <v>1.483033144500588</v>
      </c>
      <c r="AP57" t="n">
        <v>13.64</v>
      </c>
      <c r="AQ57" t="n">
        <v>14.06</v>
      </c>
      <c r="AR57" t="n">
        <v>0.573699502780107</v>
      </c>
      <c r="AS57" t="n">
        <v>0.6410415337100918</v>
      </c>
      <c r="AT57" t="n">
        <v>1.83036</v>
      </c>
      <c r="AU57" t="n">
        <v>209.1076733745829</v>
      </c>
      <c r="AV57" t="n">
        <v>0.0562010520872525</v>
      </c>
      <c r="AW57" t="n">
        <v>0.051542657107978</v>
      </c>
      <c r="AX57" t="n">
        <v>0.0400456329248708</v>
      </c>
      <c r="AY57" t="n">
        <v>0.0592998947903387</v>
      </c>
      <c r="AZ57" t="n">
        <v>0.0451091952245896</v>
      </c>
    </row>
    <row r="58">
      <c r="A58" t="inlineStr">
        <is>
          <t>GWI_tot_SR15</t>
        </is>
      </c>
      <c r="B58" t="inlineStr">
        <is>
          <t>43/3_Human_Induced</t>
        </is>
      </c>
      <c r="C58">
        <f>IF(ISNUMBER(D58),SUM(INDIRECT(_xlfn.CONCAT("e",ROW(),":e",ROW()+D58-1))),"")</f>
        <v/>
      </c>
      <c r="E58">
        <f>AND(AX58&lt;$C$1,averaged_runs370!AQ58&lt;$C$1,averaged_runs126!AQ58&lt;$C$1)*1</f>
        <v/>
      </c>
      <c r="F58" s="2">
        <f>IF(TRUE,SQRT(averaged_runs126!AQ58^2/2+averaged_runs370!AQ58^2/2+AX58^2*0),"")</f>
        <v/>
      </c>
      <c r="G58" s="2">
        <f>IF(E58,averaged_runs126!AQ58,"")</f>
        <v/>
      </c>
      <c r="H58" s="2">
        <f>IF(E58,AX58,"")</f>
        <v/>
      </c>
      <c r="I58" s="2">
        <f>IF(E58,averaged_runs370!AQ58,"")</f>
        <v/>
      </c>
      <c r="J58" t="inlineStr">
        <is>
          <t>c</t>
        </is>
      </c>
      <c r="K58" t="n">
        <v>3.28</v>
      </c>
      <c r="L58" t="n">
        <v>13.48</v>
      </c>
      <c r="M58" t="n">
        <v>0.0151623178768953</v>
      </c>
      <c r="N58" t="n">
        <v>147.475879699537</v>
      </c>
      <c r="O58" t="n">
        <v>-1.468333333186361</v>
      </c>
      <c r="P58" t="n">
        <v>1.328333333499586</v>
      </c>
      <c r="Q58" t="n">
        <v>-0.5980006103329985</v>
      </c>
      <c r="R58" t="n">
        <v>-1.468333333186361</v>
      </c>
      <c r="S58" t="n">
        <v>1.328333333499586</v>
      </c>
      <c r="T58" t="n">
        <v>-1.468333333186361</v>
      </c>
      <c r="U58" t="n">
        <v>1.328333333499586</v>
      </c>
      <c r="V58" t="n">
        <v>2.768229368697409</v>
      </c>
      <c r="W58" t="n">
        <v>0.0517082115418395</v>
      </c>
      <c r="X58" t="n">
        <v>0.0156059591733723</v>
      </c>
      <c r="Y58" t="n">
        <v>-0.015389303582111</v>
      </c>
      <c r="Z58" t="n">
        <v>0.0151623178768953</v>
      </c>
      <c r="AA58" t="n">
        <v>130.5254651403825</v>
      </c>
      <c r="AB58" t="n">
        <v>-1.466666666519732</v>
      </c>
      <c r="AC58" t="n">
        <v>1.331666666832925</v>
      </c>
      <c r="AD58" t="n">
        <v>-0.6001388887203192</v>
      </c>
      <c r="AE58" t="n">
        <v>-1.466666666519732</v>
      </c>
      <c r="AF58" t="n">
        <v>1.331666666832925</v>
      </c>
      <c r="AG58" t="n">
        <v>-1.466666666519732</v>
      </c>
      <c r="AH58" t="n">
        <v>1.331666666832925</v>
      </c>
      <c r="AI58" t="n">
        <v>1.694186507895207</v>
      </c>
      <c r="AJ58" t="n">
        <v>-0.0153893035821111</v>
      </c>
      <c r="AK58" t="n">
        <v>5.90524133684801</v>
      </c>
      <c r="AL58" t="n">
        <v>6.141675840352023</v>
      </c>
      <c r="AM58" t="n">
        <v>6.462902065471899</v>
      </c>
      <c r="AN58" t="n">
        <v>6.268296299576868</v>
      </c>
      <c r="AO58" t="n">
        <v>1.431549369021363</v>
      </c>
      <c r="AP58" t="n">
        <v>13.8</v>
      </c>
      <c r="AQ58" t="n">
        <v>14.22</v>
      </c>
      <c r="AR58" t="n">
        <v>0.2422710532858965</v>
      </c>
      <c r="AS58" t="n">
        <v>0.4074300976340167</v>
      </c>
      <c r="AT58" t="n">
        <v>1.76506</v>
      </c>
      <c r="AU58" t="n">
        <v>201.8484610320122</v>
      </c>
      <c r="AV58" t="n">
        <v>0.0563911367470566</v>
      </c>
      <c r="AW58" t="n">
        <v>0.0507994368703882</v>
      </c>
      <c r="AX58" t="n">
        <v>0.0387917580519227</v>
      </c>
      <c r="AY58" t="n">
        <v>0.0586385807020385</v>
      </c>
      <c r="AZ58" t="n">
        <v>0.0439594079934576</v>
      </c>
    </row>
    <row r="59">
      <c r="A59" t="inlineStr">
        <is>
          <t>CGWL10y_pUKCP</t>
        </is>
      </c>
      <c r="B59" t="inlineStr">
        <is>
          <t>44/44_EarthModel_CGWL</t>
        </is>
      </c>
      <c r="C59">
        <f>IF(ISNUMBER(D59),SUM(INDIRECT(_xlfn.CONCAT("e",ROW(),":e",ROW()+D59-1))),"")</f>
        <v/>
      </c>
      <c r="D59" t="n">
        <v>3</v>
      </c>
      <c r="E59">
        <f>AND(AX59&lt;$C$1,averaged_runs370!AQ59&lt;$C$1,averaged_runs126!AQ59&lt;$C$1)*1</f>
        <v/>
      </c>
      <c r="F59" s="2">
        <f>IF(TRUE,SQRT(averaged_runs126!AQ59^2/2+averaged_runs370!AQ59^2/2+AX59^2*0),"")</f>
        <v/>
      </c>
      <c r="G59" s="2">
        <f>IF(E59,averaged_runs126!AQ59,"")</f>
        <v/>
      </c>
      <c r="H59" s="2">
        <f>IF(E59,AX59,"")</f>
        <v/>
      </c>
      <c r="I59" s="2">
        <f>IF(E59,averaged_runs370!AQ59,"")</f>
        <v/>
      </c>
      <c r="J59" t="inlineStr">
        <is>
          <t>c</t>
        </is>
      </c>
      <c r="K59" t="n">
        <v>0</v>
      </c>
      <c r="L59" t="n">
        <v>1.52</v>
      </c>
      <c r="M59" t="n">
        <v>0.0880765735299399</v>
      </c>
      <c r="N59" t="n">
        <v>44.94017586363049</v>
      </c>
      <c r="O59" t="n">
        <v>-1.128333333186652</v>
      </c>
      <c r="P59" t="n">
        <v>-4.451666666495175</v>
      </c>
      <c r="Q59" t="n">
        <v>-3.907426739761661</v>
      </c>
      <c r="R59" t="n">
        <v>-1.128333333186652</v>
      </c>
      <c r="S59" t="n">
        <v>-4.451666666495175</v>
      </c>
      <c r="T59" t="n">
        <v>-1.128333333186652</v>
      </c>
      <c r="U59" t="n">
        <v>-4.451666666495175</v>
      </c>
      <c r="V59" t="n">
        <v>5.943997562942878</v>
      </c>
      <c r="W59" t="n">
        <v>0.1372373436132203</v>
      </c>
      <c r="X59" t="n">
        <v>0.0294719622002387</v>
      </c>
      <c r="Y59" t="n">
        <v>0.1760506165655035</v>
      </c>
      <c r="Z59" t="n">
        <v>0.0880765735299399</v>
      </c>
      <c r="AA59" t="n">
        <v>44.80867343447157</v>
      </c>
      <c r="AB59" t="n">
        <v>-1.126666666520023</v>
      </c>
      <c r="AC59" t="n">
        <v>-4.448333333161836</v>
      </c>
      <c r="AD59" t="n">
        <v>-4.372738095072084</v>
      </c>
      <c r="AE59" t="n">
        <v>-1.126666666520023</v>
      </c>
      <c r="AF59" t="n">
        <v>-4.448333333161836</v>
      </c>
      <c r="AG59" t="n">
        <v>-1.126666666520023</v>
      </c>
      <c r="AH59" t="n">
        <v>-4.448333333161836</v>
      </c>
      <c r="AI59" t="n">
        <v>4.372738095072084</v>
      </c>
      <c r="AJ59" t="n">
        <v>0.1760506165655035</v>
      </c>
      <c r="AK59" t="n">
        <v>1.930023899306078</v>
      </c>
      <c r="AL59" t="n">
        <v>1.315092386561568</v>
      </c>
      <c r="AM59" t="n">
        <v>1.928718003590083</v>
      </c>
      <c r="AN59" t="n">
        <v>1.34064087841469</v>
      </c>
      <c r="AO59" t="n">
        <v>0.9975775340188856</v>
      </c>
      <c r="AP59" t="n">
        <v>13.58</v>
      </c>
      <c r="AQ59" t="n">
        <v>14</v>
      </c>
      <c r="AR59" t="n">
        <v>0.8604887977553614</v>
      </c>
      <c r="AS59" t="n">
        <v>0.8799726390252026</v>
      </c>
      <c r="AT59" t="n">
        <v>1.4859</v>
      </c>
      <c r="AU59" t="n">
        <v>228.4452552903248</v>
      </c>
      <c r="AV59" t="n">
        <v>0.08706749843932091</v>
      </c>
      <c r="AW59" t="n">
        <v>0.1279497709149644</v>
      </c>
      <c r="AX59" t="n">
        <v>0.1499869729866282</v>
      </c>
      <c r="AY59" t="n">
        <v>0.128237935937505</v>
      </c>
      <c r="AZ59" t="n">
        <v>0.1500911131965471</v>
      </c>
    </row>
    <row r="60">
      <c r="A60" t="inlineStr">
        <is>
          <t>CGWL10y_sfUKCP</t>
        </is>
      </c>
      <c r="B60" t="inlineStr">
        <is>
          <t>44/44_EarthModel_CGWL</t>
        </is>
      </c>
      <c r="C60">
        <f>IF(ISNUMBER(D60),SUM(INDIRECT(_xlfn.CONCAT("e",ROW(),":e",ROW()+D60-1))),"")</f>
        <v/>
      </c>
      <c r="E60">
        <f>AND(AX60&lt;$C$1,averaged_runs370!AQ60&lt;$C$1,averaged_runs126!AQ60&lt;$C$1)*1</f>
        <v/>
      </c>
      <c r="F60" s="2">
        <f>IF(TRUE,SQRT(averaged_runs126!AQ60^2/2+averaged_runs370!AQ60^2/2+AX60^2*0),"")</f>
        <v/>
      </c>
      <c r="G60" s="2">
        <f>IF(E60,averaged_runs126!AQ60,"")</f>
        <v/>
      </c>
      <c r="H60" s="2">
        <f>IF(E60,AX60,"")</f>
        <v/>
      </c>
      <c r="I60" s="2">
        <f>IF(E60,averaged_runs370!AQ60,"")</f>
        <v/>
      </c>
      <c r="J60" t="inlineStr">
        <is>
          <t>c</t>
        </is>
      </c>
      <c r="K60" t="n">
        <v>0</v>
      </c>
      <c r="L60" t="n">
        <v>0.02</v>
      </c>
      <c r="M60" t="n">
        <v>0.0350875682509346</v>
      </c>
      <c r="N60" t="n">
        <v>132.5354639410364</v>
      </c>
      <c r="O60" t="n">
        <v>-0.8608333331868926</v>
      </c>
      <c r="P60" t="n">
        <v>-2.15833333316392</v>
      </c>
      <c r="Q60" t="n">
        <v>-1.968967490675753</v>
      </c>
      <c r="R60" t="n">
        <v>-1.131666666519982</v>
      </c>
      <c r="S60" t="n">
        <v>-2.598333333163537</v>
      </c>
      <c r="T60" t="n">
        <v>-0.8799999998535486</v>
      </c>
      <c r="U60" t="n">
        <v>-2.598333333163537</v>
      </c>
      <c r="V60" t="n">
        <v>2.864986723797188</v>
      </c>
      <c r="W60" t="n">
        <v>0.0535247654218903</v>
      </c>
      <c r="X60" t="n">
        <v>0.0139345695183593</v>
      </c>
      <c r="Y60" t="n">
        <v>0.0534007804017317</v>
      </c>
      <c r="Z60" t="n">
        <v>0.0350875682509346</v>
      </c>
      <c r="AA60" t="n">
        <v>109.2958118406542</v>
      </c>
      <c r="AB60" t="n">
        <v>-0.8591666665202637</v>
      </c>
      <c r="AC60" t="n">
        <v>-2.154999999830581</v>
      </c>
      <c r="AD60" t="n">
        <v>-2.123998015705282</v>
      </c>
      <c r="AE60" t="n">
        <v>-1.129999999853353</v>
      </c>
      <c r="AF60" t="n">
        <v>-2.594999999830197</v>
      </c>
      <c r="AG60" t="n">
        <v>-0.8783333331869199</v>
      </c>
      <c r="AH60" t="n">
        <v>-2.594999999830197</v>
      </c>
      <c r="AI60" t="n">
        <v>2.358045634786127</v>
      </c>
      <c r="AJ60" t="n">
        <v>0.0534007804017317</v>
      </c>
      <c r="AK60" t="n">
        <v>5.069723726029649</v>
      </c>
      <c r="AL60" t="n">
        <v>3.688206923219988</v>
      </c>
      <c r="AM60" t="n">
        <v>5.61415201741519</v>
      </c>
      <c r="AN60" t="n">
        <v>4.039473059456054</v>
      </c>
      <c r="AO60" t="n">
        <v>1.583965765382068</v>
      </c>
      <c r="AP60" t="n">
        <v>18.014</v>
      </c>
      <c r="AQ60" t="n">
        <v>18.654</v>
      </c>
      <c r="AR60" t="n">
        <v>0.9383182668272656</v>
      </c>
      <c r="AS60" t="n">
        <v>0.953306933682984</v>
      </c>
      <c r="AT60" t="n">
        <v>6.04856</v>
      </c>
      <c r="AU60" t="n">
        <v>348.472468384055</v>
      </c>
      <c r="AV60" t="n">
        <v>0.0475257951655372</v>
      </c>
      <c r="AW60" t="n">
        <v>0.0530752361830243</v>
      </c>
      <c r="AX60" t="n">
        <v>0.0563160925942185</v>
      </c>
      <c r="AY60" t="n">
        <v>0.0686664565472393</v>
      </c>
      <c r="AZ60" t="n">
        <v>0.0705822921689459</v>
      </c>
    </row>
    <row r="61">
      <c r="A61" t="inlineStr">
        <is>
          <t>CGWL10y_sUKCP</t>
        </is>
      </c>
      <c r="B61" t="inlineStr">
        <is>
          <t>44/44_EarthModel_CGWL</t>
        </is>
      </c>
      <c r="C61">
        <f>IF(ISNUMBER(D61),SUM(INDIRECT(_xlfn.CONCAT("e",ROW(),":e",ROW()+D61-1))),"")</f>
        <v/>
      </c>
      <c r="E61">
        <f>AND(AX61&lt;$C$1,averaged_runs370!AQ61&lt;$C$1,averaged_runs126!AQ61&lt;$C$1)*1</f>
        <v/>
      </c>
      <c r="F61" s="2">
        <f>IF(TRUE,SQRT(averaged_runs126!AQ61^2/2+averaged_runs370!AQ61^2/2+AX61^2*0),"")</f>
        <v/>
      </c>
      <c r="G61" s="2">
        <f>IF(E61,averaged_runs126!AQ61,"")</f>
        <v/>
      </c>
      <c r="H61" s="2">
        <f>IF(E61,AX61,"")</f>
        <v/>
      </c>
      <c r="I61" s="2">
        <f>IF(E61,averaged_runs370!AQ61,"")</f>
        <v/>
      </c>
      <c r="J61" t="inlineStr">
        <is>
          <t>c</t>
        </is>
      </c>
      <c r="K61" t="n">
        <v>0</v>
      </c>
      <c r="L61" t="n">
        <v>0</v>
      </c>
      <c r="M61" t="n">
        <v>0.0390186429291628</v>
      </c>
      <c r="N61" t="n">
        <v>131.6045484486651</v>
      </c>
      <c r="O61" t="n">
        <v>-0.8383333331868925</v>
      </c>
      <c r="P61" t="n">
        <v>-2.364999999830379</v>
      </c>
      <c r="Q61" t="n">
        <v>-2.175297618880958</v>
      </c>
      <c r="R61" t="n">
        <v>-0.8966666665201728</v>
      </c>
      <c r="S61" t="n">
        <v>-2.454999999830298</v>
      </c>
      <c r="T61" t="n">
        <v>-0.8499999998535486</v>
      </c>
      <c r="U61" t="n">
        <v>-2.454999999830298</v>
      </c>
      <c r="V61" t="n">
        <v>3.230416149891381</v>
      </c>
      <c r="W61" t="n">
        <v>0.0551640423421154</v>
      </c>
      <c r="X61" t="n">
        <v>0.015225011083021</v>
      </c>
      <c r="Y61" t="n">
        <v>0.0608709303328864</v>
      </c>
      <c r="Z61" t="n">
        <v>0.0390186429291628</v>
      </c>
      <c r="AA61" t="n">
        <v>108.8209276543416</v>
      </c>
      <c r="AB61" t="n">
        <v>-0.8366666665202638</v>
      </c>
      <c r="AC61" t="n">
        <v>-2.36166666649704</v>
      </c>
      <c r="AD61" t="n">
        <v>-2.333710317292521</v>
      </c>
      <c r="AE61" t="n">
        <v>-0.8949999998535441</v>
      </c>
      <c r="AF61" t="n">
        <v>-2.451666666496958</v>
      </c>
      <c r="AG61" t="n">
        <v>-0.8483333331869198</v>
      </c>
      <c r="AH61" t="n">
        <v>-2.451666666496958</v>
      </c>
      <c r="AI61" t="n">
        <v>2.556448412563849</v>
      </c>
      <c r="AJ61" t="n">
        <v>0.0608709303328864</v>
      </c>
      <c r="AK61" t="n">
        <v>5.009863875211547</v>
      </c>
      <c r="AL61" t="n">
        <v>3.521390023467291</v>
      </c>
      <c r="AM61" t="n">
        <v>5.665650676983086</v>
      </c>
      <c r="AN61" t="n">
        <v>3.950393728939325</v>
      </c>
      <c r="AO61" t="n">
        <v>1.554410921099373</v>
      </c>
      <c r="AP61" t="n">
        <v>14.868</v>
      </c>
      <c r="AQ61" t="n">
        <v>15.348</v>
      </c>
      <c r="AR61" t="n">
        <v>0.9396588480725332</v>
      </c>
      <c r="AS61" t="n">
        <v>0.9396588480725332</v>
      </c>
      <c r="AT61" t="n">
        <v>3.25072</v>
      </c>
      <c r="AU61" t="n">
        <v>341.9704026418621</v>
      </c>
      <c r="AV61" t="n">
        <v>0.0490805423337143</v>
      </c>
      <c r="AW61" t="n">
        <v>0.0539761093815331</v>
      </c>
      <c r="AX61" t="n">
        <v>0.0584526488252986</v>
      </c>
      <c r="AY61" t="n">
        <v>0.0697296035218625</v>
      </c>
      <c r="AZ61" t="n">
        <v>0.0724888777980647</v>
      </c>
    </row>
    <row r="62"/>
    <row r="63"/>
    <row r="64">
      <c r="E64">
        <f>SUM(E2:E61)</f>
        <v/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1"/>
  <sheetViews>
    <sheetView topLeftCell="AE1" workbookViewId="0">
      <pane ySplit="1" topLeftCell="A2" activePane="bottomLeft" state="frozen"/>
      <selection pane="bottomLeft" activeCell="E25" sqref="E25"/>
    </sheetView>
  </sheetViews>
  <sheetFormatPr baseColWidth="10" defaultRowHeight="16"/>
  <sheetData>
    <row r="1">
      <c r="A1" t="inlineStr">
        <is>
          <t>method_name</t>
        </is>
      </c>
      <c r="B1" t="inlineStr">
        <is>
          <t>method_class</t>
        </is>
      </c>
      <c r="C1" t="inlineStr">
        <is>
          <t>c/r</t>
        </is>
      </c>
      <c r="D1" t="inlineStr">
        <is>
          <t>#q&lt;0.1</t>
        </is>
      </c>
      <c r="E1" t="inlineStr">
        <is>
          <t>#q&lt;0.5</t>
        </is>
      </c>
      <c r="F1" t="inlineStr">
        <is>
          <t>100bias</t>
        </is>
      </c>
      <c r="G1" t="inlineStr">
        <is>
          <t>100log-l</t>
        </is>
      </c>
      <c r="H1" t="inlineStr">
        <is>
          <t>Edyrs15</t>
        </is>
      </c>
      <c r="I1" t="inlineStr">
        <is>
          <t>Edyrs20</t>
        </is>
      </c>
      <c r="J1" t="inlineStr">
        <is>
          <t>EdyrsA</t>
        </is>
      </c>
      <c r="K1" t="inlineStr">
        <is>
          <t>Fdyrs15</t>
        </is>
      </c>
      <c r="L1" t="inlineStr">
        <is>
          <t>Fdyrs20</t>
        </is>
      </c>
      <c r="M1" t="inlineStr">
        <is>
          <t>Mdyrs15</t>
        </is>
      </c>
      <c r="N1" t="inlineStr">
        <is>
          <t>Mdyrs20</t>
        </is>
      </c>
      <c r="O1" t="inlineStr">
        <is>
          <t>RMSyrsA</t>
        </is>
      </c>
      <c r="P1" t="inlineStr">
        <is>
          <t>avg_unc.(1se)</t>
        </is>
      </c>
      <c r="Q1" t="inlineStr">
        <is>
          <t>bias</t>
        </is>
      </c>
      <c r="R1" t="inlineStr">
        <is>
          <t>bias50</t>
        </is>
      </c>
      <c r="S1" t="inlineStr">
        <is>
          <t>e100bias</t>
        </is>
      </c>
      <c r="T1" t="inlineStr">
        <is>
          <t>e100log-l</t>
        </is>
      </c>
      <c r="U1" t="inlineStr">
        <is>
          <t>eEdyrs15</t>
        </is>
      </c>
      <c r="V1" t="inlineStr">
        <is>
          <t>eEdyrs20</t>
        </is>
      </c>
      <c r="W1" t="inlineStr">
        <is>
          <t>eEdyrsA</t>
        </is>
      </c>
      <c r="X1" t="inlineStr">
        <is>
          <t>eFdyrs15</t>
        </is>
      </c>
      <c r="Y1" t="inlineStr">
        <is>
          <t>eFdyrs20</t>
        </is>
      </c>
      <c r="Z1" t="inlineStr">
        <is>
          <t>eMdyrs15</t>
        </is>
      </c>
      <c r="AA1" t="inlineStr">
        <is>
          <t>eMdyrs20</t>
        </is>
      </c>
      <c r="AB1" t="inlineStr">
        <is>
          <t>eRMSyrsA</t>
        </is>
      </c>
      <c r="AC1" t="inlineStr">
        <is>
          <t>ebias50</t>
        </is>
      </c>
      <c r="AD1" t="inlineStr">
        <is>
          <t>el15</t>
        </is>
      </c>
      <c r="AE1" t="inlineStr">
        <is>
          <t>el20</t>
        </is>
      </c>
      <c r="AF1" t="inlineStr">
        <is>
          <t>l15</t>
        </is>
      </c>
      <c r="AG1" t="inlineStr">
        <is>
          <t>l20</t>
        </is>
      </c>
      <c r="AH1" t="inlineStr">
        <is>
          <t>log-likeli</t>
        </is>
      </c>
      <c r="AI1" t="inlineStr">
        <is>
          <t>ncEdyrs</t>
        </is>
      </c>
      <c r="AJ1" t="inlineStr">
        <is>
          <t>nceEdyrs</t>
        </is>
      </c>
      <c r="AK1" t="inlineStr">
        <is>
          <t>q_min</t>
        </is>
      </c>
      <c r="AL1" t="inlineStr">
        <is>
          <t>q_small5</t>
        </is>
      </c>
      <c r="AM1" t="inlineStr">
        <is>
          <t>smooth_r</t>
        </is>
      </c>
      <c r="AN1" t="inlineStr">
        <is>
          <t>tlog-l</t>
        </is>
      </c>
      <c r="AO1" t="inlineStr">
        <is>
          <t>RMS</t>
        </is>
      </c>
      <c r="AP1" t="inlineStr">
        <is>
          <t>100RMS</t>
        </is>
      </c>
      <c r="AQ1" t="inlineStr">
        <is>
          <t>75RMS</t>
        </is>
      </c>
      <c r="AR1" t="inlineStr">
        <is>
          <t>e100RMS</t>
        </is>
      </c>
      <c r="AS1" t="inlineStr">
        <is>
          <t>e75RMS</t>
        </is>
      </c>
    </row>
    <row r="2">
      <c r="A2" t="inlineStr">
        <is>
          <t>lag10y</t>
        </is>
      </c>
      <c r="B2" t="inlineStr">
        <is>
          <t>42/1_Run_Means</t>
        </is>
      </c>
      <c r="C2" t="inlineStr">
        <is>
          <t>c</t>
        </is>
      </c>
      <c r="D2" t="n">
        <v>98.02</v>
      </c>
      <c r="E2" t="n">
        <v>159.4</v>
      </c>
      <c r="F2" t="n">
        <v>-0.1292200980867658</v>
      </c>
      <c r="G2" t="n">
        <v>-339.6477149881401</v>
      </c>
      <c r="H2" t="n">
        <v>4.934166666805627</v>
      </c>
      <c r="I2" t="n">
        <v>4.602500000154564</v>
      </c>
      <c r="J2" t="n">
        <v>4.60548089609687</v>
      </c>
      <c r="K2" t="n">
        <v>4.913333333472314</v>
      </c>
      <c r="L2" t="n">
        <v>4.586666666821243</v>
      </c>
      <c r="M2" t="n">
        <v>4.955000000138939</v>
      </c>
      <c r="N2" t="n">
        <v>4.618333333487885</v>
      </c>
      <c r="O2" t="n">
        <v>4.694894638374863</v>
      </c>
      <c r="P2" t="n">
        <v>0.0414120136689071</v>
      </c>
      <c r="Q2" t="n">
        <v>-0.0669300973267165</v>
      </c>
      <c r="R2" t="n">
        <v>-0.1577703173160552</v>
      </c>
      <c r="S2" t="n">
        <v>-0.1292200980867657</v>
      </c>
      <c r="T2" t="n">
        <v>-409.6821062638761</v>
      </c>
      <c r="U2" t="n">
        <v>4.945833333472646</v>
      </c>
      <c r="V2" t="n">
        <v>4.544166666821347</v>
      </c>
      <c r="W2" t="n">
        <v>4.6027898552529</v>
      </c>
      <c r="X2" t="n">
        <v>4.925000000139335</v>
      </c>
      <c r="Y2" t="n">
        <v>4.528333333488026</v>
      </c>
      <c r="Z2" t="n">
        <v>4.966666666805959</v>
      </c>
      <c r="AA2" t="n">
        <v>4.560000000154669</v>
      </c>
      <c r="AB2" t="n">
        <v>4.6027898552529</v>
      </c>
      <c r="AC2" t="n">
        <v>-0.1577703173160552</v>
      </c>
      <c r="AD2" t="n">
        <v>1.131504981868238</v>
      </c>
      <c r="AE2" t="n">
        <v>0.4914925112770031</v>
      </c>
      <c r="AF2" t="n">
        <v>0.4368768330157092</v>
      </c>
      <c r="AG2" t="n">
        <v>0.2030258672317354</v>
      </c>
      <c r="AH2" t="n">
        <v>-0.7404042976635529</v>
      </c>
      <c r="AI2" t="n">
        <v>23.744</v>
      </c>
      <c r="AJ2" t="n">
        <v>23.324</v>
      </c>
      <c r="AK2" s="1" t="n">
        <v>4.186813763993471e-07</v>
      </c>
      <c r="AL2" s="1" t="n">
        <v>1.092907396123129e-05</v>
      </c>
      <c r="AM2" t="n">
        <v>2.89282</v>
      </c>
      <c r="AN2" t="n">
        <v>-171.0333927602807</v>
      </c>
      <c r="AO2" t="n">
        <v>0.0965062149451624</v>
      </c>
      <c r="AP2" t="n">
        <v>0.1363942146264422</v>
      </c>
      <c r="AQ2" t="n">
        <v>0.1495109521273411</v>
      </c>
      <c r="AR2" t="n">
        <v>0.1441590644106933</v>
      </c>
      <c r="AS2" t="n">
        <v>0.156254085238063</v>
      </c>
    </row>
    <row r="3">
      <c r="A3" t="inlineStr">
        <is>
          <t>lag5y</t>
        </is>
      </c>
      <c r="B3" t="inlineStr">
        <is>
          <t>42/1_Run_Means</t>
        </is>
      </c>
      <c r="C3" t="inlineStr">
        <is>
          <t>c</t>
        </is>
      </c>
      <c r="D3" t="n">
        <v>36.22</v>
      </c>
      <c r="E3" t="n">
        <v>103.34</v>
      </c>
      <c r="F3" t="n">
        <v>-0.0570707170910887</v>
      </c>
      <c r="G3" t="n">
        <v>-28.69218342470757</v>
      </c>
      <c r="H3" t="n">
        <v>2.400000000141272</v>
      </c>
      <c r="I3" t="n">
        <v>1.980000000156956</v>
      </c>
      <c r="J3" t="n">
        <v>2.107664690563745</v>
      </c>
      <c r="K3" t="n">
        <v>1.99333333347498</v>
      </c>
      <c r="L3" t="n">
        <v>1.776666666823808</v>
      </c>
      <c r="M3" t="n">
        <v>2.806666666807564</v>
      </c>
      <c r="N3" t="n">
        <v>2.183333333490105</v>
      </c>
      <c r="O3" t="n">
        <v>2.499580432019164</v>
      </c>
      <c r="P3" t="n">
        <v>0.0486420763074757</v>
      </c>
      <c r="Q3" t="n">
        <v>-0.031939753624545</v>
      </c>
      <c r="R3" t="n">
        <v>-0.071403537929058</v>
      </c>
      <c r="S3" t="n">
        <v>-0.0570707170910887</v>
      </c>
      <c r="T3" t="n">
        <v>-100.8774750016019</v>
      </c>
      <c r="U3" t="n">
        <v>2.411666666808292</v>
      </c>
      <c r="V3" t="n">
        <v>1.92166666682374</v>
      </c>
      <c r="W3" t="n">
        <v>2.102717391485262</v>
      </c>
      <c r="X3" t="n">
        <v>2.005000000141999</v>
      </c>
      <c r="Y3" t="n">
        <v>1.718333333490591</v>
      </c>
      <c r="Z3" t="n">
        <v>2.751666666807978</v>
      </c>
      <c r="AA3" t="n">
        <v>2.066666666823612</v>
      </c>
      <c r="AB3" t="n">
        <v>2.128442029159144</v>
      </c>
      <c r="AC3" t="n">
        <v>-0.071403537929058</v>
      </c>
      <c r="AD3" t="n">
        <v>4.542482120722447</v>
      </c>
      <c r="AE3" t="n">
        <v>4.308084024871769</v>
      </c>
      <c r="AF3" t="n">
        <v>3.307265635094861</v>
      </c>
      <c r="AG3" t="n">
        <v>4.058912361011326</v>
      </c>
      <c r="AH3" t="n">
        <v>0.4040689557581526</v>
      </c>
      <c r="AI3" t="n">
        <v>25.856</v>
      </c>
      <c r="AJ3" t="n">
        <v>25.376</v>
      </c>
      <c r="AK3" s="1" t="n">
        <v>1.58090278297559e-05</v>
      </c>
      <c r="AL3" t="n">
        <v>0.0006478102734359</v>
      </c>
      <c r="AM3" t="n">
        <v>5.64268</v>
      </c>
      <c r="AN3" t="n">
        <v>93.33992878013326</v>
      </c>
      <c r="AO3" t="n">
        <v>0.07347753023147439</v>
      </c>
      <c r="AP3" t="n">
        <v>0.07950749295132831</v>
      </c>
      <c r="AQ3" t="n">
        <v>0.0835386951641056</v>
      </c>
      <c r="AR3" t="n">
        <v>0.0923043625135837</v>
      </c>
      <c r="AS3" t="n">
        <v>0.09545877059450771</v>
      </c>
    </row>
    <row r="4">
      <c r="A4" t="inlineStr">
        <is>
          <t>offset11y</t>
        </is>
      </c>
      <c r="B4" t="inlineStr">
        <is>
          <t>42/1_Run_Means</t>
        </is>
      </c>
      <c r="C4" t="inlineStr">
        <is>
          <t>c</t>
        </is>
      </c>
      <c r="D4" t="n">
        <v>85.34</v>
      </c>
      <c r="E4" t="n">
        <v>168.64</v>
      </c>
      <c r="F4" t="n">
        <v>-0.0333211023597926</v>
      </c>
      <c r="G4" t="n">
        <v>120.0903893967671</v>
      </c>
      <c r="H4" t="n">
        <v>1.090000000142468</v>
      </c>
      <c r="I4" t="n">
        <v>1.540000000157338</v>
      </c>
      <c r="J4" t="n">
        <v>1.351420454727764</v>
      </c>
      <c r="K4" t="n">
        <v>1.090000000142468</v>
      </c>
      <c r="L4" t="n">
        <v>1.540000000157338</v>
      </c>
      <c r="M4" t="n">
        <v>1.090000000142468</v>
      </c>
      <c r="N4" t="n">
        <v>1.540000000157338</v>
      </c>
      <c r="O4" t="n">
        <v>1.88084931541324</v>
      </c>
      <c r="P4" t="n">
        <v>0.0405444307808151</v>
      </c>
      <c r="Q4" t="n">
        <v>0.0362518750725747</v>
      </c>
      <c r="R4" t="n">
        <v>-0.0647979848384857</v>
      </c>
      <c r="S4" t="n">
        <v>-0.0333211023597926</v>
      </c>
      <c r="T4" t="n">
        <v>53.50722132885713</v>
      </c>
      <c r="U4" t="n">
        <v>1.101666666809488</v>
      </c>
      <c r="V4" t="n">
        <v>1.481666666824121</v>
      </c>
      <c r="W4" t="n">
        <v>1.337717391485944</v>
      </c>
      <c r="X4" t="n">
        <v>1.101666666809488</v>
      </c>
      <c r="Y4" t="n">
        <v>1.481666666824121</v>
      </c>
      <c r="Z4" t="n">
        <v>1.101666666809488</v>
      </c>
      <c r="AA4" t="n">
        <v>1.481666666824121</v>
      </c>
      <c r="AB4" t="n">
        <v>1.427282608833522</v>
      </c>
      <c r="AC4" t="n">
        <v>-0.0647979848384857</v>
      </c>
      <c r="AD4" t="n">
        <v>5.614416592288246</v>
      </c>
      <c r="AE4" t="n">
        <v>5.643981918898893</v>
      </c>
      <c r="AF4" t="n">
        <v>7.078810647578848</v>
      </c>
      <c r="AG4" t="n">
        <v>5.261473411739457</v>
      </c>
      <c r="AH4" t="n">
        <v>-0.3243660480053393</v>
      </c>
      <c r="AI4" t="n">
        <v>23.68</v>
      </c>
      <c r="AJ4" t="n">
        <v>23.26</v>
      </c>
      <c r="AK4" s="1" t="n">
        <v>2.236843151075021e-05</v>
      </c>
      <c r="AL4" s="1" t="n">
        <v>6.692770899278349e-05</v>
      </c>
      <c r="AM4" t="n">
        <v>2.64078</v>
      </c>
      <c r="AN4" t="n">
        <v>-74.92855708923338</v>
      </c>
      <c r="AO4" t="n">
        <v>0.0827209640400189</v>
      </c>
      <c r="AP4" t="n">
        <v>0.0559049251949919</v>
      </c>
      <c r="AQ4" t="n">
        <v>0.0616769449495341</v>
      </c>
      <c r="AR4" t="n">
        <v>0.072136809365253</v>
      </c>
      <c r="AS4" t="n">
        <v>0.0759293089098724</v>
      </c>
    </row>
    <row r="5">
      <c r="A5" t="inlineStr">
        <is>
          <t>raw1y</t>
        </is>
      </c>
      <c r="B5" t="inlineStr">
        <is>
          <t>42/1_Run_Means</t>
        </is>
      </c>
      <c r="C5" t="inlineStr">
        <is>
          <t>c</t>
        </is>
      </c>
      <c r="D5" t="n">
        <v>0.04</v>
      </c>
      <c r="E5" t="n">
        <v>0.76</v>
      </c>
      <c r="F5" t="n">
        <v>-0.0004849338662493</v>
      </c>
      <c r="G5" t="n">
        <v>67.66028019363333</v>
      </c>
      <c r="H5" t="n">
        <v>-0.0483333331898332</v>
      </c>
      <c r="I5" t="n">
        <v>0.1434722223808595</v>
      </c>
      <c r="J5" t="n">
        <v>-0.1802638579906316</v>
      </c>
      <c r="K5" t="n">
        <v>-3.626666666519891</v>
      </c>
      <c r="L5" t="n">
        <v>-2.786666666505385</v>
      </c>
      <c r="M5" t="n">
        <v>-0.6649999998559497</v>
      </c>
      <c r="N5" t="n">
        <v>-0.0399999998411794</v>
      </c>
      <c r="O5" t="n">
        <v>1.67210780957108</v>
      </c>
      <c r="P5" t="n">
        <v>0.1269007579982079</v>
      </c>
      <c r="Q5" t="n">
        <v>-0.0031054246837812</v>
      </c>
      <c r="R5" t="n">
        <v>-0.0025897961854934</v>
      </c>
      <c r="S5" t="n">
        <v>-0.0004849338662493</v>
      </c>
      <c r="T5" t="n">
        <v>60.42095258540674</v>
      </c>
      <c r="U5" t="n">
        <v>-0.0366666665228134</v>
      </c>
      <c r="V5" t="n">
        <v>0.0851388890476429</v>
      </c>
      <c r="W5" t="n">
        <v>-0.1897075567543376</v>
      </c>
      <c r="X5" t="n">
        <v>-3.614999999852871</v>
      </c>
      <c r="Y5" t="n">
        <v>-2.844999999838601</v>
      </c>
      <c r="Z5" t="n">
        <v>-0.7866666665221419</v>
      </c>
      <c r="AA5" t="n">
        <v>0.3233333334918825</v>
      </c>
      <c r="AB5" t="n">
        <v>0.9617006555807132</v>
      </c>
      <c r="AC5" t="n">
        <v>-0.0025897961854934</v>
      </c>
      <c r="AD5" t="n">
        <v>2.290864894565284</v>
      </c>
      <c r="AE5" t="n">
        <v>2.29850534212556</v>
      </c>
      <c r="AF5" t="n">
        <v>2.35495816581983</v>
      </c>
      <c r="AG5" t="n">
        <v>2.391046101503522</v>
      </c>
      <c r="AH5" t="n">
        <v>0.7069492895014972</v>
      </c>
      <c r="AI5" t="n">
        <v>54.012</v>
      </c>
      <c r="AJ5" t="n">
        <v>53.072</v>
      </c>
      <c r="AK5" t="n">
        <v>0.6219940111477227</v>
      </c>
      <c r="AL5" t="n">
        <v>0.8691242687513229</v>
      </c>
      <c r="AM5" t="n">
        <v>29.10296</v>
      </c>
      <c r="AN5" t="n">
        <v>163.3052858748459</v>
      </c>
      <c r="AO5" t="n">
        <v>0.1183190498613142</v>
      </c>
      <c r="AP5" t="n">
        <v>0.1151298435945387</v>
      </c>
      <c r="AQ5" t="n">
        <v>0.112614434870231</v>
      </c>
      <c r="AR5" t="n">
        <v>0.124293615937332</v>
      </c>
      <c r="AS5" t="n">
        <v>0.1219777997564893</v>
      </c>
    </row>
    <row r="6">
      <c r="A6" t="inlineStr">
        <is>
          <t>Bayes_seq_CP</t>
        </is>
      </c>
      <c r="B6" t="inlineStr">
        <is>
          <t>42/2_LT_Fits</t>
        </is>
      </c>
      <c r="C6" t="inlineStr">
        <is>
          <t>c</t>
        </is>
      </c>
      <c r="D6" t="n">
        <v>90.94</v>
      </c>
      <c r="E6" t="n">
        <v>140.84</v>
      </c>
      <c r="F6" t="n">
        <v>-0.0723357209326984</v>
      </c>
      <c r="G6" t="n">
        <v>-140.9968456491745</v>
      </c>
      <c r="H6" t="n">
        <v>2.658333333474334</v>
      </c>
      <c r="I6" t="n">
        <v>3.500000000155583</v>
      </c>
      <c r="J6" t="n">
        <v>2.570904424862911</v>
      </c>
      <c r="K6" t="n">
        <v>2.658333333474334</v>
      </c>
      <c r="L6" t="n">
        <v>3.500000000155583</v>
      </c>
      <c r="M6" t="n">
        <v>2.658333333474334</v>
      </c>
      <c r="N6" t="n">
        <v>3.500000000155583</v>
      </c>
      <c r="O6" t="n">
        <v>2.922099317016355</v>
      </c>
      <c r="P6" t="n">
        <v>0.0330117471287128</v>
      </c>
      <c r="Q6" t="n">
        <v>-0.0549470562301275</v>
      </c>
      <c r="R6" t="n">
        <v>-0.0966124659120559</v>
      </c>
      <c r="S6" t="n">
        <v>-0.0723357209326984</v>
      </c>
      <c r="T6" t="n">
        <v>-231.2771262510753</v>
      </c>
      <c r="U6" t="n">
        <v>2.670000000141353</v>
      </c>
      <c r="V6" t="n">
        <v>3.441666666822366</v>
      </c>
      <c r="W6" t="n">
        <v>2.57670289873132</v>
      </c>
      <c r="X6" t="n">
        <v>2.670000000141353</v>
      </c>
      <c r="Y6" t="n">
        <v>3.441666666822366</v>
      </c>
      <c r="Z6" t="n">
        <v>2.670000000141353</v>
      </c>
      <c r="AA6" t="n">
        <v>3.441666666822366</v>
      </c>
      <c r="AB6" t="n">
        <v>2.57670289873132</v>
      </c>
      <c r="AC6" t="n">
        <v>-0.0966124659120559</v>
      </c>
      <c r="AD6" t="n">
        <v>4.117822317053423</v>
      </c>
      <c r="AE6" t="n">
        <v>1.38695545241617</v>
      </c>
      <c r="AF6" t="n">
        <v>3.209919625121345</v>
      </c>
      <c r="AG6" t="n">
        <v>0.93712381927305</v>
      </c>
      <c r="AH6" t="n">
        <v>-1.542973548004517</v>
      </c>
      <c r="AI6" t="n">
        <v>23.52</v>
      </c>
      <c r="AJ6" t="n">
        <v>23.08</v>
      </c>
      <c r="AK6" s="1" t="n">
        <v>3.764228175753598e-08</v>
      </c>
      <c r="AL6" s="1" t="n">
        <v>2.335232865160421e-07</v>
      </c>
      <c r="AM6" t="n">
        <v>2.35552</v>
      </c>
      <c r="AN6" t="n">
        <v>-296.2509212168672</v>
      </c>
      <c r="AO6" t="n">
        <v>0.08319303921590181</v>
      </c>
      <c r="AP6" t="n">
        <v>0.0895622420807993</v>
      </c>
      <c r="AQ6" t="n">
        <v>0.0983635578270204</v>
      </c>
      <c r="AR6" t="n">
        <v>0.09986436318316851</v>
      </c>
      <c r="AS6" t="n">
        <v>0.1061809490184899</v>
      </c>
    </row>
    <row r="7">
      <c r="A7" t="inlineStr">
        <is>
          <t>butterworth</t>
        </is>
      </c>
      <c r="B7" t="inlineStr">
        <is>
          <t>42/2_LT_Fits</t>
        </is>
      </c>
      <c r="C7" t="inlineStr">
        <is>
          <t>c</t>
        </is>
      </c>
      <c r="D7" t="n">
        <v>0.72</v>
      </c>
      <c r="E7" t="n">
        <v>1.28</v>
      </c>
      <c r="F7" t="n">
        <v>-0.0433177478734095</v>
      </c>
      <c r="G7" t="n">
        <v>46.70470167796775</v>
      </c>
      <c r="H7" t="n">
        <v>2.034444444586026</v>
      </c>
      <c r="I7" t="n">
        <v>1.468055555712972</v>
      </c>
      <c r="J7" t="n">
        <v>1.550152498900787</v>
      </c>
      <c r="K7" t="n">
        <v>1.156666666809038</v>
      </c>
      <c r="L7" t="n">
        <v>0.548333333491587</v>
      </c>
      <c r="M7" t="n">
        <v>2.773333333474243</v>
      </c>
      <c r="N7" t="n">
        <v>2.153333333490123</v>
      </c>
      <c r="O7" t="n">
        <v>1.980269039482729</v>
      </c>
      <c r="P7" t="n">
        <v>0.1949840031410257</v>
      </c>
      <c r="Q7" t="n">
        <v>-0.0385602491018145</v>
      </c>
      <c r="R7" t="n">
        <v>-0.0504663569850561</v>
      </c>
      <c r="S7" t="n">
        <v>-0.0433177478734095</v>
      </c>
      <c r="T7" t="n">
        <v>42.01107066506945</v>
      </c>
      <c r="U7" t="n">
        <v>2.046111111253046</v>
      </c>
      <c r="V7" t="n">
        <v>1.409722222379755</v>
      </c>
      <c r="W7" t="n">
        <v>1.548750000180983</v>
      </c>
      <c r="X7" t="n">
        <v>1.168333333476057</v>
      </c>
      <c r="Y7" t="n">
        <v>0.4900000001583703</v>
      </c>
      <c r="Z7" t="n">
        <v>1.8750000001421</v>
      </c>
      <c r="AA7" t="n">
        <v>2.058333333490282</v>
      </c>
      <c r="AB7" t="n">
        <v>1.602566425287187</v>
      </c>
      <c r="AC7" t="n">
        <v>-0.0504663569850561</v>
      </c>
      <c r="AD7" t="n">
        <v>1.934501331813182</v>
      </c>
      <c r="AE7" t="n">
        <v>1.547784977692822</v>
      </c>
      <c r="AF7" t="n">
        <v>1.948616779374282</v>
      </c>
      <c r="AG7" t="n">
        <v>1.591115090293931</v>
      </c>
      <c r="AH7" t="n">
        <v>0.6342346128685661</v>
      </c>
      <c r="AI7" t="n">
        <v>35.2</v>
      </c>
      <c r="AJ7" t="n">
        <v>34.44</v>
      </c>
      <c r="AK7" t="n">
        <v>0.3790268940205303</v>
      </c>
      <c r="AL7" t="n">
        <v>0.9730741641444984</v>
      </c>
      <c r="AM7" t="n">
        <v>12.2893</v>
      </c>
      <c r="AN7" t="n">
        <v>90.06131502733639</v>
      </c>
      <c r="AO7" t="n">
        <v>0.07526783311553251</v>
      </c>
      <c r="AP7" t="n">
        <v>0.0767918978985587</v>
      </c>
      <c r="AQ7" t="n">
        <v>0.0804935198666526</v>
      </c>
      <c r="AR7" t="n">
        <v>0.09128843096686989</v>
      </c>
      <c r="AS7" t="n">
        <v>0.09457882033351341</v>
      </c>
    </row>
    <row r="8">
      <c r="A8" t="inlineStr">
        <is>
          <t>hinge75meet</t>
        </is>
      </c>
      <c r="B8" t="inlineStr">
        <is>
          <t>42/2_LT_Fits</t>
        </is>
      </c>
      <c r="C8" t="inlineStr">
        <is>
          <t>c</t>
        </is>
      </c>
      <c r="D8" t="n">
        <v>50.5</v>
      </c>
      <c r="E8" t="n">
        <v>75.12</v>
      </c>
      <c r="F8" t="n">
        <v>-0.1261985018220056</v>
      </c>
      <c r="G8" t="n">
        <v>-243.2435077637807</v>
      </c>
      <c r="H8" t="n">
        <v>1.966666666808328</v>
      </c>
      <c r="I8" t="n">
        <v>5.083333333487494</v>
      </c>
      <c r="J8" t="n">
        <v>5.630216842518582</v>
      </c>
      <c r="K8" t="n">
        <v>1.966666666808328</v>
      </c>
      <c r="L8" t="n">
        <v>5.083333333487494</v>
      </c>
      <c r="M8" t="n">
        <v>1.966666666808328</v>
      </c>
      <c r="N8" t="n">
        <v>5.083333333487494</v>
      </c>
      <c r="O8" t="n">
        <v>6.765157927137052</v>
      </c>
      <c r="P8" t="n">
        <v>0.0646345480372707</v>
      </c>
      <c r="Q8" t="n">
        <v>-0.0723310312666277</v>
      </c>
      <c r="R8" t="n">
        <v>-0.2434562752977708</v>
      </c>
      <c r="S8" t="n">
        <v>-0.1261985018220056</v>
      </c>
      <c r="T8" t="n">
        <v>-261.3513975541633</v>
      </c>
      <c r="U8" t="n">
        <v>1.978333333475348</v>
      </c>
      <c r="V8" t="n">
        <v>5.025000000154278</v>
      </c>
      <c r="W8" t="n">
        <v>5.464492753805981</v>
      </c>
      <c r="X8" t="n">
        <v>1.978333333475348</v>
      </c>
      <c r="Y8" t="n">
        <v>5.025000000154278</v>
      </c>
      <c r="Z8" t="n">
        <v>1.978333333475348</v>
      </c>
      <c r="AA8" t="n">
        <v>5.025000000154278</v>
      </c>
      <c r="AB8" t="n">
        <v>5.464492753805981</v>
      </c>
      <c r="AC8" t="n">
        <v>-0.2434562752977708</v>
      </c>
      <c r="AD8" t="n">
        <v>4.186996735641253</v>
      </c>
      <c r="AE8" t="n">
        <v>0.9932447051932848</v>
      </c>
      <c r="AF8" t="n">
        <v>4.472179887506611</v>
      </c>
      <c r="AG8" t="n">
        <v>0.7057740988511744</v>
      </c>
      <c r="AH8" t="n">
        <v>-1.074600752735467</v>
      </c>
      <c r="AI8" t="n">
        <v>23.28</v>
      </c>
      <c r="AJ8" t="n">
        <v>22.98</v>
      </c>
      <c r="AK8" s="1" t="n">
        <v>3.16124439986979e-05</v>
      </c>
      <c r="AL8" s="1" t="n">
        <v>3.901829489800897e-05</v>
      </c>
      <c r="AM8" t="n">
        <v>1.70664</v>
      </c>
      <c r="AN8" t="n">
        <v>-167.6377174267329</v>
      </c>
      <c r="AO8" t="n">
        <v>0.1397502873518803</v>
      </c>
      <c r="AP8" t="n">
        <v>0.1758157658262185</v>
      </c>
      <c r="AQ8" t="n">
        <v>0.2049104082585456</v>
      </c>
      <c r="AR8" t="n">
        <v>0.179661882639268</v>
      </c>
      <c r="AS8" t="n">
        <v>0.2071141834813223</v>
      </c>
    </row>
    <row r="9">
      <c r="A9" t="inlineStr">
        <is>
          <t>OLS_hinge75</t>
        </is>
      </c>
      <c r="B9" t="inlineStr">
        <is>
          <t>42/2_LT_Fits</t>
        </is>
      </c>
      <c r="C9" t="inlineStr">
        <is>
          <t>c</t>
        </is>
      </c>
      <c r="D9" t="n">
        <v>67.23999999999999</v>
      </c>
      <c r="E9" t="n">
        <v>102.84</v>
      </c>
      <c r="F9" t="n">
        <v>-0.1109661831531924</v>
      </c>
      <c r="G9" t="n">
        <v>-719.575327030853</v>
      </c>
      <c r="H9" t="n">
        <v>2.393333333474597</v>
      </c>
      <c r="I9" t="n">
        <v>4.436666666821398</v>
      </c>
      <c r="J9" t="n">
        <v>4.510633783669943</v>
      </c>
      <c r="K9" t="n">
        <v>2.393333333474597</v>
      </c>
      <c r="L9" t="n">
        <v>4.436666666821398</v>
      </c>
      <c r="M9" t="n">
        <v>2.393333333474597</v>
      </c>
      <c r="N9" t="n">
        <v>4.436666666821398</v>
      </c>
      <c r="O9" t="n">
        <v>5.09325690113963</v>
      </c>
      <c r="P9" t="n">
        <v>0.0378316986201844</v>
      </c>
      <c r="Q9" t="n">
        <v>-0.0685716398257776</v>
      </c>
      <c r="R9" t="n">
        <v>-0.1951657339205548</v>
      </c>
      <c r="S9" t="n">
        <v>-0.1109661831531924</v>
      </c>
      <c r="T9" t="n">
        <v>-774.9842325818021</v>
      </c>
      <c r="U9" t="n">
        <v>2.405000000141618</v>
      </c>
      <c r="V9" t="n">
        <v>4.378333333488181</v>
      </c>
      <c r="W9" t="n">
        <v>4.450833333515472</v>
      </c>
      <c r="X9" t="n">
        <v>2.405000000141618</v>
      </c>
      <c r="Y9" t="n">
        <v>4.378333333488181</v>
      </c>
      <c r="Z9" t="n">
        <v>2.405000000141618</v>
      </c>
      <c r="AA9" t="n">
        <v>4.378333333488181</v>
      </c>
      <c r="AB9" t="n">
        <v>4.450833333515472</v>
      </c>
      <c r="AC9" t="n">
        <v>-0.1951657339205548</v>
      </c>
      <c r="AD9" t="n">
        <v>4.403600805595795</v>
      </c>
      <c r="AE9" t="n">
        <v>0.403164676404549</v>
      </c>
      <c r="AF9" t="n">
        <v>3.945021487120831</v>
      </c>
      <c r="AG9" t="n">
        <v>0.1445842517953633</v>
      </c>
      <c r="AH9" t="n">
        <v>-4.466993355279376</v>
      </c>
      <c r="AI9" t="n">
        <v>23.44</v>
      </c>
      <c r="AJ9" t="n">
        <v>23.02</v>
      </c>
      <c r="AK9" s="1" t="n">
        <v>2.163837433157023e-09</v>
      </c>
      <c r="AL9" s="1" t="n">
        <v>4.716291710767942e-09</v>
      </c>
      <c r="AM9" t="n">
        <v>2.06718</v>
      </c>
      <c r="AN9" t="n">
        <v>-696.8509634235826</v>
      </c>
      <c r="AO9" t="n">
        <v>0.1170831752834851</v>
      </c>
      <c r="AP9" t="n">
        <v>0.143421193750798</v>
      </c>
      <c r="AQ9" t="n">
        <v>0.1660520400875127</v>
      </c>
      <c r="AR9" t="n">
        <v>0.1479195203762058</v>
      </c>
      <c r="AS9" t="n">
        <v>0.1686499335526155</v>
      </c>
    </row>
    <row r="10">
      <c r="A10" t="inlineStr">
        <is>
          <t>OLS_refit</t>
        </is>
      </c>
      <c r="B10" t="inlineStr">
        <is>
          <t>42/2_LT_Fits</t>
        </is>
      </c>
      <c r="C10" t="inlineStr">
        <is>
          <t>c</t>
        </is>
      </c>
      <c r="D10" t="n">
        <v>119.68</v>
      </c>
      <c r="E10" t="n">
        <v>131.52</v>
      </c>
      <c r="F10" t="n">
        <v>-0.4288398057315292</v>
      </c>
      <c r="G10" t="n">
        <v>-5723.878055719506</v>
      </c>
      <c r="H10" t="n">
        <v>15.02666666679645</v>
      </c>
      <c r="I10" t="n">
        <v>17.40500000014293</v>
      </c>
      <c r="J10" t="n">
        <v>18.47400883851606</v>
      </c>
      <c r="K10" t="n">
        <v>15.02666666679645</v>
      </c>
      <c r="L10" t="n">
        <v>17.40500000014293</v>
      </c>
      <c r="M10" t="n">
        <v>15.02666666679645</v>
      </c>
      <c r="N10" t="n">
        <v>17.40500000014293</v>
      </c>
      <c r="O10" t="n">
        <v>18.81058759251568</v>
      </c>
      <c r="P10" t="n">
        <v>0.0356964590300126</v>
      </c>
      <c r="Q10" t="n">
        <v>-0.285409755990801</v>
      </c>
      <c r="R10" t="n">
        <v>-0.5913236849582314</v>
      </c>
      <c r="S10" t="n">
        <v>-0.4288398057315292</v>
      </c>
      <c r="T10" t="n">
        <v>-5795.29223462444</v>
      </c>
      <c r="U10" t="n">
        <v>15.03833333346347</v>
      </c>
      <c r="V10" t="n">
        <v>17.34666666680971</v>
      </c>
      <c r="W10" t="n">
        <v>18.33253623201968</v>
      </c>
      <c r="X10" t="n">
        <v>15.03833333346347</v>
      </c>
      <c r="Y10" t="n">
        <v>17.34666666680971</v>
      </c>
      <c r="Z10" t="n">
        <v>15.03833333346347</v>
      </c>
      <c r="AA10" t="n">
        <v>17.34666666680971</v>
      </c>
      <c r="AB10" t="n">
        <v>18.33253623201968</v>
      </c>
      <c r="AC10" t="n">
        <v>-0.5913236849582314</v>
      </c>
      <c r="AD10" s="1" t="n">
        <v>9.172879619096027e-11</v>
      </c>
      <c r="AE10" s="1" t="n">
        <v>2.63902388388654e-22</v>
      </c>
      <c r="AF10" s="1" t="n">
        <v>1.844628948744184e-12</v>
      </c>
      <c r="AG10" s="1" t="n">
        <v>1.54481402666561e-25</v>
      </c>
      <c r="AH10" t="n">
        <v>-41.54156118136984</v>
      </c>
      <c r="AI10" t="n">
        <v>19.6</v>
      </c>
      <c r="AJ10" t="n">
        <v>19.58</v>
      </c>
      <c r="AK10" s="1" t="n">
        <v>5.86644732987401e-40</v>
      </c>
      <c r="AL10" s="1" t="n">
        <v>1.522143734856276e-38</v>
      </c>
      <c r="AM10" t="n">
        <v>0.7651</v>
      </c>
      <c r="AN10" t="n">
        <v>-5857.360126573149</v>
      </c>
      <c r="AO10" t="n">
        <v>0.3734533805281977</v>
      </c>
      <c r="AP10" t="n">
        <v>0.4598123663305279</v>
      </c>
      <c r="AQ10" t="n">
        <v>0.518718548302558</v>
      </c>
      <c r="AR10" t="n">
        <v>0.4605345568275212</v>
      </c>
      <c r="AS10" t="n">
        <v>0.5191947750989463</v>
      </c>
    </row>
    <row r="11">
      <c r="A11" t="inlineStr">
        <is>
          <t>quartic</t>
        </is>
      </c>
      <c r="B11" t="inlineStr">
        <is>
          <t>42/2_LT_Fits</t>
        </is>
      </c>
      <c r="C11" t="inlineStr">
        <is>
          <t>c</t>
        </is>
      </c>
      <c r="D11" t="n">
        <v>10</v>
      </c>
      <c r="E11" t="n">
        <v>63.98</v>
      </c>
      <c r="F11" t="n">
        <v>0.0521753884916054</v>
      </c>
      <c r="G11" t="n">
        <v>91.26441270595916</v>
      </c>
      <c r="H11" t="n">
        <v>-2.701666666520764</v>
      </c>
      <c r="I11" t="n">
        <v>-1.659999999839724</v>
      </c>
      <c r="J11" t="n">
        <v>-1.929291282206202</v>
      </c>
      <c r="K11" t="n">
        <v>-2.701666666520764</v>
      </c>
      <c r="L11" t="n">
        <v>-1.659999999839724</v>
      </c>
      <c r="M11" t="n">
        <v>-2.701666666520764</v>
      </c>
      <c r="N11" t="n">
        <v>-1.659999999839724</v>
      </c>
      <c r="O11" t="n">
        <v>2.605061060643166</v>
      </c>
      <c r="P11" t="n">
        <v>0.0494626157431486</v>
      </c>
      <c r="Q11" t="n">
        <v>0.0184207212266759</v>
      </c>
      <c r="R11" t="n">
        <v>0.0462297435228873</v>
      </c>
      <c r="S11" t="n">
        <v>0.0521753884916054</v>
      </c>
      <c r="T11" t="n">
        <v>34.80868938616548</v>
      </c>
      <c r="U11" t="n">
        <v>-2.689999999853744</v>
      </c>
      <c r="V11" t="n">
        <v>-1.718333333172941</v>
      </c>
      <c r="W11" t="n">
        <v>-1.943804347643844</v>
      </c>
      <c r="X11" t="n">
        <v>-2.689999999853744</v>
      </c>
      <c r="Y11" t="n">
        <v>-1.718333333172941</v>
      </c>
      <c r="Z11" t="n">
        <v>-2.689999999853744</v>
      </c>
      <c r="AA11" t="n">
        <v>-1.718333333172941</v>
      </c>
      <c r="AB11" t="n">
        <v>2.113224637527925</v>
      </c>
      <c r="AC11" t="n">
        <v>0.0462297435228873</v>
      </c>
      <c r="AD11" t="n">
        <v>3.315544275731921</v>
      </c>
      <c r="AE11" t="n">
        <v>4.709492320058929</v>
      </c>
      <c r="AF11" t="n">
        <v>3.94465438751828</v>
      </c>
      <c r="AG11" t="n">
        <v>5.426237914596061</v>
      </c>
      <c r="AH11" t="n">
        <v>0.9812140932407678</v>
      </c>
      <c r="AI11" t="n">
        <v>23.54</v>
      </c>
      <c r="AJ11" t="n">
        <v>23.12</v>
      </c>
      <c r="AK11" t="n">
        <v>0.1044676195311514</v>
      </c>
      <c r="AL11" t="n">
        <v>0.1538291687873568</v>
      </c>
      <c r="AM11" t="n">
        <v>3.04424</v>
      </c>
      <c r="AN11" t="n">
        <v>138.3511871469483</v>
      </c>
      <c r="AO11" t="n">
        <v>0.07324455256297931</v>
      </c>
      <c r="AP11" t="n">
        <v>0.06931632513295791</v>
      </c>
      <c r="AQ11" t="n">
        <v>0.0655890364358077</v>
      </c>
      <c r="AR11" t="n">
        <v>0.0848115605903384</v>
      </c>
      <c r="AS11" t="n">
        <v>0.0795823270496884</v>
      </c>
    </row>
    <row r="12">
      <c r="A12" t="inlineStr">
        <is>
          <t>TheilSen_h7075</t>
        </is>
      </c>
      <c r="B12" t="inlineStr">
        <is>
          <t>42/2_LT_Fits</t>
        </is>
      </c>
      <c r="C12" t="inlineStr">
        <is>
          <t>c</t>
        </is>
      </c>
      <c r="D12" t="n">
        <v>75.73999999999999</v>
      </c>
      <c r="E12" t="n">
        <v>111.32</v>
      </c>
      <c r="F12" t="n">
        <v>-0.1774433477513496</v>
      </c>
      <c r="G12" t="n">
        <v>-1890.962011771214</v>
      </c>
      <c r="H12" t="n">
        <v>2.791666666807537</v>
      </c>
      <c r="I12" t="n">
        <v>6.748333333485957</v>
      </c>
      <c r="J12" t="n">
        <v>8.184797705483856</v>
      </c>
      <c r="K12" t="n">
        <v>2.791666666807537</v>
      </c>
      <c r="L12" t="n">
        <v>6.748333333485957</v>
      </c>
      <c r="M12" t="n">
        <v>2.791666666807537</v>
      </c>
      <c r="N12" t="n">
        <v>6.748333333485957</v>
      </c>
      <c r="O12" t="n">
        <v>9.89134008345871</v>
      </c>
      <c r="P12" t="n">
        <v>0.039166258437136</v>
      </c>
      <c r="Q12" t="n">
        <v>-0.1094506289271298</v>
      </c>
      <c r="R12" t="n">
        <v>-0.3133272601137392</v>
      </c>
      <c r="S12" t="n">
        <v>-0.1774433477513496</v>
      </c>
      <c r="T12" t="n">
        <v>-1953.614388760758</v>
      </c>
      <c r="U12" t="n">
        <v>2.803333333474557</v>
      </c>
      <c r="V12" t="n">
        <v>6.69000000015274</v>
      </c>
      <c r="W12" t="n">
        <v>7.859347826261115</v>
      </c>
      <c r="X12" t="n">
        <v>2.803333333474557</v>
      </c>
      <c r="Y12" t="n">
        <v>6.69000000015274</v>
      </c>
      <c r="Z12" t="n">
        <v>2.803333333474557</v>
      </c>
      <c r="AA12" t="n">
        <v>6.69000000015274</v>
      </c>
      <c r="AB12" t="n">
        <v>7.859347826261115</v>
      </c>
      <c r="AC12" t="n">
        <v>-0.3133272601137392</v>
      </c>
      <c r="AD12" t="n">
        <v>3.482754819109281</v>
      </c>
      <c r="AE12" t="n">
        <v>0.1455898393268581</v>
      </c>
      <c r="AF12" t="n">
        <v>3.842508301317252</v>
      </c>
      <c r="AG12" t="n">
        <v>0.0170487026012694</v>
      </c>
      <c r="AH12" t="n">
        <v>-11.5731093499419</v>
      </c>
      <c r="AI12" t="n">
        <v>22.26</v>
      </c>
      <c r="AJ12" t="n">
        <v>22.28</v>
      </c>
      <c r="AK12" s="1" t="n">
        <v>4.079672566366264e-22</v>
      </c>
      <c r="AL12" s="1" t="n">
        <v>8.069682399424553e-19</v>
      </c>
      <c r="AM12" t="n">
        <v>2.11596</v>
      </c>
      <c r="AN12" t="n">
        <v>-1805.405058590937</v>
      </c>
      <c r="AO12" t="n">
        <v>0.1797410466242358</v>
      </c>
      <c r="AP12" t="n">
        <v>0.2296600764600486</v>
      </c>
      <c r="AQ12" t="n">
        <v>0.2650333349383026</v>
      </c>
      <c r="AR12" t="n">
        <v>0.2324580972459931</v>
      </c>
      <c r="AS12" t="n">
        <v>0.2667188019155403</v>
      </c>
    </row>
    <row r="13">
      <c r="A13" t="inlineStr">
        <is>
          <t>etrend15y</t>
        </is>
      </c>
      <c r="B13" t="inlineStr">
        <is>
          <t>42/3_ST_Fits</t>
        </is>
      </c>
      <c r="C13" t="inlineStr">
        <is>
          <t>c</t>
        </is>
      </c>
      <c r="D13" t="n">
        <v>5.34</v>
      </c>
      <c r="E13" t="n">
        <v>29.44</v>
      </c>
      <c r="F13" t="n">
        <v>-0.0026780686928675</v>
      </c>
      <c r="G13" t="n">
        <v>128.489842931016</v>
      </c>
      <c r="H13" t="n">
        <v>0.646666666809524</v>
      </c>
      <c r="I13" t="n">
        <v>0.1558333334919416</v>
      </c>
      <c r="J13" t="n">
        <v>0.1767723889244707</v>
      </c>
      <c r="K13" t="n">
        <v>0.3050000001431681</v>
      </c>
      <c r="L13" t="n">
        <v>-0.0166666665079037</v>
      </c>
      <c r="M13" t="n">
        <v>0.6283333334762164</v>
      </c>
      <c r="N13" t="n">
        <v>0.08166666682534469</v>
      </c>
      <c r="O13" t="n">
        <v>1.478584898801535</v>
      </c>
      <c r="P13" t="n">
        <v>0.0583165364200435</v>
      </c>
      <c r="Q13" t="n">
        <v>-0.0054689358357594</v>
      </c>
      <c r="R13" t="n">
        <v>-0.0047435789704322</v>
      </c>
      <c r="S13" t="n">
        <v>-0.0026780686928675</v>
      </c>
      <c r="T13" t="n">
        <v>83.36370840405975</v>
      </c>
      <c r="U13" t="n">
        <v>0.6583333334765439</v>
      </c>
      <c r="V13" t="n">
        <v>0.09750000015872499</v>
      </c>
      <c r="W13" t="n">
        <v>0.1832669083938259</v>
      </c>
      <c r="X13" t="n">
        <v>0.3166666668101879</v>
      </c>
      <c r="Y13" t="n">
        <v>-0.0749999998411203</v>
      </c>
      <c r="Z13" t="n">
        <v>0.6400000001432363</v>
      </c>
      <c r="AA13" t="n">
        <v>-0.0749999998411203</v>
      </c>
      <c r="AB13" t="n">
        <v>0.9735084541059642</v>
      </c>
      <c r="AC13" t="n">
        <v>-0.0047435789704322</v>
      </c>
      <c r="AD13" t="n">
        <v>4.323811745826642</v>
      </c>
      <c r="AE13" t="n">
        <v>4.509153642524764</v>
      </c>
      <c r="AF13" t="n">
        <v>4.65778301854331</v>
      </c>
      <c r="AG13" t="n">
        <v>5.555640591285238</v>
      </c>
      <c r="AH13" t="n">
        <v>1.182475530362545</v>
      </c>
      <c r="AI13" t="n">
        <v>26.116</v>
      </c>
      <c r="AJ13" t="n">
        <v>25.696</v>
      </c>
      <c r="AK13" t="n">
        <v>0.1114283698407711</v>
      </c>
      <c r="AL13" t="n">
        <v>0.225329782502252</v>
      </c>
      <c r="AM13" t="n">
        <v>5.689080000000001</v>
      </c>
      <c r="AN13" t="n">
        <v>268.4219453922978</v>
      </c>
      <c r="AO13" t="n">
        <v>0.0664382082366461</v>
      </c>
      <c r="AP13" t="n">
        <v>0.0565822640944052</v>
      </c>
      <c r="AQ13" t="n">
        <v>0.0521333897683352</v>
      </c>
      <c r="AR13" t="n">
        <v>0.0772311233636155</v>
      </c>
      <c r="AS13" t="n">
        <v>0.073634767530077</v>
      </c>
    </row>
    <row r="14">
      <c r="A14" t="inlineStr">
        <is>
          <t>etrend30y</t>
        </is>
      </c>
      <c r="B14" t="inlineStr">
        <is>
          <t>42/3_ST_Fits</t>
        </is>
      </c>
      <c r="C14" t="inlineStr">
        <is>
          <t>c</t>
        </is>
      </c>
      <c r="D14" t="n">
        <v>4.74</v>
      </c>
      <c r="E14" t="n">
        <v>36.66</v>
      </c>
      <c r="F14" t="n">
        <v>-0.0168101361813758</v>
      </c>
      <c r="G14" t="n">
        <v>148.5990084808297</v>
      </c>
      <c r="H14" t="n">
        <v>1.79083333347517</v>
      </c>
      <c r="I14" t="n">
        <v>0.7033333334914323</v>
      </c>
      <c r="J14" t="n">
        <v>0.523290239531876</v>
      </c>
      <c r="K14" t="n">
        <v>1.775000000141849</v>
      </c>
      <c r="L14" t="n">
        <v>0.7033333334914323</v>
      </c>
      <c r="M14" t="n">
        <v>1.806666666808492</v>
      </c>
      <c r="N14" t="n">
        <v>0.7033333334914323</v>
      </c>
      <c r="O14" t="n">
        <v>1.523207114096258</v>
      </c>
      <c r="P14" t="n">
        <v>0.0439539142887638</v>
      </c>
      <c r="Q14" t="n">
        <v>-0.0147293736007836</v>
      </c>
      <c r="R14" t="n">
        <v>-0.0152020669129584</v>
      </c>
      <c r="S14" t="n">
        <v>-0.0168101361813758</v>
      </c>
      <c r="T14" t="n">
        <v>88.53615331081178</v>
      </c>
      <c r="U14" t="n">
        <v>1.80250000014219</v>
      </c>
      <c r="V14" t="n">
        <v>0.6450000001582157</v>
      </c>
      <c r="W14" t="n">
        <v>0.531811594384049</v>
      </c>
      <c r="X14" t="n">
        <v>1.786666666808869</v>
      </c>
      <c r="Y14" t="n">
        <v>0.6450000001582157</v>
      </c>
      <c r="Z14" t="n">
        <v>1.818333333475512</v>
      </c>
      <c r="AA14" t="n">
        <v>0.6450000001582157</v>
      </c>
      <c r="AB14" t="n">
        <v>1.002753623238886</v>
      </c>
      <c r="AC14" t="n">
        <v>-0.0152020669129584</v>
      </c>
      <c r="AD14" t="n">
        <v>4.494452399272316</v>
      </c>
      <c r="AE14" t="n">
        <v>5.885116816894972</v>
      </c>
      <c r="AF14" t="n">
        <v>4.975196600342603</v>
      </c>
      <c r="AG14" t="n">
        <v>5.995434813781887</v>
      </c>
      <c r="AH14" t="n">
        <v>1.429350111486207</v>
      </c>
      <c r="AI14" t="n">
        <v>23.704</v>
      </c>
      <c r="AJ14" t="n">
        <v>23.284</v>
      </c>
      <c r="AK14" t="n">
        <v>0.1660362793943722</v>
      </c>
      <c r="AL14" t="n">
        <v>0.2029960978883151</v>
      </c>
      <c r="AM14" t="n">
        <v>2.95574</v>
      </c>
      <c r="AN14" t="n">
        <v>303.0222236350759</v>
      </c>
      <c r="AO14" t="n">
        <v>0.054135804740342</v>
      </c>
      <c r="AP14" t="n">
        <v>0.046571056782728</v>
      </c>
      <c r="AQ14" t="n">
        <v>0.0463499662111005</v>
      </c>
      <c r="AR14" t="n">
        <v>0.0665571053591768</v>
      </c>
      <c r="AS14" t="n">
        <v>0.06566872459127671</v>
      </c>
    </row>
    <row r="15">
      <c r="A15" t="inlineStr">
        <is>
          <t>etrend30y_3CS</t>
        </is>
      </c>
      <c r="B15" t="inlineStr">
        <is>
          <t>42/3_ST_Fits</t>
        </is>
      </c>
      <c r="C15" t="inlineStr">
        <is>
          <t>c</t>
        </is>
      </c>
      <c r="D15" t="n">
        <v>12.8</v>
      </c>
      <c r="E15" t="n">
        <v>61.24</v>
      </c>
      <c r="F15" t="n">
        <v>-0.0397726587361791</v>
      </c>
      <c r="G15" t="n">
        <v>101.8836391308648</v>
      </c>
      <c r="H15" t="n">
        <v>1.79083333347517</v>
      </c>
      <c r="I15" t="n">
        <v>0.7033333334914323</v>
      </c>
      <c r="J15" t="n">
        <v>0.7905123245118679</v>
      </c>
      <c r="K15" t="n">
        <v>1.775000000141849</v>
      </c>
      <c r="L15" t="n">
        <v>0.7033333334914323</v>
      </c>
      <c r="M15" t="n">
        <v>1.806666666808492</v>
      </c>
      <c r="N15" t="n">
        <v>0.7033333334914323</v>
      </c>
      <c r="O15" t="n">
        <v>1.562763910075739</v>
      </c>
      <c r="P15" t="n">
        <v>0.0439539142887638</v>
      </c>
      <c r="Q15" t="n">
        <v>-0.0245859280936472</v>
      </c>
      <c r="R15" t="n">
        <v>-0.0152020669129584</v>
      </c>
      <c r="S15" t="n">
        <v>-0.0397726587361791</v>
      </c>
      <c r="T15" t="n">
        <v>65.25931378497364</v>
      </c>
      <c r="U15" t="n">
        <v>1.80250000014219</v>
      </c>
      <c r="V15" t="n">
        <v>0.6450000001582157</v>
      </c>
      <c r="W15" t="n">
        <v>0.8061956523548116</v>
      </c>
      <c r="X15" t="n">
        <v>1.786666666808869</v>
      </c>
      <c r="Y15" t="n">
        <v>0.6450000001582157</v>
      </c>
      <c r="Z15" t="n">
        <v>1.818333333475512</v>
      </c>
      <c r="AA15" t="n">
        <v>0.6450000001582157</v>
      </c>
      <c r="AB15" t="n">
        <v>0.9837318841445772</v>
      </c>
      <c r="AC15" t="n">
        <v>-0.0152020669129584</v>
      </c>
      <c r="AD15" t="n">
        <v>4.494452399272316</v>
      </c>
      <c r="AE15" t="n">
        <v>5.885116816894972</v>
      </c>
      <c r="AF15" t="n">
        <v>4.975196600342603</v>
      </c>
      <c r="AG15" t="n">
        <v>5.995434813781887</v>
      </c>
      <c r="AH15" t="n">
        <v>1.208994595684486</v>
      </c>
      <c r="AI15" t="n">
        <v>23.784</v>
      </c>
      <c r="AJ15" t="n">
        <v>23.364</v>
      </c>
      <c r="AK15" t="n">
        <v>0.0686529277537046</v>
      </c>
      <c r="AL15" t="n">
        <v>0.0981158137278733</v>
      </c>
      <c r="AM15" t="n">
        <v>3.14444</v>
      </c>
      <c r="AN15" t="n">
        <v>256.3068542851109</v>
      </c>
      <c r="AO15" t="n">
        <v>0.063101914763233</v>
      </c>
      <c r="AP15" t="n">
        <v>0.067953912703048</v>
      </c>
      <c r="AQ15" t="n">
        <v>0.0463499662111005</v>
      </c>
      <c r="AR15" t="n">
        <v>0.07528613511558541</v>
      </c>
      <c r="AS15" t="n">
        <v>0.06566872459127671</v>
      </c>
    </row>
    <row r="16">
      <c r="A16" t="inlineStr">
        <is>
          <t>lowess1dg20wnc</t>
        </is>
      </c>
      <c r="B16" t="inlineStr">
        <is>
          <t>42/3_ST_Fits</t>
        </is>
      </c>
      <c r="C16" t="inlineStr">
        <is>
          <t>c</t>
        </is>
      </c>
      <c r="D16" t="n">
        <v>2</v>
      </c>
      <c r="E16" t="n">
        <v>20.52</v>
      </c>
      <c r="F16" t="n">
        <v>-0.0367820865505343</v>
      </c>
      <c r="G16" t="n">
        <v>131.5902861543918</v>
      </c>
      <c r="H16" t="n">
        <v>1.825000000141813</v>
      </c>
      <c r="I16" t="n">
        <v>1.580000000157329</v>
      </c>
      <c r="J16" t="n">
        <v>1.133256889729254</v>
      </c>
      <c r="K16" t="n">
        <v>1.825000000141813</v>
      </c>
      <c r="L16" t="n">
        <v>1.580000000157329</v>
      </c>
      <c r="M16" t="n">
        <v>1.825000000141813</v>
      </c>
      <c r="N16" t="n">
        <v>1.580000000157329</v>
      </c>
      <c r="O16" t="n">
        <v>1.549891958602561</v>
      </c>
      <c r="P16" t="n">
        <v>0.0605809858400794</v>
      </c>
      <c r="Q16" t="n">
        <v>-0.0255162998953476</v>
      </c>
      <c r="R16" t="n">
        <v>-0.0359324172735213</v>
      </c>
      <c r="S16" t="n">
        <v>-0.0367820865505343</v>
      </c>
      <c r="T16" t="n">
        <v>70.58852849010592</v>
      </c>
      <c r="U16" t="n">
        <v>1.836666666808833</v>
      </c>
      <c r="V16" t="n">
        <v>1.521666666824112</v>
      </c>
      <c r="W16" t="n">
        <v>1.142246376992493</v>
      </c>
      <c r="X16" t="n">
        <v>1.836666666808833</v>
      </c>
      <c r="Y16" t="n">
        <v>1.521666666824112</v>
      </c>
      <c r="Z16" t="n">
        <v>1.836666666808833</v>
      </c>
      <c r="AA16" t="n">
        <v>1.521666666824112</v>
      </c>
      <c r="AB16" t="n">
        <v>1.258768116057613</v>
      </c>
      <c r="AC16" t="n">
        <v>-0.0359324172735213</v>
      </c>
      <c r="AD16" t="n">
        <v>5.103155646524258</v>
      </c>
      <c r="AE16" t="n">
        <v>5.051773681433533</v>
      </c>
      <c r="AF16" t="n">
        <v>5.170733747104706</v>
      </c>
      <c r="AG16" t="n">
        <v>4.39529623224244</v>
      </c>
      <c r="AH16" t="n">
        <v>1.366533834903766</v>
      </c>
      <c r="AI16" t="n">
        <v>23.46</v>
      </c>
      <c r="AJ16" t="n">
        <v>23.04</v>
      </c>
      <c r="AK16" t="n">
        <v>0.2677320045565368</v>
      </c>
      <c r="AL16" t="n">
        <v>0.341138340387255</v>
      </c>
      <c r="AM16" t="n">
        <v>2.52452</v>
      </c>
      <c r="AN16" t="n">
        <v>315.6693158627698</v>
      </c>
      <c r="AO16" t="n">
        <v>0.0549498963961962</v>
      </c>
      <c r="AP16" t="n">
        <v>0.051091939240329</v>
      </c>
      <c r="AQ16" t="n">
        <v>0.0511621428459374</v>
      </c>
      <c r="AR16" t="n">
        <v>0.06724755579492391</v>
      </c>
      <c r="AS16" t="n">
        <v>0.0658712882925129</v>
      </c>
    </row>
    <row r="17">
      <c r="A17" t="inlineStr">
        <is>
          <t>lowess1dt10wnc</t>
        </is>
      </c>
      <c r="B17" t="inlineStr">
        <is>
          <t>42/3_ST_Fits</t>
        </is>
      </c>
      <c r="C17" t="inlineStr">
        <is>
          <t>c</t>
        </is>
      </c>
      <c r="D17" t="n">
        <v>83.64</v>
      </c>
      <c r="E17" t="n">
        <v>148.16</v>
      </c>
      <c r="F17" s="1" t="n">
        <v>4.552146890660676e-05</v>
      </c>
      <c r="G17" t="n">
        <v>-243.2278263270578</v>
      </c>
      <c r="H17" t="n">
        <v>0.1488888890322141</v>
      </c>
      <c r="I17" t="n">
        <v>-0.2663888887299239</v>
      </c>
      <c r="J17" t="n">
        <v>0.0043962040687853</v>
      </c>
      <c r="K17" t="n">
        <v>-1.153333333188816</v>
      </c>
      <c r="L17" t="n">
        <v>-1.014999999840352</v>
      </c>
      <c r="M17" t="n">
        <v>0.0050000001434591</v>
      </c>
      <c r="N17" t="n">
        <v>-0.398333333174246</v>
      </c>
      <c r="O17" t="n">
        <v>1.561319097328545</v>
      </c>
      <c r="P17" t="n">
        <v>0.0471311148188467</v>
      </c>
      <c r="Q17" t="n">
        <v>-0.0035627014652825</v>
      </c>
      <c r="R17" t="n">
        <v>-0.0024308815002441</v>
      </c>
      <c r="S17" s="1" t="n">
        <v>4.552146890662811e-05</v>
      </c>
      <c r="T17" t="n">
        <v>-382.141109052281</v>
      </c>
      <c r="U17" t="n">
        <v>0.160555555699234</v>
      </c>
      <c r="V17" t="n">
        <v>-0.3247222220631405</v>
      </c>
      <c r="W17" t="n">
        <v>-0.0022161833935226</v>
      </c>
      <c r="X17" t="n">
        <v>-1.141666666521796</v>
      </c>
      <c r="Y17" t="n">
        <v>-1.073333333173568</v>
      </c>
      <c r="Z17" t="n">
        <v>-0.231666666522633</v>
      </c>
      <c r="AA17" t="n">
        <v>-0.4583333331741323</v>
      </c>
      <c r="AB17" t="n">
        <v>0.9817330917725372</v>
      </c>
      <c r="AC17" t="n">
        <v>-0.0024308815002441</v>
      </c>
      <c r="AD17" t="n">
        <v>4.088303802854079</v>
      </c>
      <c r="AE17" t="n">
        <v>4.413491235917083</v>
      </c>
      <c r="AF17" t="n">
        <v>4.714889359622476</v>
      </c>
      <c r="AG17" t="n">
        <v>4.434743886405015</v>
      </c>
      <c r="AH17" t="n">
        <v>-1.494623068949398</v>
      </c>
      <c r="AI17" t="n">
        <v>32.492</v>
      </c>
      <c r="AJ17" t="n">
        <v>31.872</v>
      </c>
      <c r="AK17" s="1" t="n">
        <v>1.117056407064345e-10</v>
      </c>
      <c r="AL17" s="1" t="n">
        <v>1.223784680223234e-06</v>
      </c>
      <c r="AM17" t="n">
        <v>10.36992</v>
      </c>
      <c r="AN17" t="n">
        <v>-345.2579289273108</v>
      </c>
      <c r="AO17" t="n">
        <v>0.09276553090960291</v>
      </c>
      <c r="AP17" t="n">
        <v>0.0838533405495261</v>
      </c>
      <c r="AQ17" t="n">
        <v>0.07880768577856941</v>
      </c>
      <c r="AR17" t="n">
        <v>0.0961497782978351</v>
      </c>
      <c r="AS17" t="n">
        <v>0.09172778970890021</v>
      </c>
    </row>
    <row r="18">
      <c r="A18" t="inlineStr">
        <is>
          <t>lowess1dt20wAR</t>
        </is>
      </c>
      <c r="B18" t="inlineStr">
        <is>
          <t>42/3_ST_Fits</t>
        </is>
      </c>
      <c r="C18" t="inlineStr">
        <is>
          <t>c</t>
        </is>
      </c>
      <c r="D18" t="n">
        <v>65.78</v>
      </c>
      <c r="E18" t="n">
        <v>133.06</v>
      </c>
      <c r="F18" t="n">
        <v>-0.00250883099797</v>
      </c>
      <c r="G18" t="n">
        <v>-23.64803431623318</v>
      </c>
      <c r="H18" t="n">
        <v>0.8141666668094057</v>
      </c>
      <c r="I18" t="n">
        <v>0.225000000158584</v>
      </c>
      <c r="J18" t="n">
        <v>0.2086277633205663</v>
      </c>
      <c r="K18" t="n">
        <v>0.3666666668098105</v>
      </c>
      <c r="L18" t="n">
        <v>0.1483333334919871</v>
      </c>
      <c r="M18" t="n">
        <v>1.070000000142504</v>
      </c>
      <c r="N18" t="n">
        <v>0.1483333334919871</v>
      </c>
      <c r="O18" t="n">
        <v>1.468730311010916</v>
      </c>
      <c r="P18" t="n">
        <v>0.0398445039747727</v>
      </c>
      <c r="Q18" t="n">
        <v>-0.0055746487577388</v>
      </c>
      <c r="R18" t="n">
        <v>-0.0046109367609023</v>
      </c>
      <c r="S18" t="n">
        <v>-0.00250883099797</v>
      </c>
      <c r="T18" t="n">
        <v>-304.4902284702586</v>
      </c>
      <c r="U18" t="n">
        <v>0.8258333334764256</v>
      </c>
      <c r="V18" t="n">
        <v>0.1666666668253674</v>
      </c>
      <c r="W18" t="n">
        <v>0.2164734301329145</v>
      </c>
      <c r="X18" t="n">
        <v>0.3783333334768304</v>
      </c>
      <c r="Y18" t="n">
        <v>0.09000000015877049</v>
      </c>
      <c r="Z18" t="n">
        <v>0.7833333334764575</v>
      </c>
      <c r="AA18" t="n">
        <v>0.09000000015877049</v>
      </c>
      <c r="AB18" t="n">
        <v>0.9530193236785012</v>
      </c>
      <c r="AC18" t="n">
        <v>-0.0046109367609023</v>
      </c>
      <c r="AD18" t="n">
        <v>5.274423629321503</v>
      </c>
      <c r="AE18" t="n">
        <v>5.155041008481639</v>
      </c>
      <c r="AF18" t="n">
        <v>6.42869199474814</v>
      </c>
      <c r="AG18" t="n">
        <v>8.272901412341268</v>
      </c>
      <c r="AH18" t="n">
        <v>0.0178847731893164</v>
      </c>
      <c r="AI18" t="n">
        <v>25.808</v>
      </c>
      <c r="AJ18" t="n">
        <v>25.388</v>
      </c>
      <c r="AK18" s="1" t="n">
        <v>4.856460409507998e-05</v>
      </c>
      <c r="AL18" t="n">
        <v>0.0004060675744113</v>
      </c>
      <c r="AM18" t="n">
        <v>5.5509</v>
      </c>
      <c r="AN18" t="n">
        <v>4.131382606732096</v>
      </c>
      <c r="AO18" t="n">
        <v>0.065079738634059</v>
      </c>
      <c r="AP18" t="n">
        <v>0.0550184534824915</v>
      </c>
      <c r="AQ18" t="n">
        <v>0.0509584705594243</v>
      </c>
      <c r="AR18" t="n">
        <v>0.0754160255819213</v>
      </c>
      <c r="AS18" t="n">
        <v>0.0721601477862676</v>
      </c>
    </row>
    <row r="19">
      <c r="A19" t="inlineStr">
        <is>
          <t>lowess1dt20wARMA</t>
        </is>
      </c>
      <c r="B19" t="inlineStr">
        <is>
          <t>42/3_ST_Fits</t>
        </is>
      </c>
      <c r="C19" t="inlineStr">
        <is>
          <t>c</t>
        </is>
      </c>
      <c r="D19" t="n">
        <v>51.8</v>
      </c>
      <c r="E19" t="n">
        <v>118.02</v>
      </c>
      <c r="F19" t="n">
        <v>-0.00250883099797</v>
      </c>
      <c r="G19" t="n">
        <v>26.7495402538093</v>
      </c>
      <c r="H19" t="n">
        <v>0.8133333334760664</v>
      </c>
      <c r="I19" t="n">
        <v>0.2241666668252492</v>
      </c>
      <c r="J19" t="n">
        <v>0.2085615211891094</v>
      </c>
      <c r="K19" t="n">
        <v>0.3666666668098014</v>
      </c>
      <c r="L19" t="n">
        <v>0.1483333334919871</v>
      </c>
      <c r="M19" t="n">
        <v>0.9900000001425678</v>
      </c>
      <c r="N19" t="n">
        <v>0.1483333334919871</v>
      </c>
      <c r="O19" t="n">
        <v>1.465721012831388</v>
      </c>
      <c r="P19" t="n">
        <v>0.035902574828618</v>
      </c>
      <c r="Q19" t="n">
        <v>-0.0050787887692304</v>
      </c>
      <c r="R19" t="n">
        <v>-0.0046109367609023</v>
      </c>
      <c r="S19" t="n">
        <v>-0.00250883099797</v>
      </c>
      <c r="T19" t="n">
        <v>-191.5733714395182</v>
      </c>
      <c r="U19" t="n">
        <v>0.8250000001430863</v>
      </c>
      <c r="V19" t="n">
        <v>0.1658333334920326</v>
      </c>
      <c r="W19" t="n">
        <v>0.2163043480073139</v>
      </c>
      <c r="X19" t="n">
        <v>0.3783333334768213</v>
      </c>
      <c r="Y19" t="n">
        <v>0.09000000015877049</v>
      </c>
      <c r="Z19" t="n">
        <v>0.7800000001431181</v>
      </c>
      <c r="AA19" t="n">
        <v>0.09000000015877049</v>
      </c>
      <c r="AB19" t="n">
        <v>0.9539855072533788</v>
      </c>
      <c r="AC19" t="n">
        <v>-0.0046109367609023</v>
      </c>
      <c r="AD19" t="n">
        <v>5.255494613148837</v>
      </c>
      <c r="AE19" t="n">
        <v>5.143232385006764</v>
      </c>
      <c r="AF19" t="n">
        <v>6.31249731353557</v>
      </c>
      <c r="AG19" t="n">
        <v>8.069775582029761</v>
      </c>
      <c r="AH19" t="n">
        <v>0.3882697933445748</v>
      </c>
      <c r="AI19" t="n">
        <v>25.808</v>
      </c>
      <c r="AJ19" t="n">
        <v>25.388</v>
      </c>
      <c r="AK19" t="n">
        <v>0.0003798752665974</v>
      </c>
      <c r="AL19" t="n">
        <v>0.001662491315043</v>
      </c>
      <c r="AM19" t="n">
        <v>5.49386</v>
      </c>
      <c r="AN19" t="n">
        <v>83.79112119398107</v>
      </c>
      <c r="AO19" t="n">
        <v>0.06541247779391671</v>
      </c>
      <c r="AP19" t="n">
        <v>0.0550184534824915</v>
      </c>
      <c r="AQ19" t="n">
        <v>0.0509584705594243</v>
      </c>
      <c r="AR19" t="n">
        <v>0.0754160255819213</v>
      </c>
      <c r="AS19" t="n">
        <v>0.0721601477862676</v>
      </c>
    </row>
    <row r="20">
      <c r="A20" t="inlineStr">
        <is>
          <t>lowess1dt20wnc</t>
        </is>
      </c>
      <c r="B20" t="inlineStr">
        <is>
          <t>42/3_ST_Fits</t>
        </is>
      </c>
      <c r="C20" t="inlineStr">
        <is>
          <t>c</t>
        </is>
      </c>
      <c r="D20" t="n">
        <v>12.82</v>
      </c>
      <c r="E20" t="n">
        <v>55.5</v>
      </c>
      <c r="F20" t="n">
        <v>-0.00250883099797</v>
      </c>
      <c r="G20" t="n">
        <v>108.1755356086709</v>
      </c>
      <c r="H20" t="n">
        <v>0.8125000001427088</v>
      </c>
      <c r="I20" t="n">
        <v>0.2250000001585886</v>
      </c>
      <c r="J20" t="n">
        <v>0.2074139952046274</v>
      </c>
      <c r="K20" t="n">
        <v>0.3700000001431135</v>
      </c>
      <c r="L20" t="n">
        <v>0.1500000001586568</v>
      </c>
      <c r="M20" t="n">
        <v>0.9900000001425496</v>
      </c>
      <c r="N20" t="n">
        <v>0.1500000001586568</v>
      </c>
      <c r="O20" t="n">
        <v>1.461021369674223</v>
      </c>
      <c r="P20" t="n">
        <v>0.0572241714642563</v>
      </c>
      <c r="Q20" t="n">
        <v>-0.0055746487577388</v>
      </c>
      <c r="R20" t="n">
        <v>-0.0046109367609023</v>
      </c>
      <c r="S20" t="n">
        <v>-0.00250883099797</v>
      </c>
      <c r="T20" t="n">
        <v>-2.070479418739328</v>
      </c>
      <c r="U20" t="n">
        <v>0.8241666668097287</v>
      </c>
      <c r="V20" t="n">
        <v>0.166666666825372</v>
      </c>
      <c r="W20" t="n">
        <v>0.2152536233696341</v>
      </c>
      <c r="X20" t="n">
        <v>0.3816666668101334</v>
      </c>
      <c r="Y20" t="n">
        <v>0.0916666668254401</v>
      </c>
      <c r="Z20" t="n">
        <v>0.7800000001430999</v>
      </c>
      <c r="AA20" t="n">
        <v>0.0916666668254401</v>
      </c>
      <c r="AB20" t="n">
        <v>0.9546014492823656</v>
      </c>
      <c r="AC20" t="n">
        <v>-0.0046109367609023</v>
      </c>
      <c r="AD20" t="n">
        <v>4.904848651090649</v>
      </c>
      <c r="AE20" t="n">
        <v>5.083961873515825</v>
      </c>
      <c r="AF20" t="n">
        <v>5.775698045123516</v>
      </c>
      <c r="AG20" t="n">
        <v>7.249859024362249</v>
      </c>
      <c r="AH20" t="n">
        <v>1.108719209021112</v>
      </c>
      <c r="AI20" t="n">
        <v>25.808</v>
      </c>
      <c r="AJ20" t="n">
        <v>25.388</v>
      </c>
      <c r="AK20" t="n">
        <v>0.0325621682767059</v>
      </c>
      <c r="AL20" t="n">
        <v>0.056706345906491</v>
      </c>
      <c r="AM20" t="n">
        <v>5.5509</v>
      </c>
      <c r="AN20" t="n">
        <v>256.1141372838767</v>
      </c>
      <c r="AO20" t="n">
        <v>0.065079738634059</v>
      </c>
      <c r="AP20" t="n">
        <v>0.0550184534824915</v>
      </c>
      <c r="AQ20" t="n">
        <v>0.0509584705594243</v>
      </c>
      <c r="AR20" t="n">
        <v>0.0754160255819213</v>
      </c>
      <c r="AS20" t="n">
        <v>0.0721601477862676</v>
      </c>
    </row>
    <row r="21">
      <c r="A21" t="inlineStr">
        <is>
          <t>lowess1dt26wnc</t>
        </is>
      </c>
      <c r="B21" t="inlineStr">
        <is>
          <t>42/3_ST_Fits</t>
        </is>
      </c>
      <c r="C21" t="inlineStr">
        <is>
          <t>c</t>
        </is>
      </c>
      <c r="D21" t="n">
        <v>3.78</v>
      </c>
      <c r="E21" t="n">
        <v>22.72</v>
      </c>
      <c r="F21" t="n">
        <v>-0.0056927727080963</v>
      </c>
      <c r="G21" t="n">
        <v>141.3205402884732</v>
      </c>
      <c r="H21" t="n">
        <v>0.9600000001426088</v>
      </c>
      <c r="I21" t="n">
        <v>0.271666666825181</v>
      </c>
      <c r="J21" t="n">
        <v>0.2889329437480025</v>
      </c>
      <c r="K21" t="n">
        <v>0.7066666668095104</v>
      </c>
      <c r="L21" t="n">
        <v>0.2183333334918961</v>
      </c>
      <c r="M21" t="n">
        <v>1.13500000014245</v>
      </c>
      <c r="N21" t="n">
        <v>0.3250000001584658</v>
      </c>
      <c r="O21" t="n">
        <v>1.399977288072986</v>
      </c>
      <c r="P21" t="n">
        <v>0.0597664587781764</v>
      </c>
      <c r="Q21" t="n">
        <v>-0.0075686662020073</v>
      </c>
      <c r="R21" t="n">
        <v>-0.0068131493330001</v>
      </c>
      <c r="S21" t="n">
        <v>-0.0056927727080963</v>
      </c>
      <c r="T21" t="n">
        <v>44.84186367235856</v>
      </c>
      <c r="U21" t="n">
        <v>0.9716666668096288</v>
      </c>
      <c r="V21" t="n">
        <v>0.2133333334919643</v>
      </c>
      <c r="W21" t="n">
        <v>0.2983212562198529</v>
      </c>
      <c r="X21" t="n">
        <v>0.7183333334765303</v>
      </c>
      <c r="Y21" t="n">
        <v>0.1600000001586795</v>
      </c>
      <c r="Z21" t="n">
        <v>0.8850000001430454</v>
      </c>
      <c r="AA21" t="n">
        <v>0.2666666668252492</v>
      </c>
      <c r="AB21" t="n">
        <v>0.9972584541205196</v>
      </c>
      <c r="AC21" t="n">
        <v>-0.0068131493330001</v>
      </c>
      <c r="AD21" t="n">
        <v>4.671407618458679</v>
      </c>
      <c r="AE21" t="n">
        <v>5.732214189164254</v>
      </c>
      <c r="AF21" t="n">
        <v>5.850564040831163</v>
      </c>
      <c r="AG21" t="n">
        <v>7.55011690266383</v>
      </c>
      <c r="AH21" t="n">
        <v>1.352893664856638</v>
      </c>
      <c r="AI21" t="n">
        <v>24.728</v>
      </c>
      <c r="AJ21" t="n">
        <v>24.288</v>
      </c>
      <c r="AK21" t="n">
        <v>0.1651700865917535</v>
      </c>
      <c r="AL21" t="n">
        <v>0.2947516915061969</v>
      </c>
      <c r="AM21" t="n">
        <v>4.4257</v>
      </c>
      <c r="AN21" t="n">
        <v>312.5184365818833</v>
      </c>
      <c r="AO21" t="n">
        <v>0.0578321596045366</v>
      </c>
      <c r="AP21" t="n">
        <v>0.047224093868273</v>
      </c>
      <c r="AQ21" t="n">
        <v>0.0445307757980907</v>
      </c>
      <c r="AR21" t="n">
        <v>0.06992441839164359</v>
      </c>
      <c r="AS21" t="n">
        <v>0.06778369597427419</v>
      </c>
    </row>
    <row r="22">
      <c r="A22" t="inlineStr">
        <is>
          <t>lowess1dt30wnc</t>
        </is>
      </c>
      <c r="B22" t="inlineStr">
        <is>
          <t>42/3_ST_Fits</t>
        </is>
      </c>
      <c r="C22" t="inlineStr">
        <is>
          <t>c</t>
        </is>
      </c>
      <c r="D22" t="n">
        <v>2.08</v>
      </c>
      <c r="E22" t="n">
        <v>13</v>
      </c>
      <c r="F22" t="n">
        <v>-0.0082394238225705</v>
      </c>
      <c r="G22" t="n">
        <v>150.3571491355438</v>
      </c>
      <c r="H22" t="n">
        <v>1.196666666809028</v>
      </c>
      <c r="I22" t="n">
        <v>0.2733333334918279</v>
      </c>
      <c r="J22" t="n">
        <v>0.3448193897295402</v>
      </c>
      <c r="K22" t="n">
        <v>1.093333333475789</v>
      </c>
      <c r="L22" t="n">
        <v>0.2050000001585567</v>
      </c>
      <c r="M22" t="n">
        <v>1.300000000142268</v>
      </c>
      <c r="N22" t="n">
        <v>0.3416666668250991</v>
      </c>
      <c r="O22" t="n">
        <v>1.377415275760635</v>
      </c>
      <c r="P22" t="n">
        <v>0.0610077512489571</v>
      </c>
      <c r="Q22" t="n">
        <v>-0.009138754833472901</v>
      </c>
      <c r="R22" t="n">
        <v>-0.0085195561647414</v>
      </c>
      <c r="S22" t="n">
        <v>-0.008239423822570599</v>
      </c>
      <c r="T22" t="n">
        <v>62.49289688845879</v>
      </c>
      <c r="U22" t="n">
        <v>1.208333333476048</v>
      </c>
      <c r="V22" t="n">
        <v>0.2150000001586113</v>
      </c>
      <c r="W22" t="n">
        <v>0.3529951692633115</v>
      </c>
      <c r="X22" t="n">
        <v>1.105000000142809</v>
      </c>
      <c r="Y22" t="n">
        <v>0.1466666668253401</v>
      </c>
      <c r="Z22" t="n">
        <v>1.22833333347603</v>
      </c>
      <c r="AA22" t="n">
        <v>0.2333333334919279</v>
      </c>
      <c r="AB22" t="n">
        <v>1.005024154618081</v>
      </c>
      <c r="AC22" t="n">
        <v>-0.0085195561647414</v>
      </c>
      <c r="AD22" t="n">
        <v>4.627798761622564</v>
      </c>
      <c r="AE22" t="n">
        <v>6.094883975689501</v>
      </c>
      <c r="AF22" t="n">
        <v>5.823107336856222</v>
      </c>
      <c r="AG22" t="n">
        <v>7.655880344494991</v>
      </c>
      <c r="AH22" t="n">
        <v>1.427824935057513</v>
      </c>
      <c r="AI22" t="n">
        <v>24.452</v>
      </c>
      <c r="AJ22" t="n">
        <v>24.032</v>
      </c>
      <c r="AK22" t="n">
        <v>0.3082796701557546</v>
      </c>
      <c r="AL22" t="n">
        <v>0.4898421629721132</v>
      </c>
      <c r="AM22" t="n">
        <v>3.91566</v>
      </c>
      <c r="AN22" t="n">
        <v>329.8275599982856</v>
      </c>
      <c r="AO22" t="n">
        <v>0.0547608875596424</v>
      </c>
      <c r="AP22" t="n">
        <v>0.0444840352257058</v>
      </c>
      <c r="AQ22" t="n">
        <v>0.0427124641536224</v>
      </c>
      <c r="AR22" t="n">
        <v>0.0675553873866067</v>
      </c>
      <c r="AS22" t="n">
        <v>0.06601756255020159</v>
      </c>
    </row>
    <row r="23">
      <c r="A23" t="inlineStr">
        <is>
          <t>lowess1dt36wnc</t>
        </is>
      </c>
      <c r="B23" t="inlineStr">
        <is>
          <t>42/3_ST_Fits</t>
        </is>
      </c>
      <c r="C23" t="inlineStr">
        <is>
          <t>c</t>
        </is>
      </c>
      <c r="D23" t="n">
        <v>1.26</v>
      </c>
      <c r="E23" t="n">
        <v>5.66</v>
      </c>
      <c r="F23" t="n">
        <v>-0.0126428433564992</v>
      </c>
      <c r="G23" t="n">
        <v>155.2317358790672</v>
      </c>
      <c r="H23" t="n">
        <v>1.468333333475457</v>
      </c>
      <c r="I23" t="n">
        <v>0.4400000001583475</v>
      </c>
      <c r="J23" t="n">
        <v>0.4425322063010292</v>
      </c>
      <c r="K23" t="n">
        <v>1.423333333475498</v>
      </c>
      <c r="L23" t="n">
        <v>0.4400000001583475</v>
      </c>
      <c r="M23" t="n">
        <v>1.513333333475416</v>
      </c>
      <c r="N23" t="n">
        <v>0.4400000001583475</v>
      </c>
      <c r="O23" t="n">
        <v>1.394561117548239</v>
      </c>
      <c r="P23" t="n">
        <v>0.0624285913476599</v>
      </c>
      <c r="Q23" t="n">
        <v>-0.0118397577971559</v>
      </c>
      <c r="R23" t="n">
        <v>-0.0119083930850028</v>
      </c>
      <c r="S23" t="n">
        <v>-0.0126428433564992</v>
      </c>
      <c r="T23" t="n">
        <v>79.53816172312158</v>
      </c>
      <c r="U23" t="n">
        <v>1.480000000142477</v>
      </c>
      <c r="V23" t="n">
        <v>0.3816666668251309</v>
      </c>
      <c r="W23" t="n">
        <v>0.4512198069444447</v>
      </c>
      <c r="X23" t="n">
        <v>1.435000000142518</v>
      </c>
      <c r="Y23" t="n">
        <v>0.3816666668251309</v>
      </c>
      <c r="Z23" t="n">
        <v>1.525000000142436</v>
      </c>
      <c r="AA23" t="n">
        <v>0.3816666668251309</v>
      </c>
      <c r="AB23" t="n">
        <v>0.9903019324031308</v>
      </c>
      <c r="AC23" t="n">
        <v>-0.0119083930850028</v>
      </c>
      <c r="AD23" t="n">
        <v>4.555494681800327</v>
      </c>
      <c r="AE23" t="n">
        <v>6.290170259168908</v>
      </c>
      <c r="AF23" t="n">
        <v>5.596599146576222</v>
      </c>
      <c r="AG23" t="n">
        <v>7.298904609850463</v>
      </c>
      <c r="AH23" t="n">
        <v>1.478652556565827</v>
      </c>
      <c r="AI23" t="n">
        <v>23.888</v>
      </c>
      <c r="AJ23" t="n">
        <v>23.468</v>
      </c>
      <c r="AK23" t="n">
        <v>0.4714684239333903</v>
      </c>
      <c r="AL23" t="n">
        <v>0.5995897275510035</v>
      </c>
      <c r="AM23" t="n">
        <v>3.3626</v>
      </c>
      <c r="AN23" t="n">
        <v>341.568740566706</v>
      </c>
      <c r="AO23" t="n">
        <v>0.0520274425285374</v>
      </c>
      <c r="AP23" t="n">
        <v>0.0428695232216938</v>
      </c>
      <c r="AQ23" t="n">
        <v>0.0423950324357252</v>
      </c>
      <c r="AR23" t="n">
        <v>0.0652906688693337</v>
      </c>
      <c r="AS23" t="n">
        <v>0.0644008421212566</v>
      </c>
    </row>
    <row r="24">
      <c r="A24" t="inlineStr">
        <is>
          <t>lowess2dt20wnc</t>
        </is>
      </c>
      <c r="B24" t="inlineStr">
        <is>
          <t>42/3_ST_Fits</t>
        </is>
      </c>
      <c r="C24" t="inlineStr">
        <is>
          <t>c</t>
        </is>
      </c>
      <c r="D24" t="n">
        <v>27.16</v>
      </c>
      <c r="E24" t="n">
        <v>83.02</v>
      </c>
      <c r="F24" t="n">
        <v>0.0013445261546543</v>
      </c>
      <c r="G24" t="n">
        <v>28.2019091040336</v>
      </c>
      <c r="H24" t="n">
        <v>0.1411111112544093</v>
      </c>
      <c r="I24" t="n">
        <v>-0.104444444285585</v>
      </c>
      <c r="J24" t="n">
        <v>-0.0276262624441576</v>
      </c>
      <c r="K24" t="n">
        <v>-1.271666666522073</v>
      </c>
      <c r="L24" t="n">
        <v>-0.8699999998404429</v>
      </c>
      <c r="M24" t="n">
        <v>-0.3649999998562407</v>
      </c>
      <c r="N24" t="n">
        <v>-0.0616666665078492</v>
      </c>
      <c r="O24" t="n">
        <v>1.616590754910816</v>
      </c>
      <c r="P24" t="n">
        <v>0.0717563123829843</v>
      </c>
      <c r="Q24" t="n">
        <v>-0.0030691399181819</v>
      </c>
      <c r="R24" t="n">
        <v>-0.0015582904219627</v>
      </c>
      <c r="S24" t="n">
        <v>0.0013445261546543</v>
      </c>
      <c r="T24" t="n">
        <v>-29.10435524004917</v>
      </c>
      <c r="U24" t="n">
        <v>0.1527777779214291</v>
      </c>
      <c r="V24" t="n">
        <v>-0.1627777776188016</v>
      </c>
      <c r="W24" t="n">
        <v>-0.0301811592388991</v>
      </c>
      <c r="X24" t="n">
        <v>-1.259999999855054</v>
      </c>
      <c r="Y24" t="n">
        <v>-0.9283333331736594</v>
      </c>
      <c r="Z24" t="n">
        <v>-0.2849999998559451</v>
      </c>
      <c r="AA24" t="n">
        <v>-0.1616666665076991</v>
      </c>
      <c r="AB24" t="n">
        <v>0.9550483091565788</v>
      </c>
      <c r="AC24" t="n">
        <v>-0.0015582904219627</v>
      </c>
      <c r="AD24" t="n">
        <v>3.991832360814314</v>
      </c>
      <c r="AE24" t="n">
        <v>3.968436921533747</v>
      </c>
      <c r="AF24" t="n">
        <v>4.360832095721563</v>
      </c>
      <c r="AG24" t="n">
        <v>4.24848367408672</v>
      </c>
      <c r="AH24" t="n">
        <v>0.5013739253235273</v>
      </c>
      <c r="AI24" t="n">
        <v>32.664</v>
      </c>
      <c r="AJ24" t="n">
        <v>32.084</v>
      </c>
      <c r="AK24" t="n">
        <v>0.0042638082080858</v>
      </c>
      <c r="AL24" t="n">
        <v>0.0124657579070739</v>
      </c>
      <c r="AM24" t="n">
        <v>10.63808</v>
      </c>
      <c r="AN24" t="n">
        <v>115.8173767497348</v>
      </c>
      <c r="AO24" t="n">
        <v>0.0944764144350666</v>
      </c>
      <c r="AP24" t="n">
        <v>0.0861149295715465</v>
      </c>
      <c r="AQ24" t="n">
        <v>0.07911128687742031</v>
      </c>
      <c r="AR24" t="n">
        <v>0.09808495760799479</v>
      </c>
      <c r="AS24" t="n">
        <v>0.09188472791158089</v>
      </c>
    </row>
    <row r="25">
      <c r="A25" t="inlineStr">
        <is>
          <t>lowess2dt30wnc</t>
        </is>
      </c>
      <c r="B25" t="inlineStr">
        <is>
          <t>42/3_ST_Fits</t>
        </is>
      </c>
      <c r="C25" t="inlineStr">
        <is>
          <t>c</t>
        </is>
      </c>
      <c r="D25" t="n">
        <v>4.22</v>
      </c>
      <c r="E25" t="n">
        <v>24.54</v>
      </c>
      <c r="F25" t="n">
        <v>0.0014898333182701</v>
      </c>
      <c r="G25" t="n">
        <v>105.9886717045068</v>
      </c>
      <c r="H25" t="n">
        <v>0.4741666668096938</v>
      </c>
      <c r="I25" t="n">
        <v>-0.0966666665078037</v>
      </c>
      <c r="J25" t="n">
        <v>0.0378609100049153</v>
      </c>
      <c r="K25" t="n">
        <v>-0.2849999998562862</v>
      </c>
      <c r="L25" t="n">
        <v>-0.3416666665075854</v>
      </c>
      <c r="M25" t="n">
        <v>0.4133333334764165</v>
      </c>
      <c r="N25" t="n">
        <v>-0.1399999998410976</v>
      </c>
      <c r="O25" t="n">
        <v>1.589782188007159</v>
      </c>
      <c r="P25" t="n">
        <v>0.0793096841182258</v>
      </c>
      <c r="Q25" t="n">
        <v>-0.0030258974692729</v>
      </c>
      <c r="R25" t="n">
        <v>-0.0018223769068717</v>
      </c>
      <c r="S25" t="n">
        <v>0.0014898333182701</v>
      </c>
      <c r="T25" t="n">
        <v>54.15163253528314</v>
      </c>
      <c r="U25" t="n">
        <v>0.4858333334767136</v>
      </c>
      <c r="V25" t="n">
        <v>-0.1549999998410203</v>
      </c>
      <c r="W25" t="n">
        <v>0.0450289856885933</v>
      </c>
      <c r="X25" t="n">
        <v>-0.2733333331892663</v>
      </c>
      <c r="Y25" t="n">
        <v>-0.399999999840802</v>
      </c>
      <c r="Z25" t="n">
        <v>0.4116666668101152</v>
      </c>
      <c r="AA25" t="n">
        <v>-0.1983333331743142</v>
      </c>
      <c r="AB25" t="n">
        <v>0.953835748784671</v>
      </c>
      <c r="AC25" t="n">
        <v>-0.0018223769068717</v>
      </c>
      <c r="AD25" t="n">
        <v>4.357607688115654</v>
      </c>
      <c r="AE25" t="n">
        <v>4.267622460936625</v>
      </c>
      <c r="AF25" t="n">
        <v>4.92466615098046</v>
      </c>
      <c r="AG25" t="n">
        <v>5.305432988485347</v>
      </c>
      <c r="AH25" t="n">
        <v>1.02423645875994</v>
      </c>
      <c r="AI25" t="n">
        <v>27.946</v>
      </c>
      <c r="AJ25" t="n">
        <v>27.486</v>
      </c>
      <c r="AK25" t="n">
        <v>0.1216331746580646</v>
      </c>
      <c r="AL25" t="n">
        <v>0.229544416435773</v>
      </c>
      <c r="AM25" t="n">
        <v>7.67412</v>
      </c>
      <c r="AN25" t="n">
        <v>236.5986219735462</v>
      </c>
      <c r="AO25" t="n">
        <v>0.0797223120065602</v>
      </c>
      <c r="AP25" t="n">
        <v>0.0682255497428898</v>
      </c>
      <c r="AQ25" t="n">
        <v>0.0621019234713791</v>
      </c>
      <c r="AR25" t="n">
        <v>0.0855448061820729</v>
      </c>
      <c r="AS25" t="n">
        <v>0.0805219988685358</v>
      </c>
    </row>
    <row r="26">
      <c r="A26" t="inlineStr">
        <is>
          <t>min_month_proj</t>
        </is>
      </c>
      <c r="B26" t="inlineStr">
        <is>
          <t>42/3_ST_Fits</t>
        </is>
      </c>
      <c r="C26" t="inlineStr">
        <is>
          <t>c</t>
        </is>
      </c>
      <c r="D26" t="n">
        <v>0.24</v>
      </c>
      <c r="E26" t="n">
        <v>2.18</v>
      </c>
      <c r="F26" t="n">
        <v>0.0227541854369902</v>
      </c>
      <c r="G26" t="n">
        <v>65.17670076458627</v>
      </c>
      <c r="H26" t="n">
        <v>-0.867499999855745</v>
      </c>
      <c r="I26" t="n">
        <v>-0.3099999998409521</v>
      </c>
      <c r="J26" t="n">
        <v>-0.2839819845192854</v>
      </c>
      <c r="K26" t="n">
        <v>-1.704999999854986</v>
      </c>
      <c r="L26" t="n">
        <v>-0.7916666665071852</v>
      </c>
      <c r="M26" t="n">
        <v>-1.589999999855086</v>
      </c>
      <c r="N26" t="n">
        <v>-0.7916666665071852</v>
      </c>
      <c r="O26" t="n">
        <v>2.550539118361073</v>
      </c>
      <c r="P26" t="n">
        <v>0.1685716916808543</v>
      </c>
      <c r="Q26" t="n">
        <v>0.0323805062750667</v>
      </c>
      <c r="R26" t="n">
        <v>-0.009433609887721101</v>
      </c>
      <c r="S26" t="n">
        <v>0.0227541854369902</v>
      </c>
      <c r="T26" t="n">
        <v>58.90064908834987</v>
      </c>
      <c r="U26" t="n">
        <v>-0.8558333331887252</v>
      </c>
      <c r="V26" t="n">
        <v>-0.3683333331741687</v>
      </c>
      <c r="W26" t="n">
        <v>-0.3064734297696017</v>
      </c>
      <c r="X26" t="n">
        <v>-1.693333333187966</v>
      </c>
      <c r="Y26" t="n">
        <v>-0.8499999998404019</v>
      </c>
      <c r="Z26" t="n">
        <v>-1.28333333318833</v>
      </c>
      <c r="AA26" t="n">
        <v>-0.4849999998407293</v>
      </c>
      <c r="AB26" t="n">
        <v>1.021763284972844</v>
      </c>
      <c r="AC26" t="n">
        <v>-0.009433609887721</v>
      </c>
      <c r="AD26" t="n">
        <v>2.439755861270348</v>
      </c>
      <c r="AE26" t="n">
        <v>2.263947279765049</v>
      </c>
      <c r="AF26" t="n">
        <v>2.525739654248994</v>
      </c>
      <c r="AG26" t="n">
        <v>2.289649836121069</v>
      </c>
      <c r="AH26" t="n">
        <v>0.6480982946906383</v>
      </c>
      <c r="AI26" t="n">
        <v>27.048</v>
      </c>
      <c r="AJ26" t="n">
        <v>26.588</v>
      </c>
      <c r="AK26" t="n">
        <v>0.7048304332561596</v>
      </c>
      <c r="AL26" t="n">
        <v>0.8170257779000548</v>
      </c>
      <c r="AM26" t="n">
        <v>11.45866</v>
      </c>
      <c r="AN26" t="n">
        <v>143.8778214213217</v>
      </c>
      <c r="AO26" t="n">
        <v>0.1072956835902022</v>
      </c>
      <c r="AP26" t="n">
        <v>0.1048217437676245</v>
      </c>
      <c r="AQ26" t="n">
        <v>0.095585069477183</v>
      </c>
      <c r="AR26" t="n">
        <v>0.1156078024764919</v>
      </c>
      <c r="AS26" t="n">
        <v>0.1067486654679969</v>
      </c>
    </row>
    <row r="27">
      <c r="A27" t="inlineStr">
        <is>
          <t>opt_clim_norm</t>
        </is>
      </c>
      <c r="B27" t="inlineStr">
        <is>
          <t>42/3_ST_Fits</t>
        </is>
      </c>
      <c r="C27" t="inlineStr">
        <is>
          <t>c</t>
        </is>
      </c>
      <c r="D27" t="n">
        <v>40.86</v>
      </c>
      <c r="E27" t="n">
        <v>87.86</v>
      </c>
      <c r="F27" t="n">
        <v>-0.02530849809175</v>
      </c>
      <c r="G27" t="n">
        <v>-14415.45736958719</v>
      </c>
      <c r="H27" t="n">
        <v>0.8163888890315896</v>
      </c>
      <c r="I27" t="n">
        <v>0.4855555557138769</v>
      </c>
      <c r="J27" t="n">
        <v>0.6043362293209255</v>
      </c>
      <c r="K27" t="n">
        <v>-1.934999999854768</v>
      </c>
      <c r="L27" t="n">
        <v>-1.744999999839661</v>
      </c>
      <c r="M27" t="n">
        <v>0.9666666668092376</v>
      </c>
      <c r="N27" t="n">
        <v>1.315000000157584</v>
      </c>
      <c r="O27" t="n">
        <v>2.090688366313512</v>
      </c>
      <c r="P27" t="n">
        <v>0.0581385710341756</v>
      </c>
      <c r="Q27" t="n">
        <v>-0.0202397633059995</v>
      </c>
      <c r="R27" t="n">
        <v>-0.0178252733349799</v>
      </c>
      <c r="S27" t="n">
        <v>-0.02530849809175</v>
      </c>
      <c r="T27" t="n">
        <v>-8013.954948975541</v>
      </c>
      <c r="U27" t="n">
        <v>0.8280555556986094</v>
      </c>
      <c r="V27" t="n">
        <v>0.4272222223806602</v>
      </c>
      <c r="W27" t="n">
        <v>0.610019323852507</v>
      </c>
      <c r="X27" t="n">
        <v>-1.923333333187748</v>
      </c>
      <c r="Y27" t="n">
        <v>-1.803333333172877</v>
      </c>
      <c r="Z27" t="n">
        <v>0.475000000143382</v>
      </c>
      <c r="AA27" t="n">
        <v>0.988333333491264</v>
      </c>
      <c r="AB27" t="n">
        <v>1.232415458994575</v>
      </c>
      <c r="AC27" t="n">
        <v>-0.0178252733349799</v>
      </c>
      <c r="AD27" t="n">
        <v>2.453327791979055</v>
      </c>
      <c r="AE27" t="n">
        <v>3.138322832932652</v>
      </c>
      <c r="AF27" t="n">
        <v>2.787312341980617</v>
      </c>
      <c r="AG27" t="n">
        <v>3.437555131457949</v>
      </c>
      <c r="AH27" t="n">
        <v>-1565.14780858243</v>
      </c>
      <c r="AI27" t="n">
        <v>47.662</v>
      </c>
      <c r="AJ27" t="n">
        <v>46.742</v>
      </c>
      <c r="AK27" s="1" t="n">
        <v>1.089518581399254e-12</v>
      </c>
      <c r="AL27" t="n">
        <v>0.0032901806573793</v>
      </c>
      <c r="AM27" t="n">
        <v>18.58994</v>
      </c>
      <c r="AN27" t="n">
        <v>-361549.1437825414</v>
      </c>
      <c r="AO27" t="n">
        <v>0.0958116455502729</v>
      </c>
      <c r="AP27" t="n">
        <v>0.1145606471608738</v>
      </c>
      <c r="AQ27" t="n">
        <v>0.1139094177180485</v>
      </c>
      <c r="AR27" t="n">
        <v>0.1243926241073443</v>
      </c>
      <c r="AS27" t="n">
        <v>0.122567322653281</v>
      </c>
    </row>
    <row r="28">
      <c r="A28" t="inlineStr">
        <is>
          <t>cubic_spline</t>
        </is>
      </c>
      <c r="B28" t="inlineStr">
        <is>
          <t>42/4_GAM_AR1</t>
        </is>
      </c>
      <c r="C28" t="inlineStr">
        <is>
          <t>c</t>
        </is>
      </c>
      <c r="D28" t="n">
        <v>1.74</v>
      </c>
      <c r="E28" t="n">
        <v>8.619999999999999</v>
      </c>
      <c r="F28" t="n">
        <v>0.0024147864711995</v>
      </c>
      <c r="G28" t="n">
        <v>114.6831576045797</v>
      </c>
      <c r="H28" t="n">
        <v>1.975833333475016</v>
      </c>
      <c r="I28" t="n">
        <v>-0.4333333331741687</v>
      </c>
      <c r="J28" t="n">
        <v>-0.0783031627886807</v>
      </c>
      <c r="K28" t="n">
        <v>1.888333333475098</v>
      </c>
      <c r="L28" t="n">
        <v>-0.4849999998407884</v>
      </c>
      <c r="M28" t="n">
        <v>2.063333333474934</v>
      </c>
      <c r="N28" t="n">
        <v>-0.4599999998408066</v>
      </c>
      <c r="O28" t="n">
        <v>1.969329019032594</v>
      </c>
      <c r="P28" t="n">
        <v>0.0864074842965845</v>
      </c>
      <c r="Q28" t="n">
        <v>-0.0022944768151896</v>
      </c>
      <c r="R28" t="n">
        <v>0.0282894232127719</v>
      </c>
      <c r="S28" t="n">
        <v>0.0024147864711996</v>
      </c>
      <c r="T28" t="n">
        <v>92.46208184414964</v>
      </c>
      <c r="U28" t="n">
        <v>1.987500000142036</v>
      </c>
      <c r="V28" t="n">
        <v>-0.4916666665073853</v>
      </c>
      <c r="W28" t="n">
        <v>-0.0592572461959311</v>
      </c>
      <c r="X28" t="n">
        <v>1.900000000142118</v>
      </c>
      <c r="Y28" t="n">
        <v>-0.543333333174005</v>
      </c>
      <c r="Z28" t="n">
        <v>1.981666666808705</v>
      </c>
      <c r="AA28" t="n">
        <v>-0.5183333331740232</v>
      </c>
      <c r="AB28" t="n">
        <v>1.072687198052865</v>
      </c>
      <c r="AC28" t="n">
        <v>0.028289423212772</v>
      </c>
      <c r="AD28" t="n">
        <v>2.823475669460731</v>
      </c>
      <c r="AE28" t="n">
        <v>3.865681711814832</v>
      </c>
      <c r="AF28" t="n">
        <v>3.238271047412391</v>
      </c>
      <c r="AG28" t="n">
        <v>4.388269412302058</v>
      </c>
      <c r="AH28" t="n">
        <v>0.9748424522758492</v>
      </c>
      <c r="AI28" t="n">
        <v>25.268</v>
      </c>
      <c r="AJ28" t="n">
        <v>24.848</v>
      </c>
      <c r="AK28" t="n">
        <v>0.183690708254069</v>
      </c>
      <c r="AL28" t="n">
        <v>0.4989678982633966</v>
      </c>
      <c r="AM28" t="n">
        <v>8.529500000000001</v>
      </c>
      <c r="AN28" t="n">
        <v>205.6917574302042</v>
      </c>
      <c r="AO28" t="n">
        <v>0.0929143029048724</v>
      </c>
      <c r="AP28" t="n">
        <v>0.06702516624139419</v>
      </c>
      <c r="AQ28" t="n">
        <v>0.06325546243318921</v>
      </c>
      <c r="AR28" t="n">
        <v>0.0862237480111866</v>
      </c>
      <c r="AS28" t="n">
        <v>0.0840748683005339</v>
      </c>
    </row>
    <row r="29">
      <c r="A29" t="inlineStr">
        <is>
          <t>GAM_AR0</t>
        </is>
      </c>
      <c r="B29" t="inlineStr">
        <is>
          <t>42/4_GAM_AR1</t>
        </is>
      </c>
      <c r="C29" t="inlineStr">
        <is>
          <t>c</t>
        </is>
      </c>
      <c r="D29" t="n">
        <v>8.74</v>
      </c>
      <c r="E29" t="n">
        <v>40.08</v>
      </c>
      <c r="F29" t="n">
        <v>-0.0144273108628862</v>
      </c>
      <c r="G29" t="n">
        <v>150.8036360011434</v>
      </c>
      <c r="H29" t="n">
        <v>1.465833333475443</v>
      </c>
      <c r="I29" t="n">
        <v>0.3983333334917552</v>
      </c>
      <c r="J29" t="n">
        <v>0.5070207511701941</v>
      </c>
      <c r="K29" t="n">
        <v>1.440000000142131</v>
      </c>
      <c r="L29" t="n">
        <v>0.3466666668251355</v>
      </c>
      <c r="M29" t="n">
        <v>1.491666666808756</v>
      </c>
      <c r="N29" t="n">
        <v>0.3466666668251355</v>
      </c>
      <c r="O29" t="n">
        <v>1.4778877823401</v>
      </c>
      <c r="P29" t="n">
        <v>0.0499214881079383</v>
      </c>
      <c r="Q29" t="n">
        <v>-0.0129250856196639</v>
      </c>
      <c r="R29" t="n">
        <v>-0.0161114512447168</v>
      </c>
      <c r="S29" t="n">
        <v>-0.0144273108628862</v>
      </c>
      <c r="T29" t="n">
        <v>95.9197646390983</v>
      </c>
      <c r="U29" t="n">
        <v>1.477500000142463</v>
      </c>
      <c r="V29" t="n">
        <v>0.3400000001585386</v>
      </c>
      <c r="W29" t="n">
        <v>0.5077898552538042</v>
      </c>
      <c r="X29" t="n">
        <v>1.451666666809151</v>
      </c>
      <c r="Y29" t="n">
        <v>0.2883333334919189</v>
      </c>
      <c r="Z29" t="n">
        <v>1.503333333475776</v>
      </c>
      <c r="AA29" t="n">
        <v>0.2883333334919189</v>
      </c>
      <c r="AB29" t="n">
        <v>1.092210144970699</v>
      </c>
      <c r="AC29" t="n">
        <v>-0.0161114512447168</v>
      </c>
      <c r="AD29" t="n">
        <v>4.471758960570323</v>
      </c>
      <c r="AE29" t="n">
        <v>5.338578746535952</v>
      </c>
      <c r="AF29" t="n">
        <v>5.247326335788428</v>
      </c>
      <c r="AG29" t="n">
        <v>6.452875633201802</v>
      </c>
      <c r="AH29" t="n">
        <v>1.193475409585004</v>
      </c>
      <c r="AI29" t="n">
        <v>24.044</v>
      </c>
      <c r="AJ29" t="n">
        <v>23.624</v>
      </c>
      <c r="AK29" t="n">
        <v>0.0405774054790151</v>
      </c>
      <c r="AL29" t="n">
        <v>0.1252183889750435</v>
      </c>
      <c r="AM29" t="n">
        <v>5.4026</v>
      </c>
      <c r="AN29" t="n">
        <v>253.0167868320208</v>
      </c>
      <c r="AO29" t="n">
        <v>0.06815877604926709</v>
      </c>
      <c r="AP29" t="n">
        <v>0.0460264607485923</v>
      </c>
      <c r="AQ29" t="n">
        <v>0.0456973448177023</v>
      </c>
      <c r="AR29" t="n">
        <v>0.0682307518293819</v>
      </c>
      <c r="AS29" t="n">
        <v>0.06762678851813141</v>
      </c>
    </row>
    <row r="30">
      <c r="A30" t="inlineStr">
        <is>
          <t>GAM_AR1</t>
        </is>
      </c>
      <c r="B30" t="inlineStr">
        <is>
          <t>42/4_GAM_AR1</t>
        </is>
      </c>
      <c r="C30" t="inlineStr">
        <is>
          <t>c</t>
        </is>
      </c>
      <c r="D30" t="n">
        <v>11.22</v>
      </c>
      <c r="E30" t="n">
        <v>33.32</v>
      </c>
      <c r="F30" t="n">
        <v>-0.030272834684087</v>
      </c>
      <c r="G30" t="n">
        <v>134.8437531743549</v>
      </c>
      <c r="H30" t="n">
        <v>1.545277777919829</v>
      </c>
      <c r="I30" t="n">
        <v>1.153333333491055</v>
      </c>
      <c r="J30" t="n">
        <v>0.8967457639791222</v>
      </c>
      <c r="K30" t="n">
        <v>1.408333333475507</v>
      </c>
      <c r="L30" t="n">
        <v>1.096666666824444</v>
      </c>
      <c r="M30" t="n">
        <v>1.67000000014194</v>
      </c>
      <c r="N30" t="n">
        <v>1.210000000157665</v>
      </c>
      <c r="O30" t="n">
        <v>1.413156857656636</v>
      </c>
      <c r="P30" t="n">
        <v>0.0534787846547788</v>
      </c>
      <c r="Q30" t="n">
        <v>-0.0284945089429961</v>
      </c>
      <c r="R30" t="n">
        <v>-0.0269704732379655</v>
      </c>
      <c r="S30" t="n">
        <v>-0.030272834684087</v>
      </c>
      <c r="T30" t="n">
        <v>105.1480197021458</v>
      </c>
      <c r="U30" t="n">
        <v>1.556944444586849</v>
      </c>
      <c r="V30" t="n">
        <v>1.095000000157838</v>
      </c>
      <c r="W30" t="n">
        <v>0.9033212562196752</v>
      </c>
      <c r="X30" t="n">
        <v>1.420000000142527</v>
      </c>
      <c r="Y30" t="n">
        <v>1.038333333491228</v>
      </c>
      <c r="Z30" t="n">
        <v>1.521666666809106</v>
      </c>
      <c r="AA30" t="n">
        <v>1.151666666824449</v>
      </c>
      <c r="AB30" t="n">
        <v>1.17431159427506</v>
      </c>
      <c r="AC30" t="n">
        <v>-0.0269704732379655</v>
      </c>
      <c r="AD30" t="n">
        <v>4.330816070068561</v>
      </c>
      <c r="AE30" t="n">
        <v>4.66722238579748</v>
      </c>
      <c r="AF30" t="n">
        <v>4.703923020286806</v>
      </c>
      <c r="AG30" t="n">
        <v>4.803344227803008</v>
      </c>
      <c r="AH30" t="n">
        <v>1.124576967867002</v>
      </c>
      <c r="AI30" t="n">
        <v>25.318</v>
      </c>
      <c r="AJ30" t="n">
        <v>24.858</v>
      </c>
      <c r="AK30" t="n">
        <v>0.0666781656977404</v>
      </c>
      <c r="AL30" t="n">
        <v>0.113324483937189</v>
      </c>
      <c r="AM30" t="n">
        <v>6.18952</v>
      </c>
      <c r="AN30" t="n">
        <v>238.4103171878043</v>
      </c>
      <c r="AO30" t="n">
        <v>0.0637732873471698</v>
      </c>
      <c r="AP30" t="n">
        <v>0.0526938835976154</v>
      </c>
      <c r="AQ30" t="n">
        <v>0.048308604866459</v>
      </c>
      <c r="AR30" t="n">
        <v>0.0709196068843217</v>
      </c>
      <c r="AS30" t="n">
        <v>0.06538215394399111</v>
      </c>
    </row>
    <row r="31">
      <c r="A31" t="inlineStr">
        <is>
          <t>Kal_flexLin</t>
        </is>
      </c>
      <c r="B31" t="inlineStr">
        <is>
          <t>42/5_Kalman</t>
        </is>
      </c>
      <c r="C31" t="inlineStr">
        <is>
          <t>c</t>
        </is>
      </c>
      <c r="D31" t="n">
        <v>0.72</v>
      </c>
      <c r="E31" t="n">
        <v>9.140000000000001</v>
      </c>
      <c r="F31" t="n">
        <v>-0.0100245051294602</v>
      </c>
      <c r="G31" t="n">
        <v>155.1254297364819</v>
      </c>
      <c r="H31" t="n">
        <v>1.122500000142409</v>
      </c>
      <c r="I31" t="n">
        <v>0.4675000001583248</v>
      </c>
      <c r="J31" t="n">
        <v>0.4032299903004404</v>
      </c>
      <c r="K31" t="n">
        <v>0.8266666668093375</v>
      </c>
      <c r="L31" t="n">
        <v>0.4250000001583657</v>
      </c>
      <c r="M31" t="n">
        <v>1.41833333347548</v>
      </c>
      <c r="N31" t="n">
        <v>0.510000000158284</v>
      </c>
      <c r="O31" t="n">
        <v>1.297830753628125</v>
      </c>
      <c r="P31" t="n">
        <v>0.0519804156263939</v>
      </c>
      <c r="Q31" t="n">
        <v>-0.009666224474985</v>
      </c>
      <c r="R31" t="n">
        <v>-0.0104435019823697</v>
      </c>
      <c r="S31" t="n">
        <v>-0.0100245051294603</v>
      </c>
      <c r="T31" t="n">
        <v>109.5116905313211</v>
      </c>
      <c r="U31" t="n">
        <v>1.134166666809429</v>
      </c>
      <c r="V31" t="n">
        <v>0.4091666668251082</v>
      </c>
      <c r="W31" t="n">
        <v>0.4113768117753633</v>
      </c>
      <c r="X31" t="n">
        <v>0.8383333334763574</v>
      </c>
      <c r="Y31" t="n">
        <v>0.3666666668251491</v>
      </c>
      <c r="Z31" t="n">
        <v>1.108333333476121</v>
      </c>
      <c r="AA31" t="n">
        <v>0.4516666668250673</v>
      </c>
      <c r="AB31" t="n">
        <v>0.9926086956736372</v>
      </c>
      <c r="AC31" t="n">
        <v>-0.0104435019823697</v>
      </c>
      <c r="AD31" t="n">
        <v>4.67163390557158</v>
      </c>
      <c r="AE31" t="n">
        <v>5.451181340700337</v>
      </c>
      <c r="AF31" t="n">
        <v>5.539177357871327</v>
      </c>
      <c r="AG31" t="n">
        <v>6.51140713663517</v>
      </c>
      <c r="AH31" t="n">
        <v>1.540451059081367</v>
      </c>
      <c r="AI31" t="n">
        <v>24.652</v>
      </c>
      <c r="AJ31" t="n">
        <v>24.212</v>
      </c>
      <c r="AK31" t="n">
        <v>0.3860563474505595</v>
      </c>
      <c r="AL31" t="n">
        <v>0.5536431494404467</v>
      </c>
      <c r="AM31" t="n">
        <v>4.64802</v>
      </c>
      <c r="AN31" t="n">
        <v>355.8441946477959</v>
      </c>
      <c r="AO31" t="n">
        <v>0.0516736203694013</v>
      </c>
      <c r="AP31" t="n">
        <v>0.0433795722981436</v>
      </c>
      <c r="AQ31" t="n">
        <v>0.042793809532399</v>
      </c>
      <c r="AR31" t="n">
        <v>0.06556414771828151</v>
      </c>
      <c r="AS31" t="n">
        <v>0.0645662690546718</v>
      </c>
    </row>
    <row r="32">
      <c r="A32" t="inlineStr">
        <is>
          <t>Kal_flexLin_ocn</t>
        </is>
      </c>
      <c r="B32" t="inlineStr">
        <is>
          <t>42/5_Kalman</t>
        </is>
      </c>
      <c r="C32" t="inlineStr">
        <is>
          <t>c</t>
        </is>
      </c>
      <c r="D32" t="n">
        <v>5.76</v>
      </c>
      <c r="E32" t="n">
        <v>57.36</v>
      </c>
      <c r="F32" t="n">
        <v>0.0365618031473952</v>
      </c>
      <c r="G32" t="n">
        <v>111.3389423070053</v>
      </c>
      <c r="H32" t="n">
        <v>0.1383333334766666</v>
      </c>
      <c r="I32" t="n">
        <v>-0.9883333331736868</v>
      </c>
      <c r="J32" t="n">
        <v>-1.265982194958066</v>
      </c>
      <c r="K32" t="n">
        <v>-0.123333333189762</v>
      </c>
      <c r="L32" t="n">
        <v>-1.029999999840316</v>
      </c>
      <c r="M32" t="n">
        <v>0.0383333334767621</v>
      </c>
      <c r="N32" t="n">
        <v>-1.029999999840316</v>
      </c>
      <c r="O32" t="n">
        <v>1.950743616215943</v>
      </c>
      <c r="P32" t="n">
        <v>0.0478819034302331</v>
      </c>
      <c r="Q32" t="n">
        <v>0.0097254700071244</v>
      </c>
      <c r="R32" t="n">
        <v>0.060971855667687</v>
      </c>
      <c r="S32" t="n">
        <v>0.0365618031473952</v>
      </c>
      <c r="T32" t="n">
        <v>63.20173531917598</v>
      </c>
      <c r="U32" t="n">
        <v>0.1500000001436865</v>
      </c>
      <c r="V32" t="n">
        <v>-1.046666666506903</v>
      </c>
      <c r="W32" t="n">
        <v>-1.243586956340676</v>
      </c>
      <c r="X32" t="n">
        <v>-0.1116666665227421</v>
      </c>
      <c r="Y32" t="n">
        <v>-1.088333333173532</v>
      </c>
      <c r="Z32" t="n">
        <v>0.050000000143782</v>
      </c>
      <c r="AA32" t="n">
        <v>-1.088333333173532</v>
      </c>
      <c r="AB32" t="n">
        <v>1.403586956383943</v>
      </c>
      <c r="AC32" t="n">
        <v>0.0609718556676871</v>
      </c>
      <c r="AD32" t="n">
        <v>5.201274918776427</v>
      </c>
      <c r="AE32" t="n">
        <v>5.399303151207509</v>
      </c>
      <c r="AF32" t="n">
        <v>6.693135604170299</v>
      </c>
      <c r="AG32" t="n">
        <v>6.263136337770709</v>
      </c>
      <c r="AH32" t="n">
        <v>1.317039879846972</v>
      </c>
      <c r="AI32" t="n">
        <v>24.808</v>
      </c>
      <c r="AJ32" t="n">
        <v>24.388</v>
      </c>
      <c r="AK32" t="n">
        <v>0.0823630378533871</v>
      </c>
      <c r="AL32" t="n">
        <v>0.1568311942395905</v>
      </c>
      <c r="AM32" t="n">
        <v>4.90674</v>
      </c>
      <c r="AN32" t="n">
        <v>304.2362122446506</v>
      </c>
      <c r="AO32" t="n">
        <v>0.0591425898346287</v>
      </c>
      <c r="AP32" t="n">
        <v>0.0622355550881467</v>
      </c>
      <c r="AQ32" t="n">
        <v>0.0658328455061946</v>
      </c>
      <c r="AR32" t="n">
        <v>0.07749178595658091</v>
      </c>
      <c r="AS32" t="n">
        <v>0.0799347584622289</v>
      </c>
    </row>
    <row r="33">
      <c r="A33" t="inlineStr">
        <is>
          <t>Kalman_RW</t>
        </is>
      </c>
      <c r="B33" t="inlineStr">
        <is>
          <t>42/5_Kalman</t>
        </is>
      </c>
      <c r="C33" t="inlineStr">
        <is>
          <t>c</t>
        </is>
      </c>
      <c r="D33" t="n">
        <v>4.48</v>
      </c>
      <c r="E33" t="n">
        <v>78.52</v>
      </c>
      <c r="F33" t="n">
        <v>-0.0729815958549269</v>
      </c>
      <c r="G33" t="n">
        <v>60.02403870790005</v>
      </c>
      <c r="H33" t="n">
        <v>2.906666666807464</v>
      </c>
      <c r="I33" t="n">
        <v>2.615833333489709</v>
      </c>
      <c r="J33" t="n">
        <v>2.589176959997108</v>
      </c>
      <c r="K33" t="n">
        <v>2.676666666807673</v>
      </c>
      <c r="L33" t="n">
        <v>2.531666666823116</v>
      </c>
      <c r="M33" t="n">
        <v>3.136666666807255</v>
      </c>
      <c r="N33" t="n">
        <v>2.700000000156301</v>
      </c>
      <c r="O33" t="n">
        <v>2.826924983818313</v>
      </c>
      <c r="P33" t="n">
        <v>0.0539348036943787</v>
      </c>
      <c r="Q33" t="n">
        <v>-0.0402999073184091</v>
      </c>
      <c r="R33" t="n">
        <v>-0.08877057000040529</v>
      </c>
      <c r="S33" t="n">
        <v>-0.0729815958549269</v>
      </c>
      <c r="T33" t="n">
        <v>25.5851170349352</v>
      </c>
      <c r="U33" t="n">
        <v>2.918333333474484</v>
      </c>
      <c r="V33" t="n">
        <v>2.557500000156492</v>
      </c>
      <c r="W33" t="n">
        <v>2.580096618538293</v>
      </c>
      <c r="X33" t="n">
        <v>2.688333333474693</v>
      </c>
      <c r="Y33" t="n">
        <v>2.4733333334899</v>
      </c>
      <c r="Z33" t="n">
        <v>3.09166666680766</v>
      </c>
      <c r="AA33" t="n">
        <v>2.641666666823085</v>
      </c>
      <c r="AB33" t="n">
        <v>2.580096618538293</v>
      </c>
      <c r="AC33" t="n">
        <v>-0.08877057000040529</v>
      </c>
      <c r="AD33" t="n">
        <v>3.061872425850344</v>
      </c>
      <c r="AE33" t="n">
        <v>3.343575897803968</v>
      </c>
      <c r="AF33" t="n">
        <v>3.037013413890832</v>
      </c>
      <c r="AG33" t="n">
        <v>2.78642824481543</v>
      </c>
      <c r="AH33" t="n">
        <v>1.09288151945706</v>
      </c>
      <c r="AI33" t="n">
        <v>25.904</v>
      </c>
      <c r="AJ33" t="n">
        <v>25.424</v>
      </c>
      <c r="AK33" t="n">
        <v>0.0856836258713736</v>
      </c>
      <c r="AL33" t="n">
        <v>0.1298857330864875</v>
      </c>
      <c r="AM33" t="n">
        <v>6.1163</v>
      </c>
      <c r="AN33" t="n">
        <v>252.4556309945809</v>
      </c>
      <c r="AO33" t="n">
        <v>0.0720844431846132</v>
      </c>
      <c r="AP33" t="n">
        <v>0.08732856882688179</v>
      </c>
      <c r="AQ33" t="n">
        <v>0.0938231275865932</v>
      </c>
      <c r="AR33" t="n">
        <v>0.0987361496516684</v>
      </c>
      <c r="AS33" t="n">
        <v>0.1041851111880038</v>
      </c>
    </row>
    <row r="34">
      <c r="A34" t="inlineStr">
        <is>
          <t>Kalman_RW_ocn</t>
        </is>
      </c>
      <c r="B34" t="inlineStr">
        <is>
          <t>42/5_Kalman</t>
        </is>
      </c>
      <c r="C34" t="inlineStr">
        <is>
          <t>c</t>
        </is>
      </c>
      <c r="D34" t="n">
        <v>11.02</v>
      </c>
      <c r="E34" t="n">
        <v>65.06</v>
      </c>
      <c r="F34" t="n">
        <v>0.0378150430115548</v>
      </c>
      <c r="G34" t="n">
        <v>84.97259377200444</v>
      </c>
      <c r="H34" t="n">
        <v>0.1191666668100288</v>
      </c>
      <c r="I34" t="n">
        <v>-0.9941666665069896</v>
      </c>
      <c r="J34" t="n">
        <v>-1.342133929697218</v>
      </c>
      <c r="K34" t="n">
        <v>-0.2333333331896528</v>
      </c>
      <c r="L34" t="n">
        <v>-1.274999999840061</v>
      </c>
      <c r="M34" t="n">
        <v>0.173333333476653</v>
      </c>
      <c r="N34" t="n">
        <v>-1.223333333173446</v>
      </c>
      <c r="O34" t="n">
        <v>2.126040379128475</v>
      </c>
      <c r="P34" t="n">
        <v>0.0510851387758082</v>
      </c>
      <c r="Q34" t="n">
        <v>0.000363696840857</v>
      </c>
      <c r="R34" t="n">
        <v>0.07969798115952879</v>
      </c>
      <c r="S34" t="n">
        <v>0.0378150430115548</v>
      </c>
      <c r="T34" t="n">
        <v>48.75418208289593</v>
      </c>
      <c r="U34" t="n">
        <v>0.1308333334770486</v>
      </c>
      <c r="V34" t="n">
        <v>-1.052499999840206</v>
      </c>
      <c r="W34" t="n">
        <v>-1.302657004650296</v>
      </c>
      <c r="X34" t="n">
        <v>-0.2216666665226329</v>
      </c>
      <c r="Y34" t="n">
        <v>-1.333333333173278</v>
      </c>
      <c r="Z34" t="n">
        <v>-0.0233333331894755</v>
      </c>
      <c r="AA34" t="n">
        <v>-1.163333333173432</v>
      </c>
      <c r="AB34" t="n">
        <v>1.453309178599307</v>
      </c>
      <c r="AC34" t="n">
        <v>0.07969798115952879</v>
      </c>
      <c r="AD34" t="n">
        <v>4.873271982875782</v>
      </c>
      <c r="AE34" t="n">
        <v>4.80577550032712</v>
      </c>
      <c r="AF34" t="n">
        <v>5.785065667912443</v>
      </c>
      <c r="AG34" t="n">
        <v>5.723632524657464</v>
      </c>
      <c r="AH34" t="n">
        <v>1.122789188564096</v>
      </c>
      <c r="AI34" t="n">
        <v>26.492</v>
      </c>
      <c r="AJ34" t="n">
        <v>26.032</v>
      </c>
      <c r="AK34" t="n">
        <v>0.0206636981943283</v>
      </c>
      <c r="AL34" t="n">
        <v>0.0546542976782285</v>
      </c>
      <c r="AM34" t="n">
        <v>6.854299999999999</v>
      </c>
      <c r="AN34" t="n">
        <v>259.3643025583062</v>
      </c>
      <c r="AO34" t="n">
        <v>0.069110041183754</v>
      </c>
      <c r="AP34" t="n">
        <v>0.07565665878189699</v>
      </c>
      <c r="AQ34" t="n">
        <v>0.0828996263032263</v>
      </c>
      <c r="AR34" t="n">
        <v>0.08786009341089369</v>
      </c>
      <c r="AS34" t="n">
        <v>0.0938620561061905</v>
      </c>
    </row>
    <row r="35">
      <c r="A35" t="inlineStr">
        <is>
          <t>removeGreensfx</t>
        </is>
      </c>
      <c r="B35" t="inlineStr">
        <is>
          <t>42/6_Remove_IV</t>
        </is>
      </c>
      <c r="C35" t="inlineStr">
        <is>
          <t>c</t>
        </is>
      </c>
      <c r="D35" t="n">
        <v>4.96</v>
      </c>
      <c r="E35" t="n">
        <v>65.64</v>
      </c>
      <c r="F35" t="n">
        <v>-0.0571682665767249</v>
      </c>
      <c r="G35" t="n">
        <v>80.26138580018808</v>
      </c>
      <c r="H35" t="n">
        <v>2.205277777919257</v>
      </c>
      <c r="I35" t="n">
        <v>2.002916666823607</v>
      </c>
      <c r="J35" t="n">
        <v>2.043974642437597</v>
      </c>
      <c r="K35" t="n">
        <v>1.411666666808874</v>
      </c>
      <c r="L35" t="n">
        <v>1.436666666824135</v>
      </c>
      <c r="M35" t="n">
        <v>2.953333333474125</v>
      </c>
      <c r="N35" t="n">
        <v>2.526666666823116</v>
      </c>
      <c r="O35" t="n">
        <v>2.425293080337992</v>
      </c>
      <c r="P35" t="n">
        <v>0.06</v>
      </c>
      <c r="Q35" t="n">
        <v>-0.0318903629603694</v>
      </c>
      <c r="R35" t="n">
        <v>-0.0719799310564994</v>
      </c>
      <c r="S35" t="n">
        <v>-0.0571682665767249</v>
      </c>
      <c r="T35" t="n">
        <v>52.44627936621379</v>
      </c>
      <c r="U35" t="n">
        <v>2.216944444586277</v>
      </c>
      <c r="V35" t="n">
        <v>1.94458333349039</v>
      </c>
      <c r="W35" t="n">
        <v>2.03701086974617</v>
      </c>
      <c r="X35" t="n">
        <v>1.423333333475894</v>
      </c>
      <c r="Y35" t="n">
        <v>1.378333333490918</v>
      </c>
      <c r="Z35" t="n">
        <v>2.891666666807878</v>
      </c>
      <c r="AA35" t="n">
        <v>2.4683333334899</v>
      </c>
      <c r="AB35" t="n">
        <v>2.069305555729236</v>
      </c>
      <c r="AC35" t="n">
        <v>-0.0719799310564994</v>
      </c>
      <c r="AD35" t="n">
        <v>3.137994004579001</v>
      </c>
      <c r="AE35" t="n">
        <v>3.845434054795251</v>
      </c>
      <c r="AF35" t="n">
        <v>3.362166490630499</v>
      </c>
      <c r="AG35" t="n">
        <v>3.41100392372492</v>
      </c>
      <c r="AH35" t="n">
        <v>0.9975916846115338</v>
      </c>
      <c r="AI35" t="n">
        <v>32.164</v>
      </c>
      <c r="AJ35" t="n">
        <v>31.604</v>
      </c>
      <c r="AK35" t="n">
        <v>0.0509311388884242</v>
      </c>
      <c r="AL35" t="n">
        <v>0.1264534243043906</v>
      </c>
      <c r="AM35" t="n">
        <v>14.30046</v>
      </c>
      <c r="AN35" t="n">
        <v>230.4436791452644</v>
      </c>
      <c r="AO35" t="n">
        <v>0.08035881776379961</v>
      </c>
      <c r="AP35" t="n">
        <v>0.08538060855737491</v>
      </c>
      <c r="AQ35" t="n">
        <v>0.0892567028186233</v>
      </c>
      <c r="AR35" t="n">
        <v>0.09741973101751281</v>
      </c>
      <c r="AS35" t="n">
        <v>0.1004537516856445</v>
      </c>
    </row>
    <row r="36">
      <c r="A36" t="inlineStr">
        <is>
          <t>removeMEI_cons</t>
        </is>
      </c>
      <c r="B36" t="inlineStr">
        <is>
          <t>42/6_Remove_IV</t>
        </is>
      </c>
      <c r="C36" t="inlineStr">
        <is>
          <t>c</t>
        </is>
      </c>
      <c r="D36" t="n">
        <v>28.82</v>
      </c>
      <c r="E36" t="n">
        <v>65.58</v>
      </c>
      <c r="F36" t="n">
        <v>-0.080662187668403</v>
      </c>
      <c r="G36" t="n">
        <v>-103.7835039937901</v>
      </c>
      <c r="H36" t="n">
        <v>2.052722222363786</v>
      </c>
      <c r="I36" t="n">
        <v>2.915972222378328</v>
      </c>
      <c r="J36" t="n">
        <v>3.412266094092931</v>
      </c>
      <c r="K36" t="n">
        <v>0.8416666668093284</v>
      </c>
      <c r="L36" t="n">
        <v>1.781666666823799</v>
      </c>
      <c r="M36" t="n">
        <v>3.021666666807355</v>
      </c>
      <c r="N36" t="n">
        <v>4.081666666821715</v>
      </c>
      <c r="O36" t="n">
        <v>3.970569891207048</v>
      </c>
      <c r="P36" t="n">
        <v>0.1103440129253288</v>
      </c>
      <c r="Q36" t="n">
        <v>0.0036470570235801</v>
      </c>
      <c r="R36" t="n">
        <v>-0.1464537940036122</v>
      </c>
      <c r="S36" t="n">
        <v>-0.080662187668403</v>
      </c>
      <c r="T36" t="n">
        <v>-153.8497900005635</v>
      </c>
      <c r="U36" t="n">
        <v>2.064388889030805</v>
      </c>
      <c r="V36" t="n">
        <v>2.857638889045111</v>
      </c>
      <c r="W36" t="n">
        <v>3.368704106462252</v>
      </c>
      <c r="X36" t="n">
        <v>0.8533333334763483</v>
      </c>
      <c r="Y36" t="n">
        <v>1.723333333490582</v>
      </c>
      <c r="Z36" t="n">
        <v>2.878333333474529</v>
      </c>
      <c r="AA36" t="n">
        <v>4.023333333488499</v>
      </c>
      <c r="AB36" t="n">
        <v>3.368704106462252</v>
      </c>
      <c r="AC36" t="n">
        <v>-0.1464537940036121</v>
      </c>
      <c r="AD36" t="n">
        <v>2.644121176641434</v>
      </c>
      <c r="AE36" t="n">
        <v>2.189175558813518</v>
      </c>
      <c r="AF36" t="n">
        <v>3.107684860175863</v>
      </c>
      <c r="AG36" t="n">
        <v>2.5933157856727</v>
      </c>
      <c r="AH36" t="n">
        <v>-0.3731659757198619</v>
      </c>
      <c r="AI36" t="n">
        <v>40.296</v>
      </c>
      <c r="AJ36" t="n">
        <v>39.656</v>
      </c>
      <c r="AK36" s="1" t="n">
        <v>1.909899815170054e-09</v>
      </c>
      <c r="AL36" s="1" t="n">
        <v>7.993852282198378e-05</v>
      </c>
      <c r="AM36" t="n">
        <v>21.29614</v>
      </c>
      <c r="AN36" t="n">
        <v>-86.20134039128808</v>
      </c>
      <c r="AO36" t="n">
        <v>0.1130277583418644</v>
      </c>
      <c r="AP36" t="n">
        <v>0.1252494935396201</v>
      </c>
      <c r="AQ36" t="n">
        <v>0.1390969085859615</v>
      </c>
      <c r="AR36" t="n">
        <v>0.1333326005506809</v>
      </c>
      <c r="AS36" t="n">
        <v>0.1462456052913397</v>
      </c>
    </row>
    <row r="37">
      <c r="A37" t="inlineStr">
        <is>
          <t>removeMEI_volc_cons</t>
        </is>
      </c>
      <c r="B37" t="inlineStr">
        <is>
          <t>42/6_Remove_IV</t>
        </is>
      </c>
      <c r="C37" t="inlineStr">
        <is>
          <t>c</t>
        </is>
      </c>
      <c r="D37" t="n">
        <v>10.6</v>
      </c>
      <c r="E37" t="n">
        <v>54.8</v>
      </c>
      <c r="F37" t="n">
        <v>-0.0147984938016789</v>
      </c>
      <c r="G37" t="n">
        <v>62.00965599852135</v>
      </c>
      <c r="H37" t="n">
        <v>-0.9431944443001492</v>
      </c>
      <c r="I37" t="n">
        <v>0.6977777779359121</v>
      </c>
      <c r="J37" t="n">
        <v>1.216659612612786</v>
      </c>
      <c r="K37" t="n">
        <v>-2.651666666520809</v>
      </c>
      <c r="L37" t="n">
        <v>-0.3549999998409066</v>
      </c>
      <c r="M37" t="n">
        <v>-2.0016666665214</v>
      </c>
      <c r="N37" t="n">
        <v>1.311666666824244</v>
      </c>
      <c r="O37" t="n">
        <v>3.284590955008658</v>
      </c>
      <c r="P37" t="n">
        <v>0.07885503955944589</v>
      </c>
      <c r="Q37" t="n">
        <v>0.0147632620016279</v>
      </c>
      <c r="R37" t="n">
        <v>-0.0932835170777422</v>
      </c>
      <c r="S37" t="n">
        <v>-0.0147984938016789</v>
      </c>
      <c r="T37" t="n">
        <v>46.09138818934056</v>
      </c>
      <c r="U37" t="n">
        <v>-0.9315277776331292</v>
      </c>
      <c r="V37" t="n">
        <v>0.6394444446026956</v>
      </c>
      <c r="W37" t="n">
        <v>1.135307971197849</v>
      </c>
      <c r="X37" t="n">
        <v>-2.639999999853789</v>
      </c>
      <c r="Y37" t="n">
        <v>-0.4133333331741232</v>
      </c>
      <c r="Z37" t="n">
        <v>-1.933333333187757</v>
      </c>
      <c r="AA37" t="n">
        <v>1.163333333491118</v>
      </c>
      <c r="AB37" t="n">
        <v>1.350513285126614</v>
      </c>
      <c r="AC37" t="n">
        <v>-0.0932835170777422</v>
      </c>
      <c r="AD37" t="n">
        <v>3.279525982291916</v>
      </c>
      <c r="AE37" t="n">
        <v>3.85222837259462</v>
      </c>
      <c r="AF37" t="n">
        <v>3.463973387966486</v>
      </c>
      <c r="AG37" t="n">
        <v>3.930663278319976</v>
      </c>
      <c r="AH37" t="n">
        <v>0.4752749585258106</v>
      </c>
      <c r="AI37" t="n">
        <v>43.95</v>
      </c>
      <c r="AJ37" t="n">
        <v>43.35</v>
      </c>
      <c r="AK37" t="n">
        <v>0.049298029957979</v>
      </c>
      <c r="AL37" t="n">
        <v>0.1068736844338745</v>
      </c>
      <c r="AM37" t="n">
        <v>23.92156</v>
      </c>
      <c r="AN37" t="n">
        <v>57.03299502309727</v>
      </c>
      <c r="AO37" t="n">
        <v>0.1173976420446323</v>
      </c>
      <c r="AP37" t="n">
        <v>0.1089258372379833</v>
      </c>
      <c r="AQ37" t="n">
        <v>0.1073279513823608</v>
      </c>
      <c r="AR37" t="n">
        <v>0.1180538924958511</v>
      </c>
      <c r="AS37" t="n">
        <v>0.1160041543991922</v>
      </c>
    </row>
    <row r="38">
      <c r="A38" t="inlineStr">
        <is>
          <t>removeMEI_volc_refit</t>
        </is>
      </c>
      <c r="B38" t="inlineStr">
        <is>
          <t>42/6_Remove_IV</t>
        </is>
      </c>
      <c r="C38" t="inlineStr">
        <is>
          <t>c</t>
        </is>
      </c>
      <c r="D38" t="n">
        <v>3.44</v>
      </c>
      <c r="E38" t="n">
        <v>38.26</v>
      </c>
      <c r="F38" t="n">
        <v>-0.1419798720513889</v>
      </c>
      <c r="G38" t="n">
        <v>12.11789400430732</v>
      </c>
      <c r="H38" t="n">
        <v>4.426527777917198</v>
      </c>
      <c r="I38" t="n">
        <v>5.27305555570952</v>
      </c>
      <c r="J38" t="n">
        <v>5.709965232212929</v>
      </c>
      <c r="K38" t="n">
        <v>2.955000000140758</v>
      </c>
      <c r="L38" t="n">
        <v>4.278333333488203</v>
      </c>
      <c r="M38" t="n">
        <v>5.775000000138193</v>
      </c>
      <c r="N38" t="n">
        <v>6.221666666819769</v>
      </c>
      <c r="O38" t="n">
        <v>6.093655504231065</v>
      </c>
      <c r="P38" t="n">
        <v>0.1308412036428932</v>
      </c>
      <c r="Q38" t="n">
        <v>-0.1301072623135603</v>
      </c>
      <c r="R38" t="n">
        <v>-0.2177643421684136</v>
      </c>
      <c r="S38" t="n">
        <v>-0.1419798720513888</v>
      </c>
      <c r="T38" t="n">
        <v>7.063454806638528</v>
      </c>
      <c r="U38" t="n">
        <v>4.438194444584219</v>
      </c>
      <c r="V38" t="n">
        <v>5.214722222376302</v>
      </c>
      <c r="W38" t="n">
        <v>5.663702898732429</v>
      </c>
      <c r="X38" t="n">
        <v>2.966666666807778</v>
      </c>
      <c r="Y38" t="n">
        <v>4.220000000154987</v>
      </c>
      <c r="Z38" t="n">
        <v>5.741666666805259</v>
      </c>
      <c r="AA38" t="n">
        <v>6.163333333486553</v>
      </c>
      <c r="AB38" t="n">
        <v>5.663702898732429</v>
      </c>
      <c r="AC38" t="n">
        <v>-0.2177643421684136</v>
      </c>
      <c r="AD38" t="n">
        <v>1.996151365156129</v>
      </c>
      <c r="AE38" t="n">
        <v>1.65631914322443</v>
      </c>
      <c r="AF38" t="n">
        <v>2.095549987837908</v>
      </c>
      <c r="AG38" t="n">
        <v>1.718710104037295</v>
      </c>
      <c r="AH38" t="n">
        <v>0.1890294804836381</v>
      </c>
      <c r="AI38" t="n">
        <v>40.3</v>
      </c>
      <c r="AJ38" t="n">
        <v>39.68</v>
      </c>
      <c r="AK38" t="n">
        <v>0.2581650779625455</v>
      </c>
      <c r="AL38" t="n">
        <v>0.303417363043253</v>
      </c>
      <c r="AM38" t="n">
        <v>22.83702</v>
      </c>
      <c r="AN38" t="n">
        <v>19.47003648981473</v>
      </c>
      <c r="AO38" t="n">
        <v>0.1733721778702503</v>
      </c>
      <c r="AP38" t="n">
        <v>0.17718362476437</v>
      </c>
      <c r="AQ38" t="n">
        <v>0.2004091710649295</v>
      </c>
      <c r="AR38" t="n">
        <v>0.1822140911289991</v>
      </c>
      <c r="AS38" t="n">
        <v>0.2045605560852534</v>
      </c>
    </row>
    <row r="39">
      <c r="A39" t="inlineStr">
        <is>
          <t>cons_hArrh_CO2forc</t>
        </is>
      </c>
      <c r="B39" t="inlineStr">
        <is>
          <t>43/0_Linear</t>
        </is>
      </c>
      <c r="C39" t="inlineStr">
        <is>
          <t>c</t>
        </is>
      </c>
      <c r="D39" t="n">
        <v>39.92</v>
      </c>
      <c r="E39" t="n">
        <v>50.22</v>
      </c>
      <c r="F39" t="n">
        <v>0.5138195296761687</v>
      </c>
      <c r="G39" t="n">
        <v>-57.2813948967094</v>
      </c>
      <c r="H39" t="n">
        <v>-6.436666666517372</v>
      </c>
      <c r="I39" t="n">
        <v>-10.81166666649806</v>
      </c>
      <c r="J39" t="n">
        <v>-12.59782938058515</v>
      </c>
      <c r="K39" t="n">
        <v>-6.436666666517372</v>
      </c>
      <c r="L39" t="n">
        <v>-10.81166666649806</v>
      </c>
      <c r="M39" t="n">
        <v>-6.436666666517372</v>
      </c>
      <c r="N39" t="n">
        <v>-10.81166666649806</v>
      </c>
      <c r="O39" t="n">
        <v>14.00913021418734</v>
      </c>
      <c r="P39" t="n">
        <v>0.3378050785849167</v>
      </c>
      <c r="Q39" t="n">
        <v>0.2351217932471384</v>
      </c>
      <c r="R39" t="n">
        <v>0.9417657702052294</v>
      </c>
      <c r="S39" t="n">
        <v>0.5138195296761687</v>
      </c>
      <c r="T39" t="n">
        <v>-56.81710295178534</v>
      </c>
      <c r="U39" t="n">
        <v>-6.424999999850352</v>
      </c>
      <c r="V39" t="n">
        <v>-10.86999999983128</v>
      </c>
      <c r="W39" t="n">
        <v>-12.42681159402435</v>
      </c>
      <c r="X39" t="n">
        <v>-6.424999999850352</v>
      </c>
      <c r="Y39" t="n">
        <v>-10.86999999983128</v>
      </c>
      <c r="Z39" t="n">
        <v>-6.424999999850352</v>
      </c>
      <c r="AA39" t="n">
        <v>-10.86999999983128</v>
      </c>
      <c r="AB39" t="n">
        <v>12.42681159402435</v>
      </c>
      <c r="AC39" t="n">
        <v>0.9417657702052294</v>
      </c>
      <c r="AD39" t="n">
        <v>0.7400925229673564</v>
      </c>
      <c r="AE39" t="n">
        <v>0.4526182379226318</v>
      </c>
      <c r="AF39" t="n">
        <v>0.7370252748396436</v>
      </c>
      <c r="AG39" t="n">
        <v>0.4517525604130342</v>
      </c>
      <c r="AH39" t="n">
        <v>-2.377993201935904</v>
      </c>
      <c r="AI39" t="n">
        <v>23.42</v>
      </c>
      <c r="AJ39" t="n">
        <v>23</v>
      </c>
      <c r="AK39" s="1" t="n">
        <v>7.020574864957406e-07</v>
      </c>
      <c r="AL39" t="n">
        <v>0.0001938032335145</v>
      </c>
      <c r="AM39" t="n">
        <v>0.23412</v>
      </c>
      <c r="AN39" t="n">
        <v>-549.3164296471939</v>
      </c>
      <c r="AO39" t="n">
        <v>0.4302455705388582</v>
      </c>
      <c r="AP39" t="n">
        <v>0.6778849479946785</v>
      </c>
      <c r="AQ39" t="n">
        <v>0.7945746654190434</v>
      </c>
      <c r="AR39" t="n">
        <v>0.6764992984487375</v>
      </c>
      <c r="AS39" t="n">
        <v>0.7934393514993581</v>
      </c>
    </row>
    <row r="40">
      <c r="A40" t="inlineStr">
        <is>
          <t>OLS_refit_CO2forc</t>
        </is>
      </c>
      <c r="B40" t="inlineStr">
        <is>
          <t>43/0_Linear</t>
        </is>
      </c>
      <c r="C40" t="inlineStr">
        <is>
          <t>c</t>
        </is>
      </c>
      <c r="D40" t="n">
        <v>140.98</v>
      </c>
      <c r="E40" t="n">
        <v>187.3</v>
      </c>
      <c r="F40" t="n">
        <v>0.1286355156930869</v>
      </c>
      <c r="G40" t="n">
        <v>-964.1488729858928</v>
      </c>
      <c r="H40" t="n">
        <v>-3.883333333186361</v>
      </c>
      <c r="I40" t="n">
        <v>-4.854999999836777</v>
      </c>
      <c r="J40" t="n">
        <v>-4.748780467538697</v>
      </c>
      <c r="K40" t="n">
        <v>-3.883333333186361</v>
      </c>
      <c r="L40" t="n">
        <v>-4.854999999836777</v>
      </c>
      <c r="M40" t="n">
        <v>-3.883333333186361</v>
      </c>
      <c r="N40" t="n">
        <v>-4.854999999836777</v>
      </c>
      <c r="O40" t="n">
        <v>5.09532198056927</v>
      </c>
      <c r="P40" t="n">
        <v>0.0274000238438309</v>
      </c>
      <c r="Q40" t="n">
        <v>0.0545151302315435</v>
      </c>
      <c r="R40" t="n">
        <v>0.212144614047629</v>
      </c>
      <c r="S40" t="n">
        <v>0.1286355156930869</v>
      </c>
      <c r="T40" t="n">
        <v>-1045.625589898618</v>
      </c>
      <c r="U40" t="n">
        <v>-3.871666666519341</v>
      </c>
      <c r="V40" t="n">
        <v>-4.913333333169994</v>
      </c>
      <c r="W40" t="n">
        <v>-4.731666666485305</v>
      </c>
      <c r="X40" t="n">
        <v>-3.871666666519341</v>
      </c>
      <c r="Y40" t="n">
        <v>-4.913333333169994</v>
      </c>
      <c r="Z40" t="n">
        <v>-3.871666666519341</v>
      </c>
      <c r="AA40" t="n">
        <v>-4.913333333169994</v>
      </c>
      <c r="AB40" t="n">
        <v>4.731666666485305</v>
      </c>
      <c r="AC40" t="n">
        <v>0.212144614047629</v>
      </c>
      <c r="AD40" t="n">
        <v>1.213831827667233</v>
      </c>
      <c r="AE40" t="n">
        <v>0.2378935728170037</v>
      </c>
      <c r="AF40" t="n">
        <v>0.7449727529844022</v>
      </c>
      <c r="AG40" t="n">
        <v>0.0735447256939729</v>
      </c>
      <c r="AH40" t="n">
        <v>-6.302174934886524</v>
      </c>
      <c r="AI40" t="n">
        <v>23.42</v>
      </c>
      <c r="AJ40" t="n">
        <v>23</v>
      </c>
      <c r="AK40" s="1" t="n">
        <v>2.372183648132522e-14</v>
      </c>
      <c r="AL40" s="1" t="n">
        <v>2.004016797878855e-12</v>
      </c>
      <c r="AM40" t="n">
        <v>1.12676</v>
      </c>
      <c r="AN40" t="n">
        <v>-1455.802409958787</v>
      </c>
      <c r="AO40" t="n">
        <v>0.1158320998906144</v>
      </c>
      <c r="AP40" t="n">
        <v>0.1638064062575592</v>
      </c>
      <c r="AQ40" t="n">
        <v>0.1895542000199097</v>
      </c>
      <c r="AR40" t="n">
        <v>0.1694130785290737</v>
      </c>
      <c r="AS40" t="n">
        <v>0.1937258470032103</v>
      </c>
    </row>
    <row r="41">
      <c r="A41" t="inlineStr">
        <is>
          <t>FaIR_all</t>
        </is>
      </c>
      <c r="B41" t="inlineStr">
        <is>
          <t>43/1_ERF_FaIR</t>
        </is>
      </c>
      <c r="C41" t="inlineStr">
        <is>
          <t>c</t>
        </is>
      </c>
      <c r="D41" t="n">
        <v>138.66</v>
      </c>
      <c r="E41" t="n">
        <v>151.58</v>
      </c>
      <c r="F41" t="n">
        <v>0.0313831004836663</v>
      </c>
      <c r="G41" t="n">
        <v>-180814.4953640339</v>
      </c>
      <c r="H41" t="n">
        <v>-2.793333333187347</v>
      </c>
      <c r="I41" t="n">
        <v>0.502500000158293</v>
      </c>
      <c r="J41" t="n">
        <v>-0.8038186208094821</v>
      </c>
      <c r="K41" t="n">
        <v>-2.8866666665206</v>
      </c>
      <c r="L41" t="n">
        <v>0.4900000001583021</v>
      </c>
      <c r="M41" t="n">
        <v>-2.8866666665206</v>
      </c>
      <c r="N41" t="n">
        <v>0.4900000001583021</v>
      </c>
      <c r="O41" t="n">
        <v>2.591281574217906</v>
      </c>
      <c r="P41" t="n">
        <v>0.0055740256096285</v>
      </c>
      <c r="Q41" t="n">
        <v>0.0169421773717293</v>
      </c>
      <c r="R41" t="n">
        <v>-0.0141167151880263</v>
      </c>
      <c r="S41" t="n">
        <v>0.0313831004836664</v>
      </c>
      <c r="T41" t="n">
        <v>-232720.4449482706</v>
      </c>
      <c r="U41" t="n">
        <v>-2.781666666520328</v>
      </c>
      <c r="V41" t="n">
        <v>0.4441666668250764</v>
      </c>
      <c r="W41" t="n">
        <v>-0.8303260867741459</v>
      </c>
      <c r="X41" t="n">
        <v>-2.87499999985358</v>
      </c>
      <c r="Y41" t="n">
        <v>0.4316666668250855</v>
      </c>
      <c r="Z41" t="n">
        <v>-2.87499999985358</v>
      </c>
      <c r="AA41" t="n">
        <v>0.4566666668250673</v>
      </c>
      <c r="AB41" t="n">
        <v>1.199601449202088</v>
      </c>
      <c r="AC41" t="n">
        <v>-0.0141167151880263</v>
      </c>
      <c r="AD41" t="n">
        <v>4.081733646108695</v>
      </c>
      <c r="AE41" t="n">
        <v>8.357737901298201</v>
      </c>
      <c r="AF41" t="n">
        <v>5.443679660083078</v>
      </c>
      <c r="AG41" t="n">
        <v>10.39189660988155</v>
      </c>
      <c r="AH41" t="n">
        <v>-1647.731532220451</v>
      </c>
      <c r="AI41" t="n">
        <v>23.612</v>
      </c>
      <c r="AJ41" t="n">
        <v>23.192</v>
      </c>
      <c r="AK41" s="1" t="n">
        <v>4.469553579676077e-36</v>
      </c>
      <c r="AL41" s="1" t="n">
        <v>1.493862251708647e-27</v>
      </c>
      <c r="AM41" t="n">
        <v>3.06076</v>
      </c>
      <c r="AN41" t="n">
        <v>-265284.7766874927</v>
      </c>
      <c r="AO41" t="n">
        <v>0.0703131849532715</v>
      </c>
      <c r="AP41" t="n">
        <v>0.0708705942473675</v>
      </c>
      <c r="AQ41" t="n">
        <v>0.0499061245796643</v>
      </c>
      <c r="AR41" t="n">
        <v>0.07913624905058481</v>
      </c>
      <c r="AS41" t="n">
        <v>0.0596765916603625</v>
      </c>
    </row>
    <row r="42">
      <c r="A42" t="inlineStr">
        <is>
          <t>FaIR_all_unB</t>
        </is>
      </c>
      <c r="B42" t="inlineStr">
        <is>
          <t>43/1_ERF_FaIR</t>
        </is>
      </c>
      <c r="C42" t="inlineStr">
        <is>
          <t>c</t>
        </is>
      </c>
      <c r="D42" t="n">
        <v>0</v>
      </c>
      <c r="E42" t="n">
        <v>0</v>
      </c>
      <c r="F42" t="n">
        <v>0.0227426004836664</v>
      </c>
      <c r="G42" t="n">
        <v>110.6580903194634</v>
      </c>
      <c r="H42" t="n">
        <v>-2.136666666521283</v>
      </c>
      <c r="I42" t="n">
        <v>0.8200000001580111</v>
      </c>
      <c r="J42" t="n">
        <v>-0.4779232540990606</v>
      </c>
      <c r="K42" t="n">
        <v>-2.136666666521283</v>
      </c>
      <c r="L42" t="n">
        <v>0.8200000001580111</v>
      </c>
      <c r="M42" t="n">
        <v>-2.136666666521283</v>
      </c>
      <c r="N42" t="n">
        <v>0.8200000001580111</v>
      </c>
      <c r="O42" t="n">
        <v>2.412131560066685</v>
      </c>
      <c r="P42" t="n">
        <v>0.08533140433753141</v>
      </c>
      <c r="Q42" t="n">
        <v>0.009704696139778301</v>
      </c>
      <c r="R42" t="n">
        <v>-0.0227572151880262</v>
      </c>
      <c r="S42" t="n">
        <v>0.0227426004836664</v>
      </c>
      <c r="T42" t="n">
        <v>103.4226508829485</v>
      </c>
      <c r="U42" t="n">
        <v>-2.124999999854262</v>
      </c>
      <c r="V42" t="n">
        <v>0.7616666668247944</v>
      </c>
      <c r="W42" t="n">
        <v>-0.5010869563395309</v>
      </c>
      <c r="X42" t="n">
        <v>-2.124999999854262</v>
      </c>
      <c r="Y42" t="n">
        <v>0.7616666668247944</v>
      </c>
      <c r="Z42" t="n">
        <v>-2.124999999854262</v>
      </c>
      <c r="AA42" t="n">
        <v>0.7616666668247944</v>
      </c>
      <c r="AB42" t="n">
        <v>1.083695652122496</v>
      </c>
      <c r="AC42" t="n">
        <v>-0.0227572151880262</v>
      </c>
      <c r="AD42" t="n">
        <v>3.701554783538277</v>
      </c>
      <c r="AE42" t="n">
        <v>4.125007879074024</v>
      </c>
      <c r="AF42" t="n">
        <v>3.92026744050176</v>
      </c>
      <c r="AG42" t="n">
        <v>4.120635097671359</v>
      </c>
      <c r="AH42" t="n">
        <v>1.212319269980353</v>
      </c>
      <c r="AI42" t="n">
        <v>23.58</v>
      </c>
      <c r="AJ42" t="n">
        <v>23.16</v>
      </c>
      <c r="AK42" t="n">
        <v>0.9835806672597832</v>
      </c>
      <c r="AL42" t="n">
        <v>0.9857536755832078</v>
      </c>
      <c r="AM42" t="n">
        <v>3.32612</v>
      </c>
      <c r="AN42" t="n">
        <v>195.1834024668368</v>
      </c>
      <c r="AO42" t="n">
        <v>0.0677921100792951</v>
      </c>
      <c r="AP42" t="n">
        <v>0.0674905031079689</v>
      </c>
      <c r="AQ42" t="n">
        <v>0.0498386512368395</v>
      </c>
      <c r="AR42" t="n">
        <v>0.07612406186343409</v>
      </c>
      <c r="AS42" t="n">
        <v>0.0596201767755179</v>
      </c>
    </row>
    <row r="43">
      <c r="A43" t="inlineStr">
        <is>
          <t>FaIR_anthro</t>
        </is>
      </c>
      <c r="B43" t="inlineStr">
        <is>
          <t>43/1_ERF_FaIR</t>
        </is>
      </c>
      <c r="C43" t="inlineStr">
        <is>
          <t>c</t>
        </is>
      </c>
      <c r="D43" t="n">
        <v>0</v>
      </c>
      <c r="E43" t="n">
        <v>4.32</v>
      </c>
      <c r="F43" t="n">
        <v>-0.0086362927300418</v>
      </c>
      <c r="G43" t="n">
        <v>116.5210003190242</v>
      </c>
      <c r="H43" t="n">
        <v>-1.105833333188925</v>
      </c>
      <c r="I43" t="n">
        <v>1.676666666823908</v>
      </c>
      <c r="J43" t="n">
        <v>0.4791689999628294</v>
      </c>
      <c r="K43" t="n">
        <v>-1.123333333188907</v>
      </c>
      <c r="L43" t="n">
        <v>1.676666666823908</v>
      </c>
      <c r="M43" t="n">
        <v>-1.123333333188907</v>
      </c>
      <c r="N43" t="n">
        <v>1.676666666823908</v>
      </c>
      <c r="O43" t="n">
        <v>1.94265013309766</v>
      </c>
      <c r="P43" t="n">
        <v>0.08497769320985871</v>
      </c>
      <c r="Q43" t="n">
        <v>-0.0318778817010399</v>
      </c>
      <c r="R43" t="n">
        <v>-0.0457148167570238</v>
      </c>
      <c r="S43" t="n">
        <v>-0.0086362927300418</v>
      </c>
      <c r="T43" t="n">
        <v>113.12171275187</v>
      </c>
      <c r="U43" t="n">
        <v>-1.094166666521905</v>
      </c>
      <c r="V43" t="n">
        <v>1.618333333490691</v>
      </c>
      <c r="W43" t="n">
        <v>0.4623550726454881</v>
      </c>
      <c r="X43" t="n">
        <v>-1.111666666521887</v>
      </c>
      <c r="Y43" t="n">
        <v>1.618333333490691</v>
      </c>
      <c r="Z43" t="n">
        <v>-1.111666666521887</v>
      </c>
      <c r="AA43" t="n">
        <v>1.618333333490691</v>
      </c>
      <c r="AB43" t="n">
        <v>0.8678623188911253</v>
      </c>
      <c r="AC43" t="n">
        <v>-0.0457148167570237</v>
      </c>
      <c r="AD43" t="n">
        <v>3.85973362869808</v>
      </c>
      <c r="AE43" t="n">
        <v>3.415328528929966</v>
      </c>
      <c r="AF43" t="n">
        <v>4.013914576680671</v>
      </c>
      <c r="AG43" t="n">
        <v>3.464233119498274</v>
      </c>
      <c r="AH43" t="n">
        <v>1.10584216088242</v>
      </c>
      <c r="AI43" t="n">
        <v>23.484</v>
      </c>
      <c r="AJ43" t="n">
        <v>23.064</v>
      </c>
      <c r="AK43" t="n">
        <v>0.7519818596939478</v>
      </c>
      <c r="AL43" t="n">
        <v>0.7519818596939478</v>
      </c>
      <c r="AM43" t="n">
        <v>1.73222</v>
      </c>
      <c r="AN43" t="n">
        <v>178.0405879020697</v>
      </c>
      <c r="AO43" t="n">
        <v>0.07015929654288459</v>
      </c>
      <c r="AP43" t="n">
        <v>0.0549330607120347</v>
      </c>
      <c r="AQ43" t="n">
        <v>0.055390712587229</v>
      </c>
      <c r="AR43" t="n">
        <v>0.0613095876441441</v>
      </c>
      <c r="AS43" t="n">
        <v>0.0609824628718126</v>
      </c>
    </row>
    <row r="44">
      <c r="A44" t="inlineStr">
        <is>
          <t>FaIR_anthro_unB</t>
        </is>
      </c>
      <c r="B44" t="inlineStr">
        <is>
          <t>43/1_ERF_FaIR</t>
        </is>
      </c>
      <c r="C44" t="inlineStr">
        <is>
          <t>c</t>
        </is>
      </c>
      <c r="D44" t="n">
        <v>0</v>
      </c>
      <c r="E44" t="n">
        <v>0.12</v>
      </c>
      <c r="F44" t="n">
        <v>0.018133707269958</v>
      </c>
      <c r="G44" t="n">
        <v>115.9715084507438</v>
      </c>
      <c r="H44" t="n">
        <v>-2.504999999854276</v>
      </c>
      <c r="I44" t="n">
        <v>0.7983333334913868</v>
      </c>
      <c r="J44" t="n">
        <v>-0.4211238744329997</v>
      </c>
      <c r="K44" t="n">
        <v>-2.504999999854276</v>
      </c>
      <c r="L44" t="n">
        <v>0.7983333334913868</v>
      </c>
      <c r="M44" t="n">
        <v>-2.504999999854276</v>
      </c>
      <c r="N44" t="n">
        <v>0.7983333334913868</v>
      </c>
      <c r="O44" t="n">
        <v>2.078593776760489</v>
      </c>
      <c r="P44" t="n">
        <v>0.08497769320985871</v>
      </c>
      <c r="Q44" t="n">
        <v>-0.0051078817010399</v>
      </c>
      <c r="R44" t="n">
        <v>-0.0189448167570238</v>
      </c>
      <c r="S44" t="n">
        <v>0.0181337072699581</v>
      </c>
      <c r="T44" t="n">
        <v>112.2944313955711</v>
      </c>
      <c r="U44" t="n">
        <v>-2.493333333187256</v>
      </c>
      <c r="V44" t="n">
        <v>0.7400000001581702</v>
      </c>
      <c r="W44" t="n">
        <v>-0.441340579528107</v>
      </c>
      <c r="X44" t="n">
        <v>-2.493333333187256</v>
      </c>
      <c r="Y44" t="n">
        <v>0.7400000001581702</v>
      </c>
      <c r="Z44" t="n">
        <v>-2.493333333187256</v>
      </c>
      <c r="AA44" t="n">
        <v>0.7400000001581702</v>
      </c>
      <c r="AB44" t="n">
        <v>0.9524999999414524</v>
      </c>
      <c r="AC44" t="n">
        <v>-0.0189448167570238</v>
      </c>
      <c r="AD44" t="n">
        <v>3.590687286569413</v>
      </c>
      <c r="AE44" t="n">
        <v>3.968003807752552</v>
      </c>
      <c r="AF44" t="n">
        <v>3.798895703236647</v>
      </c>
      <c r="AG44" t="n">
        <v>3.965993598049912</v>
      </c>
      <c r="AH44" t="n">
        <v>1.215450216050115</v>
      </c>
      <c r="AI44" t="n">
        <v>23.46</v>
      </c>
      <c r="AJ44" t="n">
        <v>23.04</v>
      </c>
      <c r="AK44" t="n">
        <v>0.907369402570413</v>
      </c>
      <c r="AL44" t="n">
        <v>0.907369402570413</v>
      </c>
      <c r="AM44" t="n">
        <v>1.73222</v>
      </c>
      <c r="AN44" t="n">
        <v>195.6874847840686</v>
      </c>
      <c r="AO44" t="n">
        <v>0.062707399923125</v>
      </c>
      <c r="AP44" t="n">
        <v>0.0572004103693815</v>
      </c>
      <c r="AQ44" t="n">
        <v>0.0487669472072097</v>
      </c>
      <c r="AR44" t="n">
        <v>0.0633491225221671</v>
      </c>
      <c r="AS44" t="n">
        <v>0.055035850832905</v>
      </c>
    </row>
    <row r="45">
      <c r="A45" t="inlineStr">
        <is>
          <t>FaIR_comb_unB</t>
        </is>
      </c>
      <c r="B45" t="inlineStr">
        <is>
          <t>43/1_ERF_FaIR</t>
        </is>
      </c>
      <c r="C45" t="inlineStr">
        <is>
          <t>c</t>
        </is>
      </c>
      <c r="D45" t="n">
        <v>0</v>
      </c>
      <c r="E45" t="n">
        <v>0</v>
      </c>
      <c r="F45" t="n">
        <v>0.0177979621758813</v>
      </c>
      <c r="G45" t="n">
        <v>121.5956245273599</v>
      </c>
      <c r="H45" t="n">
        <v>-2.389999999854358</v>
      </c>
      <c r="I45" t="n">
        <v>0.8283333334913141</v>
      </c>
      <c r="J45" t="n">
        <v>-0.3842377578321123</v>
      </c>
      <c r="K45" t="n">
        <v>-2.389999999854358</v>
      </c>
      <c r="L45" t="n">
        <v>0.8283333334913141</v>
      </c>
      <c r="M45" t="n">
        <v>-2.389999999854358</v>
      </c>
      <c r="N45" t="n">
        <v>0.8283333334913141</v>
      </c>
      <c r="O45" t="n">
        <v>2.229192511042267</v>
      </c>
      <c r="P45" t="n">
        <v>0.0726821402732261</v>
      </c>
      <c r="Q45" t="n">
        <v>0.0122179382822495</v>
      </c>
      <c r="R45" t="n">
        <v>-0.0238033900567049</v>
      </c>
      <c r="S45" t="n">
        <v>0.0177979621758813</v>
      </c>
      <c r="T45" t="n">
        <v>112.6595413272833</v>
      </c>
      <c r="U45" t="n">
        <v>-2.378333333187338</v>
      </c>
      <c r="V45" t="n">
        <v>0.7700000001580974</v>
      </c>
      <c r="W45" t="n">
        <v>-0.4079710143106193</v>
      </c>
      <c r="X45" t="n">
        <v>-2.378333333187338</v>
      </c>
      <c r="Y45" t="n">
        <v>0.7700000001580974</v>
      </c>
      <c r="Z45" t="n">
        <v>-2.378333333187338</v>
      </c>
      <c r="AA45" t="n">
        <v>0.7700000001580974</v>
      </c>
      <c r="AB45" t="n">
        <v>1.041884057926945</v>
      </c>
      <c r="AC45" t="n">
        <v>-0.0238033900567049</v>
      </c>
      <c r="AD45" t="n">
        <v>4.003262951953235</v>
      </c>
      <c r="AE45" t="n">
        <v>4.632291876307897</v>
      </c>
      <c r="AF45" t="n">
        <v>4.325578205017577</v>
      </c>
      <c r="AG45" t="n">
        <v>4.675248718396004</v>
      </c>
      <c r="AH45" t="n">
        <v>1.409818633735482</v>
      </c>
      <c r="AI45" t="n">
        <v>23.42</v>
      </c>
      <c r="AJ45" t="n">
        <v>23</v>
      </c>
      <c r="AK45" t="n">
        <v>0.979163393341945</v>
      </c>
      <c r="AL45" t="n">
        <v>0.979163393341945</v>
      </c>
      <c r="AM45" t="n">
        <v>2.08482</v>
      </c>
      <c r="AN45" t="n">
        <v>221.3415254964707</v>
      </c>
      <c r="AO45" t="n">
        <v>0.0537441960585848</v>
      </c>
      <c r="AP45" t="n">
        <v>0.0609629527576043</v>
      </c>
      <c r="AQ45" t="n">
        <v>0.0497469414643859</v>
      </c>
      <c r="AR45" t="n">
        <v>0.0694704855664279</v>
      </c>
      <c r="AS45" t="n">
        <v>0.058502342414601</v>
      </c>
    </row>
    <row r="46">
      <c r="A46" t="inlineStr">
        <is>
          <t>FaIR_nonat</t>
        </is>
      </c>
      <c r="B46" t="inlineStr">
        <is>
          <t>43/1_ERF_FaIR</t>
        </is>
      </c>
      <c r="C46" t="inlineStr">
        <is>
          <t>c</t>
        </is>
      </c>
      <c r="D46" t="n">
        <v>0</v>
      </c>
      <c r="E46" t="n">
        <v>0</v>
      </c>
      <c r="F46" t="n">
        <v>-0.0073586041233365</v>
      </c>
      <c r="G46" t="n">
        <v>107.8011928945376</v>
      </c>
      <c r="H46" t="n">
        <v>-0.7916666665225012</v>
      </c>
      <c r="I46" t="n">
        <v>1.568333333490659</v>
      </c>
      <c r="J46" t="n">
        <v>0.403427618759447</v>
      </c>
      <c r="K46" t="n">
        <v>-0.8183333331891436</v>
      </c>
      <c r="L46" t="n">
        <v>1.568333333490659</v>
      </c>
      <c r="M46" t="n">
        <v>-0.8183333331891436</v>
      </c>
      <c r="N46" t="n">
        <v>1.568333333490659</v>
      </c>
      <c r="O46" t="n">
        <v>1.880379346909849</v>
      </c>
      <c r="P46" t="n">
        <v>0.1029386123985277</v>
      </c>
      <c r="Q46" t="n">
        <v>-0.0181351716154441</v>
      </c>
      <c r="R46" t="n">
        <v>-0.0403196670988107</v>
      </c>
      <c r="S46" t="n">
        <v>-0.0073586041233365</v>
      </c>
      <c r="T46" t="n">
        <v>103.4856409784938</v>
      </c>
      <c r="U46" t="n">
        <v>-0.7799999998554813</v>
      </c>
      <c r="V46" t="n">
        <v>1.510000000157443</v>
      </c>
      <c r="W46" t="n">
        <v>0.3882971016309509</v>
      </c>
      <c r="X46" t="n">
        <v>-0.8066666665221237</v>
      </c>
      <c r="Y46" t="n">
        <v>1.510000000157443</v>
      </c>
      <c r="Z46" t="n">
        <v>-0.7533333331888389</v>
      </c>
      <c r="AA46" t="n">
        <v>1.510000000157443</v>
      </c>
      <c r="AB46" t="n">
        <v>0.9466304348185466</v>
      </c>
      <c r="AC46" t="n">
        <v>-0.0403196670988107</v>
      </c>
      <c r="AD46" t="n">
        <v>3.383348815242357</v>
      </c>
      <c r="AE46" t="n">
        <v>3.348345145548117</v>
      </c>
      <c r="AF46" t="n">
        <v>3.525256441155574</v>
      </c>
      <c r="AG46" t="n">
        <v>3.297624011565839</v>
      </c>
      <c r="AH46" t="n">
        <v>1.17114744187829</v>
      </c>
      <c r="AI46" t="n">
        <v>23.524</v>
      </c>
      <c r="AJ46" t="n">
        <v>23.104</v>
      </c>
      <c r="AK46" t="n">
        <v>0.9872999337530192</v>
      </c>
      <c r="AL46" t="n">
        <v>0.9872999337530192</v>
      </c>
      <c r="AM46" t="n">
        <v>2.08672</v>
      </c>
      <c r="AN46" t="n">
        <v>188.5547381424046</v>
      </c>
      <c r="AO46" t="n">
        <v>0.0551880773285669</v>
      </c>
      <c r="AP46" t="n">
        <v>0.0525235577961507</v>
      </c>
      <c r="AQ46" t="n">
        <v>0.051979130596866</v>
      </c>
      <c r="AR46" t="n">
        <v>0.0623212190434409</v>
      </c>
      <c r="AS46" t="n">
        <v>0.0607017394833338</v>
      </c>
    </row>
    <row r="47">
      <c r="A47" t="inlineStr">
        <is>
          <t>FaIR_nonat_unB</t>
        </is>
      </c>
      <c r="B47" t="inlineStr">
        <is>
          <t>43/1_ERF_FaIR</t>
        </is>
      </c>
      <c r="C47" t="inlineStr">
        <is>
          <t>c</t>
        </is>
      </c>
      <c r="D47" t="n">
        <v>0</v>
      </c>
      <c r="E47" t="n">
        <v>0</v>
      </c>
      <c r="F47" t="n">
        <v>0.0164905948460582</v>
      </c>
      <c r="G47" t="n">
        <v>120.8594320448306</v>
      </c>
      <c r="H47" t="n">
        <v>-2.10999999985464</v>
      </c>
      <c r="I47" t="n">
        <v>0.7550000001580748</v>
      </c>
      <c r="J47" t="n">
        <v>-0.407031592922306</v>
      </c>
      <c r="K47" t="n">
        <v>-2.129999999854622</v>
      </c>
      <c r="L47" t="n">
        <v>0.7550000001580748</v>
      </c>
      <c r="M47" t="n">
        <v>-2.129999999854622</v>
      </c>
      <c r="N47" t="n">
        <v>0.7550000001580748</v>
      </c>
      <c r="O47" t="n">
        <v>2.01946094870705</v>
      </c>
      <c r="P47" t="n">
        <v>0.082459095643323</v>
      </c>
      <c r="Q47" t="n">
        <v>0.008552774328909401</v>
      </c>
      <c r="R47" t="n">
        <v>-0.0164728064026239</v>
      </c>
      <c r="S47" t="n">
        <v>0.0164905948460582</v>
      </c>
      <c r="T47" t="n">
        <v>113.971373156438</v>
      </c>
      <c r="U47" t="n">
        <v>-2.09833333318762</v>
      </c>
      <c r="V47" t="n">
        <v>0.6966666668248581</v>
      </c>
      <c r="W47" t="n">
        <v>-0.4265579708325231</v>
      </c>
      <c r="X47" t="n">
        <v>-2.118333333187602</v>
      </c>
      <c r="Y47" t="n">
        <v>0.6966666668248581</v>
      </c>
      <c r="Z47" t="n">
        <v>-2.118333333187602</v>
      </c>
      <c r="AA47" t="n">
        <v>0.6966666668248581</v>
      </c>
      <c r="AB47" t="n">
        <v>1.027427536187861</v>
      </c>
      <c r="AC47" t="n">
        <v>-0.0164728064026239</v>
      </c>
      <c r="AD47" t="n">
        <v>3.804619871510698</v>
      </c>
      <c r="AE47" t="n">
        <v>4.263524323302493</v>
      </c>
      <c r="AF47" t="n">
        <v>4.084167689372106</v>
      </c>
      <c r="AG47" t="n">
        <v>4.299133196849206</v>
      </c>
      <c r="AH47" t="n">
        <v>1.349897961330213</v>
      </c>
      <c r="AI47" t="n">
        <v>23.464</v>
      </c>
      <c r="AJ47" t="n">
        <v>23.044</v>
      </c>
      <c r="AK47" t="n">
        <v>0.989499272924799</v>
      </c>
      <c r="AL47" t="n">
        <v>0.989499272924799</v>
      </c>
      <c r="AM47" t="n">
        <v>2.038</v>
      </c>
      <c r="AN47" t="n">
        <v>217.3335717741642</v>
      </c>
      <c r="AO47" t="n">
        <v>0.0515300109774986</v>
      </c>
      <c r="AP47" t="n">
        <v>0.0545576022309539</v>
      </c>
      <c r="AQ47" t="n">
        <v>0.0456339708144291</v>
      </c>
      <c r="AR47" t="n">
        <v>0.064046631572477</v>
      </c>
      <c r="AS47" t="n">
        <v>0.0553702410094523</v>
      </c>
    </row>
    <row r="48">
      <c r="A48" t="inlineStr">
        <is>
          <t>EBMKF_ta</t>
        </is>
      </c>
      <c r="B48" t="inlineStr">
        <is>
          <t>43/2_Kalman</t>
        </is>
      </c>
      <c r="C48" t="inlineStr">
        <is>
          <t>c</t>
        </is>
      </c>
      <c r="D48" t="n">
        <v>197.36</v>
      </c>
      <c r="E48" t="n">
        <v>216.42</v>
      </c>
      <c r="F48" t="n">
        <v>0.2105492954581613</v>
      </c>
      <c r="G48" t="n">
        <v>-3895.168777240539</v>
      </c>
      <c r="H48" t="n">
        <v>-6.414999999850711</v>
      </c>
      <c r="I48" t="n">
        <v>-7.048333333168152</v>
      </c>
      <c r="J48" t="n">
        <v>-7.716808849181721</v>
      </c>
      <c r="K48" t="n">
        <v>-6.414999999850711</v>
      </c>
      <c r="L48" t="n">
        <v>-7.048333333168152</v>
      </c>
      <c r="M48" t="n">
        <v>-6.414999999850711</v>
      </c>
      <c r="N48" t="n">
        <v>-7.048333333168152</v>
      </c>
      <c r="O48" t="n">
        <v>8.256708391685649</v>
      </c>
      <c r="P48" t="n">
        <v>0.0353817550875573</v>
      </c>
      <c r="Q48" t="n">
        <v>0.010461980584789</v>
      </c>
      <c r="R48" t="n">
        <v>0.3788312974540295</v>
      </c>
      <c r="S48" t="n">
        <v>0.2105492954581613</v>
      </c>
      <c r="T48" t="n">
        <v>-3792.534217225512</v>
      </c>
      <c r="U48" t="n">
        <v>-6.403333333183691</v>
      </c>
      <c r="V48" t="n">
        <v>-7.106666666501369</v>
      </c>
      <c r="W48" t="n">
        <v>-7.663405796920554</v>
      </c>
      <c r="X48" t="n">
        <v>-6.403333333183691</v>
      </c>
      <c r="Y48" t="n">
        <v>-7.106666666501369</v>
      </c>
      <c r="Z48" t="n">
        <v>-6.403333333183691</v>
      </c>
      <c r="AA48" t="n">
        <v>-7.106666666501369</v>
      </c>
      <c r="AB48" t="n">
        <v>7.663405796920554</v>
      </c>
      <c r="AC48" t="n">
        <v>0.3788312974540296</v>
      </c>
      <c r="AD48" s="1" t="n">
        <v>2.306170232609778e-06</v>
      </c>
      <c r="AE48" s="1" t="n">
        <v>2.224664798302852e-16</v>
      </c>
      <c r="AF48" t="n">
        <v>0.1414165185141933</v>
      </c>
      <c r="AG48" t="n">
        <v>2.820017456507259e-08</v>
      </c>
      <c r="AH48" t="n">
        <v>-23.17550644846824</v>
      </c>
      <c r="AI48" t="n">
        <v>23.42</v>
      </c>
      <c r="AJ48" t="n">
        <v>23</v>
      </c>
      <c r="AK48" s="1" t="n">
        <v>1.315212984208221e-38</v>
      </c>
      <c r="AL48" s="1" t="n">
        <v>1.830089996623419e-36</v>
      </c>
      <c r="AM48" t="n">
        <v>0.5112599999999999</v>
      </c>
      <c r="AN48" t="n">
        <v>-5353.541989596165</v>
      </c>
      <c r="AO48" t="n">
        <v>0.2176946911981226</v>
      </c>
      <c r="AP48" t="n">
        <v>0.2884878414806192</v>
      </c>
      <c r="AQ48" t="n">
        <v>0.3285085075125686</v>
      </c>
      <c r="AR48" t="n">
        <v>0.2848860135481693</v>
      </c>
      <c r="AS48" t="n">
        <v>0.325480512490746</v>
      </c>
    </row>
    <row r="49">
      <c r="A49" t="inlineStr">
        <is>
          <t>EBMKF_ta2</t>
        </is>
      </c>
      <c r="B49" t="inlineStr">
        <is>
          <t>43/2_Kalman</t>
        </is>
      </c>
      <c r="C49" t="inlineStr">
        <is>
          <t>c</t>
        </is>
      </c>
      <c r="D49" t="n">
        <v>126.56</v>
      </c>
      <c r="E49" t="n">
        <v>180.48</v>
      </c>
      <c r="F49" t="n">
        <v>0.1765671804320293</v>
      </c>
      <c r="G49" t="n">
        <v>-2286.539453022207</v>
      </c>
      <c r="H49" t="n">
        <v>-8.109999999849165</v>
      </c>
      <c r="I49" t="n">
        <v>-7.964999999833976</v>
      </c>
      <c r="J49" t="n">
        <v>-6.559177371357219</v>
      </c>
      <c r="K49" t="n">
        <v>-8.109999999849165</v>
      </c>
      <c r="L49" t="n">
        <v>-7.964999999833976</v>
      </c>
      <c r="M49" t="n">
        <v>-8.109999999849165</v>
      </c>
      <c r="N49" t="n">
        <v>-7.964999999833976</v>
      </c>
      <c r="O49" t="n">
        <v>6.804094692723182</v>
      </c>
      <c r="P49" t="n">
        <v>0.0311320519833166</v>
      </c>
      <c r="Q49" t="n">
        <v>0.0676692078859413</v>
      </c>
      <c r="R49" t="n">
        <v>0.2031924864509513</v>
      </c>
      <c r="S49" t="n">
        <v>0.1765671804320294</v>
      </c>
      <c r="T49" t="n">
        <v>-2205.953688064791</v>
      </c>
      <c r="U49" t="n">
        <v>-8.098333333182145</v>
      </c>
      <c r="V49" t="n">
        <v>-8.023333333167193</v>
      </c>
      <c r="W49" t="n">
        <v>-6.608333333149727</v>
      </c>
      <c r="X49" t="n">
        <v>-8.098333333182145</v>
      </c>
      <c r="Y49" t="n">
        <v>-8.023333333167193</v>
      </c>
      <c r="Z49" t="n">
        <v>-8.098333333182145</v>
      </c>
      <c r="AA49" t="n">
        <v>-8.023333333167193</v>
      </c>
      <c r="AB49" t="n">
        <v>6.608333333149727</v>
      </c>
      <c r="AC49" t="n">
        <v>0.2031924864509513</v>
      </c>
      <c r="AD49" t="n">
        <v>5.101191765949114e-13</v>
      </c>
      <c r="AE49" t="n">
        <v>1.698995531334185e-17</v>
      </c>
      <c r="AF49" t="n">
        <v>2.904188239754632e-06</v>
      </c>
      <c r="AG49" t="n">
        <v>3.123769504196217e-13</v>
      </c>
      <c r="AH49" t="n">
        <v>-9.39776593841327</v>
      </c>
      <c r="AI49" t="n">
        <v>23.42</v>
      </c>
      <c r="AJ49" t="n">
        <v>23</v>
      </c>
      <c r="AK49" s="1" t="n">
        <v>4.812651968090965e-14</v>
      </c>
      <c r="AL49" s="1" t="n">
        <v>4.821116974103132e-14</v>
      </c>
      <c r="AM49" t="n">
        <v>1.54032</v>
      </c>
      <c r="AN49" t="n">
        <v>-2170.883931773465</v>
      </c>
      <c r="AO49" t="n">
        <v>0.1293332683318528</v>
      </c>
      <c r="AP49" t="n">
        <v>0.1959708026887496</v>
      </c>
      <c r="AQ49" t="n">
        <v>0.2225123207456148</v>
      </c>
      <c r="AR49" t="n">
        <v>0.192831353085479</v>
      </c>
      <c r="AS49" t="n">
        <v>0.2198941907565473</v>
      </c>
    </row>
    <row r="50">
      <c r="A50" t="inlineStr">
        <is>
          <t>EBMKF_ta4</t>
        </is>
      </c>
      <c r="B50" t="inlineStr">
        <is>
          <t>43/2_Kalman</t>
        </is>
      </c>
      <c r="C50" t="inlineStr">
        <is>
          <t>c</t>
        </is>
      </c>
      <c r="D50" t="n">
        <v>1.24</v>
      </c>
      <c r="E50" t="n">
        <v>8.24</v>
      </c>
      <c r="F50" t="n">
        <v>0.0010563696360212</v>
      </c>
      <c r="G50" t="n">
        <v>166.1688302653198</v>
      </c>
      <c r="H50" t="n">
        <v>-0.2983333331896074</v>
      </c>
      <c r="I50" t="n">
        <v>0.08000000015867489</v>
      </c>
      <c r="J50" t="n">
        <v>-0.0437534308671918</v>
      </c>
      <c r="K50" t="n">
        <v>-0.4949999998560952</v>
      </c>
      <c r="L50" t="n">
        <v>0.0566666668253628</v>
      </c>
      <c r="M50" t="n">
        <v>-0.3683333331895437</v>
      </c>
      <c r="N50" t="n">
        <v>0.0566666668253628</v>
      </c>
      <c r="O50" t="n">
        <v>1.230951202511608</v>
      </c>
      <c r="P50" t="n">
        <v>0.0489312287108161</v>
      </c>
      <c r="Q50" t="n">
        <v>0.0015616910678165</v>
      </c>
      <c r="R50" t="n">
        <v>-0.012164424458012</v>
      </c>
      <c r="S50" t="n">
        <v>0.0010563696360212</v>
      </c>
      <c r="T50" t="n">
        <v>96.35364693520388</v>
      </c>
      <c r="U50" t="n">
        <v>-0.2866666665225875</v>
      </c>
      <c r="V50" t="n">
        <v>0.0216666668254583</v>
      </c>
      <c r="W50" t="n">
        <v>-0.0555797099632071</v>
      </c>
      <c r="X50" t="n">
        <v>-0.4833333331890753</v>
      </c>
      <c r="Y50" t="n">
        <v>-0.0016666665078537</v>
      </c>
      <c r="Z50" t="n">
        <v>-0.3566666665225238</v>
      </c>
      <c r="AA50" t="n">
        <v>0.0450000001587704</v>
      </c>
      <c r="AB50" t="n">
        <v>0.8339855072096989</v>
      </c>
      <c r="AC50" t="n">
        <v>-0.012164424458012</v>
      </c>
      <c r="AD50" t="n">
        <v>6.556335446416381</v>
      </c>
      <c r="AE50" t="n">
        <v>6.664899033644981</v>
      </c>
      <c r="AF50" t="n">
        <v>8.586511270367264</v>
      </c>
      <c r="AG50" t="n">
        <v>9.034371827017942</v>
      </c>
      <c r="AH50" t="n">
        <v>1.784479295496132</v>
      </c>
      <c r="AI50" t="n">
        <v>24.42</v>
      </c>
      <c r="AJ50" t="n">
        <v>24</v>
      </c>
      <c r="AK50" t="n">
        <v>0.2603051878414402</v>
      </c>
      <c r="AL50" t="n">
        <v>0.4791267026224149</v>
      </c>
      <c r="AM50" t="n">
        <v>3.5757</v>
      </c>
      <c r="AN50" t="n">
        <v>412.2147172596066</v>
      </c>
      <c r="AO50" t="n">
        <v>0.0386067424056708</v>
      </c>
      <c r="AP50" t="n">
        <v>0.0381270706681365</v>
      </c>
      <c r="AQ50" t="n">
        <v>0.0367954778777895</v>
      </c>
      <c r="AR50" t="n">
        <v>0.0560488161795397</v>
      </c>
      <c r="AS50" t="n">
        <v>0.0547955776424557</v>
      </c>
    </row>
    <row r="51">
      <c r="A51" t="inlineStr">
        <is>
          <t>GWI_anthro</t>
        </is>
      </c>
      <c r="B51" t="inlineStr">
        <is>
          <t>43/3_Human_Induced</t>
        </is>
      </c>
      <c r="C51" t="inlineStr">
        <is>
          <t>c</t>
        </is>
      </c>
      <c r="D51" t="n">
        <v>14.64</v>
      </c>
      <c r="E51" t="n">
        <v>54.7</v>
      </c>
      <c r="F51" t="n">
        <v>0.0247003342675194</v>
      </c>
      <c r="G51" t="n">
        <v>101.351645012185</v>
      </c>
      <c r="H51" t="n">
        <v>-2.624999999854149</v>
      </c>
      <c r="I51" t="n">
        <v>-0.8333333331738004</v>
      </c>
      <c r="J51" t="n">
        <v>-0.5742476392542619</v>
      </c>
      <c r="K51" t="n">
        <v>-2.624999999854149</v>
      </c>
      <c r="L51" t="n">
        <v>-0.8333333331738004</v>
      </c>
      <c r="M51" t="n">
        <v>-2.624999999854149</v>
      </c>
      <c r="N51" t="n">
        <v>-0.8333333331738004</v>
      </c>
      <c r="O51" t="n">
        <v>2.278059070752697</v>
      </c>
      <c r="P51" t="n">
        <v>0.0532180239795535</v>
      </c>
      <c r="Q51" t="n">
        <v>0.0376665371110085</v>
      </c>
      <c r="R51" t="n">
        <v>-0.0238898339206572</v>
      </c>
      <c r="S51" t="n">
        <v>0.0247003342675194</v>
      </c>
      <c r="T51" t="n">
        <v>87.69404095039663</v>
      </c>
      <c r="U51" t="n">
        <v>-2.613333333187129</v>
      </c>
      <c r="V51" t="n">
        <v>-0.891666666507017</v>
      </c>
      <c r="W51" t="n">
        <v>-0.6203623186576896</v>
      </c>
      <c r="X51" t="n">
        <v>-2.613333333187129</v>
      </c>
      <c r="Y51" t="n">
        <v>-0.891666666507017</v>
      </c>
      <c r="Z51" t="n">
        <v>-2.613333333187129</v>
      </c>
      <c r="AA51" t="n">
        <v>-0.891666666507017</v>
      </c>
      <c r="AB51" t="n">
        <v>1.164130434716417</v>
      </c>
      <c r="AC51" t="n">
        <v>-0.0238898339206572</v>
      </c>
      <c r="AD51" t="n">
        <v>3.843045555895368</v>
      </c>
      <c r="AE51" t="n">
        <v>6.191015554612012</v>
      </c>
      <c r="AF51" t="n">
        <v>3.965347842537615</v>
      </c>
      <c r="AG51" t="n">
        <v>6.650204427917181</v>
      </c>
      <c r="AH51" t="n">
        <v>0.9316230862836886</v>
      </c>
      <c r="AI51" t="n">
        <v>23.5</v>
      </c>
      <c r="AJ51" t="n">
        <v>23.08</v>
      </c>
      <c r="AK51" t="n">
        <v>0.1177830726226653</v>
      </c>
      <c r="AL51" t="n">
        <v>0.1722682743679772</v>
      </c>
      <c r="AM51" t="n">
        <v>1.71378</v>
      </c>
      <c r="AN51" t="n">
        <v>131.3588551660001</v>
      </c>
      <c r="AO51" t="n">
        <v>0.0753144592132234</v>
      </c>
      <c r="AP51" t="n">
        <v>0.0672473898612882</v>
      </c>
      <c r="AQ51" t="n">
        <v>0.0586369439689775</v>
      </c>
      <c r="AR51" t="n">
        <v>0.071940884229028</v>
      </c>
      <c r="AS51" t="n">
        <v>0.0609626861927001</v>
      </c>
    </row>
    <row r="52">
      <c r="A52" t="inlineStr">
        <is>
          <t>GWI_anthro_AR6</t>
        </is>
      </c>
      <c r="B52" t="inlineStr">
        <is>
          <t>43/3_Human_Induced</t>
        </is>
      </c>
      <c r="C52" t="inlineStr">
        <is>
          <t>c</t>
        </is>
      </c>
      <c r="D52" t="n">
        <v>74.40000000000001</v>
      </c>
      <c r="E52" t="n">
        <v>111.44</v>
      </c>
      <c r="F52" t="n">
        <v>0.0333465061247386</v>
      </c>
      <c r="G52" t="n">
        <v>21.39365706442765</v>
      </c>
      <c r="H52" t="n">
        <v>-3.223333333186933</v>
      </c>
      <c r="I52" t="n">
        <v>-0.9416666665070398</v>
      </c>
      <c r="J52" t="n">
        <v>-0.7218920178220859</v>
      </c>
      <c r="K52" t="n">
        <v>-3.223333333186933</v>
      </c>
      <c r="L52" t="n">
        <v>-0.9416666665070398</v>
      </c>
      <c r="M52" t="n">
        <v>-3.223333333186933</v>
      </c>
      <c r="N52" t="n">
        <v>-0.9416666665070398</v>
      </c>
      <c r="O52" t="n">
        <v>2.822433761128192</v>
      </c>
      <c r="P52" t="n">
        <v>0.0459791255078782</v>
      </c>
      <c r="Q52" t="n">
        <v>0.07100902744765709</v>
      </c>
      <c r="R52" t="n">
        <v>-0.0321774592875433</v>
      </c>
      <c r="S52" t="n">
        <v>0.0333465061247386</v>
      </c>
      <c r="T52" t="n">
        <v>9.44657734217636</v>
      </c>
      <c r="U52" t="n">
        <v>-3.211666666519914</v>
      </c>
      <c r="V52" t="n">
        <v>-0.9999999998402564</v>
      </c>
      <c r="W52" t="n">
        <v>-0.7833333331499773</v>
      </c>
      <c r="X52" t="n">
        <v>-3.211666666519914</v>
      </c>
      <c r="Y52" t="n">
        <v>-0.9999999998402564</v>
      </c>
      <c r="Z52" t="n">
        <v>-3.211666666519914</v>
      </c>
      <c r="AA52" t="n">
        <v>-0.9999999998402564</v>
      </c>
      <c r="AB52" t="n">
        <v>1.211884057904653</v>
      </c>
      <c r="AC52" t="n">
        <v>-0.0321774592875433</v>
      </c>
      <c r="AD52" t="n">
        <v>3.096429500798392</v>
      </c>
      <c r="AE52" t="n">
        <v>6.271127467544067</v>
      </c>
      <c r="AF52" t="n">
        <v>3.169703502141959</v>
      </c>
      <c r="AG52" t="n">
        <v>6.904919290000854</v>
      </c>
      <c r="AH52" t="n">
        <v>-1.120127176006808</v>
      </c>
      <c r="AI52" t="n">
        <v>23.44</v>
      </c>
      <c r="AJ52" t="n">
        <v>23.02</v>
      </c>
      <c r="AK52" s="1" t="n">
        <v>1.237631520545631e-05</v>
      </c>
      <c r="AL52" t="n">
        <v>0.0001711328634285</v>
      </c>
      <c r="AM52" t="n">
        <v>1.29946</v>
      </c>
      <c r="AN52" t="n">
        <v>-157.93793181696</v>
      </c>
      <c r="AO52" t="n">
        <v>0.1093427733610194</v>
      </c>
      <c r="AP52" t="n">
        <v>0.0816825204823933</v>
      </c>
      <c r="AQ52" t="n">
        <v>0.0662774463196119</v>
      </c>
      <c r="AR52" t="n">
        <v>0.0848363858012484</v>
      </c>
      <c r="AS52" t="n">
        <v>0.06778055862322831</v>
      </c>
    </row>
    <row r="53">
      <c r="A53" t="inlineStr">
        <is>
          <t>GWI_anthro_CGWL</t>
        </is>
      </c>
      <c r="B53" t="inlineStr">
        <is>
          <t>43/3_Human_Induced</t>
        </is>
      </c>
      <c r="C53" t="inlineStr">
        <is>
          <t>c</t>
        </is>
      </c>
      <c r="D53" t="n">
        <v>15.5</v>
      </c>
      <c r="E53" t="n">
        <v>51.04</v>
      </c>
      <c r="F53" t="n">
        <v>0.0328649982684616</v>
      </c>
      <c r="G53" t="n">
        <v>94.76934563741986</v>
      </c>
      <c r="H53" t="n">
        <v>-2.904999999853912</v>
      </c>
      <c r="I53" t="n">
        <v>-1.096666666506931</v>
      </c>
      <c r="J53" t="n">
        <v>-0.9000002743003311</v>
      </c>
      <c r="K53" t="n">
        <v>-2.904999999853912</v>
      </c>
      <c r="L53" t="n">
        <v>-1.096666666506931</v>
      </c>
      <c r="M53" t="n">
        <v>-2.904999999853912</v>
      </c>
      <c r="N53" t="n">
        <v>-1.096666666506931</v>
      </c>
      <c r="O53" t="n">
        <v>2.411871474665451</v>
      </c>
      <c r="P53" t="n">
        <v>0.0557626092165107</v>
      </c>
      <c r="Q53" t="n">
        <v>0.0429842560372847</v>
      </c>
      <c r="R53" t="n">
        <v>-0.0149906921967621</v>
      </c>
      <c r="S53" t="n">
        <v>0.0328649982684616</v>
      </c>
      <c r="T53" t="n">
        <v>81.28055767032802</v>
      </c>
      <c r="U53" t="n">
        <v>-2.893333333186892</v>
      </c>
      <c r="V53" t="n">
        <v>-1.154999999840147</v>
      </c>
      <c r="W53" t="n">
        <v>-0.9323550722808004</v>
      </c>
      <c r="X53" t="n">
        <v>-2.893333333186892</v>
      </c>
      <c r="Y53" t="n">
        <v>-1.154999999840147</v>
      </c>
      <c r="Z53" t="n">
        <v>-2.893333333186892</v>
      </c>
      <c r="AA53" t="n">
        <v>-1.154999999840147</v>
      </c>
      <c r="AB53" t="n">
        <v>1.300471014404539</v>
      </c>
      <c r="AC53" t="n">
        <v>-0.0149906921967621</v>
      </c>
      <c r="AD53" t="n">
        <v>3.495839267456112</v>
      </c>
      <c r="AE53" t="n">
        <v>5.641973118742081</v>
      </c>
      <c r="AF53" t="n">
        <v>3.63567305970912</v>
      </c>
      <c r="AG53" t="n">
        <v>6.207956034689339</v>
      </c>
      <c r="AH53" t="n">
        <v>0.8904530934541316</v>
      </c>
      <c r="AI53" t="n">
        <v>23.44</v>
      </c>
      <c r="AJ53" t="n">
        <v>23.02</v>
      </c>
      <c r="AK53" t="n">
        <v>0.153293744535288</v>
      </c>
      <c r="AL53" t="n">
        <v>0.2037907006679878</v>
      </c>
      <c r="AM53" t="n">
        <v>1.84836</v>
      </c>
      <c r="AN53" t="n">
        <v>125.5538861770326</v>
      </c>
      <c r="AO53" t="n">
        <v>0.07851415851274</v>
      </c>
      <c r="AP53" t="n">
        <v>0.07016916570623651</v>
      </c>
      <c r="AQ53" t="n">
        <v>0.0595629565878353</v>
      </c>
      <c r="AR53" t="n">
        <v>0.0748002183345072</v>
      </c>
      <c r="AS53" t="n">
        <v>0.0619352297095406</v>
      </c>
    </row>
    <row r="54">
      <c r="A54" t="inlineStr">
        <is>
          <t>GWI_anthro_SR15</t>
        </is>
      </c>
      <c r="B54" t="inlineStr">
        <is>
          <t>43/3_Human_Induced</t>
        </is>
      </c>
      <c r="C54" t="inlineStr">
        <is>
          <t>c</t>
        </is>
      </c>
      <c r="D54" t="n">
        <v>14.28</v>
      </c>
      <c r="E54" t="n">
        <v>55.22</v>
      </c>
      <c r="F54" t="n">
        <v>0.0242068714209244</v>
      </c>
      <c r="G54" t="n">
        <v>104.3122831275455</v>
      </c>
      <c r="H54" t="n">
        <v>-2.569999999854194</v>
      </c>
      <c r="I54" t="n">
        <v>-0.8666666665071125</v>
      </c>
      <c r="J54" t="n">
        <v>-0.5424717279675204</v>
      </c>
      <c r="K54" t="n">
        <v>-2.569999999854194</v>
      </c>
      <c r="L54" t="n">
        <v>-0.8666666665071125</v>
      </c>
      <c r="M54" t="n">
        <v>-2.569999999854194</v>
      </c>
      <c r="N54" t="n">
        <v>-0.8666666665071125</v>
      </c>
      <c r="O54" t="n">
        <v>2.215332572069455</v>
      </c>
      <c r="P54" t="n">
        <v>0.052307120818859</v>
      </c>
      <c r="Q54" t="n">
        <v>0.037047187672121</v>
      </c>
      <c r="R54" t="n">
        <v>-0.0233455179364809</v>
      </c>
      <c r="S54" t="n">
        <v>0.0242068714209244</v>
      </c>
      <c r="T54" t="n">
        <v>90.58390623640008</v>
      </c>
      <c r="U54" t="n">
        <v>-2.558333333187174</v>
      </c>
      <c r="V54" t="n">
        <v>-0.9249999998403292</v>
      </c>
      <c r="W54" t="n">
        <v>-0.5883695650345417</v>
      </c>
      <c r="X54" t="n">
        <v>-2.558333333187174</v>
      </c>
      <c r="Y54" t="n">
        <v>-0.9249999998403292</v>
      </c>
      <c r="Z54" t="n">
        <v>-2.558333333187174</v>
      </c>
      <c r="AA54" t="n">
        <v>-0.9249999998403292</v>
      </c>
      <c r="AB54" t="n">
        <v>1.154311594136718</v>
      </c>
      <c r="AC54" t="n">
        <v>-0.0233455179364809</v>
      </c>
      <c r="AD54" t="n">
        <v>3.844384014644072</v>
      </c>
      <c r="AE54" t="n">
        <v>6.160416230249277</v>
      </c>
      <c r="AF54" t="n">
        <v>3.982209013077215</v>
      </c>
      <c r="AG54" t="n">
        <v>6.612538203364794</v>
      </c>
      <c r="AH54" t="n">
        <v>0.9517902940414672</v>
      </c>
      <c r="AI54" t="n">
        <v>23.52</v>
      </c>
      <c r="AJ54" t="n">
        <v>23.1</v>
      </c>
      <c r="AK54" t="n">
        <v>0.08649395972570061</v>
      </c>
      <c r="AL54" t="n">
        <v>0.1398173007788584</v>
      </c>
      <c r="AM54" t="n">
        <v>1.6299</v>
      </c>
      <c r="AN54" t="n">
        <v>134.2024314598468</v>
      </c>
      <c r="AO54" t="n">
        <v>0.0737579280256546</v>
      </c>
      <c r="AP54" t="n">
        <v>0.06619820263913009</v>
      </c>
      <c r="AQ54" t="n">
        <v>0.0581622539412714</v>
      </c>
      <c r="AR54" t="n">
        <v>0.07094147176282881</v>
      </c>
      <c r="AS54" t="n">
        <v>0.0604744976982682</v>
      </c>
    </row>
    <row r="55">
      <c r="A55" t="inlineStr">
        <is>
          <t>GWI_tot</t>
        </is>
      </c>
      <c r="B55" t="inlineStr">
        <is>
          <t>43/3_Human_Induced</t>
        </is>
      </c>
      <c r="C55" t="inlineStr">
        <is>
          <t>c</t>
        </is>
      </c>
      <c r="D55" t="n">
        <v>17.14</v>
      </c>
      <c r="E55" t="n">
        <v>59.68</v>
      </c>
      <c r="F55" t="n">
        <v>0.0284652711970497</v>
      </c>
      <c r="G55" t="n">
        <v>89.73298287048732</v>
      </c>
      <c r="H55" t="n">
        <v>-2.8916666665206</v>
      </c>
      <c r="I55" t="n">
        <v>-1.16666666650684</v>
      </c>
      <c r="J55" t="n">
        <v>-0.6935128456659908</v>
      </c>
      <c r="K55" t="n">
        <v>-2.8916666665206</v>
      </c>
      <c r="L55" t="n">
        <v>-1.16666666650684</v>
      </c>
      <c r="M55" t="n">
        <v>-2.8916666665206</v>
      </c>
      <c r="N55" t="n">
        <v>-1.16666666650684</v>
      </c>
      <c r="O55" t="n">
        <v>2.561647620933748</v>
      </c>
      <c r="P55" t="n">
        <v>0.052950218230176</v>
      </c>
      <c r="Q55" t="n">
        <v>0.0359363074781052</v>
      </c>
      <c r="R55" t="n">
        <v>-0.027627211455799</v>
      </c>
      <c r="S55" t="n">
        <v>0.0284652711970497</v>
      </c>
      <c r="T55" t="n">
        <v>62.2577224036737</v>
      </c>
      <c r="U55" t="n">
        <v>-2.879999999853581</v>
      </c>
      <c r="V55" t="n">
        <v>-1.224999999840056</v>
      </c>
      <c r="W55" t="n">
        <v>-0.7443115940197833</v>
      </c>
      <c r="X55" t="n">
        <v>-2.879999999853581</v>
      </c>
      <c r="Y55" t="n">
        <v>-1.224999999840056</v>
      </c>
      <c r="Z55" t="n">
        <v>-2.879999999853581</v>
      </c>
      <c r="AA55" t="n">
        <v>-1.224999999840056</v>
      </c>
      <c r="AB55" t="n">
        <v>1.287210144853877</v>
      </c>
      <c r="AC55" t="n">
        <v>-0.027627211455799</v>
      </c>
      <c r="AD55" t="n">
        <v>4.240209263654726</v>
      </c>
      <c r="AE55" t="n">
        <v>5.417942305065065</v>
      </c>
      <c r="AF55" t="n">
        <v>4.084701084082947</v>
      </c>
      <c r="AG55" t="n">
        <v>6.093077552791005</v>
      </c>
      <c r="AH55" t="n">
        <v>0.7703545312080553</v>
      </c>
      <c r="AI55" t="n">
        <v>23.54</v>
      </c>
      <c r="AJ55" t="n">
        <v>23.12</v>
      </c>
      <c r="AK55" t="n">
        <v>0.0244846128837411</v>
      </c>
      <c r="AL55" t="n">
        <v>0.0715880807964739</v>
      </c>
      <c r="AM55" t="n">
        <v>2.71822</v>
      </c>
      <c r="AN55" t="n">
        <v>108.6199889003358</v>
      </c>
      <c r="AO55" t="n">
        <v>0.0803213043549693</v>
      </c>
      <c r="AP55" t="n">
        <v>0.0729800644315548</v>
      </c>
      <c r="AQ55" t="n">
        <v>0.0591901018982185</v>
      </c>
      <c r="AR55" t="n">
        <v>0.0808012014811921</v>
      </c>
      <c r="AS55" t="n">
        <v>0.0657673655522287</v>
      </c>
    </row>
    <row r="56">
      <c r="A56" t="inlineStr">
        <is>
          <t>GWI_tot_AR6</t>
        </is>
      </c>
      <c r="B56" t="inlineStr">
        <is>
          <t>43/3_Human_Induced</t>
        </is>
      </c>
      <c r="C56" t="inlineStr">
        <is>
          <t>c</t>
        </is>
      </c>
      <c r="D56" t="n">
        <v>71.58</v>
      </c>
      <c r="E56" t="n">
        <v>113.78</v>
      </c>
      <c r="F56" t="n">
        <v>0.0342046089403678</v>
      </c>
      <c r="G56" t="n">
        <v>25.08248930788014</v>
      </c>
      <c r="H56" t="n">
        <v>-3.768333333186442</v>
      </c>
      <c r="I56" t="n">
        <v>-1.098333333173573</v>
      </c>
      <c r="J56" t="n">
        <v>-0.92900252506819</v>
      </c>
      <c r="K56" t="n">
        <v>-3.768333333186442</v>
      </c>
      <c r="L56" t="n">
        <v>-1.098333333173573</v>
      </c>
      <c r="M56" t="n">
        <v>-3.768333333186442</v>
      </c>
      <c r="N56" t="n">
        <v>-1.098333333173573</v>
      </c>
      <c r="O56" t="n">
        <v>3.196583246337226</v>
      </c>
      <c r="P56" t="n">
        <v>0.0448532369579555</v>
      </c>
      <c r="Q56" t="n">
        <v>0.0724644836112306</v>
      </c>
      <c r="R56" t="n">
        <v>-0.0340184949432581</v>
      </c>
      <c r="S56" t="n">
        <v>0.0342046089403679</v>
      </c>
      <c r="T56" t="n">
        <v>-0.7139282793628818</v>
      </c>
      <c r="U56" t="n">
        <v>-3.756666666519422</v>
      </c>
      <c r="V56" t="n">
        <v>-1.15666666650679</v>
      </c>
      <c r="W56" t="n">
        <v>-0.9973188403960768</v>
      </c>
      <c r="X56" t="n">
        <v>-3.756666666519422</v>
      </c>
      <c r="Y56" t="n">
        <v>-1.15666666650679</v>
      </c>
      <c r="Z56" t="n">
        <v>-3.756666666519422</v>
      </c>
      <c r="AA56" t="n">
        <v>-1.15666666650679</v>
      </c>
      <c r="AB56" t="n">
        <v>1.38152173904922</v>
      </c>
      <c r="AC56" t="n">
        <v>-0.0340184949432581</v>
      </c>
      <c r="AD56" t="n">
        <v>2.933853893363736</v>
      </c>
      <c r="AE56" t="n">
        <v>5.830025504116127</v>
      </c>
      <c r="AF56" t="n">
        <v>3.149184116191586</v>
      </c>
      <c r="AG56" t="n">
        <v>6.57735588777954</v>
      </c>
      <c r="AH56" t="n">
        <v>-2.150535161531545</v>
      </c>
      <c r="AI56" t="n">
        <v>23.42</v>
      </c>
      <c r="AJ56" t="n">
        <v>23</v>
      </c>
      <c r="AK56" s="1" t="n">
        <v>3.171618798858129e-07</v>
      </c>
      <c r="AL56" s="1" t="n">
        <v>3.333806345782051e-05</v>
      </c>
      <c r="AM56" t="n">
        <v>1.38384</v>
      </c>
      <c r="AN56" t="n">
        <v>-303.2254577759479</v>
      </c>
      <c r="AO56" t="n">
        <v>0.1132261086822186</v>
      </c>
      <c r="AP56" t="n">
        <v>0.0827526833687187</v>
      </c>
      <c r="AQ56" t="n">
        <v>0.067098626203573</v>
      </c>
      <c r="AR56" t="n">
        <v>0.0890229999575622</v>
      </c>
      <c r="AS56" t="n">
        <v>0.07245286610465849</v>
      </c>
    </row>
    <row r="57">
      <c r="A57" t="inlineStr">
        <is>
          <t>GWI_tot_CGWL</t>
        </is>
      </c>
      <c r="B57" t="inlineStr">
        <is>
          <t>43/3_Human_Induced</t>
        </is>
      </c>
      <c r="C57" t="inlineStr">
        <is>
          <t>c</t>
        </is>
      </c>
      <c r="D57" t="n">
        <v>8.34</v>
      </c>
      <c r="E57" t="n">
        <v>41.66</v>
      </c>
      <c r="F57" t="n">
        <v>0.0262196059622142</v>
      </c>
      <c r="G57" t="n">
        <v>99.7172019835607</v>
      </c>
      <c r="H57" t="n">
        <v>-2.916666666520564</v>
      </c>
      <c r="I57" t="n">
        <v>-0.8633333331737912</v>
      </c>
      <c r="J57" t="n">
        <v>-0.7284398329300374</v>
      </c>
      <c r="K57" t="n">
        <v>-2.916666666520564</v>
      </c>
      <c r="L57" t="n">
        <v>-0.8633333331737912</v>
      </c>
      <c r="M57" t="n">
        <v>-2.916666666520564</v>
      </c>
      <c r="N57" t="n">
        <v>-0.8633333331737912</v>
      </c>
      <c r="O57" t="n">
        <v>2.515204686586881</v>
      </c>
      <c r="P57" t="n">
        <v>0.054669182145572</v>
      </c>
      <c r="Q57" t="n">
        <v>0.0330982017242126</v>
      </c>
      <c r="R57" t="n">
        <v>-0.0259081863238422</v>
      </c>
      <c r="S57" t="n">
        <v>0.0262196059622143</v>
      </c>
      <c r="T57" t="n">
        <v>73.48056387621401</v>
      </c>
      <c r="U57" t="n">
        <v>-2.904999999853544</v>
      </c>
      <c r="V57" t="n">
        <v>-0.921666666507008</v>
      </c>
      <c r="W57" t="n">
        <v>-0.7638043476430443</v>
      </c>
      <c r="X57" t="n">
        <v>-2.904999999853544</v>
      </c>
      <c r="Y57" t="n">
        <v>-0.921666666507008</v>
      </c>
      <c r="Z57" t="n">
        <v>-2.904999999853544</v>
      </c>
      <c r="AA57" t="n">
        <v>-0.921666666507008</v>
      </c>
      <c r="AB57" t="n">
        <v>1.292355072390126</v>
      </c>
      <c r="AC57" t="n">
        <v>-0.0259081863238422</v>
      </c>
      <c r="AD57" t="n">
        <v>3.832172037361685</v>
      </c>
      <c r="AE57" t="n">
        <v>5.929668357247327</v>
      </c>
      <c r="AF57" t="n">
        <v>3.938763018884773</v>
      </c>
      <c r="AG57" t="n">
        <v>6.559363401326847</v>
      </c>
      <c r="AH57" t="n">
        <v>1.070952115864264</v>
      </c>
      <c r="AI57" t="n">
        <v>23.46</v>
      </c>
      <c r="AJ57" t="n">
        <v>23.04</v>
      </c>
      <c r="AK57" t="n">
        <v>0.2236868734722573</v>
      </c>
      <c r="AL57" t="n">
        <v>0.2796758835847175</v>
      </c>
      <c r="AM57" t="n">
        <v>1.8809</v>
      </c>
      <c r="AN57" t="n">
        <v>151.0042483368612</v>
      </c>
      <c r="AO57" t="n">
        <v>0.0699163824748032</v>
      </c>
      <c r="AP57" t="n">
        <v>0.06833470300094451</v>
      </c>
      <c r="AQ57" t="n">
        <v>0.0574318338403442</v>
      </c>
      <c r="AR57" t="n">
        <v>0.0767494078849706</v>
      </c>
      <c r="AS57" t="n">
        <v>0.06426245252941711</v>
      </c>
    </row>
    <row r="58">
      <c r="A58" t="inlineStr">
        <is>
          <t>GWI_tot_SR15</t>
        </is>
      </c>
      <c r="B58" t="inlineStr">
        <is>
          <t>43/3_Human_Induced</t>
        </is>
      </c>
      <c r="C58" t="inlineStr">
        <is>
          <t>c</t>
        </is>
      </c>
      <c r="D58" t="n">
        <v>14.94</v>
      </c>
      <c r="E58" t="n">
        <v>52.62</v>
      </c>
      <c r="F58" t="n">
        <v>0.0274310101093942</v>
      </c>
      <c r="G58" t="n">
        <v>93.41204656937325</v>
      </c>
      <c r="H58" t="n">
        <v>-2.879999999853903</v>
      </c>
      <c r="I58" t="n">
        <v>-0.9399999998403882</v>
      </c>
      <c r="J58" t="n">
        <v>-0.7000935988499954</v>
      </c>
      <c r="K58" t="n">
        <v>-2.879999999853903</v>
      </c>
      <c r="L58" t="n">
        <v>-0.9399999998403882</v>
      </c>
      <c r="M58" t="n">
        <v>-2.879999999853903</v>
      </c>
      <c r="N58" t="n">
        <v>-0.9399999998403882</v>
      </c>
      <c r="O58" t="n">
        <v>2.637276297152436</v>
      </c>
      <c r="P58" t="n">
        <v>0.051495026127723</v>
      </c>
      <c r="Q58" t="n">
        <v>0.0348194206449633</v>
      </c>
      <c r="R58" t="n">
        <v>-0.027444913991469</v>
      </c>
      <c r="S58" t="n">
        <v>0.0274310101093942</v>
      </c>
      <c r="T58" t="n">
        <v>64.84121166609856</v>
      </c>
      <c r="U58" t="n">
        <v>-2.868333333186884</v>
      </c>
      <c r="V58" t="n">
        <v>-0.9983333331736048</v>
      </c>
      <c r="W58" t="n">
        <v>-0.7528623186574542</v>
      </c>
      <c r="X58" t="n">
        <v>-2.868333333186884</v>
      </c>
      <c r="Y58" t="n">
        <v>-0.9983333331736048</v>
      </c>
      <c r="Z58" t="n">
        <v>-2.868333333186884</v>
      </c>
      <c r="AA58" t="n">
        <v>-0.9983333331736048</v>
      </c>
      <c r="AB58" t="n">
        <v>1.313224637622122</v>
      </c>
      <c r="AC58" t="n">
        <v>-0.027444913991469</v>
      </c>
      <c r="AD58" t="n">
        <v>3.900697098151837</v>
      </c>
      <c r="AE58" t="n">
        <v>5.772483593506321</v>
      </c>
      <c r="AF58" t="n">
        <v>3.987486148065233</v>
      </c>
      <c r="AG58" t="n">
        <v>6.43687578833954</v>
      </c>
      <c r="AH58" t="n">
        <v>0.86761448542349</v>
      </c>
      <c r="AI58" t="n">
        <v>23.56</v>
      </c>
      <c r="AJ58" t="n">
        <v>23.14</v>
      </c>
      <c r="AK58" t="n">
        <v>0.0535787161169763</v>
      </c>
      <c r="AL58" t="n">
        <v>0.1138452702948441</v>
      </c>
      <c r="AM58" t="n">
        <v>1.81672</v>
      </c>
      <c r="AN58" t="n">
        <v>122.3336424447121</v>
      </c>
      <c r="AO58" t="n">
        <v>0.07462050878762699</v>
      </c>
      <c r="AP58" t="n">
        <v>0.0717557144509644</v>
      </c>
      <c r="AQ58" t="n">
        <v>0.057756814686066</v>
      </c>
      <c r="AR58" t="n">
        <v>0.0796927321594491</v>
      </c>
      <c r="AS58" t="n">
        <v>0.0644386703845392</v>
      </c>
    </row>
    <row r="59">
      <c r="A59" t="inlineStr">
        <is>
          <t>CGWL10y_pUKCP</t>
        </is>
      </c>
      <c r="B59" t="inlineStr">
        <is>
          <t>44/44_EarthModel_CGWL</t>
        </is>
      </c>
      <c r="C59" t="inlineStr">
        <is>
          <t>c</t>
        </is>
      </c>
      <c r="D59" t="n">
        <v>0</v>
      </c>
      <c r="E59" t="n">
        <v>0.82</v>
      </c>
      <c r="F59" t="n">
        <v>-0.0355056695656829</v>
      </c>
      <c r="G59" t="n">
        <v>47.85495144058083</v>
      </c>
      <c r="H59" t="n">
        <v>2.938333333474097</v>
      </c>
      <c r="I59" t="n">
        <v>3.525000000155555</v>
      </c>
      <c r="J59" t="n">
        <v>1.630476641594678</v>
      </c>
      <c r="K59" t="n">
        <v>2.938333333474097</v>
      </c>
      <c r="L59" t="n">
        <v>3.525000000155555</v>
      </c>
      <c r="M59" t="n">
        <v>2.938333333474097</v>
      </c>
      <c r="N59" t="n">
        <v>3.525000000155555</v>
      </c>
      <c r="O59" t="n">
        <v>2.311513699607051</v>
      </c>
      <c r="P59" t="n">
        <v>0.1351072170488212</v>
      </c>
      <c r="Q59" t="n">
        <v>-0.0190718873831551</v>
      </c>
      <c r="R59" t="n">
        <v>-0.0363792307125894</v>
      </c>
      <c r="S59" t="n">
        <v>-0.0355056695656829</v>
      </c>
      <c r="T59" t="n">
        <v>47.77774349931437</v>
      </c>
      <c r="U59" t="n">
        <v>2.950000000141117</v>
      </c>
      <c r="V59" t="n">
        <v>3.466666666822339</v>
      </c>
      <c r="W59" t="n">
        <v>1.681992753803066</v>
      </c>
      <c r="X59" t="n">
        <v>2.950000000141117</v>
      </c>
      <c r="Y59" t="n">
        <v>3.466666666822339</v>
      </c>
      <c r="Z59" t="n">
        <v>2.950000000141117</v>
      </c>
      <c r="AA59" t="n">
        <v>3.466666666822339</v>
      </c>
      <c r="AB59" t="n">
        <v>1.681992753803066</v>
      </c>
      <c r="AC59" t="n">
        <v>-0.0363792307125893</v>
      </c>
      <c r="AD59" t="n">
        <v>1.879764171133152</v>
      </c>
      <c r="AE59" t="n">
        <v>1.414925724596753</v>
      </c>
      <c r="AF59" t="n">
        <v>1.866995042981712</v>
      </c>
      <c r="AG59" t="n">
        <v>1.414056482454037</v>
      </c>
      <c r="AH59" t="n">
        <v>1.017413139138836</v>
      </c>
      <c r="AI59" t="n">
        <v>23.46</v>
      </c>
      <c r="AJ59" t="n">
        <v>23.04</v>
      </c>
      <c r="AK59" t="n">
        <v>0.8808458961683143</v>
      </c>
      <c r="AL59" t="n">
        <v>0.8907003573211967</v>
      </c>
      <c r="AM59" t="n">
        <v>1.47976</v>
      </c>
      <c r="AN59" t="n">
        <v>232.9876088627936</v>
      </c>
      <c r="AO59" t="n">
        <v>0.0519749466274804</v>
      </c>
      <c r="AP59" t="n">
        <v>0.0620005114432036</v>
      </c>
      <c r="AQ59" t="n">
        <v>0.0710159247291279</v>
      </c>
      <c r="AR59" t="n">
        <v>0.0624459612123657</v>
      </c>
      <c r="AS59" t="n">
        <v>0.0712385478916774</v>
      </c>
    </row>
    <row r="60">
      <c r="A60" t="inlineStr">
        <is>
          <t>CGWL10y_sfUKCP</t>
        </is>
      </c>
      <c r="B60" t="inlineStr">
        <is>
          <t>44/44_EarthModel_CGWL</t>
        </is>
      </c>
      <c r="C60" t="inlineStr">
        <is>
          <t>c</t>
        </is>
      </c>
      <c r="D60" t="n">
        <v>0</v>
      </c>
      <c r="E60" t="n">
        <v>0.02</v>
      </c>
      <c r="F60" t="n">
        <v>0.0195487392819329</v>
      </c>
      <c r="G60" t="n">
        <v>134.0344335787405</v>
      </c>
      <c r="H60" t="n">
        <v>1.475833333475439</v>
      </c>
      <c r="I60" t="n">
        <v>-0.0791666665078264</v>
      </c>
      <c r="J60" t="n">
        <v>-0.6097202549055043</v>
      </c>
      <c r="K60" t="n">
        <v>1.233333333475662</v>
      </c>
      <c r="L60" t="n">
        <v>-0.1783333331744097</v>
      </c>
      <c r="M60" t="n">
        <v>1.591666666808664</v>
      </c>
      <c r="N60" t="n">
        <v>-0.1466666665077673</v>
      </c>
      <c r="O60" t="n">
        <v>1.566977927658515</v>
      </c>
      <c r="P60" t="n">
        <v>0.053848964002322</v>
      </c>
      <c r="Q60" t="n">
        <v>0.006928734333781</v>
      </c>
      <c r="R60" t="n">
        <v>0.0469609034061431</v>
      </c>
      <c r="S60" t="n">
        <v>0.0195487392819329</v>
      </c>
      <c r="T60" t="n">
        <v>105.8472242505589</v>
      </c>
      <c r="U60" t="n">
        <v>1.487500000142459</v>
      </c>
      <c r="V60" t="n">
        <v>-0.137499999841043</v>
      </c>
      <c r="W60" t="n">
        <v>-0.5978985505437617</v>
      </c>
      <c r="X60" t="n">
        <v>1.245000000142682</v>
      </c>
      <c r="Y60" t="n">
        <v>-0.2366666665076263</v>
      </c>
      <c r="Z60" t="n">
        <v>1.403333333475866</v>
      </c>
      <c r="AA60" t="n">
        <v>-0.2366666665076263</v>
      </c>
      <c r="AB60" t="n">
        <v>1.125265700424958</v>
      </c>
      <c r="AC60" t="n">
        <v>0.0469609034061431</v>
      </c>
      <c r="AD60" t="n">
        <v>4.437018555350823</v>
      </c>
      <c r="AE60" t="n">
        <v>4.858791831826121</v>
      </c>
      <c r="AF60" t="n">
        <v>5.121383755452914</v>
      </c>
      <c r="AG60" t="n">
        <v>5.9904882600192</v>
      </c>
      <c r="AH60" t="n">
        <v>1.590348528851093</v>
      </c>
      <c r="AI60" t="n">
        <v>26.428</v>
      </c>
      <c r="AJ60" t="n">
        <v>25.968</v>
      </c>
      <c r="AK60" t="n">
        <v>0.9446857036489564</v>
      </c>
      <c r="AL60" t="n">
        <v>0.9589876926540808</v>
      </c>
      <c r="AM60" t="n">
        <v>6.03476</v>
      </c>
      <c r="AN60" t="n">
        <v>349.8766763472406</v>
      </c>
      <c r="AO60" t="n">
        <v>0.0467549718016119</v>
      </c>
      <c r="AP60" t="n">
        <v>0.0516100299047905</v>
      </c>
      <c r="AQ60" t="n">
        <v>0.0546882361655962</v>
      </c>
      <c r="AR60" t="n">
        <v>0.0707029234475003</v>
      </c>
      <c r="AS60" t="n">
        <v>0.07257572303162831</v>
      </c>
    </row>
    <row r="61">
      <c r="A61" t="inlineStr">
        <is>
          <t>CGWL10y_sUKCP</t>
        </is>
      </c>
      <c r="B61" t="inlineStr">
        <is>
          <t>44/44_EarthModel_CGWL</t>
        </is>
      </c>
      <c r="C61" t="inlineStr">
        <is>
          <t>c</t>
        </is>
      </c>
      <c r="D61" t="n">
        <v>0</v>
      </c>
      <c r="E61" t="n">
        <v>0.04</v>
      </c>
      <c r="F61" t="n">
        <v>0.021618761694833</v>
      </c>
      <c r="G61" t="n">
        <v>131.9678824532889</v>
      </c>
      <c r="H61" t="n">
        <v>1.703333333475234</v>
      </c>
      <c r="I61" t="n">
        <v>0.2050000001585567</v>
      </c>
      <c r="J61" t="n">
        <v>-0.6793000656946946</v>
      </c>
      <c r="K61" t="n">
        <v>1.620000000141977</v>
      </c>
      <c r="L61" t="n">
        <v>0.2050000001585567</v>
      </c>
      <c r="M61" t="n">
        <v>1.786666666808492</v>
      </c>
      <c r="N61" t="n">
        <v>0.2050000001585567</v>
      </c>
      <c r="O61" t="n">
        <v>1.777845873278951</v>
      </c>
      <c r="P61" t="n">
        <v>0.055405358122831</v>
      </c>
      <c r="Q61" t="n">
        <v>0.007626365928532</v>
      </c>
      <c r="R61" t="n">
        <v>0.0537062852006209</v>
      </c>
      <c r="S61" t="n">
        <v>0.0216187616948331</v>
      </c>
      <c r="T61" t="n">
        <v>104.7956410936006</v>
      </c>
      <c r="U61" t="n">
        <v>1.715000000142254</v>
      </c>
      <c r="V61" t="n">
        <v>0.1466666668253401</v>
      </c>
      <c r="W61" t="n">
        <v>-0.6669927534424529</v>
      </c>
      <c r="X61" t="n">
        <v>1.631666666808996</v>
      </c>
      <c r="Y61" t="n">
        <v>0.1466666668253401</v>
      </c>
      <c r="Z61" t="n">
        <v>1.798333333475512</v>
      </c>
      <c r="AA61" t="n">
        <v>0.1466666668253401</v>
      </c>
      <c r="AB61" t="n">
        <v>1.153079710079632</v>
      </c>
      <c r="AC61" t="n">
        <v>0.0537062852006209</v>
      </c>
      <c r="AD61" t="n">
        <v>4.764505171416452</v>
      </c>
      <c r="AE61" t="n">
        <v>4.91257702032519</v>
      </c>
      <c r="AF61" t="n">
        <v>5.308795322805744</v>
      </c>
      <c r="AG61" t="n">
        <v>6.094847713732374</v>
      </c>
      <c r="AH61" t="n">
        <v>1.555748221533866</v>
      </c>
      <c r="AI61" t="n">
        <v>24.032</v>
      </c>
      <c r="AJ61" t="n">
        <v>23.612</v>
      </c>
      <c r="AK61" t="n">
        <v>0.911436513931915</v>
      </c>
      <c r="AL61" t="n">
        <v>0.9495315829345464</v>
      </c>
      <c r="AM61" t="n">
        <v>3.20882</v>
      </c>
      <c r="AN61" t="n">
        <v>342.2646087374506</v>
      </c>
      <c r="AO61" t="n">
        <v>0.0484347457108081</v>
      </c>
      <c r="AP61" t="n">
        <v>0.0531874296736491</v>
      </c>
      <c r="AQ61" t="n">
        <v>0.0576972706842105</v>
      </c>
      <c r="AR61" t="n">
        <v>0.07223123060678489</v>
      </c>
      <c r="AS61" t="n">
        <v>0.0751186050806644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 Nicklas</dc:creator>
  <dcterms:created xsi:type="dcterms:W3CDTF">2025-07-05T21:43:17Z</dcterms:created>
  <dcterms:modified xsi:type="dcterms:W3CDTF">2026-10-22T04:58:27Z</dcterms:modified>
  <cp:lastModifiedBy>John Nicklas</cp:lastModifiedBy>
</cp:coreProperties>
</file>