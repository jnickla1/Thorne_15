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Common_Data/"/>
    </mc:Choice>
  </mc:AlternateContent>
  <xr:revisionPtr revIDLastSave="0" documentId="13_ncr:1_{E774FA20-6A2C-264E-9183-82EDF2C24A3D}" xr6:coauthVersionLast="47" xr6:coauthVersionMax="47" xr10:uidLastSave="{00000000-0000-0000-0000-000000000000}"/>
  <bookViews>
    <workbookView xWindow="13340" yWindow="2360" windowWidth="27640" windowHeight="16940" activeTab="2" xr2:uid="{EB692CA6-D399-914A-8C62-CB1A49C58546}"/>
  </bookViews>
  <sheets>
    <sheet name="meiv2" sheetId="1" r:id="rId1"/>
    <sheet name="meiEXT" sheetId="2" r:id="rId2"/>
    <sheet name="mei_shif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5" i="3" l="1"/>
  <c r="N156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B157" i="3"/>
  <c r="C157" i="3"/>
  <c r="D157" i="3"/>
  <c r="E157" i="3"/>
  <c r="F157" i="3"/>
  <c r="G157" i="3"/>
  <c r="H157" i="3"/>
  <c r="I157" i="3"/>
  <c r="A156" i="3"/>
  <c r="A157" i="3"/>
  <c r="A155" i="3"/>
  <c r="N21" i="3"/>
  <c r="N47" i="1"/>
  <c r="N48" i="1"/>
  <c r="N154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3" i="3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2" i="2"/>
  <c r="Q33" i="1" a="1"/>
  <c r="Q33" i="1" s="1"/>
  <c r="W47" i="1" s="1"/>
  <c r="Q23" i="1" a="1"/>
  <c r="Q23" i="1" s="1"/>
  <c r="V47" i="1" s="1"/>
  <c r="Q13" i="1" a="1"/>
  <c r="Q13" i="1" s="1"/>
  <c r="U47" i="1" s="1"/>
  <c r="Z47" i="1"/>
  <c r="Q3" i="1" a="1"/>
  <c r="Q3" i="1" s="1"/>
  <c r="T47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2" i="1"/>
  <c r="Q8" i="1" l="1"/>
  <c r="T48" i="1" s="1"/>
  <c r="X47" i="1" s="1" a="1"/>
  <c r="X47" i="1" s="1"/>
  <c r="Q18" i="1"/>
  <c r="U48" i="1" s="1"/>
  <c r="Q28" i="1"/>
  <c r="V48" i="1" s="1"/>
  <c r="Q38" i="1"/>
  <c r="W48" i="1" s="1"/>
  <c r="Y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<sst xmlns="http://schemas.openxmlformats.org/spreadsheetml/2006/main" count="52" uniqueCount="33">
  <si>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YEAR</t>
  </si>
  <si>
    <t>DJ</t>
  </si>
  <si>
    <t>JF</t>
  </si>
  <si>
    <t>FM</t>
  </si>
  <si>
    <t>MA</t>
  </si>
  <si>
    <t>AM</t>
  </si>
  <si>
    <t>MJ</t>
  </si>
  <si>
    <t>JJ</t>
  </si>
  <si>
    <t>JA</t>
  </si>
  <si>
    <t>AS</t>
  </si>
  <si>
    <t>SO</t>
  </si>
  <si>
    <t>ON</t>
  </si>
  <si>
    <t>ND</t>
  </si>
  <si>
    <t>Avg</t>
  </si>
  <si>
    <t>b</t>
  </si>
  <si>
    <t>m1</t>
  </si>
  <si>
    <t>No projection</t>
  </si>
  <si>
    <t>Projections not recursive!!</t>
  </si>
  <si>
    <t>DECJAN</t>
  </si>
  <si>
    <t>JANFEB</t>
  </si>
  <si>
    <t>FEBMAR</t>
  </si>
  <si>
    <t>MARAPR</t>
  </si>
  <si>
    <t>APRMAY</t>
  </si>
  <si>
    <t>MAYJUN</t>
  </si>
  <si>
    <t>JUNJUL</t>
  </si>
  <si>
    <t>JULAUG</t>
  </si>
  <si>
    <t>AUGSEP</t>
  </si>
  <si>
    <t>SEPOCT</t>
  </si>
  <si>
    <t>OCTNOV</t>
  </si>
  <si>
    <t>NOVDEC</t>
  </si>
  <si>
    <t>AVG</t>
  </si>
  <si>
    <t>strongly correlated!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</si>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</sst>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91B4-DEC9-7E46-9CD5-4BE5EBD6D1BA}">
  <dimension ref="A1:Z51"/>
  <sheetViews>
    <sheetView topLeftCell="A7" zoomScale="75" workbookViewId="0">
      <selection activeCell="A47" sqref="A47:N48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1" x14ac:dyDescent="0.2">
      <c r="A2">
        <v>1979</v>
      </c>
      <c r="B2">
        <v>0.47</v>
      </c>
      <c r="C2">
        <v>0.28999999999999998</v>
      </c>
      <c r="D2">
        <v>-0.05</v>
      </c>
      <c r="E2">
        <v>0.21</v>
      </c>
      <c r="F2">
        <v>0.27</v>
      </c>
      <c r="G2">
        <v>-0.11</v>
      </c>
      <c r="H2">
        <v>-0.11</v>
      </c>
      <c r="I2">
        <v>0.47</v>
      </c>
      <c r="J2">
        <v>0.38</v>
      </c>
      <c r="K2">
        <v>0.23</v>
      </c>
      <c r="L2">
        <v>0.53</v>
      </c>
      <c r="M2">
        <v>0.63</v>
      </c>
      <c r="N2">
        <f>AVERAGE(B2:M2)</f>
        <v>0.26750000000000002</v>
      </c>
      <c r="Q2" t="s">
        <v>15</v>
      </c>
      <c r="U2" t="s">
        <v>14</v>
      </c>
    </row>
    <row r="3" spans="1:21" x14ac:dyDescent="0.2">
      <c r="A3">
        <v>1980</v>
      </c>
      <c r="B3">
        <v>0.33</v>
      </c>
      <c r="C3">
        <v>0.2</v>
      </c>
      <c r="D3">
        <v>0.39</v>
      </c>
      <c r="E3">
        <v>0.51</v>
      </c>
      <c r="F3">
        <v>0.45</v>
      </c>
      <c r="G3">
        <v>0.55000000000000004</v>
      </c>
      <c r="H3">
        <v>0.47</v>
      </c>
      <c r="I3">
        <v>0.03</v>
      </c>
      <c r="J3">
        <v>0.12</v>
      </c>
      <c r="K3">
        <v>0.02</v>
      </c>
      <c r="L3">
        <v>-7.0000000000000007E-2</v>
      </c>
      <c r="M3">
        <v>-0.12</v>
      </c>
      <c r="N3">
        <f t="shared" ref="N3:N48" si="0">AVERAGE(B3:M3)</f>
        <v>0.24000000000000002</v>
      </c>
      <c r="P3" t="s">
        <v>9</v>
      </c>
      <c r="Q3" cm="1">
        <f t="array" ref="Q3:U7">LINEST(J2:J46,F2:I46,TRUE,TRUE)</f>
        <v>1.1426008988800092</v>
      </c>
      <c r="R3">
        <v>-0.34182679395741528</v>
      </c>
      <c r="S3">
        <v>0.28656522919953109</v>
      </c>
      <c r="T3">
        <v>-9.2474448491331004E-2</v>
      </c>
      <c r="U3">
        <v>-1.2985414926076827E-2</v>
      </c>
    </row>
    <row r="4" spans="1:21" x14ac:dyDescent="0.2">
      <c r="A4">
        <v>1981</v>
      </c>
      <c r="B4">
        <v>-0.36</v>
      </c>
      <c r="C4">
        <v>-0.23</v>
      </c>
      <c r="D4">
        <v>0.33</v>
      </c>
      <c r="E4">
        <v>0.43</v>
      </c>
      <c r="F4">
        <v>-0.24</v>
      </c>
      <c r="G4">
        <v>-0.7</v>
      </c>
      <c r="H4">
        <v>-0.61</v>
      </c>
      <c r="I4">
        <v>-0.34</v>
      </c>
      <c r="J4">
        <v>-7.0000000000000007E-2</v>
      </c>
      <c r="K4">
        <v>-0.16</v>
      </c>
      <c r="L4">
        <v>-0.27</v>
      </c>
      <c r="M4">
        <v>-0.19</v>
      </c>
      <c r="N4">
        <f t="shared" si="0"/>
        <v>-0.20083333333333331</v>
      </c>
      <c r="Q4">
        <v>0.10770580449102082</v>
      </c>
      <c r="R4">
        <v>0.14978880833498912</v>
      </c>
      <c r="S4">
        <v>0.14030674540733418</v>
      </c>
      <c r="T4">
        <v>8.7136800265967443E-2</v>
      </c>
      <c r="U4">
        <v>3.0430981539925961E-2</v>
      </c>
    </row>
    <row r="5" spans="1:21" x14ac:dyDescent="0.2">
      <c r="A5">
        <v>1982</v>
      </c>
      <c r="B5">
        <v>-0.43</v>
      </c>
      <c r="C5">
        <v>-0.49</v>
      </c>
      <c r="D5">
        <v>-0.27</v>
      </c>
      <c r="E5">
        <v>-0.36</v>
      </c>
      <c r="F5">
        <v>-0.12</v>
      </c>
      <c r="G5">
        <v>0.62</v>
      </c>
      <c r="H5">
        <v>1.65</v>
      </c>
      <c r="I5">
        <v>1.91</v>
      </c>
      <c r="J5">
        <v>1.69</v>
      </c>
      <c r="K5">
        <v>1.78</v>
      </c>
      <c r="L5">
        <v>2.14</v>
      </c>
      <c r="M5">
        <v>2.37</v>
      </c>
      <c r="N5">
        <f t="shared" si="0"/>
        <v>0.87416666666666654</v>
      </c>
      <c r="Q5">
        <v>0.96322645677157459</v>
      </c>
      <c r="R5">
        <v>0.20256183863203686</v>
      </c>
      <c r="S5" t="e">
        <v>#N/A</v>
      </c>
      <c r="T5" t="e">
        <v>#N/A</v>
      </c>
      <c r="U5" t="e">
        <v>#N/A</v>
      </c>
    </row>
    <row r="6" spans="1:21" x14ac:dyDescent="0.2">
      <c r="A6">
        <v>1983</v>
      </c>
      <c r="B6">
        <v>2.48</v>
      </c>
      <c r="C6">
        <v>2.68</v>
      </c>
      <c r="D6">
        <v>2.61</v>
      </c>
      <c r="E6">
        <v>2.76</v>
      </c>
      <c r="F6">
        <v>2.86</v>
      </c>
      <c r="G6">
        <v>1.98</v>
      </c>
      <c r="H6">
        <v>0.63</v>
      </c>
      <c r="I6">
        <v>-0.17</v>
      </c>
      <c r="J6">
        <v>-0.49</v>
      </c>
      <c r="K6">
        <v>-0.53</v>
      </c>
      <c r="L6">
        <v>-0.47</v>
      </c>
      <c r="M6">
        <v>-0.5</v>
      </c>
      <c r="N6">
        <f t="shared" si="0"/>
        <v>1.1533333333333333</v>
      </c>
      <c r="Q6">
        <v>261.93463349134578</v>
      </c>
      <c r="R6">
        <v>40</v>
      </c>
      <c r="S6" t="e">
        <v>#N/A</v>
      </c>
      <c r="T6" t="e">
        <v>#N/A</v>
      </c>
      <c r="U6" t="e">
        <v>#N/A</v>
      </c>
    </row>
    <row r="7" spans="1:21" x14ac:dyDescent="0.2">
      <c r="A7">
        <v>1984</v>
      </c>
      <c r="B7">
        <v>-0.54</v>
      </c>
      <c r="C7">
        <v>-0.56000000000000005</v>
      </c>
      <c r="D7">
        <v>-0.16</v>
      </c>
      <c r="E7">
        <v>7.0000000000000007E-2</v>
      </c>
      <c r="F7">
        <v>-0.45</v>
      </c>
      <c r="G7">
        <v>-0.66</v>
      </c>
      <c r="H7">
        <v>-0.34</v>
      </c>
      <c r="I7">
        <v>-0.2</v>
      </c>
      <c r="J7">
        <v>-0.14000000000000001</v>
      </c>
      <c r="K7">
        <v>-0.19</v>
      </c>
      <c r="L7">
        <v>-0.57999999999999996</v>
      </c>
      <c r="M7">
        <v>-0.28000000000000003</v>
      </c>
      <c r="N7">
        <f t="shared" si="0"/>
        <v>-0.33583333333333337</v>
      </c>
      <c r="Q7">
        <v>42.99007250564479</v>
      </c>
      <c r="R7">
        <v>1.6412519387996536</v>
      </c>
      <c r="S7" t="e">
        <v>#N/A</v>
      </c>
      <c r="T7" t="e">
        <v>#N/A</v>
      </c>
      <c r="U7" t="e">
        <v>#N/A</v>
      </c>
    </row>
    <row r="8" spans="1:21" x14ac:dyDescent="0.2">
      <c r="A8">
        <v>1985</v>
      </c>
      <c r="B8">
        <v>-0.25</v>
      </c>
      <c r="C8">
        <v>-0.57999999999999996</v>
      </c>
      <c r="D8">
        <v>-0.6</v>
      </c>
      <c r="E8">
        <v>-0.76</v>
      </c>
      <c r="F8">
        <v>-1.23</v>
      </c>
      <c r="G8">
        <v>-0.67</v>
      </c>
      <c r="H8">
        <v>-0.1</v>
      </c>
      <c r="I8">
        <v>-0.49</v>
      </c>
      <c r="J8">
        <v>-0.56000000000000005</v>
      </c>
      <c r="K8">
        <v>-0.08</v>
      </c>
      <c r="L8">
        <v>-0.06</v>
      </c>
      <c r="M8">
        <v>-0.42</v>
      </c>
      <c r="N8">
        <f t="shared" si="0"/>
        <v>-0.48333333333333334</v>
      </c>
      <c r="Q8">
        <f>Q7/(Q7+R7)</f>
        <v>0.96322645677157459</v>
      </c>
    </row>
    <row r="9" spans="1:21" x14ac:dyDescent="0.2">
      <c r="A9">
        <v>1986</v>
      </c>
      <c r="B9">
        <v>-0.4</v>
      </c>
      <c r="C9">
        <v>-0.34</v>
      </c>
      <c r="D9">
        <v>-0.4</v>
      </c>
      <c r="E9">
        <v>-0.53</v>
      </c>
      <c r="F9">
        <v>-0.26</v>
      </c>
      <c r="G9">
        <v>0.01</v>
      </c>
      <c r="H9">
        <v>0.41</v>
      </c>
      <c r="I9">
        <v>0.97</v>
      </c>
      <c r="J9">
        <v>1.29</v>
      </c>
      <c r="K9">
        <v>0.56000000000000005</v>
      </c>
      <c r="L9">
        <v>0.64</v>
      </c>
      <c r="M9">
        <v>1.06</v>
      </c>
      <c r="N9">
        <f t="shared" si="0"/>
        <v>0.2508333333333333</v>
      </c>
    </row>
    <row r="10" spans="1:21" x14ac:dyDescent="0.2">
      <c r="A10">
        <v>1987</v>
      </c>
      <c r="B10">
        <v>1.03</v>
      </c>
      <c r="C10">
        <v>1.1599999999999999</v>
      </c>
      <c r="D10">
        <v>1.57</v>
      </c>
      <c r="E10">
        <v>1.74</v>
      </c>
      <c r="F10">
        <v>1.96</v>
      </c>
      <c r="G10">
        <v>2.0699999999999998</v>
      </c>
      <c r="H10">
        <v>1.88</v>
      </c>
      <c r="I10">
        <v>1.46</v>
      </c>
      <c r="J10">
        <v>1.26</v>
      </c>
      <c r="K10">
        <v>1.18</v>
      </c>
      <c r="L10">
        <v>0.9</v>
      </c>
      <c r="M10">
        <v>0.79</v>
      </c>
      <c r="N10">
        <f t="shared" si="0"/>
        <v>1.4166666666666667</v>
      </c>
    </row>
    <row r="11" spans="1:21" x14ac:dyDescent="0.2">
      <c r="A11">
        <v>1988</v>
      </c>
      <c r="B11">
        <v>0.63</v>
      </c>
      <c r="C11">
        <v>0.33</v>
      </c>
      <c r="D11">
        <v>0.17</v>
      </c>
      <c r="E11">
        <v>-0.01</v>
      </c>
      <c r="F11">
        <v>-0.39</v>
      </c>
      <c r="G11">
        <v>-1.17</v>
      </c>
      <c r="H11">
        <v>-1.78</v>
      </c>
      <c r="I11">
        <v>-1.81</v>
      </c>
      <c r="J11">
        <v>-1.8</v>
      </c>
      <c r="K11">
        <v>-1.59</v>
      </c>
      <c r="L11">
        <v>-1.7</v>
      </c>
      <c r="M11">
        <v>-1.55</v>
      </c>
      <c r="N11">
        <f t="shared" si="0"/>
        <v>-0.88916666666666666</v>
      </c>
    </row>
    <row r="12" spans="1:21" x14ac:dyDescent="0.2">
      <c r="A12">
        <v>1989</v>
      </c>
      <c r="B12">
        <v>-1.1200000000000001</v>
      </c>
      <c r="C12">
        <v>-1.1000000000000001</v>
      </c>
      <c r="D12">
        <v>-1.24</v>
      </c>
      <c r="E12">
        <v>-1.0900000000000001</v>
      </c>
      <c r="F12">
        <v>-1.03</v>
      </c>
      <c r="G12">
        <v>-0.99</v>
      </c>
      <c r="H12">
        <v>-1.08</v>
      </c>
      <c r="I12">
        <v>-0.66</v>
      </c>
      <c r="J12">
        <v>-0.53</v>
      </c>
      <c r="K12">
        <v>-0.49</v>
      </c>
      <c r="L12">
        <v>-0.36</v>
      </c>
      <c r="M12">
        <v>-7.0000000000000007E-2</v>
      </c>
      <c r="N12">
        <f t="shared" si="0"/>
        <v>-0.81333333333333335</v>
      </c>
    </row>
    <row r="13" spans="1:21" x14ac:dyDescent="0.2">
      <c r="A13">
        <v>1990</v>
      </c>
      <c r="B13">
        <v>0.13</v>
      </c>
      <c r="C13">
        <v>0.45</v>
      </c>
      <c r="D13">
        <v>0.61</v>
      </c>
      <c r="E13">
        <v>0.17</v>
      </c>
      <c r="F13">
        <v>0.08</v>
      </c>
      <c r="G13">
        <v>0.05</v>
      </c>
      <c r="H13">
        <v>0.13</v>
      </c>
      <c r="I13">
        <v>0.02</v>
      </c>
      <c r="J13">
        <v>0.22</v>
      </c>
      <c r="K13">
        <v>-7.0000000000000007E-2</v>
      </c>
      <c r="L13">
        <v>0.12</v>
      </c>
      <c r="M13">
        <v>0.31</v>
      </c>
      <c r="N13">
        <f t="shared" si="0"/>
        <v>0.18500000000000003</v>
      </c>
      <c r="P13" t="s">
        <v>10</v>
      </c>
      <c r="Q13" cm="1">
        <f t="array" ref="Q13:U17">LINEST(K2:K46,F2:I46,TRUE,TRUE)</f>
        <v>0.75412542540594352</v>
      </c>
      <c r="R13">
        <v>6.883015594699203E-2</v>
      </c>
      <c r="S13">
        <v>0.24512181972507355</v>
      </c>
      <c r="T13">
        <v>-0.12400230366034387</v>
      </c>
      <c r="U13">
        <v>-1.3187572413891673E-2</v>
      </c>
    </row>
    <row r="14" spans="1:21" x14ac:dyDescent="0.2">
      <c r="A14">
        <v>1991</v>
      </c>
      <c r="B14">
        <v>0.19</v>
      </c>
      <c r="C14">
        <v>0.08</v>
      </c>
      <c r="D14">
        <v>0.2</v>
      </c>
      <c r="E14">
        <v>0.2</v>
      </c>
      <c r="F14">
        <v>0.35</v>
      </c>
      <c r="G14">
        <v>0.97</v>
      </c>
      <c r="H14">
        <v>0.91</v>
      </c>
      <c r="I14">
        <v>0.37</v>
      </c>
      <c r="J14">
        <v>0.54</v>
      </c>
      <c r="K14">
        <v>0.97</v>
      </c>
      <c r="L14">
        <v>1.04</v>
      </c>
      <c r="M14">
        <v>1.23</v>
      </c>
      <c r="N14">
        <f t="shared" si="0"/>
        <v>0.58750000000000002</v>
      </c>
      <c r="Q14">
        <v>0.16791996388892461</v>
      </c>
      <c r="R14">
        <v>0.23352995138412735</v>
      </c>
      <c r="S14">
        <v>0.21874683294470221</v>
      </c>
      <c r="T14">
        <v>0.13585162306900112</v>
      </c>
      <c r="U14">
        <v>4.7443769121235282E-2</v>
      </c>
    </row>
    <row r="15" spans="1:21" x14ac:dyDescent="0.2">
      <c r="A15">
        <v>1992</v>
      </c>
      <c r="B15">
        <v>1.68</v>
      </c>
      <c r="C15">
        <v>1.58</v>
      </c>
      <c r="D15">
        <v>1.71</v>
      </c>
      <c r="E15">
        <v>1.97</v>
      </c>
      <c r="F15">
        <v>1.68</v>
      </c>
      <c r="G15">
        <v>1.51</v>
      </c>
      <c r="H15">
        <v>0.62</v>
      </c>
      <c r="I15">
        <v>-0.02</v>
      </c>
      <c r="J15">
        <v>0.4</v>
      </c>
      <c r="K15">
        <v>0.67</v>
      </c>
      <c r="L15">
        <v>0.62</v>
      </c>
      <c r="M15">
        <v>0.73</v>
      </c>
      <c r="N15">
        <f t="shared" si="0"/>
        <v>1.0958333333333332</v>
      </c>
      <c r="Q15">
        <v>0.91056982095588479</v>
      </c>
      <c r="R15">
        <v>0.3158063466412479</v>
      </c>
      <c r="S15" t="e">
        <v>#N/A</v>
      </c>
      <c r="T15" t="e">
        <v>#N/A</v>
      </c>
      <c r="U15" t="e">
        <v>#N/A</v>
      </c>
    </row>
    <row r="16" spans="1:21" x14ac:dyDescent="0.2">
      <c r="A16">
        <v>1993</v>
      </c>
      <c r="B16">
        <v>0.79</v>
      </c>
      <c r="C16">
        <v>0.89</v>
      </c>
      <c r="D16">
        <v>0.77</v>
      </c>
      <c r="E16">
        <v>0.98</v>
      </c>
      <c r="F16">
        <v>1.47</v>
      </c>
      <c r="G16">
        <v>1.51</v>
      </c>
      <c r="H16">
        <v>0.9</v>
      </c>
      <c r="I16">
        <v>0.6</v>
      </c>
      <c r="J16">
        <v>0.61</v>
      </c>
      <c r="K16">
        <v>0.96</v>
      </c>
      <c r="L16">
        <v>0.7</v>
      </c>
      <c r="M16">
        <v>0.27</v>
      </c>
      <c r="N16">
        <f t="shared" si="0"/>
        <v>0.87083333333333324</v>
      </c>
      <c r="Q16">
        <v>101.81907614282062</v>
      </c>
      <c r="R16">
        <v>40</v>
      </c>
      <c r="S16" t="e">
        <v>#N/A</v>
      </c>
      <c r="T16" t="e">
        <v>#N/A</v>
      </c>
      <c r="U16" t="e">
        <v>#N/A</v>
      </c>
    </row>
    <row r="17" spans="1:21" x14ac:dyDescent="0.2">
      <c r="A17">
        <v>1994</v>
      </c>
      <c r="B17">
        <v>-0.01</v>
      </c>
      <c r="C17">
        <v>-0.21</v>
      </c>
      <c r="D17">
        <v>-0.23</v>
      </c>
      <c r="E17">
        <v>0.01</v>
      </c>
      <c r="F17">
        <v>-0.03</v>
      </c>
      <c r="G17">
        <v>0.25</v>
      </c>
      <c r="H17">
        <v>0.96</v>
      </c>
      <c r="I17">
        <v>0.87</v>
      </c>
      <c r="J17">
        <v>1.1000000000000001</v>
      </c>
      <c r="K17">
        <v>1.52</v>
      </c>
      <c r="L17">
        <v>1.01</v>
      </c>
      <c r="M17">
        <v>0.91</v>
      </c>
      <c r="N17">
        <f t="shared" si="0"/>
        <v>0.51250000000000007</v>
      </c>
      <c r="Q17">
        <v>40.619151834622087</v>
      </c>
      <c r="R17">
        <v>3.9893459431556817</v>
      </c>
      <c r="S17" t="e">
        <v>#N/A</v>
      </c>
      <c r="T17" t="e">
        <v>#N/A</v>
      </c>
      <c r="U17" t="e">
        <v>#N/A</v>
      </c>
    </row>
    <row r="18" spans="1:21" x14ac:dyDescent="0.2">
      <c r="A18">
        <v>1995</v>
      </c>
      <c r="B18">
        <v>0.82</v>
      </c>
      <c r="C18">
        <v>0.54</v>
      </c>
      <c r="D18">
        <v>0.17</v>
      </c>
      <c r="E18">
        <v>0.13</v>
      </c>
      <c r="F18">
        <v>0.14000000000000001</v>
      </c>
      <c r="G18">
        <v>0.01</v>
      </c>
      <c r="H18">
        <v>-0.28999999999999998</v>
      </c>
      <c r="I18">
        <v>-0.7</v>
      </c>
      <c r="J18">
        <v>-0.94</v>
      </c>
      <c r="K18">
        <v>-0.74</v>
      </c>
      <c r="L18">
        <v>-0.77</v>
      </c>
      <c r="M18">
        <v>-0.9</v>
      </c>
      <c r="N18">
        <f t="shared" si="0"/>
        <v>-0.21083333333333334</v>
      </c>
      <c r="Q18">
        <f>Q17/(Q17+R17)</f>
        <v>0.91056982095588479</v>
      </c>
    </row>
    <row r="19" spans="1:21" x14ac:dyDescent="0.2">
      <c r="A19">
        <v>1996</v>
      </c>
      <c r="B19">
        <v>-0.85</v>
      </c>
      <c r="C19">
        <v>-0.8</v>
      </c>
      <c r="D19">
        <v>-0.66</v>
      </c>
      <c r="E19">
        <v>-0.76</v>
      </c>
      <c r="F19">
        <v>-0.85</v>
      </c>
      <c r="G19">
        <v>-0.91</v>
      </c>
      <c r="H19">
        <v>-0.83</v>
      </c>
      <c r="I19">
        <v>-0.64</v>
      </c>
      <c r="J19">
        <v>-0.31</v>
      </c>
      <c r="K19">
        <v>-0.37</v>
      </c>
      <c r="L19">
        <v>-0.34</v>
      </c>
      <c r="M19">
        <v>-0.47</v>
      </c>
      <c r="N19">
        <f t="shared" si="0"/>
        <v>-0.64916666666666656</v>
      </c>
    </row>
    <row r="20" spans="1:21" x14ac:dyDescent="0.2">
      <c r="A20">
        <v>1997</v>
      </c>
      <c r="B20">
        <v>-0.65</v>
      </c>
      <c r="C20">
        <v>-0.72</v>
      </c>
      <c r="D20">
        <v>-0.3</v>
      </c>
      <c r="E20">
        <v>0.15</v>
      </c>
      <c r="F20">
        <v>0.71</v>
      </c>
      <c r="G20">
        <v>2.34</v>
      </c>
      <c r="H20">
        <v>2.2599999999999998</v>
      </c>
      <c r="I20">
        <v>2.2599999999999998</v>
      </c>
      <c r="J20">
        <v>2.2000000000000002</v>
      </c>
      <c r="K20">
        <v>2.06</v>
      </c>
      <c r="L20">
        <v>2.14</v>
      </c>
      <c r="M20">
        <v>2.11</v>
      </c>
      <c r="N20">
        <f t="shared" si="0"/>
        <v>1.2133333333333334</v>
      </c>
    </row>
    <row r="21" spans="1:21" x14ac:dyDescent="0.2">
      <c r="A21">
        <v>1998</v>
      </c>
      <c r="B21">
        <v>2.2999999999999998</v>
      </c>
      <c r="C21">
        <v>2.4500000000000002</v>
      </c>
      <c r="D21">
        <v>2.27</v>
      </c>
      <c r="E21">
        <v>2.61</v>
      </c>
      <c r="F21">
        <v>2.33</v>
      </c>
      <c r="G21">
        <v>0.42</v>
      </c>
      <c r="H21">
        <v>-1.53</v>
      </c>
      <c r="I21">
        <v>-1.82</v>
      </c>
      <c r="J21">
        <v>-1.4</v>
      </c>
      <c r="K21">
        <v>-1.29</v>
      </c>
      <c r="L21">
        <v>-1.34</v>
      </c>
      <c r="M21">
        <v>-1.29</v>
      </c>
      <c r="N21">
        <f t="shared" si="0"/>
        <v>0.30916666666666659</v>
      </c>
    </row>
    <row r="22" spans="1:21" x14ac:dyDescent="0.2">
      <c r="A22">
        <v>1999</v>
      </c>
      <c r="B22">
        <v>-1.28</v>
      </c>
      <c r="C22">
        <v>-1.2</v>
      </c>
      <c r="D22">
        <v>-1.1499999999999999</v>
      </c>
      <c r="E22">
        <v>-1.1599999999999999</v>
      </c>
      <c r="F22">
        <v>-1.33</v>
      </c>
      <c r="G22">
        <v>-1.26</v>
      </c>
      <c r="H22">
        <v>-1.18</v>
      </c>
      <c r="I22">
        <v>-1.03</v>
      </c>
      <c r="J22">
        <v>-1.1599999999999999</v>
      </c>
      <c r="K22">
        <v>-1.33</v>
      </c>
      <c r="L22">
        <v>-1.33</v>
      </c>
      <c r="M22">
        <v>-1.43</v>
      </c>
      <c r="N22">
        <f t="shared" si="0"/>
        <v>-1.2366666666666666</v>
      </c>
    </row>
    <row r="23" spans="1:21" x14ac:dyDescent="0.2">
      <c r="A23">
        <v>2000</v>
      </c>
      <c r="B23">
        <v>-1.25</v>
      </c>
      <c r="C23">
        <v>-1.26</v>
      </c>
      <c r="D23">
        <v>-1.37</v>
      </c>
      <c r="E23">
        <v>-0.9</v>
      </c>
      <c r="F23">
        <v>-0.93</v>
      </c>
      <c r="G23">
        <v>-1.18</v>
      </c>
      <c r="H23">
        <v>-0.61</v>
      </c>
      <c r="I23">
        <v>-0.08</v>
      </c>
      <c r="J23">
        <v>-0.35</v>
      </c>
      <c r="K23">
        <v>-0.52</v>
      </c>
      <c r="L23">
        <v>-0.86</v>
      </c>
      <c r="M23">
        <v>-0.79</v>
      </c>
      <c r="N23">
        <f t="shared" si="0"/>
        <v>-0.84166666666666645</v>
      </c>
      <c r="P23" t="s">
        <v>11</v>
      </c>
      <c r="Q23" cm="1">
        <f t="array" ref="Q23:U27">LINEST(L2:L46,F2:I46,TRUE,TRUE)</f>
        <v>0.76285773098336296</v>
      </c>
      <c r="R23">
        <v>-9.4865340249534399E-3</v>
      </c>
      <c r="S23">
        <v>0.3815518350605227</v>
      </c>
      <c r="T23">
        <v>-0.24507826572102193</v>
      </c>
      <c r="U23">
        <v>1.0176651831520993E-2</v>
      </c>
    </row>
    <row r="24" spans="1:21" x14ac:dyDescent="0.2">
      <c r="A24">
        <v>2001</v>
      </c>
      <c r="B24">
        <v>-0.83</v>
      </c>
      <c r="C24">
        <v>-0.86</v>
      </c>
      <c r="D24">
        <v>-0.78</v>
      </c>
      <c r="E24">
        <v>-0.55000000000000004</v>
      </c>
      <c r="F24">
        <v>-0.51</v>
      </c>
      <c r="G24">
        <v>-0.73</v>
      </c>
      <c r="H24">
        <v>0.04</v>
      </c>
      <c r="I24">
        <v>0.38</v>
      </c>
      <c r="J24">
        <v>-0.06</v>
      </c>
      <c r="K24">
        <v>-0.22</v>
      </c>
      <c r="L24">
        <v>-0.28000000000000003</v>
      </c>
      <c r="M24">
        <v>0.06</v>
      </c>
      <c r="N24">
        <f t="shared" si="0"/>
        <v>-0.36166666666666675</v>
      </c>
      <c r="Q24">
        <v>0.17829893585874343</v>
      </c>
      <c r="R24">
        <v>0.24796421377553843</v>
      </c>
      <c r="S24">
        <v>0.23226736495911773</v>
      </c>
      <c r="T24">
        <v>0.14424848163919612</v>
      </c>
      <c r="U24">
        <v>5.0376223002523507E-2</v>
      </c>
    </row>
    <row r="25" spans="1:21" x14ac:dyDescent="0.2">
      <c r="A25">
        <v>2002</v>
      </c>
      <c r="B25">
        <v>0.09</v>
      </c>
      <c r="C25">
        <v>-0.26</v>
      </c>
      <c r="D25">
        <v>-0.2</v>
      </c>
      <c r="E25">
        <v>-0.36</v>
      </c>
      <c r="F25">
        <v>-0.14000000000000001</v>
      </c>
      <c r="G25">
        <v>0.34</v>
      </c>
      <c r="H25">
        <v>0.44</v>
      </c>
      <c r="I25">
        <v>1.01</v>
      </c>
      <c r="J25">
        <v>0.88</v>
      </c>
      <c r="K25">
        <v>0.84</v>
      </c>
      <c r="L25">
        <v>0.84</v>
      </c>
      <c r="M25">
        <v>0.91</v>
      </c>
      <c r="N25">
        <f t="shared" si="0"/>
        <v>0.36583333333333329</v>
      </c>
      <c r="Q25">
        <v>0.8995692815176668</v>
      </c>
      <c r="R25">
        <v>0.33532603413861156</v>
      </c>
      <c r="S25" t="e">
        <v>#N/A</v>
      </c>
      <c r="T25" t="e">
        <v>#N/A</v>
      </c>
      <c r="U25" t="e">
        <v>#N/A</v>
      </c>
    </row>
    <row r="26" spans="1:21" x14ac:dyDescent="0.2">
      <c r="A26">
        <v>2003</v>
      </c>
      <c r="B26">
        <v>0.82</v>
      </c>
      <c r="C26">
        <v>0.63</v>
      </c>
      <c r="D26">
        <v>0.53</v>
      </c>
      <c r="E26">
        <v>-0.11</v>
      </c>
      <c r="F26">
        <v>-0.61</v>
      </c>
      <c r="G26">
        <v>-0.1</v>
      </c>
      <c r="H26">
        <v>0.01</v>
      </c>
      <c r="I26">
        <v>0.05</v>
      </c>
      <c r="J26">
        <v>0.18</v>
      </c>
      <c r="K26">
        <v>0.28000000000000003</v>
      </c>
      <c r="L26">
        <v>0.3</v>
      </c>
      <c r="M26">
        <v>0.14000000000000001</v>
      </c>
      <c r="N26">
        <f t="shared" si="0"/>
        <v>0.17666666666666664</v>
      </c>
      <c r="Q26">
        <v>89.571128745425597</v>
      </c>
      <c r="R26">
        <v>40</v>
      </c>
      <c r="S26" t="e">
        <v>#N/A</v>
      </c>
      <c r="T26" t="e">
        <v>#N/A</v>
      </c>
      <c r="U26" t="e">
        <v>#N/A</v>
      </c>
    </row>
    <row r="27" spans="1:21" x14ac:dyDescent="0.2">
      <c r="A27">
        <v>2004</v>
      </c>
      <c r="B27">
        <v>0.19</v>
      </c>
      <c r="C27">
        <v>-0.05</v>
      </c>
      <c r="D27">
        <v>-0.43</v>
      </c>
      <c r="E27">
        <v>-0.23</v>
      </c>
      <c r="F27">
        <v>-0.46</v>
      </c>
      <c r="G27">
        <v>-0.39</v>
      </c>
      <c r="H27">
        <v>0.46</v>
      </c>
      <c r="I27">
        <v>0.77</v>
      </c>
      <c r="J27">
        <v>0.59</v>
      </c>
      <c r="K27">
        <v>0.4</v>
      </c>
      <c r="L27">
        <v>0.56000000000000005</v>
      </c>
      <c r="M27">
        <v>0.48</v>
      </c>
      <c r="N27">
        <f t="shared" si="0"/>
        <v>0.1575</v>
      </c>
      <c r="Q27">
        <v>40.28678247759926</v>
      </c>
      <c r="R27">
        <v>4.4977419668451715</v>
      </c>
      <c r="S27" t="e">
        <v>#N/A</v>
      </c>
      <c r="T27" t="e">
        <v>#N/A</v>
      </c>
      <c r="U27" t="e">
        <v>#N/A</v>
      </c>
    </row>
    <row r="28" spans="1:21" x14ac:dyDescent="0.2">
      <c r="A28">
        <v>2005</v>
      </c>
      <c r="B28">
        <v>0.09</v>
      </c>
      <c r="C28">
        <v>0.61</v>
      </c>
      <c r="D28">
        <v>0.83</v>
      </c>
      <c r="E28">
        <v>0.14000000000000001</v>
      </c>
      <c r="F28">
        <v>0.19</v>
      </c>
      <c r="G28">
        <v>0.2</v>
      </c>
      <c r="H28">
        <v>0</v>
      </c>
      <c r="I28">
        <v>0.01</v>
      </c>
      <c r="J28">
        <v>-0.02</v>
      </c>
      <c r="K28">
        <v>-0.66</v>
      </c>
      <c r="L28">
        <v>-0.7</v>
      </c>
      <c r="M28">
        <v>-0.7</v>
      </c>
      <c r="N28">
        <f t="shared" si="0"/>
        <v>-8.3333333333335258E-4</v>
      </c>
      <c r="Q28">
        <f>Q27/(Q27+R27)</f>
        <v>0.8995692815176668</v>
      </c>
    </row>
    <row r="29" spans="1:21" x14ac:dyDescent="0.2">
      <c r="A29">
        <v>2006</v>
      </c>
      <c r="B29">
        <v>-0.64</v>
      </c>
      <c r="C29">
        <v>-0.48</v>
      </c>
      <c r="D29">
        <v>-0.62</v>
      </c>
      <c r="E29">
        <v>-0.84</v>
      </c>
      <c r="F29">
        <v>-0.42</v>
      </c>
      <c r="G29">
        <v>-0.18</v>
      </c>
      <c r="H29">
        <v>0.21</v>
      </c>
      <c r="I29">
        <v>0.59</v>
      </c>
      <c r="J29">
        <v>0.65</v>
      </c>
      <c r="K29">
        <v>0.77</v>
      </c>
      <c r="L29">
        <v>1</v>
      </c>
      <c r="M29">
        <v>0.64</v>
      </c>
      <c r="N29">
        <f t="shared" si="0"/>
        <v>5.6666666666666636E-2</v>
      </c>
    </row>
    <row r="30" spans="1:21" x14ac:dyDescent="0.2">
      <c r="A30">
        <v>2007</v>
      </c>
      <c r="B30">
        <v>0.64</v>
      </c>
      <c r="C30">
        <v>0.39</v>
      </c>
      <c r="D30">
        <v>-0.19</v>
      </c>
      <c r="E30">
        <v>-0.32</v>
      </c>
      <c r="F30">
        <v>-0.41</v>
      </c>
      <c r="G30">
        <v>-0.83</v>
      </c>
      <c r="H30">
        <v>-0.75</v>
      </c>
      <c r="I30">
        <v>-0.9</v>
      </c>
      <c r="J30">
        <v>-1.06</v>
      </c>
      <c r="K30">
        <v>-1.1299999999999999</v>
      </c>
      <c r="L30">
        <v>-1.1200000000000001</v>
      </c>
      <c r="M30">
        <v>-1.19</v>
      </c>
      <c r="N30">
        <f t="shared" si="0"/>
        <v>-0.57250000000000012</v>
      </c>
    </row>
    <row r="31" spans="1:21" x14ac:dyDescent="0.2">
      <c r="A31">
        <v>2008</v>
      </c>
      <c r="B31">
        <v>-1.06</v>
      </c>
      <c r="C31">
        <v>-1.27</v>
      </c>
      <c r="D31">
        <v>-1.52</v>
      </c>
      <c r="E31">
        <v>-1.1100000000000001</v>
      </c>
      <c r="F31">
        <v>-0.99</v>
      </c>
      <c r="G31">
        <v>-0.8</v>
      </c>
      <c r="H31">
        <v>-0.78</v>
      </c>
      <c r="I31">
        <v>-1.01</v>
      </c>
      <c r="J31">
        <v>-1.02</v>
      </c>
      <c r="K31">
        <v>-1.08</v>
      </c>
      <c r="L31">
        <v>-0.98</v>
      </c>
      <c r="M31">
        <v>-1.01</v>
      </c>
      <c r="N31">
        <f t="shared" si="0"/>
        <v>-1.0525</v>
      </c>
    </row>
    <row r="32" spans="1:21" x14ac:dyDescent="0.2">
      <c r="A32">
        <v>2009</v>
      </c>
      <c r="B32">
        <v>-1.01</v>
      </c>
      <c r="C32">
        <v>-0.85</v>
      </c>
      <c r="D32">
        <v>-0.95</v>
      </c>
      <c r="E32">
        <v>-0.81</v>
      </c>
      <c r="F32">
        <v>-0.72</v>
      </c>
      <c r="G32">
        <v>-0.05</v>
      </c>
      <c r="H32">
        <v>0.56000000000000005</v>
      </c>
      <c r="I32">
        <v>0.56000000000000005</v>
      </c>
      <c r="J32">
        <v>0.42</v>
      </c>
      <c r="K32">
        <v>0.56000000000000005</v>
      </c>
      <c r="L32">
        <v>1.04</v>
      </c>
      <c r="M32">
        <v>0.95</v>
      </c>
      <c r="N32">
        <f t="shared" si="0"/>
        <v>-2.4999999999999967E-2</v>
      </c>
    </row>
    <row r="33" spans="1:26" x14ac:dyDescent="0.2">
      <c r="A33">
        <v>2010</v>
      </c>
      <c r="B33">
        <v>0.93</v>
      </c>
      <c r="C33">
        <v>1.28</v>
      </c>
      <c r="D33">
        <v>1.33</v>
      </c>
      <c r="E33">
        <v>0.49</v>
      </c>
      <c r="F33">
        <v>-0.12</v>
      </c>
      <c r="G33">
        <v>-1.29</v>
      </c>
      <c r="H33">
        <v>-2.4300000000000002</v>
      </c>
      <c r="I33">
        <v>-2.38</v>
      </c>
      <c r="J33">
        <v>-2.2599999999999998</v>
      </c>
      <c r="K33">
        <v>-2.16</v>
      </c>
      <c r="L33">
        <v>-2.0099999999999998</v>
      </c>
      <c r="M33">
        <v>-1.86</v>
      </c>
      <c r="N33">
        <f t="shared" si="0"/>
        <v>-0.87333333333333318</v>
      </c>
      <c r="P33" t="s">
        <v>12</v>
      </c>
      <c r="Q33" cm="1">
        <f t="array" ref="Q33:U37">LINEST(M2:M46,F2:I46,TRUE,TRUE)</f>
        <v>0.94726764842869249</v>
      </c>
      <c r="R33">
        <v>-0.22602305642970927</v>
      </c>
      <c r="S33">
        <v>0.38040416995517001</v>
      </c>
      <c r="T33">
        <v>-0.2092865808140211</v>
      </c>
      <c r="U33">
        <v>1.8378643243118206E-2</v>
      </c>
    </row>
    <row r="34" spans="1:26" x14ac:dyDescent="0.2">
      <c r="A34">
        <v>2011</v>
      </c>
      <c r="B34">
        <v>-1.77</v>
      </c>
      <c r="C34">
        <v>-1.59</v>
      </c>
      <c r="D34">
        <v>-1.75</v>
      </c>
      <c r="E34">
        <v>-1.69</v>
      </c>
      <c r="F34">
        <v>-1.23</v>
      </c>
      <c r="G34">
        <v>-1.02</v>
      </c>
      <c r="H34">
        <v>-0.75</v>
      </c>
      <c r="I34">
        <v>-0.81</v>
      </c>
      <c r="J34">
        <v>-1.08</v>
      </c>
      <c r="K34">
        <v>-1.3</v>
      </c>
      <c r="L34">
        <v>-1.1399999999999999</v>
      </c>
      <c r="M34">
        <v>-1.18</v>
      </c>
      <c r="N34">
        <f t="shared" si="0"/>
        <v>-1.2758333333333336</v>
      </c>
      <c r="Q34">
        <v>0.19523917828552312</v>
      </c>
      <c r="R34">
        <v>0.27152337790791065</v>
      </c>
      <c r="S34">
        <v>0.25433516615650675</v>
      </c>
      <c r="T34">
        <v>0.15795357885076219</v>
      </c>
      <c r="U34">
        <v>5.5162485052255281E-2</v>
      </c>
    </row>
    <row r="35" spans="1:26" x14ac:dyDescent="0.2">
      <c r="A35">
        <v>2012</v>
      </c>
      <c r="B35">
        <v>-1.07</v>
      </c>
      <c r="C35">
        <v>-0.68</v>
      </c>
      <c r="D35">
        <v>-0.57999999999999996</v>
      </c>
      <c r="E35">
        <v>-0.38</v>
      </c>
      <c r="F35">
        <v>-0.32</v>
      </c>
      <c r="G35">
        <v>-0.28000000000000003</v>
      </c>
      <c r="H35">
        <v>0.34</v>
      </c>
      <c r="I35">
        <v>-0.02</v>
      </c>
      <c r="J35">
        <v>-0.28999999999999998</v>
      </c>
      <c r="K35">
        <v>-0.19</v>
      </c>
      <c r="L35">
        <v>-0.03</v>
      </c>
      <c r="M35">
        <v>-0.03</v>
      </c>
      <c r="N35">
        <f t="shared" si="0"/>
        <v>-0.29416666666666663</v>
      </c>
      <c r="Q35">
        <v>0.87790293122781748</v>
      </c>
      <c r="R35">
        <v>0.36718547448220978</v>
      </c>
      <c r="S35" t="e">
        <v>#N/A</v>
      </c>
      <c r="T35" t="e">
        <v>#N/A</v>
      </c>
      <c r="U35" t="e">
        <v>#N/A</v>
      </c>
    </row>
    <row r="36" spans="1:26" x14ac:dyDescent="0.2">
      <c r="A36">
        <v>2013</v>
      </c>
      <c r="B36">
        <v>-0.06</v>
      </c>
      <c r="C36">
        <v>-0.08</v>
      </c>
      <c r="D36">
        <v>-0.12</v>
      </c>
      <c r="E36">
        <v>-0.35</v>
      </c>
      <c r="F36">
        <v>-0.68</v>
      </c>
      <c r="G36">
        <v>-1.1399999999999999</v>
      </c>
      <c r="H36">
        <v>-0.79</v>
      </c>
      <c r="I36">
        <v>-0.45</v>
      </c>
      <c r="J36">
        <v>-0.33</v>
      </c>
      <c r="K36">
        <v>-0.13</v>
      </c>
      <c r="L36">
        <v>-0.16</v>
      </c>
      <c r="M36">
        <v>-0.34</v>
      </c>
      <c r="N36">
        <f t="shared" si="0"/>
        <v>-0.38583333333333331</v>
      </c>
      <c r="Q36">
        <v>71.902048104518542</v>
      </c>
      <c r="R36">
        <v>40</v>
      </c>
      <c r="S36" t="e">
        <v>#N/A</v>
      </c>
      <c r="T36" t="e">
        <v>#N/A</v>
      </c>
      <c r="U36" t="e">
        <v>#N/A</v>
      </c>
    </row>
    <row r="37" spans="1:26" x14ac:dyDescent="0.2">
      <c r="A37">
        <v>2014</v>
      </c>
      <c r="B37">
        <v>-0.5</v>
      </c>
      <c r="C37">
        <v>-0.42</v>
      </c>
      <c r="D37">
        <v>-0.05</v>
      </c>
      <c r="E37">
        <v>-0.16</v>
      </c>
      <c r="F37">
        <v>-0.17</v>
      </c>
      <c r="G37">
        <v>0</v>
      </c>
      <c r="H37">
        <v>0.42</v>
      </c>
      <c r="I37">
        <v>0.23</v>
      </c>
      <c r="J37">
        <v>-0.09</v>
      </c>
      <c r="K37">
        <v>0.12</v>
      </c>
      <c r="L37">
        <v>0.37</v>
      </c>
      <c r="M37">
        <v>0.35</v>
      </c>
      <c r="N37">
        <f t="shared" si="0"/>
        <v>8.3333333333333402E-3</v>
      </c>
      <c r="Q37">
        <v>38.7768242042821</v>
      </c>
      <c r="R37">
        <v>5.3930069068290214</v>
      </c>
      <c r="S37" t="e">
        <v>#N/A</v>
      </c>
      <c r="T37" t="e">
        <v>#N/A</v>
      </c>
      <c r="U37" t="e">
        <v>#N/A</v>
      </c>
    </row>
    <row r="38" spans="1:26" x14ac:dyDescent="0.2">
      <c r="A38">
        <v>2015</v>
      </c>
      <c r="B38">
        <v>0.23</v>
      </c>
      <c r="C38">
        <v>0.06</v>
      </c>
      <c r="D38">
        <v>0.15</v>
      </c>
      <c r="E38">
        <v>0.31</v>
      </c>
      <c r="F38">
        <v>0.95</v>
      </c>
      <c r="G38">
        <v>1.9</v>
      </c>
      <c r="H38">
        <v>1.79</v>
      </c>
      <c r="I38">
        <v>1.95</v>
      </c>
      <c r="J38">
        <v>2.2400000000000002</v>
      </c>
      <c r="K38">
        <v>2.15</v>
      </c>
      <c r="L38">
        <v>1.94</v>
      </c>
      <c r="M38">
        <v>1.93</v>
      </c>
      <c r="N38">
        <f t="shared" si="0"/>
        <v>1.3</v>
      </c>
      <c r="Q38">
        <f>Q37/(Q37+R37)</f>
        <v>0.87790293122781748</v>
      </c>
    </row>
    <row r="39" spans="1:26" x14ac:dyDescent="0.2">
      <c r="A39">
        <v>2016</v>
      </c>
      <c r="B39">
        <v>1.94</v>
      </c>
      <c r="C39">
        <v>1.81</v>
      </c>
      <c r="D39">
        <v>1.32</v>
      </c>
      <c r="E39">
        <v>1.33</v>
      </c>
      <c r="F39">
        <v>1.24</v>
      </c>
      <c r="G39">
        <v>0.36</v>
      </c>
      <c r="H39">
        <v>-0.53</v>
      </c>
      <c r="I39">
        <v>-0.27</v>
      </c>
      <c r="J39">
        <v>-0.28999999999999998</v>
      </c>
      <c r="K39">
        <v>-0.54</v>
      </c>
      <c r="L39">
        <v>-0.48</v>
      </c>
      <c r="M39">
        <v>-0.37</v>
      </c>
      <c r="N39">
        <f t="shared" si="0"/>
        <v>0.45999999999999991</v>
      </c>
    </row>
    <row r="40" spans="1:26" x14ac:dyDescent="0.2">
      <c r="A40">
        <v>2017</v>
      </c>
      <c r="B40">
        <v>-0.43</v>
      </c>
      <c r="C40">
        <v>-0.42</v>
      </c>
      <c r="D40">
        <v>-0.57999999999999996</v>
      </c>
      <c r="E40">
        <v>-0.19</v>
      </c>
      <c r="F40">
        <v>0.19</v>
      </c>
      <c r="G40">
        <v>-0.24</v>
      </c>
      <c r="H40">
        <v>-0.63</v>
      </c>
      <c r="I40">
        <v>-0.73</v>
      </c>
      <c r="J40">
        <v>-0.74</v>
      </c>
      <c r="K40">
        <v>-0.59</v>
      </c>
      <c r="L40">
        <v>-0.62</v>
      </c>
      <c r="M40">
        <v>-0.74</v>
      </c>
      <c r="N40">
        <f t="shared" si="0"/>
        <v>-0.47666666666666663</v>
      </c>
    </row>
    <row r="41" spans="1:26" x14ac:dyDescent="0.2">
      <c r="A41">
        <v>2018</v>
      </c>
      <c r="B41">
        <v>-0.79</v>
      </c>
      <c r="C41">
        <v>-0.71</v>
      </c>
      <c r="D41">
        <v>-0.8</v>
      </c>
      <c r="E41">
        <v>-1.32</v>
      </c>
      <c r="F41">
        <v>-0.94</v>
      </c>
      <c r="G41">
        <v>-0.52</v>
      </c>
      <c r="H41">
        <v>-0.05</v>
      </c>
      <c r="I41">
        <v>0.46</v>
      </c>
      <c r="J41">
        <v>0.62</v>
      </c>
      <c r="K41">
        <v>0.52</v>
      </c>
      <c r="L41">
        <v>0.33</v>
      </c>
      <c r="M41">
        <v>0.18</v>
      </c>
      <c r="N41">
        <f t="shared" si="0"/>
        <v>-0.25166666666666665</v>
      </c>
    </row>
    <row r="42" spans="1:26" x14ac:dyDescent="0.2">
      <c r="A42">
        <v>2019</v>
      </c>
      <c r="B42">
        <v>0.09</v>
      </c>
      <c r="C42">
        <v>0.5</v>
      </c>
      <c r="D42">
        <v>0.76</v>
      </c>
      <c r="E42">
        <v>0.3</v>
      </c>
      <c r="F42">
        <v>0.23</v>
      </c>
      <c r="G42">
        <v>0.35</v>
      </c>
      <c r="H42">
        <v>0.3</v>
      </c>
      <c r="I42">
        <v>0.32</v>
      </c>
      <c r="J42">
        <v>0.16</v>
      </c>
      <c r="K42">
        <v>0.31</v>
      </c>
      <c r="L42">
        <v>0.47</v>
      </c>
      <c r="M42">
        <v>0.36</v>
      </c>
      <c r="N42">
        <f t="shared" si="0"/>
        <v>0.34583333333333338</v>
      </c>
    </row>
    <row r="43" spans="1:26" x14ac:dyDescent="0.2">
      <c r="A43">
        <v>2020</v>
      </c>
      <c r="B43">
        <v>0.25</v>
      </c>
      <c r="C43">
        <v>0.26</v>
      </c>
      <c r="D43">
        <v>0.13</v>
      </c>
      <c r="E43">
        <v>-0.15</v>
      </c>
      <c r="F43">
        <v>-0.23</v>
      </c>
      <c r="G43">
        <v>-0.68</v>
      </c>
      <c r="H43">
        <v>-0.94</v>
      </c>
      <c r="I43">
        <v>-0.96</v>
      </c>
      <c r="J43">
        <v>-1.1499999999999999</v>
      </c>
      <c r="K43">
        <v>-1.17</v>
      </c>
      <c r="L43">
        <v>-1.1299999999999999</v>
      </c>
      <c r="M43">
        <v>-1.1399999999999999</v>
      </c>
      <c r="N43">
        <f t="shared" si="0"/>
        <v>-0.57583333333333331</v>
      </c>
    </row>
    <row r="44" spans="1:26" x14ac:dyDescent="0.2">
      <c r="A44">
        <v>2021</v>
      </c>
      <c r="B44">
        <v>-1.2</v>
      </c>
      <c r="C44">
        <v>-0.96</v>
      </c>
      <c r="D44">
        <v>-0.79</v>
      </c>
      <c r="E44">
        <v>-0.95</v>
      </c>
      <c r="F44">
        <v>-1.07</v>
      </c>
      <c r="G44">
        <v>-1.05</v>
      </c>
      <c r="H44">
        <v>-1.44</v>
      </c>
      <c r="I44">
        <v>-1.29</v>
      </c>
      <c r="J44">
        <v>-1.38</v>
      </c>
      <c r="K44">
        <v>-1.46</v>
      </c>
      <c r="L44">
        <v>-1.39</v>
      </c>
      <c r="M44">
        <v>-1.2</v>
      </c>
      <c r="N44">
        <f t="shared" si="0"/>
        <v>-1.1816666666666666</v>
      </c>
    </row>
    <row r="45" spans="1:26" x14ac:dyDescent="0.2">
      <c r="A45">
        <v>2022</v>
      </c>
      <c r="B45">
        <v>-1.01</v>
      </c>
      <c r="C45">
        <v>-0.98</v>
      </c>
      <c r="D45">
        <v>-1.31</v>
      </c>
      <c r="E45">
        <v>-1.61</v>
      </c>
      <c r="F45">
        <v>-1.63</v>
      </c>
      <c r="G45">
        <v>-1.9</v>
      </c>
      <c r="H45">
        <v>-2.17</v>
      </c>
      <c r="I45">
        <v>-1.75</v>
      </c>
      <c r="J45">
        <v>-1.73</v>
      </c>
      <c r="K45">
        <v>-1.73</v>
      </c>
      <c r="L45">
        <v>-1.53</v>
      </c>
      <c r="M45">
        <v>-1.28</v>
      </c>
      <c r="N45">
        <f t="shared" si="0"/>
        <v>-1.5525000000000002</v>
      </c>
    </row>
    <row r="46" spans="1:26" x14ac:dyDescent="0.2">
      <c r="A46">
        <v>2023</v>
      </c>
      <c r="B46">
        <v>-1.1100000000000001</v>
      </c>
      <c r="C46">
        <v>-0.91</v>
      </c>
      <c r="D46">
        <v>-0.76</v>
      </c>
      <c r="E46">
        <v>-0.37</v>
      </c>
      <c r="F46">
        <v>-0.06</v>
      </c>
      <c r="G46">
        <v>0.43</v>
      </c>
      <c r="H46">
        <v>0.5</v>
      </c>
      <c r="I46">
        <v>0.51</v>
      </c>
      <c r="J46">
        <v>0.68</v>
      </c>
      <c r="K46">
        <v>0.48</v>
      </c>
      <c r="L46">
        <v>0.91</v>
      </c>
      <c r="M46">
        <v>1.1299999999999999</v>
      </c>
      <c r="N46">
        <f t="shared" si="0"/>
        <v>0.11916666666666664</v>
      </c>
      <c r="Z46" t="s">
        <v>16</v>
      </c>
    </row>
    <row r="47" spans="1:26" x14ac:dyDescent="0.2">
      <c r="A47">
        <v>2024</v>
      </c>
      <c r="B47">
        <v>0.7</v>
      </c>
      <c r="C47">
        <v>0.68</v>
      </c>
      <c r="D47">
        <v>0.78</v>
      </c>
      <c r="E47">
        <v>0.34</v>
      </c>
      <c r="F47">
        <v>0.12</v>
      </c>
      <c r="G47">
        <v>-0.23</v>
      </c>
      <c r="H47">
        <v>-0.72</v>
      </c>
      <c r="I47">
        <v>-0.73</v>
      </c>
      <c r="J47">
        <v>-0.65</v>
      </c>
      <c r="K47">
        <v>-0.51</v>
      </c>
      <c r="L47">
        <v>-0.68</v>
      </c>
      <c r="M47">
        <v>-0.91</v>
      </c>
      <c r="N47">
        <f t="shared" si="0"/>
        <v>-0.15083333333333335</v>
      </c>
      <c r="T47" s="1">
        <f>I47*Q3+H47*R3+G47*S3+F47*T3+U3</f>
        <v>-0.67797571599399642</v>
      </c>
      <c r="U47" s="1">
        <f>I47*Q13+H47*R13+G47*S13+F47*T13+U13</f>
        <v>-0.68451514021807291</v>
      </c>
      <c r="V47" s="1">
        <f>I47*Q23+H47*R23+G47*S23+F47*T23+U23</f>
        <v>-0.65704550123881034</v>
      </c>
      <c r="W47" s="1">
        <f>I47*Q33+H47*R33+G47*S33+F47*T33+U33</f>
        <v>-0.62299748826780832</v>
      </c>
      <c r="X47" cm="1">
        <f t="array" ref="X47">SUM(B47:W47*B48:W48)/SUM(B48:W48)</f>
        <v>-3.6941895130223626E-2</v>
      </c>
      <c r="Y47">
        <f>AVERAGE(B47:W47)</f>
        <v>-0.27078630465011894</v>
      </c>
      <c r="Z47">
        <f>AVERAGE(B47:I47)</f>
        <v>0.11750000000000002</v>
      </c>
    </row>
    <row r="48" spans="1:26" x14ac:dyDescent="0.2">
      <c r="A48">
        <v>2025</v>
      </c>
      <c r="B48">
        <v>-1</v>
      </c>
      <c r="C48">
        <v>-0.83</v>
      </c>
      <c r="D48">
        <v>-0.68</v>
      </c>
      <c r="E48">
        <v>-0.38</v>
      </c>
      <c r="F48">
        <v>-0.36</v>
      </c>
      <c r="G48">
        <v>-1.17</v>
      </c>
      <c r="H48">
        <v>-1.22</v>
      </c>
      <c r="I48">
        <v>-0.87</v>
      </c>
      <c r="J48">
        <v>-1.1200000000000001</v>
      </c>
      <c r="K48">
        <v>-1.19</v>
      </c>
      <c r="L48">
        <v>-1.06</v>
      </c>
      <c r="M48">
        <v>-0.77</v>
      </c>
      <c r="N48">
        <f t="shared" si="0"/>
        <v>-0.88750000000000007</v>
      </c>
      <c r="T48">
        <f>Q8</f>
        <v>0.96322645677157459</v>
      </c>
      <c r="U48">
        <f>Q18</f>
        <v>0.91056982095588479</v>
      </c>
      <c r="V48">
        <f>Q28</f>
        <v>0.8995692815176668</v>
      </c>
      <c r="W48">
        <f>Q38</f>
        <v>0.87790293122781748</v>
      </c>
    </row>
    <row r="49" spans="1:11" x14ac:dyDescent="0.2">
      <c r="A49">
        <v>2026</v>
      </c>
      <c r="B49">
        <v>-0.76</v>
      </c>
      <c r="C49">
        <v>-0.95</v>
      </c>
      <c r="D49">
        <v>-1.03</v>
      </c>
      <c r="E49">
        <v>-0.64</v>
      </c>
      <c r="F49">
        <v>0.27</v>
      </c>
      <c r="G49">
        <v>1.52</v>
      </c>
      <c r="H49">
        <v>2.41</v>
      </c>
      <c r="I49">
        <v>2.54</v>
      </c>
    </row>
    <row r="51" spans="1:11" x14ac:dyDescent="0.2">
      <c r="K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1CB7-948A-5647-A012-62D82AE37483}">
  <dimension ref="A1:P136"/>
  <sheetViews>
    <sheetView workbookViewId="0">
      <selection activeCell="N109" sqref="A1:N109"/>
    </sheetView>
  </sheetViews>
  <sheetFormatPr baseColWidth="10" defaultRowHeight="16" x14ac:dyDescent="0.2"/>
  <sheetData>
    <row r="1" spans="1:14" x14ac:dyDescent="0.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</row>
    <row r="2" spans="1:14" x14ac:dyDescent="0.2">
      <c r="A2">
        <v>1871</v>
      </c>
      <c r="B2">
        <v>3.2000000000000001E-2</v>
      </c>
      <c r="C2">
        <v>-5.5E-2</v>
      </c>
      <c r="D2">
        <v>5.0000000000000001E-3</v>
      </c>
      <c r="E2">
        <v>0.42</v>
      </c>
      <c r="F2">
        <v>0.19500000000000001</v>
      </c>
      <c r="G2">
        <v>-0.63900000000000001</v>
      </c>
      <c r="H2">
        <v>-0.84199999999999997</v>
      </c>
      <c r="I2">
        <v>-0.47399999999999998</v>
      </c>
      <c r="J2">
        <v>-0.14299999999999999</v>
      </c>
      <c r="K2">
        <v>7.1999999999999995E-2</v>
      </c>
      <c r="L2">
        <v>0.107</v>
      </c>
      <c r="M2">
        <v>-0.20599999999999999</v>
      </c>
      <c r="N2">
        <f>AVERAGE(B2:M2)</f>
        <v>-0.12733333333333333</v>
      </c>
    </row>
    <row r="3" spans="1:14" x14ac:dyDescent="0.2">
      <c r="A3">
        <v>1872</v>
      </c>
      <c r="B3">
        <v>-0.63300000000000001</v>
      </c>
      <c r="C3">
        <v>-0.875</v>
      </c>
      <c r="D3">
        <v>-0.86399999999999999</v>
      </c>
      <c r="E3">
        <v>-0.66400000000000003</v>
      </c>
      <c r="F3">
        <v>-0.59</v>
      </c>
      <c r="G3">
        <v>-0.61799999999999999</v>
      </c>
      <c r="H3">
        <v>-0.65800000000000003</v>
      </c>
      <c r="I3">
        <v>-0.79500000000000004</v>
      </c>
      <c r="J3">
        <v>-0.8</v>
      </c>
      <c r="K3">
        <v>-0.66900000000000004</v>
      </c>
      <c r="L3">
        <v>-0.65100000000000002</v>
      </c>
      <c r="M3">
        <v>-0.84699999999999998</v>
      </c>
      <c r="N3">
        <f t="shared" ref="N3:N66" si="0">AVERAGE(B3:M3)</f>
        <v>-0.72199999999999998</v>
      </c>
    </row>
    <row r="4" spans="1:14" x14ac:dyDescent="0.2">
      <c r="A4">
        <v>1873</v>
      </c>
      <c r="B4">
        <v>-0.93</v>
      </c>
      <c r="C4">
        <v>-0.99099999999999999</v>
      </c>
      <c r="D4">
        <v>-1.3009999999999999</v>
      </c>
      <c r="E4">
        <v>-1.4890000000000001</v>
      </c>
      <c r="F4">
        <v>-1.0660000000000001</v>
      </c>
      <c r="G4">
        <v>-0.68899999999999995</v>
      </c>
      <c r="H4">
        <v>-0.65700000000000003</v>
      </c>
      <c r="I4">
        <v>-0.64600000000000002</v>
      </c>
      <c r="J4">
        <v>-0.318</v>
      </c>
      <c r="K4">
        <v>-1.2E-2</v>
      </c>
      <c r="L4">
        <v>-0.35499999999999998</v>
      </c>
      <c r="M4">
        <v>-0.54</v>
      </c>
      <c r="N4">
        <f t="shared" si="0"/>
        <v>-0.74949999999999994</v>
      </c>
    </row>
    <row r="5" spans="1:14" x14ac:dyDescent="0.2">
      <c r="A5">
        <v>1874</v>
      </c>
      <c r="B5">
        <v>-0.61099999999999999</v>
      </c>
      <c r="C5">
        <v>-0.80200000000000005</v>
      </c>
      <c r="D5">
        <v>-1.036</v>
      </c>
      <c r="E5">
        <v>-1.2749999999999999</v>
      </c>
      <c r="F5">
        <v>-1.258</v>
      </c>
      <c r="G5">
        <v>-0.96399999999999997</v>
      </c>
      <c r="H5">
        <v>-0.90200000000000002</v>
      </c>
      <c r="I5">
        <v>-1.143</v>
      </c>
      <c r="J5">
        <v>-1.1479999999999999</v>
      </c>
      <c r="K5">
        <v>-1.0029999999999999</v>
      </c>
      <c r="L5">
        <v>-0.77100000000000002</v>
      </c>
      <c r="M5">
        <v>-0.67900000000000005</v>
      </c>
      <c r="N5">
        <f t="shared" si="0"/>
        <v>-0.96600000000000008</v>
      </c>
    </row>
    <row r="6" spans="1:14" x14ac:dyDescent="0.2">
      <c r="A6">
        <v>1875</v>
      </c>
      <c r="B6">
        <v>-0.77400000000000002</v>
      </c>
      <c r="C6">
        <v>-0.68600000000000005</v>
      </c>
      <c r="D6">
        <v>-0.67</v>
      </c>
      <c r="E6">
        <v>-0.95799999999999996</v>
      </c>
      <c r="F6">
        <v>-1.3149999999999999</v>
      </c>
      <c r="G6">
        <v>-1.8120000000000001</v>
      </c>
      <c r="H6">
        <v>-1.964</v>
      </c>
      <c r="I6">
        <v>-1.5529999999999999</v>
      </c>
      <c r="J6">
        <v>-1.2949999999999999</v>
      </c>
      <c r="K6">
        <v>-0.99299999999999999</v>
      </c>
      <c r="L6">
        <v>-0.68200000000000005</v>
      </c>
      <c r="M6">
        <v>-0.68799999999999994</v>
      </c>
      <c r="N6">
        <f t="shared" si="0"/>
        <v>-1.1158333333333335</v>
      </c>
    </row>
    <row r="7" spans="1:14" x14ac:dyDescent="0.2">
      <c r="A7">
        <v>1876</v>
      </c>
      <c r="B7">
        <v>-0.878</v>
      </c>
      <c r="C7">
        <v>-1.196</v>
      </c>
      <c r="D7">
        <v>-1.504</v>
      </c>
      <c r="E7">
        <v>-1.6910000000000001</v>
      </c>
      <c r="F7">
        <v>-1.8779999999999999</v>
      </c>
      <c r="G7">
        <v>-1.845</v>
      </c>
      <c r="H7">
        <v>-1.4350000000000001</v>
      </c>
      <c r="I7">
        <v>-0.86699999999999999</v>
      </c>
      <c r="J7">
        <v>-0.39300000000000002</v>
      </c>
      <c r="K7">
        <v>-7.0999999999999994E-2</v>
      </c>
      <c r="L7">
        <v>8.7999999999999995E-2</v>
      </c>
      <c r="M7">
        <v>0.17</v>
      </c>
      <c r="N7">
        <f t="shared" si="0"/>
        <v>-0.95833333333333348</v>
      </c>
    </row>
    <row r="8" spans="1:14" x14ac:dyDescent="0.2">
      <c r="A8">
        <v>1877</v>
      </c>
      <c r="B8">
        <v>0.193</v>
      </c>
      <c r="C8">
        <v>0.33400000000000002</v>
      </c>
      <c r="D8">
        <v>0.373</v>
      </c>
      <c r="E8">
        <v>0.35299999999999998</v>
      </c>
      <c r="F8">
        <v>0.441</v>
      </c>
      <c r="G8">
        <v>0.69</v>
      </c>
      <c r="H8">
        <v>1.3180000000000001</v>
      </c>
      <c r="I8">
        <v>1.6870000000000001</v>
      </c>
      <c r="J8">
        <v>1.788</v>
      </c>
      <c r="K8">
        <v>2.0699999999999998</v>
      </c>
      <c r="L8">
        <v>2.165</v>
      </c>
      <c r="M8">
        <v>1.7629999999999999</v>
      </c>
      <c r="N8">
        <f t="shared" si="0"/>
        <v>1.0979166666666667</v>
      </c>
    </row>
    <row r="9" spans="1:14" x14ac:dyDescent="0.2">
      <c r="A9">
        <v>1878</v>
      </c>
      <c r="B9">
        <v>1.877</v>
      </c>
      <c r="C9">
        <v>2.3610000000000002</v>
      </c>
      <c r="D9">
        <v>2.4950000000000001</v>
      </c>
      <c r="E9">
        <v>1.883</v>
      </c>
      <c r="F9">
        <v>1.006</v>
      </c>
      <c r="G9">
        <v>0.57999999999999996</v>
      </c>
      <c r="H9">
        <v>0.54</v>
      </c>
      <c r="I9">
        <v>0.23499999999999999</v>
      </c>
      <c r="J9">
        <v>-0.371</v>
      </c>
      <c r="K9">
        <v>-0.84499999999999997</v>
      </c>
      <c r="L9">
        <v>-0.91100000000000003</v>
      </c>
      <c r="M9">
        <v>-0.92100000000000004</v>
      </c>
      <c r="N9">
        <f t="shared" si="0"/>
        <v>0.66074999999999995</v>
      </c>
    </row>
    <row r="10" spans="1:14" x14ac:dyDescent="0.2">
      <c r="A10">
        <v>1879</v>
      </c>
      <c r="B10">
        <v>-1.0049999999999999</v>
      </c>
      <c r="C10">
        <v>-0.72899999999999998</v>
      </c>
      <c r="D10">
        <v>-0.44500000000000001</v>
      </c>
      <c r="E10">
        <v>-0.44700000000000001</v>
      </c>
      <c r="F10">
        <v>-0.95599999999999996</v>
      </c>
      <c r="G10">
        <v>-1.18</v>
      </c>
      <c r="H10">
        <v>-0.82699999999999996</v>
      </c>
      <c r="I10">
        <v>-0.60699999999999998</v>
      </c>
      <c r="J10">
        <v>-0.52300000000000002</v>
      </c>
      <c r="K10">
        <v>-0.55700000000000005</v>
      </c>
      <c r="L10">
        <v>-0.72</v>
      </c>
      <c r="M10">
        <v>-1.0309999999999999</v>
      </c>
      <c r="N10">
        <f t="shared" si="0"/>
        <v>-0.75224999999999997</v>
      </c>
    </row>
    <row r="11" spans="1:14" x14ac:dyDescent="0.2">
      <c r="A11">
        <v>1880</v>
      </c>
      <c r="B11">
        <v>-1.0569999999999999</v>
      </c>
      <c r="C11">
        <v>-0.83</v>
      </c>
      <c r="D11">
        <v>-0.89900000000000002</v>
      </c>
      <c r="E11">
        <v>-1.069</v>
      </c>
      <c r="F11">
        <v>-0.96499999999999997</v>
      </c>
      <c r="G11">
        <v>-0.59499999999999997</v>
      </c>
      <c r="H11">
        <v>0.113</v>
      </c>
      <c r="I11">
        <v>0.39400000000000002</v>
      </c>
      <c r="J11">
        <v>8.3000000000000004E-2</v>
      </c>
      <c r="K11">
        <v>-0.22800000000000001</v>
      </c>
      <c r="L11">
        <v>-0.128</v>
      </c>
      <c r="M11">
        <v>0.17</v>
      </c>
      <c r="N11">
        <f t="shared" si="0"/>
        <v>-0.41758333333333325</v>
      </c>
    </row>
    <row r="12" spans="1:14" x14ac:dyDescent="0.2">
      <c r="A12">
        <v>1881</v>
      </c>
      <c r="B12">
        <v>0.14799999999999999</v>
      </c>
      <c r="C12">
        <v>0.215</v>
      </c>
      <c r="D12">
        <v>0.17399999999999999</v>
      </c>
      <c r="E12">
        <v>8.2000000000000003E-2</v>
      </c>
      <c r="F12">
        <v>-0.105</v>
      </c>
      <c r="G12">
        <v>-6.2E-2</v>
      </c>
      <c r="H12">
        <v>-0.153</v>
      </c>
      <c r="I12">
        <v>-0.55900000000000005</v>
      </c>
      <c r="J12">
        <v>-0.65600000000000003</v>
      </c>
      <c r="K12">
        <v>-0.38900000000000001</v>
      </c>
      <c r="L12">
        <v>-0.499</v>
      </c>
      <c r="M12">
        <v>-0.77600000000000002</v>
      </c>
      <c r="N12">
        <f t="shared" si="0"/>
        <v>-0.215</v>
      </c>
    </row>
    <row r="13" spans="1:14" x14ac:dyDescent="0.2">
      <c r="A13">
        <v>1882</v>
      </c>
      <c r="B13">
        <v>-0.59799999999999998</v>
      </c>
      <c r="C13">
        <v>-0.46100000000000002</v>
      </c>
      <c r="D13">
        <v>-0.58499999999999996</v>
      </c>
      <c r="E13">
        <v>-0.79900000000000004</v>
      </c>
      <c r="F13">
        <v>-1.028</v>
      </c>
      <c r="G13">
        <v>-0.97</v>
      </c>
      <c r="H13">
        <v>-0.68600000000000005</v>
      </c>
      <c r="I13">
        <v>-0.436</v>
      </c>
      <c r="J13">
        <v>-0.26700000000000002</v>
      </c>
      <c r="K13">
        <v>-0.26100000000000001</v>
      </c>
      <c r="L13">
        <v>-0.379</v>
      </c>
      <c r="M13">
        <v>-0.40400000000000003</v>
      </c>
      <c r="N13">
        <f t="shared" si="0"/>
        <v>-0.57283333333333342</v>
      </c>
    </row>
    <row r="14" spans="1:14" x14ac:dyDescent="0.2">
      <c r="A14">
        <v>1883</v>
      </c>
      <c r="B14">
        <v>-0.56200000000000006</v>
      </c>
      <c r="C14">
        <v>-0.628</v>
      </c>
      <c r="D14">
        <v>-0.56200000000000006</v>
      </c>
      <c r="E14">
        <v>-0.67200000000000004</v>
      </c>
      <c r="F14">
        <v>-1.07</v>
      </c>
      <c r="G14">
        <v>-0.89800000000000002</v>
      </c>
      <c r="H14">
        <v>-0.28399999999999997</v>
      </c>
      <c r="I14">
        <v>-0.22800000000000001</v>
      </c>
      <c r="J14">
        <v>-0.314</v>
      </c>
      <c r="K14">
        <v>-0.01</v>
      </c>
      <c r="L14">
        <v>4.0000000000000001E-3</v>
      </c>
      <c r="M14">
        <v>-1.2E-2</v>
      </c>
      <c r="N14">
        <f t="shared" si="0"/>
        <v>-0.43633333333333324</v>
      </c>
    </row>
    <row r="15" spans="1:14" x14ac:dyDescent="0.2">
      <c r="A15">
        <v>1884</v>
      </c>
      <c r="B15">
        <v>9.4E-2</v>
      </c>
      <c r="C15">
        <v>0.121</v>
      </c>
      <c r="D15">
        <v>0.112</v>
      </c>
      <c r="E15">
        <v>0.36899999999999999</v>
      </c>
      <c r="F15">
        <v>0.78600000000000003</v>
      </c>
      <c r="G15">
        <v>0.72499999999999998</v>
      </c>
      <c r="H15">
        <v>0.36799999999999999</v>
      </c>
      <c r="I15">
        <v>0.433</v>
      </c>
      <c r="J15">
        <v>0.628</v>
      </c>
      <c r="K15">
        <v>0.52500000000000002</v>
      </c>
      <c r="L15">
        <v>0.33300000000000002</v>
      </c>
      <c r="M15">
        <v>0.432</v>
      </c>
      <c r="N15">
        <f t="shared" si="0"/>
        <v>0.41050000000000003</v>
      </c>
    </row>
    <row r="16" spans="1:14" x14ac:dyDescent="0.2">
      <c r="A16">
        <v>1885</v>
      </c>
      <c r="B16">
        <v>0.63900000000000001</v>
      </c>
      <c r="C16">
        <v>0.59899999999999998</v>
      </c>
      <c r="D16">
        <v>0.26200000000000001</v>
      </c>
      <c r="E16">
        <v>0.247</v>
      </c>
      <c r="F16">
        <v>0.58799999999999997</v>
      </c>
      <c r="G16">
        <v>0.41399999999999998</v>
      </c>
      <c r="H16">
        <v>-4.3999999999999997E-2</v>
      </c>
      <c r="I16">
        <v>0.21099999999999999</v>
      </c>
      <c r="J16">
        <v>0.50600000000000001</v>
      </c>
      <c r="K16">
        <v>0.80400000000000005</v>
      </c>
      <c r="L16">
        <v>1.216</v>
      </c>
      <c r="M16">
        <v>0.91400000000000003</v>
      </c>
      <c r="N16">
        <f t="shared" si="0"/>
        <v>0.52966666666666662</v>
      </c>
    </row>
    <row r="17" spans="1:14" x14ac:dyDescent="0.2">
      <c r="A17">
        <v>1886</v>
      </c>
      <c r="B17">
        <v>0.38400000000000001</v>
      </c>
      <c r="C17">
        <v>0.112</v>
      </c>
      <c r="D17">
        <v>1.6E-2</v>
      </c>
      <c r="E17">
        <v>-0.10299999999999999</v>
      </c>
      <c r="F17">
        <v>-0.61899999999999999</v>
      </c>
      <c r="G17">
        <v>-1.274</v>
      </c>
      <c r="H17">
        <v>-1.466</v>
      </c>
      <c r="I17">
        <v>-1.351</v>
      </c>
      <c r="J17">
        <v>-1.228</v>
      </c>
      <c r="K17">
        <v>-1.2330000000000001</v>
      </c>
      <c r="L17">
        <v>-1.306</v>
      </c>
      <c r="M17">
        <v>-1.272</v>
      </c>
      <c r="N17">
        <f t="shared" si="0"/>
        <v>-0.77833333333333343</v>
      </c>
    </row>
    <row r="18" spans="1:14" x14ac:dyDescent="0.2">
      <c r="A18">
        <v>1887</v>
      </c>
      <c r="B18">
        <v>-1.4510000000000001</v>
      </c>
      <c r="C18">
        <v>-1.573</v>
      </c>
      <c r="D18">
        <v>-1.3129999999999999</v>
      </c>
      <c r="E18">
        <v>-1.0880000000000001</v>
      </c>
      <c r="F18">
        <v>-1.2569999999999999</v>
      </c>
      <c r="G18">
        <v>-0.92600000000000005</v>
      </c>
      <c r="H18">
        <v>-6.6000000000000003E-2</v>
      </c>
      <c r="I18">
        <v>0.19400000000000001</v>
      </c>
      <c r="J18">
        <v>0.113</v>
      </c>
      <c r="K18">
        <v>-0.154</v>
      </c>
      <c r="L18">
        <v>-0.314</v>
      </c>
      <c r="M18">
        <v>-0.155</v>
      </c>
      <c r="N18">
        <f t="shared" si="0"/>
        <v>-0.66583333333333328</v>
      </c>
    </row>
    <row r="19" spans="1:14" x14ac:dyDescent="0.2">
      <c r="A19">
        <v>1888</v>
      </c>
      <c r="B19">
        <v>3.5999999999999997E-2</v>
      </c>
      <c r="C19">
        <v>0.38900000000000001</v>
      </c>
      <c r="D19">
        <v>0.79200000000000004</v>
      </c>
      <c r="E19">
        <v>0.94799999999999995</v>
      </c>
      <c r="F19">
        <v>0.874</v>
      </c>
      <c r="G19">
        <v>0.92100000000000004</v>
      </c>
      <c r="H19">
        <v>1.038</v>
      </c>
      <c r="I19">
        <v>1.34</v>
      </c>
      <c r="J19">
        <v>1.732</v>
      </c>
      <c r="K19">
        <v>1.788</v>
      </c>
      <c r="L19">
        <v>1.7230000000000001</v>
      </c>
      <c r="M19">
        <v>1.851</v>
      </c>
      <c r="N19">
        <f t="shared" si="0"/>
        <v>1.1193333333333335</v>
      </c>
    </row>
    <row r="20" spans="1:14" x14ac:dyDescent="0.2">
      <c r="A20">
        <v>1889</v>
      </c>
      <c r="B20">
        <v>1.893</v>
      </c>
      <c r="C20">
        <v>1.865</v>
      </c>
      <c r="D20">
        <v>1.6180000000000001</v>
      </c>
      <c r="E20">
        <v>1.163</v>
      </c>
      <c r="F20">
        <v>0.48099999999999998</v>
      </c>
      <c r="G20">
        <v>-6.8000000000000005E-2</v>
      </c>
      <c r="H20">
        <v>-0.55500000000000005</v>
      </c>
      <c r="I20">
        <v>-1.1919999999999999</v>
      </c>
      <c r="J20">
        <v>-1.494</v>
      </c>
      <c r="K20">
        <v>-1.534</v>
      </c>
      <c r="L20">
        <v>-1.532</v>
      </c>
      <c r="M20">
        <v>-1.4510000000000001</v>
      </c>
      <c r="N20">
        <f t="shared" si="0"/>
        <v>-6.7166666666666555E-2</v>
      </c>
    </row>
    <row r="21" spans="1:14" x14ac:dyDescent="0.2">
      <c r="A21">
        <v>1890</v>
      </c>
      <c r="B21">
        <v>-1.53</v>
      </c>
      <c r="C21">
        <v>-1.7310000000000001</v>
      </c>
      <c r="D21">
        <v>-1.5840000000000001</v>
      </c>
      <c r="E21">
        <v>-1.456</v>
      </c>
      <c r="F21">
        <v>-1.55</v>
      </c>
      <c r="G21">
        <v>-1.5640000000000001</v>
      </c>
      <c r="H21">
        <v>-1.4059999999999999</v>
      </c>
      <c r="I21">
        <v>-1.264</v>
      </c>
      <c r="J21">
        <v>-1.1859999999999999</v>
      </c>
      <c r="K21">
        <v>-1.006</v>
      </c>
      <c r="L21">
        <v>-0.876</v>
      </c>
      <c r="M21">
        <v>-0.63800000000000001</v>
      </c>
      <c r="N21">
        <f t="shared" si="0"/>
        <v>-1.3159166666666666</v>
      </c>
    </row>
    <row r="22" spans="1:14" x14ac:dyDescent="0.2">
      <c r="A22">
        <v>1891</v>
      </c>
      <c r="B22">
        <v>-0.55700000000000005</v>
      </c>
      <c r="C22">
        <v>-0.28699999999999998</v>
      </c>
      <c r="D22">
        <v>0.17</v>
      </c>
      <c r="E22">
        <v>0.28499999999999998</v>
      </c>
      <c r="F22">
        <v>6.0999999999999999E-2</v>
      </c>
      <c r="G22">
        <v>0.128</v>
      </c>
      <c r="H22">
        <v>0.36</v>
      </c>
      <c r="I22">
        <v>0.38200000000000001</v>
      </c>
      <c r="J22">
        <v>0.192</v>
      </c>
      <c r="K22">
        <v>2.1000000000000001E-2</v>
      </c>
      <c r="L22">
        <v>-9.7000000000000003E-2</v>
      </c>
      <c r="M22">
        <v>-0.188</v>
      </c>
      <c r="N22">
        <f t="shared" si="0"/>
        <v>3.9166666666666669E-2</v>
      </c>
    </row>
    <row r="23" spans="1:14" x14ac:dyDescent="0.2">
      <c r="A23">
        <v>1892</v>
      </c>
      <c r="B23">
        <v>-0.128</v>
      </c>
      <c r="C23">
        <v>-0.184</v>
      </c>
      <c r="D23">
        <v>-0.70799999999999996</v>
      </c>
      <c r="E23">
        <v>-1.486</v>
      </c>
      <c r="F23">
        <v>-1.5720000000000001</v>
      </c>
      <c r="G23">
        <v>-1.1519999999999999</v>
      </c>
      <c r="H23">
        <v>-1.0269999999999999</v>
      </c>
      <c r="I23">
        <v>-1.29</v>
      </c>
      <c r="J23">
        <v>-1.619</v>
      </c>
      <c r="K23">
        <v>-1.748</v>
      </c>
      <c r="L23">
        <v>-1.6819999999999999</v>
      </c>
      <c r="M23">
        <v>-1.5449999999999999</v>
      </c>
      <c r="N23">
        <f t="shared" si="0"/>
        <v>-1.1784166666666667</v>
      </c>
    </row>
    <row r="24" spans="1:14" x14ac:dyDescent="0.2">
      <c r="A24">
        <v>1893</v>
      </c>
      <c r="B24">
        <v>-1.5529999999999999</v>
      </c>
      <c r="C24">
        <v>-1.625</v>
      </c>
      <c r="D24">
        <v>-1.5649999999999999</v>
      </c>
      <c r="E24">
        <v>-1.524</v>
      </c>
      <c r="F24">
        <v>-1.9410000000000001</v>
      </c>
      <c r="G24">
        <v>-2.3559999999999999</v>
      </c>
      <c r="H24">
        <v>-2.56</v>
      </c>
      <c r="I24">
        <v>-2.524</v>
      </c>
      <c r="J24">
        <v>-2.427</v>
      </c>
      <c r="K24">
        <v>-2.1669999999999998</v>
      </c>
      <c r="L24">
        <v>-1.8320000000000001</v>
      </c>
      <c r="M24">
        <v>-1.3680000000000001</v>
      </c>
      <c r="N24">
        <f t="shared" si="0"/>
        <v>-1.9534999999999998</v>
      </c>
    </row>
    <row r="25" spans="1:14" x14ac:dyDescent="0.2">
      <c r="A25">
        <v>1894</v>
      </c>
      <c r="B25">
        <v>-1.206</v>
      </c>
      <c r="C25">
        <v>-1.323</v>
      </c>
      <c r="D25">
        <v>-1.448</v>
      </c>
      <c r="E25">
        <v>-1.645</v>
      </c>
      <c r="F25">
        <v>-1.32</v>
      </c>
      <c r="G25">
        <v>-0.77100000000000002</v>
      </c>
      <c r="H25">
        <v>-0.92</v>
      </c>
      <c r="I25">
        <v>-1.018</v>
      </c>
      <c r="J25">
        <v>-0.85599999999999998</v>
      </c>
      <c r="K25">
        <v>-0.91400000000000003</v>
      </c>
      <c r="L25">
        <v>-0.79900000000000004</v>
      </c>
      <c r="M25">
        <v>-0.66500000000000004</v>
      </c>
      <c r="N25">
        <f t="shared" si="0"/>
        <v>-1.0737500000000002</v>
      </c>
    </row>
    <row r="26" spans="1:14" x14ac:dyDescent="0.2">
      <c r="A26">
        <v>1895</v>
      </c>
      <c r="B26">
        <v>-0.70599999999999996</v>
      </c>
      <c r="C26">
        <v>-0.77500000000000002</v>
      </c>
      <c r="D26">
        <v>-0.77200000000000002</v>
      </c>
      <c r="E26">
        <v>-0.80300000000000005</v>
      </c>
      <c r="F26">
        <v>-0.83</v>
      </c>
      <c r="G26">
        <v>-0.624</v>
      </c>
      <c r="H26">
        <v>-0.182</v>
      </c>
      <c r="I26">
        <v>0.28100000000000003</v>
      </c>
      <c r="J26">
        <v>0.45300000000000001</v>
      </c>
      <c r="K26">
        <v>0.26400000000000001</v>
      </c>
      <c r="L26">
        <v>8.2000000000000003E-2</v>
      </c>
      <c r="M26">
        <v>4.3999999999999997E-2</v>
      </c>
      <c r="N26">
        <f t="shared" si="0"/>
        <v>-0.29733333333333339</v>
      </c>
    </row>
    <row r="27" spans="1:14" x14ac:dyDescent="0.2">
      <c r="A27">
        <v>1896</v>
      </c>
      <c r="B27">
        <v>-0.16</v>
      </c>
      <c r="C27">
        <v>-0.20799999999999999</v>
      </c>
      <c r="D27">
        <v>-6.5000000000000002E-2</v>
      </c>
      <c r="E27">
        <v>-0.161</v>
      </c>
      <c r="F27">
        <v>6.6000000000000003E-2</v>
      </c>
      <c r="G27">
        <v>0.65700000000000003</v>
      </c>
      <c r="H27">
        <v>0.91</v>
      </c>
      <c r="I27">
        <v>1.2230000000000001</v>
      </c>
      <c r="J27">
        <v>1.484</v>
      </c>
      <c r="K27">
        <v>1.294</v>
      </c>
      <c r="L27">
        <v>1.2</v>
      </c>
      <c r="M27">
        <v>1.4179999999999999</v>
      </c>
      <c r="N27">
        <f t="shared" si="0"/>
        <v>0.63816666666666677</v>
      </c>
    </row>
    <row r="28" spans="1:14" x14ac:dyDescent="0.2">
      <c r="A28">
        <v>1897</v>
      </c>
      <c r="B28">
        <v>1.5429999999999999</v>
      </c>
      <c r="C28">
        <v>1.351</v>
      </c>
      <c r="D28">
        <v>1.1499999999999999</v>
      </c>
      <c r="E28">
        <v>1.085</v>
      </c>
      <c r="F28">
        <v>0.876</v>
      </c>
      <c r="G28">
        <v>0.36899999999999999</v>
      </c>
      <c r="H28">
        <v>-3.1E-2</v>
      </c>
      <c r="I28">
        <v>-0.14699999999999999</v>
      </c>
      <c r="J28">
        <v>-0.29599999999999999</v>
      </c>
      <c r="K28">
        <v>-0.44900000000000001</v>
      </c>
      <c r="L28">
        <v>-0.34799999999999998</v>
      </c>
      <c r="M28">
        <v>-0.38400000000000001</v>
      </c>
      <c r="N28">
        <f t="shared" si="0"/>
        <v>0.39325000000000004</v>
      </c>
    </row>
    <row r="29" spans="1:14" x14ac:dyDescent="0.2">
      <c r="A29">
        <v>1898</v>
      </c>
      <c r="B29">
        <v>-0.46100000000000002</v>
      </c>
      <c r="C29">
        <v>-0.69099999999999995</v>
      </c>
      <c r="D29">
        <v>-0.999</v>
      </c>
      <c r="E29">
        <v>-0.89600000000000002</v>
      </c>
      <c r="F29">
        <v>-0.55000000000000004</v>
      </c>
      <c r="G29">
        <v>-0.42499999999999999</v>
      </c>
      <c r="H29">
        <v>-0.307</v>
      </c>
      <c r="I29">
        <v>-0.59699999999999998</v>
      </c>
      <c r="J29">
        <v>-1.093</v>
      </c>
      <c r="K29">
        <v>-0.85</v>
      </c>
      <c r="L29">
        <v>-0.312</v>
      </c>
      <c r="M29">
        <v>-0.33400000000000002</v>
      </c>
      <c r="N29">
        <f t="shared" si="0"/>
        <v>-0.62624999999999997</v>
      </c>
    </row>
    <row r="30" spans="1:14" x14ac:dyDescent="0.2">
      <c r="A30">
        <v>1899</v>
      </c>
      <c r="B30">
        <v>-0.60799999999999998</v>
      </c>
      <c r="C30">
        <v>-0.69399999999999995</v>
      </c>
      <c r="D30">
        <v>-0.53900000000000003</v>
      </c>
      <c r="E30">
        <v>-0.245</v>
      </c>
      <c r="F30">
        <v>0.03</v>
      </c>
      <c r="G30">
        <v>0.182</v>
      </c>
      <c r="H30">
        <v>0.48199999999999998</v>
      </c>
      <c r="I30">
        <v>0.88300000000000001</v>
      </c>
      <c r="J30">
        <v>1.1140000000000001</v>
      </c>
      <c r="K30">
        <v>0.96599999999999997</v>
      </c>
      <c r="L30">
        <v>0.90600000000000003</v>
      </c>
      <c r="M30">
        <v>1.079</v>
      </c>
      <c r="N30">
        <f t="shared" si="0"/>
        <v>0.29633333333333328</v>
      </c>
    </row>
    <row r="31" spans="1:14" x14ac:dyDescent="0.2">
      <c r="A31">
        <v>1900</v>
      </c>
      <c r="B31">
        <v>1.056</v>
      </c>
      <c r="C31">
        <v>1.05</v>
      </c>
      <c r="D31">
        <v>1.1870000000000001</v>
      </c>
      <c r="E31">
        <v>1.46</v>
      </c>
      <c r="F31">
        <v>1.7130000000000001</v>
      </c>
      <c r="G31">
        <v>1.653</v>
      </c>
      <c r="H31">
        <v>1.361</v>
      </c>
      <c r="I31">
        <v>0.68799999999999994</v>
      </c>
      <c r="J31">
        <v>0.314</v>
      </c>
      <c r="K31">
        <v>0.35399999999999998</v>
      </c>
      <c r="L31">
        <v>0.46700000000000003</v>
      </c>
      <c r="M31">
        <v>0.438</v>
      </c>
      <c r="N31">
        <f t="shared" si="0"/>
        <v>0.97841666666666682</v>
      </c>
    </row>
    <row r="32" spans="1:14" x14ac:dyDescent="0.2">
      <c r="A32">
        <v>1901</v>
      </c>
      <c r="B32">
        <v>0.61199999999999999</v>
      </c>
      <c r="C32">
        <v>0.53300000000000003</v>
      </c>
      <c r="D32">
        <v>0.156</v>
      </c>
      <c r="E32">
        <v>-0.09</v>
      </c>
      <c r="F32">
        <v>-1.2999999999999999E-2</v>
      </c>
      <c r="G32">
        <v>-6.2E-2</v>
      </c>
      <c r="H32">
        <v>-0.112</v>
      </c>
      <c r="I32">
        <v>7.3999999999999996E-2</v>
      </c>
      <c r="J32">
        <v>-0.121</v>
      </c>
      <c r="K32">
        <v>-0.38300000000000001</v>
      </c>
      <c r="L32">
        <v>-0.57599999999999996</v>
      </c>
      <c r="M32">
        <v>-0.42499999999999999</v>
      </c>
      <c r="N32">
        <f t="shared" si="0"/>
        <v>-3.3916666666666671E-2</v>
      </c>
    </row>
    <row r="33" spans="1:14" x14ac:dyDescent="0.2">
      <c r="A33">
        <v>1902</v>
      </c>
      <c r="B33">
        <v>-0.32800000000000001</v>
      </c>
      <c r="C33">
        <v>-0.25600000000000001</v>
      </c>
      <c r="D33">
        <v>9.8000000000000004E-2</v>
      </c>
      <c r="E33">
        <v>0.48699999999999999</v>
      </c>
      <c r="F33">
        <v>0.95499999999999996</v>
      </c>
      <c r="G33">
        <v>1.5189999999999999</v>
      </c>
      <c r="H33">
        <v>1.917</v>
      </c>
      <c r="I33">
        <v>1.591</v>
      </c>
      <c r="J33">
        <v>1.395</v>
      </c>
      <c r="K33">
        <v>1.706</v>
      </c>
      <c r="L33">
        <v>2.0390000000000001</v>
      </c>
      <c r="M33">
        <v>1.7130000000000001</v>
      </c>
      <c r="N33">
        <f t="shared" si="0"/>
        <v>1.0696666666666665</v>
      </c>
    </row>
    <row r="34" spans="1:14" x14ac:dyDescent="0.2">
      <c r="A34">
        <v>1903</v>
      </c>
      <c r="B34">
        <v>0.92500000000000004</v>
      </c>
      <c r="C34">
        <v>0.85299999999999998</v>
      </c>
      <c r="D34">
        <v>0.97799999999999998</v>
      </c>
      <c r="E34">
        <v>0.60599999999999998</v>
      </c>
      <c r="F34">
        <v>-5.8000000000000003E-2</v>
      </c>
      <c r="G34">
        <v>-0.39700000000000002</v>
      </c>
      <c r="H34">
        <v>-0.46</v>
      </c>
      <c r="I34">
        <v>-0.65700000000000003</v>
      </c>
      <c r="J34">
        <v>-0.495</v>
      </c>
      <c r="K34">
        <v>-0.504</v>
      </c>
      <c r="L34">
        <v>-0.78400000000000003</v>
      </c>
      <c r="M34">
        <v>-0.92500000000000004</v>
      </c>
      <c r="N34">
        <f t="shared" si="0"/>
        <v>-7.6500000000000012E-2</v>
      </c>
    </row>
    <row r="35" spans="1:14" x14ac:dyDescent="0.2">
      <c r="A35">
        <v>1904</v>
      </c>
      <c r="B35">
        <v>-1.194</v>
      </c>
      <c r="C35">
        <v>-1.2509999999999999</v>
      </c>
      <c r="D35">
        <v>-1.0900000000000001</v>
      </c>
      <c r="E35">
        <v>-0.92400000000000004</v>
      </c>
      <c r="F35">
        <v>-0.56299999999999994</v>
      </c>
      <c r="G35">
        <v>-0.20799999999999999</v>
      </c>
      <c r="H35">
        <v>0.3</v>
      </c>
      <c r="I35">
        <v>0.65700000000000003</v>
      </c>
      <c r="J35">
        <v>0.70699999999999996</v>
      </c>
      <c r="K35">
        <v>0.81200000000000006</v>
      </c>
      <c r="L35">
        <v>0.74299999999999999</v>
      </c>
      <c r="M35">
        <v>0.73599999999999999</v>
      </c>
      <c r="N35">
        <f t="shared" si="0"/>
        <v>-0.10625000000000005</v>
      </c>
    </row>
    <row r="36" spans="1:14" x14ac:dyDescent="0.2">
      <c r="A36">
        <v>1905</v>
      </c>
      <c r="B36">
        <v>0.78900000000000003</v>
      </c>
      <c r="C36">
        <v>0.89300000000000002</v>
      </c>
      <c r="D36">
        <v>1.1240000000000001</v>
      </c>
      <c r="E36">
        <v>1.2609999999999999</v>
      </c>
      <c r="F36">
        <v>1.129</v>
      </c>
      <c r="G36">
        <v>1.4570000000000001</v>
      </c>
      <c r="H36">
        <v>1.954</v>
      </c>
      <c r="I36">
        <v>1.869</v>
      </c>
      <c r="J36">
        <v>1.641</v>
      </c>
      <c r="K36">
        <v>1.482</v>
      </c>
      <c r="L36">
        <v>1.2210000000000001</v>
      </c>
      <c r="M36">
        <v>1.232</v>
      </c>
      <c r="N36">
        <f t="shared" si="0"/>
        <v>1.3376666666666666</v>
      </c>
    </row>
    <row r="37" spans="1:14" x14ac:dyDescent="0.2">
      <c r="A37">
        <v>1906</v>
      </c>
      <c r="B37">
        <v>1.0529999999999999</v>
      </c>
      <c r="C37">
        <v>0.66400000000000003</v>
      </c>
      <c r="D37">
        <v>0.51200000000000001</v>
      </c>
      <c r="E37">
        <v>0.47699999999999998</v>
      </c>
      <c r="F37">
        <v>0.37</v>
      </c>
      <c r="G37">
        <v>0.16900000000000001</v>
      </c>
      <c r="H37">
        <v>-0.28000000000000003</v>
      </c>
      <c r="I37">
        <v>-0.49199999999999999</v>
      </c>
      <c r="J37">
        <v>-0.79200000000000004</v>
      </c>
      <c r="K37">
        <v>-1.1839999999999999</v>
      </c>
      <c r="L37">
        <v>-0.874</v>
      </c>
      <c r="M37">
        <v>-0.67400000000000004</v>
      </c>
      <c r="N37">
        <f t="shared" si="0"/>
        <v>-8.7583333333333346E-2</v>
      </c>
    </row>
    <row r="38" spans="1:14" x14ac:dyDescent="0.2">
      <c r="A38">
        <v>1907</v>
      </c>
      <c r="B38">
        <v>-0.82799999999999996</v>
      </c>
      <c r="C38">
        <v>-0.72699999999999998</v>
      </c>
      <c r="D38">
        <v>-0.66900000000000004</v>
      </c>
      <c r="E38">
        <v>-0.89</v>
      </c>
      <c r="F38">
        <v>-1.016</v>
      </c>
      <c r="G38">
        <v>-0.92300000000000004</v>
      </c>
      <c r="H38">
        <v>-0.51100000000000001</v>
      </c>
      <c r="I38">
        <v>-8.0000000000000002E-3</v>
      </c>
      <c r="J38">
        <v>0.14299999999999999</v>
      </c>
      <c r="K38">
        <v>2.4E-2</v>
      </c>
      <c r="L38">
        <v>-0.35599999999999998</v>
      </c>
      <c r="M38">
        <v>-0.46600000000000003</v>
      </c>
      <c r="N38">
        <f t="shared" si="0"/>
        <v>-0.5189166666666668</v>
      </c>
    </row>
    <row r="39" spans="1:14" x14ac:dyDescent="0.2">
      <c r="A39">
        <v>1908</v>
      </c>
      <c r="B39">
        <v>-0.44700000000000001</v>
      </c>
      <c r="C39">
        <v>-0.46500000000000002</v>
      </c>
      <c r="D39">
        <v>-0.64400000000000002</v>
      </c>
      <c r="E39">
        <v>-0.98799999999999999</v>
      </c>
      <c r="F39">
        <v>-1.306</v>
      </c>
      <c r="G39">
        <v>-1.32</v>
      </c>
      <c r="H39">
        <v>-0.873</v>
      </c>
      <c r="I39">
        <v>-0.67200000000000004</v>
      </c>
      <c r="J39">
        <v>-0.88500000000000001</v>
      </c>
      <c r="K39">
        <v>-1.004</v>
      </c>
      <c r="L39">
        <v>-1.0640000000000001</v>
      </c>
      <c r="M39">
        <v>-1.282</v>
      </c>
      <c r="N39">
        <f t="shared" si="0"/>
        <v>-0.91249999999999998</v>
      </c>
    </row>
    <row r="40" spans="1:14" x14ac:dyDescent="0.2">
      <c r="A40">
        <v>1909</v>
      </c>
      <c r="B40">
        <v>-1.0289999999999999</v>
      </c>
      <c r="C40">
        <v>-0.61299999999999999</v>
      </c>
      <c r="D40">
        <v>-0.67700000000000005</v>
      </c>
      <c r="E40">
        <v>-0.91400000000000003</v>
      </c>
      <c r="F40">
        <v>-0.97499999999999998</v>
      </c>
      <c r="G40">
        <v>-1.2030000000000001</v>
      </c>
      <c r="H40">
        <v>-1.5</v>
      </c>
      <c r="I40">
        <v>-1.673</v>
      </c>
      <c r="J40">
        <v>-1.7529999999999999</v>
      </c>
      <c r="K40">
        <v>-1.6</v>
      </c>
      <c r="L40">
        <v>-1.532</v>
      </c>
      <c r="M40">
        <v>-1.498</v>
      </c>
      <c r="N40">
        <f t="shared" si="0"/>
        <v>-1.24725</v>
      </c>
    </row>
    <row r="41" spans="1:14" x14ac:dyDescent="0.2">
      <c r="A41">
        <v>1910</v>
      </c>
      <c r="B41">
        <v>-1.385</v>
      </c>
      <c r="C41">
        <v>-1.42</v>
      </c>
      <c r="D41">
        <v>-1.623</v>
      </c>
      <c r="E41">
        <v>-1.8129999999999999</v>
      </c>
      <c r="F41">
        <v>-1.911</v>
      </c>
      <c r="G41">
        <v>-1.9850000000000001</v>
      </c>
      <c r="H41">
        <v>-2.008</v>
      </c>
      <c r="I41">
        <v>-1.65</v>
      </c>
      <c r="J41">
        <v>-1.488</v>
      </c>
      <c r="K41">
        <v>-1.611</v>
      </c>
      <c r="L41">
        <v>-1.4259999999999999</v>
      </c>
      <c r="M41">
        <v>-1.3480000000000001</v>
      </c>
      <c r="N41">
        <f t="shared" si="0"/>
        <v>-1.6389999999999996</v>
      </c>
    </row>
    <row r="42" spans="1:14" x14ac:dyDescent="0.2">
      <c r="A42">
        <v>1911</v>
      </c>
      <c r="B42">
        <v>-1.196</v>
      </c>
      <c r="C42">
        <v>-0.72799999999999998</v>
      </c>
      <c r="D42">
        <v>-0.55000000000000004</v>
      </c>
      <c r="E42">
        <v>-1.0469999999999999</v>
      </c>
      <c r="F42">
        <v>-1.55</v>
      </c>
      <c r="G42">
        <v>-1.556</v>
      </c>
      <c r="H42">
        <v>-0.91900000000000004</v>
      </c>
      <c r="I42">
        <v>-0.05</v>
      </c>
      <c r="J42">
        <v>0.30099999999999999</v>
      </c>
      <c r="K42">
        <v>0.502</v>
      </c>
      <c r="L42">
        <v>0.74399999999999999</v>
      </c>
      <c r="M42">
        <v>0.78900000000000003</v>
      </c>
      <c r="N42">
        <f t="shared" si="0"/>
        <v>-0.4383333333333333</v>
      </c>
    </row>
    <row r="43" spans="1:14" x14ac:dyDescent="0.2">
      <c r="A43">
        <v>1912</v>
      </c>
      <c r="B43">
        <v>0.91300000000000003</v>
      </c>
      <c r="C43">
        <v>1.004</v>
      </c>
      <c r="D43">
        <v>0.79800000000000004</v>
      </c>
      <c r="E43">
        <v>0.61899999999999999</v>
      </c>
      <c r="F43">
        <v>0.36</v>
      </c>
      <c r="G43">
        <v>-0.30599999999999999</v>
      </c>
      <c r="H43">
        <v>-0.57999999999999996</v>
      </c>
      <c r="I43">
        <v>-0.56899999999999995</v>
      </c>
      <c r="J43">
        <v>-0.28499999999999998</v>
      </c>
      <c r="K43">
        <v>3.0000000000000001E-3</v>
      </c>
      <c r="L43">
        <v>3.0000000000000001E-3</v>
      </c>
      <c r="M43">
        <v>-4.8000000000000001E-2</v>
      </c>
      <c r="N43">
        <f t="shared" si="0"/>
        <v>0.15933333333333327</v>
      </c>
    </row>
    <row r="44" spans="1:14" x14ac:dyDescent="0.2">
      <c r="A44">
        <v>1913</v>
      </c>
      <c r="B44">
        <v>-1.9E-2</v>
      </c>
      <c r="C44">
        <v>0.19400000000000001</v>
      </c>
      <c r="D44">
        <v>0.17</v>
      </c>
      <c r="E44">
        <v>-0.54800000000000004</v>
      </c>
      <c r="F44">
        <v>-0.94399999999999995</v>
      </c>
      <c r="G44">
        <v>-0.376</v>
      </c>
      <c r="H44">
        <v>5.6000000000000001E-2</v>
      </c>
      <c r="I44">
        <v>0.34200000000000003</v>
      </c>
      <c r="J44">
        <v>0.68100000000000005</v>
      </c>
      <c r="K44">
        <v>0.53100000000000003</v>
      </c>
      <c r="L44">
        <v>0.54800000000000004</v>
      </c>
      <c r="M44">
        <v>0.78</v>
      </c>
      <c r="N44">
        <f t="shared" si="0"/>
        <v>0.11791666666666667</v>
      </c>
    </row>
    <row r="45" spans="1:14" x14ac:dyDescent="0.2">
      <c r="A45">
        <v>1914</v>
      </c>
      <c r="B45">
        <v>0.80500000000000005</v>
      </c>
      <c r="C45">
        <v>0.80900000000000005</v>
      </c>
      <c r="D45">
        <v>0.79600000000000004</v>
      </c>
      <c r="E45">
        <v>0.60399999999999998</v>
      </c>
      <c r="F45">
        <v>0.45100000000000001</v>
      </c>
      <c r="G45">
        <v>0.35399999999999998</v>
      </c>
      <c r="H45">
        <v>0.61299999999999999</v>
      </c>
      <c r="I45">
        <v>1.2190000000000001</v>
      </c>
      <c r="J45">
        <v>1.3280000000000001</v>
      </c>
      <c r="K45">
        <v>0.97399999999999998</v>
      </c>
      <c r="L45">
        <v>1.028</v>
      </c>
      <c r="M45">
        <v>1.2569999999999999</v>
      </c>
      <c r="N45">
        <f t="shared" si="0"/>
        <v>0.85316666666666674</v>
      </c>
    </row>
    <row r="46" spans="1:14" x14ac:dyDescent="0.2">
      <c r="A46">
        <v>1915</v>
      </c>
      <c r="B46">
        <v>1.3080000000000001</v>
      </c>
      <c r="C46">
        <v>1.173</v>
      </c>
      <c r="D46">
        <v>0.88500000000000001</v>
      </c>
      <c r="E46">
        <v>1.091</v>
      </c>
      <c r="F46">
        <v>1.556</v>
      </c>
      <c r="G46">
        <v>1.552</v>
      </c>
      <c r="H46">
        <v>0.98299999999999998</v>
      </c>
      <c r="I46">
        <v>0.52300000000000002</v>
      </c>
      <c r="J46">
        <v>0.21</v>
      </c>
      <c r="K46">
        <v>-0.317</v>
      </c>
      <c r="L46">
        <v>-0.68799999999999994</v>
      </c>
      <c r="M46">
        <v>-0.58899999999999997</v>
      </c>
      <c r="N46">
        <f t="shared" si="0"/>
        <v>0.64058333333333328</v>
      </c>
    </row>
    <row r="47" spans="1:14" x14ac:dyDescent="0.2">
      <c r="A47">
        <v>1916</v>
      </c>
      <c r="B47">
        <v>-0.40500000000000003</v>
      </c>
      <c r="C47">
        <v>-0.67500000000000004</v>
      </c>
      <c r="D47">
        <v>-0.99299999999999999</v>
      </c>
      <c r="E47">
        <v>-0.872</v>
      </c>
      <c r="F47">
        <v>-0.85099999999999998</v>
      </c>
      <c r="G47">
        <v>-1.0529999999999999</v>
      </c>
      <c r="H47">
        <v>-1.498</v>
      </c>
      <c r="I47">
        <v>-2.0990000000000002</v>
      </c>
      <c r="J47">
        <v>-2.173</v>
      </c>
      <c r="K47">
        <v>-1.7729999999999999</v>
      </c>
      <c r="L47">
        <v>-1.6779999999999999</v>
      </c>
      <c r="M47">
        <v>-1.899</v>
      </c>
      <c r="N47">
        <f t="shared" si="0"/>
        <v>-1.3307500000000001</v>
      </c>
    </row>
    <row r="48" spans="1:14" x14ac:dyDescent="0.2">
      <c r="A48">
        <v>1917</v>
      </c>
      <c r="B48">
        <v>-1.915</v>
      </c>
      <c r="C48">
        <v>-1.764</v>
      </c>
      <c r="D48">
        <v>-1.6060000000000001</v>
      </c>
      <c r="E48">
        <v>-1.5720000000000001</v>
      </c>
      <c r="F48">
        <v>-1.7450000000000001</v>
      </c>
      <c r="G48">
        <v>-1.7130000000000001</v>
      </c>
      <c r="H48">
        <v>-1.127</v>
      </c>
      <c r="I48">
        <v>-0.96699999999999997</v>
      </c>
      <c r="J48">
        <v>-1.093</v>
      </c>
      <c r="K48">
        <v>-1.1160000000000001</v>
      </c>
      <c r="L48">
        <v>-1.127</v>
      </c>
      <c r="M48">
        <v>-1.202</v>
      </c>
      <c r="N48">
        <f t="shared" si="0"/>
        <v>-1.4122500000000002</v>
      </c>
    </row>
    <row r="49" spans="1:14" x14ac:dyDescent="0.2">
      <c r="A49">
        <v>1918</v>
      </c>
      <c r="B49">
        <v>-1.3280000000000001</v>
      </c>
      <c r="C49">
        <v>-1.1379999999999999</v>
      </c>
      <c r="D49">
        <v>-0.94899999999999995</v>
      </c>
      <c r="E49">
        <v>-0.78700000000000003</v>
      </c>
      <c r="F49">
        <v>-0.57399999999999995</v>
      </c>
      <c r="G49">
        <v>-5.5E-2</v>
      </c>
      <c r="H49">
        <v>1.046</v>
      </c>
      <c r="I49">
        <v>1.4790000000000001</v>
      </c>
      <c r="J49">
        <v>1.052</v>
      </c>
      <c r="K49">
        <v>0.96899999999999997</v>
      </c>
      <c r="L49">
        <v>1.0509999999999999</v>
      </c>
      <c r="M49">
        <v>1.1579999999999999</v>
      </c>
      <c r="N49">
        <f t="shared" si="0"/>
        <v>0.16033333333333341</v>
      </c>
    </row>
    <row r="50" spans="1:14" x14ac:dyDescent="0.2">
      <c r="A50">
        <v>1919</v>
      </c>
      <c r="B50">
        <v>1.5269999999999999</v>
      </c>
      <c r="C50">
        <v>1.7529999999999999</v>
      </c>
      <c r="D50">
        <v>1.538</v>
      </c>
      <c r="E50">
        <v>1.083</v>
      </c>
      <c r="F50">
        <v>1.026</v>
      </c>
      <c r="G50">
        <v>1.2789999999999999</v>
      </c>
      <c r="H50">
        <v>1.224</v>
      </c>
      <c r="I50">
        <v>1.151</v>
      </c>
      <c r="J50">
        <v>0.995</v>
      </c>
      <c r="K50">
        <v>0.81</v>
      </c>
      <c r="L50">
        <v>0.5</v>
      </c>
      <c r="M50">
        <v>0.14499999999999999</v>
      </c>
      <c r="N50">
        <f t="shared" si="0"/>
        <v>1.0859166666666666</v>
      </c>
    </row>
    <row r="51" spans="1:14" x14ac:dyDescent="0.2">
      <c r="A51">
        <v>1920</v>
      </c>
      <c r="B51">
        <v>0.26500000000000001</v>
      </c>
      <c r="C51">
        <v>0.56399999999999995</v>
      </c>
      <c r="D51">
        <v>0.66300000000000003</v>
      </c>
      <c r="E51">
        <v>0.56699999999999995</v>
      </c>
      <c r="F51">
        <v>0.34699999999999998</v>
      </c>
      <c r="G51">
        <v>0.248</v>
      </c>
      <c r="H51">
        <v>-0.19700000000000001</v>
      </c>
      <c r="I51">
        <v>-0.34200000000000003</v>
      </c>
      <c r="J51">
        <v>-0.23499999999999999</v>
      </c>
      <c r="K51">
        <v>-0.3</v>
      </c>
      <c r="L51">
        <v>-5.3999999999999999E-2</v>
      </c>
      <c r="M51">
        <v>3.6999999999999998E-2</v>
      </c>
      <c r="N51">
        <f t="shared" si="0"/>
        <v>0.13024999999999998</v>
      </c>
    </row>
    <row r="52" spans="1:14" x14ac:dyDescent="0.2">
      <c r="A52">
        <v>1921</v>
      </c>
      <c r="B52">
        <v>3.4000000000000002E-2</v>
      </c>
      <c r="C52">
        <v>-5.1999999999999998E-2</v>
      </c>
      <c r="D52">
        <v>-0.63800000000000001</v>
      </c>
      <c r="E52">
        <v>-1.1240000000000001</v>
      </c>
      <c r="F52">
        <v>-0.83399999999999996</v>
      </c>
      <c r="G52">
        <v>-0.57799999999999996</v>
      </c>
      <c r="H52">
        <v>-0.60499999999999998</v>
      </c>
      <c r="I52">
        <v>-0.56299999999999994</v>
      </c>
      <c r="J52">
        <v>-0.59499999999999997</v>
      </c>
      <c r="K52">
        <v>-0.61699999999999999</v>
      </c>
      <c r="L52">
        <v>-0.36799999999999999</v>
      </c>
      <c r="M52">
        <v>-0.29599999999999999</v>
      </c>
      <c r="N52">
        <f t="shared" si="0"/>
        <v>-0.51966666666666672</v>
      </c>
    </row>
    <row r="53" spans="1:14" x14ac:dyDescent="0.2">
      <c r="A53">
        <v>1922</v>
      </c>
      <c r="B53">
        <v>-0.48299999999999998</v>
      </c>
      <c r="C53">
        <v>-0.56499999999999995</v>
      </c>
      <c r="D53">
        <v>-0.36499999999999999</v>
      </c>
      <c r="E53">
        <v>-4.3999999999999997E-2</v>
      </c>
      <c r="F53">
        <v>2.9000000000000001E-2</v>
      </c>
      <c r="G53">
        <v>-0.223</v>
      </c>
      <c r="H53">
        <v>-0.49199999999999999</v>
      </c>
      <c r="I53">
        <v>-0.40100000000000002</v>
      </c>
      <c r="J53">
        <v>-0.37</v>
      </c>
      <c r="K53">
        <v>-0.50600000000000001</v>
      </c>
      <c r="L53">
        <v>-0.46500000000000002</v>
      </c>
      <c r="M53">
        <v>-0.69099999999999995</v>
      </c>
      <c r="N53">
        <f t="shared" si="0"/>
        <v>-0.38133333333333336</v>
      </c>
    </row>
    <row r="54" spans="1:14" x14ac:dyDescent="0.2">
      <c r="A54">
        <v>1923</v>
      </c>
      <c r="B54">
        <v>-0.83799999999999997</v>
      </c>
      <c r="C54">
        <v>-0.623</v>
      </c>
      <c r="D54">
        <v>-0.51700000000000002</v>
      </c>
      <c r="E54">
        <v>-0.52800000000000002</v>
      </c>
      <c r="F54">
        <v>-0.41</v>
      </c>
      <c r="G54">
        <v>-3.5000000000000003E-2</v>
      </c>
      <c r="H54">
        <v>0.49399999999999999</v>
      </c>
      <c r="I54">
        <v>0.78800000000000003</v>
      </c>
      <c r="J54">
        <v>0.89500000000000002</v>
      </c>
      <c r="K54">
        <v>0.92</v>
      </c>
      <c r="L54">
        <v>1.0209999999999999</v>
      </c>
      <c r="M54">
        <v>0.92900000000000005</v>
      </c>
      <c r="N54">
        <f t="shared" si="0"/>
        <v>0.17466666666666666</v>
      </c>
    </row>
    <row r="55" spans="1:14" x14ac:dyDescent="0.2">
      <c r="A55">
        <v>1924</v>
      </c>
      <c r="B55">
        <v>0.66400000000000003</v>
      </c>
      <c r="C55">
        <v>0.40899999999999997</v>
      </c>
      <c r="D55">
        <v>0.124</v>
      </c>
      <c r="E55">
        <v>-0.216</v>
      </c>
      <c r="F55">
        <v>-0.68500000000000005</v>
      </c>
      <c r="G55">
        <v>-1.093</v>
      </c>
      <c r="H55">
        <v>-1.244</v>
      </c>
      <c r="I55">
        <v>-1.448</v>
      </c>
      <c r="J55">
        <v>-1.458</v>
      </c>
      <c r="K55">
        <v>-0.996</v>
      </c>
      <c r="L55">
        <v>-0.84499999999999997</v>
      </c>
      <c r="M55">
        <v>-0.95599999999999996</v>
      </c>
      <c r="N55">
        <f t="shared" si="0"/>
        <v>-0.64533333333333331</v>
      </c>
    </row>
    <row r="56" spans="1:14" x14ac:dyDescent="0.2">
      <c r="A56">
        <v>1925</v>
      </c>
      <c r="B56">
        <v>-0.95399999999999996</v>
      </c>
      <c r="C56">
        <v>-0.79</v>
      </c>
      <c r="D56">
        <v>-0.48199999999999998</v>
      </c>
      <c r="E56">
        <v>-0.13400000000000001</v>
      </c>
      <c r="F56">
        <v>4.8000000000000001E-2</v>
      </c>
      <c r="G56">
        <v>2.5000000000000001E-2</v>
      </c>
      <c r="H56">
        <v>0.217</v>
      </c>
      <c r="I56">
        <v>0.80200000000000005</v>
      </c>
      <c r="J56">
        <v>1.286</v>
      </c>
      <c r="K56">
        <v>1.5109999999999999</v>
      </c>
      <c r="L56">
        <v>1.5109999999999999</v>
      </c>
      <c r="M56">
        <v>1.5880000000000001</v>
      </c>
      <c r="N56">
        <f t="shared" si="0"/>
        <v>0.38566666666666666</v>
      </c>
    </row>
    <row r="57" spans="1:14" x14ac:dyDescent="0.2">
      <c r="A57">
        <v>1926</v>
      </c>
      <c r="B57">
        <v>1.407</v>
      </c>
      <c r="C57">
        <v>1.35</v>
      </c>
      <c r="D57">
        <v>1.6020000000000001</v>
      </c>
      <c r="E57">
        <v>1.71</v>
      </c>
      <c r="F57">
        <v>1.33</v>
      </c>
      <c r="G57">
        <v>1.06</v>
      </c>
      <c r="H57">
        <v>1.0669999999999999</v>
      </c>
      <c r="I57">
        <v>0.68500000000000005</v>
      </c>
      <c r="J57">
        <v>0.17899999999999999</v>
      </c>
      <c r="K57">
        <v>-0.03</v>
      </c>
      <c r="L57">
        <v>-2.5000000000000001E-2</v>
      </c>
      <c r="M57">
        <v>-1E-3</v>
      </c>
      <c r="N57">
        <f t="shared" si="0"/>
        <v>0.86116666666666675</v>
      </c>
    </row>
    <row r="58" spans="1:14" x14ac:dyDescent="0.2">
      <c r="A58">
        <v>1927</v>
      </c>
      <c r="B58">
        <v>1.4E-2</v>
      </c>
      <c r="C58">
        <v>0.158</v>
      </c>
      <c r="D58">
        <v>0.193</v>
      </c>
      <c r="E58">
        <v>-0.27400000000000002</v>
      </c>
      <c r="F58">
        <v>-0.39900000000000002</v>
      </c>
      <c r="G58">
        <v>-0.23899999999999999</v>
      </c>
      <c r="H58">
        <v>-0.40500000000000003</v>
      </c>
      <c r="I58">
        <v>-0.19500000000000001</v>
      </c>
      <c r="J58">
        <v>0.16200000000000001</v>
      </c>
      <c r="K58">
        <v>0.20599999999999999</v>
      </c>
      <c r="L58">
        <v>0.376</v>
      </c>
      <c r="M58">
        <v>0.34300000000000003</v>
      </c>
      <c r="N58">
        <f t="shared" si="0"/>
        <v>-5.0000000000000001E-3</v>
      </c>
    </row>
    <row r="59" spans="1:14" x14ac:dyDescent="0.2">
      <c r="A59">
        <v>1928</v>
      </c>
      <c r="B59">
        <v>0.312</v>
      </c>
      <c r="C59">
        <v>0.47599999999999998</v>
      </c>
      <c r="D59">
        <v>0.34599999999999997</v>
      </c>
      <c r="E59">
        <v>-1E-3</v>
      </c>
      <c r="F59">
        <v>-0.13100000000000001</v>
      </c>
      <c r="G59">
        <v>7.0999999999999994E-2</v>
      </c>
      <c r="H59">
        <v>0.34599999999999997</v>
      </c>
      <c r="I59">
        <v>0.06</v>
      </c>
      <c r="J59">
        <v>-0.47099999999999997</v>
      </c>
      <c r="K59">
        <v>-0.46600000000000003</v>
      </c>
      <c r="L59">
        <v>-0.29599999999999999</v>
      </c>
      <c r="M59">
        <v>-0.161</v>
      </c>
      <c r="N59">
        <f t="shared" si="0"/>
        <v>7.0833333333333373E-3</v>
      </c>
    </row>
    <row r="60" spans="1:14" x14ac:dyDescent="0.2">
      <c r="A60">
        <v>1929</v>
      </c>
      <c r="B60">
        <v>-6.4000000000000001E-2</v>
      </c>
      <c r="C60">
        <v>-5.3999999999999999E-2</v>
      </c>
      <c r="D60">
        <v>-0.189</v>
      </c>
      <c r="E60">
        <v>-0.23699999999999999</v>
      </c>
      <c r="F60">
        <v>7.5999999999999998E-2</v>
      </c>
      <c r="G60">
        <v>0.41799999999999998</v>
      </c>
      <c r="H60">
        <v>0.55700000000000005</v>
      </c>
      <c r="I60">
        <v>0.73399999999999999</v>
      </c>
      <c r="J60">
        <v>0.84499999999999997</v>
      </c>
      <c r="K60">
        <v>0.67700000000000005</v>
      </c>
      <c r="L60">
        <v>0.45900000000000002</v>
      </c>
      <c r="M60">
        <v>0.46800000000000003</v>
      </c>
      <c r="N60">
        <f t="shared" si="0"/>
        <v>0.30750000000000005</v>
      </c>
    </row>
    <row r="61" spans="1:14" x14ac:dyDescent="0.2">
      <c r="A61">
        <v>1930</v>
      </c>
      <c r="B61">
        <v>0.50600000000000001</v>
      </c>
      <c r="C61">
        <v>0.55200000000000005</v>
      </c>
      <c r="D61">
        <v>0.76700000000000002</v>
      </c>
      <c r="E61">
        <v>1.038</v>
      </c>
      <c r="F61">
        <v>1.1990000000000001</v>
      </c>
      <c r="G61">
        <v>1.054</v>
      </c>
      <c r="H61">
        <v>1.143</v>
      </c>
      <c r="I61">
        <v>1.395</v>
      </c>
      <c r="J61">
        <v>1.5069999999999999</v>
      </c>
      <c r="K61">
        <v>1.6519999999999999</v>
      </c>
      <c r="L61">
        <v>1.7230000000000001</v>
      </c>
      <c r="M61">
        <v>1.925</v>
      </c>
      <c r="N61">
        <f t="shared" si="0"/>
        <v>1.2050833333333333</v>
      </c>
    </row>
    <row r="62" spans="1:14" x14ac:dyDescent="0.2">
      <c r="A62">
        <v>1931</v>
      </c>
      <c r="B62">
        <v>1.915</v>
      </c>
      <c r="C62">
        <v>1.855</v>
      </c>
      <c r="D62">
        <v>1.9550000000000001</v>
      </c>
      <c r="E62">
        <v>1.905</v>
      </c>
      <c r="F62">
        <v>1.496</v>
      </c>
      <c r="G62">
        <v>0.877</v>
      </c>
      <c r="H62">
        <v>0.42499999999999999</v>
      </c>
      <c r="I62">
        <v>0.26200000000000001</v>
      </c>
      <c r="J62">
        <v>0.17199999999999999</v>
      </c>
      <c r="K62">
        <v>0.17899999999999999</v>
      </c>
      <c r="L62">
        <v>0.248</v>
      </c>
      <c r="M62">
        <v>0.19700000000000001</v>
      </c>
      <c r="N62">
        <f t="shared" si="0"/>
        <v>0.95716666666666672</v>
      </c>
    </row>
    <row r="63" spans="1:14" x14ac:dyDescent="0.2">
      <c r="A63">
        <v>1932</v>
      </c>
      <c r="B63">
        <v>0.187</v>
      </c>
      <c r="C63">
        <v>0.27600000000000002</v>
      </c>
      <c r="D63">
        <v>0.48499999999999999</v>
      </c>
      <c r="E63">
        <v>0.78700000000000003</v>
      </c>
      <c r="F63">
        <v>0.96399999999999997</v>
      </c>
      <c r="G63">
        <v>0.998</v>
      </c>
      <c r="H63">
        <v>1.1140000000000001</v>
      </c>
      <c r="I63">
        <v>1.0249999999999999</v>
      </c>
      <c r="J63">
        <v>0.48299999999999998</v>
      </c>
      <c r="K63">
        <v>-0.05</v>
      </c>
      <c r="L63">
        <v>-0.14699999999999999</v>
      </c>
      <c r="M63">
        <v>-2.3E-2</v>
      </c>
      <c r="N63">
        <f t="shared" si="0"/>
        <v>0.50824999999999998</v>
      </c>
    </row>
    <row r="64" spans="1:14" x14ac:dyDescent="0.2">
      <c r="A64">
        <v>1933</v>
      </c>
      <c r="B64">
        <v>-5.8999999999999997E-2</v>
      </c>
      <c r="C64">
        <v>-0.126</v>
      </c>
      <c r="D64">
        <v>-0.39600000000000002</v>
      </c>
      <c r="E64">
        <v>-0.497</v>
      </c>
      <c r="F64">
        <v>-0.38800000000000001</v>
      </c>
      <c r="G64">
        <v>-0.67100000000000004</v>
      </c>
      <c r="H64">
        <v>-0.76900000000000002</v>
      </c>
      <c r="I64">
        <v>-0.82699999999999996</v>
      </c>
      <c r="J64">
        <v>-1.014</v>
      </c>
      <c r="K64">
        <v>-1.0009999999999999</v>
      </c>
      <c r="L64">
        <v>-0.98699999999999999</v>
      </c>
      <c r="M64">
        <v>-1.093</v>
      </c>
      <c r="N64">
        <f t="shared" si="0"/>
        <v>-0.65233333333333332</v>
      </c>
    </row>
    <row r="65" spans="1:14" x14ac:dyDescent="0.2">
      <c r="A65">
        <v>1934</v>
      </c>
      <c r="B65">
        <v>-1.2509999999999999</v>
      </c>
      <c r="C65">
        <v>-1.214</v>
      </c>
      <c r="D65">
        <v>-1.0069999999999999</v>
      </c>
      <c r="E65">
        <v>-0.65100000000000002</v>
      </c>
      <c r="F65">
        <v>-0.246</v>
      </c>
      <c r="G65">
        <v>-7.3999999999999996E-2</v>
      </c>
      <c r="H65">
        <v>-0.13300000000000001</v>
      </c>
      <c r="I65">
        <v>-0.17399999999999999</v>
      </c>
      <c r="J65">
        <v>3.6999999999999998E-2</v>
      </c>
      <c r="K65">
        <v>0.114</v>
      </c>
      <c r="L65">
        <v>-8.4000000000000005E-2</v>
      </c>
      <c r="M65">
        <v>-0.14099999999999999</v>
      </c>
      <c r="N65">
        <f t="shared" si="0"/>
        <v>-0.40199999999999997</v>
      </c>
    </row>
    <row r="66" spans="1:14" x14ac:dyDescent="0.2">
      <c r="A66">
        <v>1935</v>
      </c>
      <c r="B66">
        <v>-0.19700000000000001</v>
      </c>
      <c r="C66">
        <v>-0.33100000000000002</v>
      </c>
      <c r="D66">
        <v>-0.51100000000000001</v>
      </c>
      <c r="E66">
        <v>-0.50800000000000001</v>
      </c>
      <c r="F66">
        <v>-0.11</v>
      </c>
      <c r="G66">
        <v>9.6000000000000002E-2</v>
      </c>
      <c r="H66">
        <v>-5.5E-2</v>
      </c>
      <c r="I66">
        <v>1.7000000000000001E-2</v>
      </c>
      <c r="J66">
        <v>0.32200000000000001</v>
      </c>
      <c r="K66">
        <v>0.41199999999999998</v>
      </c>
      <c r="L66">
        <v>0.36399999999999999</v>
      </c>
      <c r="M66">
        <v>0.372</v>
      </c>
      <c r="N66">
        <f t="shared" si="0"/>
        <v>-1.0750000000000018E-2</v>
      </c>
    </row>
    <row r="67" spans="1:14" x14ac:dyDescent="0.2">
      <c r="A67">
        <v>1936</v>
      </c>
      <c r="B67">
        <v>0.193</v>
      </c>
      <c r="C67">
        <v>0.156</v>
      </c>
      <c r="D67">
        <v>0.31900000000000001</v>
      </c>
      <c r="E67">
        <v>0.44</v>
      </c>
      <c r="F67">
        <v>0.51300000000000001</v>
      </c>
      <c r="G67">
        <v>0.47399999999999998</v>
      </c>
      <c r="H67">
        <v>0.29199999999999998</v>
      </c>
      <c r="I67">
        <v>0.249</v>
      </c>
      <c r="J67">
        <v>0.20599999999999999</v>
      </c>
      <c r="K67">
        <v>0.13800000000000001</v>
      </c>
      <c r="L67">
        <v>0.25800000000000001</v>
      </c>
      <c r="M67">
        <v>0.36099999999999999</v>
      </c>
      <c r="N67">
        <f t="shared" ref="N67:O130" si="1">AVERAGE(B67:M67)</f>
        <v>0.29991666666666661</v>
      </c>
    </row>
    <row r="68" spans="1:14" x14ac:dyDescent="0.2">
      <c r="A68">
        <v>1937</v>
      </c>
      <c r="B68">
        <v>0.34</v>
      </c>
      <c r="C68">
        <v>0.20599999999999999</v>
      </c>
      <c r="D68">
        <v>0.218</v>
      </c>
      <c r="E68">
        <v>8.2000000000000003E-2</v>
      </c>
      <c r="F68">
        <v>-0.13</v>
      </c>
      <c r="G68">
        <v>-0.27700000000000002</v>
      </c>
      <c r="H68">
        <v>-0.29199999999999998</v>
      </c>
      <c r="I68">
        <v>-7.0999999999999994E-2</v>
      </c>
      <c r="J68">
        <v>0.186</v>
      </c>
      <c r="K68">
        <v>0.26</v>
      </c>
      <c r="L68">
        <v>0.157</v>
      </c>
      <c r="M68">
        <v>-8.1000000000000003E-2</v>
      </c>
      <c r="N68">
        <f t="shared" si="1"/>
        <v>4.9833333333333341E-2</v>
      </c>
    </row>
    <row r="69" spans="1:14" x14ac:dyDescent="0.2">
      <c r="A69">
        <v>1938</v>
      </c>
      <c r="B69">
        <v>-0.27700000000000002</v>
      </c>
      <c r="C69">
        <v>-0.40799999999999997</v>
      </c>
      <c r="D69">
        <v>-0.47699999999999998</v>
      </c>
      <c r="E69">
        <v>-0.68</v>
      </c>
      <c r="F69">
        <v>-0.97099999999999997</v>
      </c>
      <c r="G69">
        <v>-1.0349999999999999</v>
      </c>
      <c r="H69">
        <v>-1.25</v>
      </c>
      <c r="I69">
        <v>-1.3919999999999999</v>
      </c>
      <c r="J69">
        <v>-1.198</v>
      </c>
      <c r="K69">
        <v>-0.78700000000000003</v>
      </c>
      <c r="L69">
        <v>-0.59499999999999997</v>
      </c>
      <c r="M69">
        <v>-0.71399999999999997</v>
      </c>
      <c r="N69">
        <f t="shared" si="1"/>
        <v>-0.81533333333333358</v>
      </c>
    </row>
    <row r="70" spans="1:14" x14ac:dyDescent="0.2">
      <c r="A70">
        <v>1939</v>
      </c>
      <c r="B70">
        <v>-0.78600000000000003</v>
      </c>
      <c r="C70">
        <v>-0.82399999999999995</v>
      </c>
      <c r="D70">
        <v>-0.97899999999999998</v>
      </c>
      <c r="E70">
        <v>-0.93</v>
      </c>
      <c r="F70">
        <v>-0.433</v>
      </c>
      <c r="G70">
        <v>3.3000000000000002E-2</v>
      </c>
      <c r="H70">
        <v>0.26900000000000002</v>
      </c>
      <c r="I70">
        <v>0.57899999999999996</v>
      </c>
      <c r="J70">
        <v>0.877</v>
      </c>
      <c r="K70">
        <v>0.71499999999999997</v>
      </c>
      <c r="L70">
        <v>0.313</v>
      </c>
      <c r="M70">
        <v>0.313</v>
      </c>
      <c r="N70">
        <f t="shared" si="1"/>
        <v>-7.1083333333333346E-2</v>
      </c>
    </row>
    <row r="71" spans="1:14" x14ac:dyDescent="0.2">
      <c r="A71">
        <v>1940</v>
      </c>
      <c r="B71">
        <v>0.65800000000000003</v>
      </c>
      <c r="C71">
        <v>0.92100000000000004</v>
      </c>
      <c r="D71">
        <v>1.163</v>
      </c>
      <c r="E71">
        <v>1.419</v>
      </c>
      <c r="F71">
        <v>1.4410000000000001</v>
      </c>
      <c r="G71">
        <v>1.419</v>
      </c>
      <c r="H71">
        <v>1.3520000000000001</v>
      </c>
      <c r="I71">
        <v>1.119</v>
      </c>
      <c r="J71">
        <v>0.98799999999999999</v>
      </c>
      <c r="K71">
        <v>0.96499999999999997</v>
      </c>
      <c r="L71">
        <v>0.873</v>
      </c>
      <c r="M71">
        <v>0.96699999999999997</v>
      </c>
      <c r="N71">
        <f t="shared" si="1"/>
        <v>1.1070833333333332</v>
      </c>
    </row>
    <row r="72" spans="1:14" x14ac:dyDescent="0.2">
      <c r="A72">
        <v>1941</v>
      </c>
      <c r="B72">
        <v>1.35</v>
      </c>
      <c r="C72">
        <v>1.55</v>
      </c>
      <c r="D72">
        <v>1.7929999999999999</v>
      </c>
      <c r="E72">
        <v>2.0699999999999998</v>
      </c>
      <c r="F72">
        <v>2.2690000000000001</v>
      </c>
      <c r="G72">
        <v>2.0009999999999999</v>
      </c>
      <c r="H72">
        <v>1.496</v>
      </c>
      <c r="I72">
        <v>1.522</v>
      </c>
      <c r="J72">
        <v>1.514</v>
      </c>
      <c r="K72">
        <v>1.4350000000000001</v>
      </c>
      <c r="L72">
        <v>1.629</v>
      </c>
      <c r="M72">
        <v>1.605</v>
      </c>
      <c r="N72">
        <f t="shared" si="1"/>
        <v>1.6861666666666668</v>
      </c>
    </row>
    <row r="73" spans="1:14" x14ac:dyDescent="0.2">
      <c r="A73">
        <v>1942</v>
      </c>
      <c r="B73">
        <v>1.3240000000000001</v>
      </c>
      <c r="C73">
        <v>1.0289999999999999</v>
      </c>
      <c r="D73">
        <v>0.87</v>
      </c>
      <c r="E73">
        <v>0.79800000000000004</v>
      </c>
      <c r="F73">
        <v>0.41</v>
      </c>
      <c r="G73">
        <v>-0.26200000000000001</v>
      </c>
      <c r="H73">
        <v>-0.70599999999999996</v>
      </c>
      <c r="I73">
        <v>-0.879</v>
      </c>
      <c r="J73">
        <v>-0.90800000000000003</v>
      </c>
      <c r="K73">
        <v>-0.96799999999999997</v>
      </c>
      <c r="L73">
        <v>-1.089</v>
      </c>
      <c r="M73">
        <v>-1.165</v>
      </c>
      <c r="N73">
        <f t="shared" si="1"/>
        <v>-0.12883333333333327</v>
      </c>
    </row>
    <row r="74" spans="1:14" x14ac:dyDescent="0.2">
      <c r="A74">
        <v>1943</v>
      </c>
      <c r="B74">
        <v>-1.2569999999999999</v>
      </c>
      <c r="C74">
        <v>-1.1659999999999999</v>
      </c>
      <c r="D74">
        <v>-0.84599999999999997</v>
      </c>
      <c r="E74">
        <v>-0.46300000000000002</v>
      </c>
      <c r="F74">
        <v>-4.0000000000000001E-3</v>
      </c>
      <c r="G74">
        <v>0.375</v>
      </c>
      <c r="H74">
        <v>0.504</v>
      </c>
      <c r="I74">
        <v>0.14499999999999999</v>
      </c>
      <c r="J74">
        <v>-0.17899999999999999</v>
      </c>
      <c r="K74">
        <v>-0.36299999999999999</v>
      </c>
      <c r="L74">
        <v>-0.42799999999999999</v>
      </c>
      <c r="M74">
        <v>-0.34699999999999998</v>
      </c>
      <c r="N74">
        <f t="shared" si="1"/>
        <v>-0.33574999999999999</v>
      </c>
    </row>
    <row r="75" spans="1:14" x14ac:dyDescent="0.2">
      <c r="A75">
        <v>1944</v>
      </c>
      <c r="B75">
        <v>-0.28899999999999998</v>
      </c>
      <c r="C75">
        <v>-3.5000000000000003E-2</v>
      </c>
      <c r="D75">
        <v>0.22</v>
      </c>
      <c r="E75">
        <v>0.25800000000000001</v>
      </c>
      <c r="F75">
        <v>0.23899999999999999</v>
      </c>
      <c r="G75">
        <v>0.161</v>
      </c>
      <c r="H75">
        <v>0.108</v>
      </c>
      <c r="I75">
        <v>2.9000000000000001E-2</v>
      </c>
      <c r="J75">
        <v>-0.25700000000000001</v>
      </c>
      <c r="K75">
        <v>-0.27300000000000002</v>
      </c>
      <c r="L75">
        <v>-0.25600000000000001</v>
      </c>
      <c r="M75">
        <v>-0.42499999999999999</v>
      </c>
      <c r="N75">
        <f t="shared" si="1"/>
        <v>-4.3333333333333335E-2</v>
      </c>
    </row>
    <row r="76" spans="1:14" x14ac:dyDescent="0.2">
      <c r="A76">
        <v>1945</v>
      </c>
      <c r="B76">
        <v>-0.39500000000000002</v>
      </c>
      <c r="C76">
        <v>-0.41</v>
      </c>
      <c r="D76">
        <v>-0.47099999999999997</v>
      </c>
      <c r="E76">
        <v>-0.42499999999999999</v>
      </c>
      <c r="F76">
        <v>-0.193</v>
      </c>
      <c r="G76">
        <v>2.4E-2</v>
      </c>
      <c r="H76">
        <v>-0.36199999999999999</v>
      </c>
      <c r="I76">
        <v>-0.64500000000000002</v>
      </c>
      <c r="J76">
        <v>-0.46200000000000002</v>
      </c>
      <c r="K76">
        <v>-0.01</v>
      </c>
      <c r="L76">
        <v>0.23400000000000001</v>
      </c>
      <c r="M76">
        <v>-1.7999999999999999E-2</v>
      </c>
      <c r="N76">
        <f t="shared" si="1"/>
        <v>-0.26108333333333328</v>
      </c>
    </row>
    <row r="77" spans="1:14" x14ac:dyDescent="0.2">
      <c r="A77">
        <v>1946</v>
      </c>
      <c r="B77">
        <v>-0.21299999999999999</v>
      </c>
      <c r="C77">
        <v>-0.247</v>
      </c>
      <c r="D77">
        <v>-0.223</v>
      </c>
      <c r="E77">
        <v>-0.158</v>
      </c>
      <c r="F77">
        <v>-0.214</v>
      </c>
      <c r="G77">
        <v>-0.193</v>
      </c>
      <c r="H77">
        <v>-7.1999999999999995E-2</v>
      </c>
      <c r="I77">
        <v>-4.2999999999999997E-2</v>
      </c>
      <c r="J77">
        <v>0.14099999999999999</v>
      </c>
      <c r="K77">
        <v>0.36</v>
      </c>
      <c r="L77">
        <v>0.33</v>
      </c>
      <c r="M77">
        <v>0.21199999999999999</v>
      </c>
      <c r="N77">
        <f t="shared" si="1"/>
        <v>-2.6666666666666672E-2</v>
      </c>
    </row>
    <row r="78" spans="1:14" x14ac:dyDescent="0.2">
      <c r="A78">
        <v>1947</v>
      </c>
      <c r="B78">
        <v>0.19700000000000001</v>
      </c>
      <c r="C78">
        <v>0.111</v>
      </c>
      <c r="D78">
        <v>-0.11600000000000001</v>
      </c>
      <c r="E78">
        <v>-0.30099999999999999</v>
      </c>
      <c r="F78">
        <v>-0.38200000000000001</v>
      </c>
      <c r="G78">
        <v>-0.157</v>
      </c>
      <c r="H78">
        <v>-0.17699999999999999</v>
      </c>
      <c r="I78">
        <v>-0.47599999999999998</v>
      </c>
      <c r="J78">
        <v>-0.63300000000000001</v>
      </c>
      <c r="K78">
        <v>-0.67</v>
      </c>
      <c r="L78">
        <v>-0.54100000000000004</v>
      </c>
      <c r="M78">
        <v>-0.40600000000000003</v>
      </c>
      <c r="N78">
        <f t="shared" si="1"/>
        <v>-0.29591666666666666</v>
      </c>
    </row>
    <row r="79" spans="1:14" x14ac:dyDescent="0.2">
      <c r="A79">
        <v>1948</v>
      </c>
      <c r="B79">
        <v>-6.3E-2</v>
      </c>
      <c r="C79">
        <v>0.32600000000000001</v>
      </c>
      <c r="D79">
        <v>0.60599999999999998</v>
      </c>
      <c r="E79">
        <v>0.56899999999999995</v>
      </c>
      <c r="F79">
        <v>0.25900000000000001</v>
      </c>
      <c r="G79">
        <v>0.18</v>
      </c>
      <c r="H79">
        <v>6.7000000000000004E-2</v>
      </c>
      <c r="I79">
        <v>-4.2000000000000003E-2</v>
      </c>
      <c r="J79">
        <v>-2.7E-2</v>
      </c>
      <c r="K79">
        <v>-8.3000000000000004E-2</v>
      </c>
      <c r="L79">
        <v>-0.27900000000000003</v>
      </c>
      <c r="M79">
        <v>-0.17499999999999999</v>
      </c>
      <c r="N79">
        <f t="shared" si="1"/>
        <v>0.11149999999999999</v>
      </c>
    </row>
    <row r="80" spans="1:14" x14ac:dyDescent="0.2">
      <c r="A80">
        <v>1949</v>
      </c>
      <c r="B80">
        <v>6.6000000000000003E-2</v>
      </c>
      <c r="C80">
        <v>-6.3E-2</v>
      </c>
      <c r="D80">
        <v>-0.252</v>
      </c>
      <c r="E80">
        <v>-0.13300000000000001</v>
      </c>
      <c r="F80">
        <v>0.19400000000000001</v>
      </c>
      <c r="G80">
        <v>7.0000000000000001E-3</v>
      </c>
      <c r="H80">
        <v>-0.51900000000000002</v>
      </c>
      <c r="I80">
        <v>-0.69799999999999995</v>
      </c>
      <c r="J80">
        <v>-0.61099999999999999</v>
      </c>
      <c r="K80">
        <v>-0.72599999999999998</v>
      </c>
      <c r="L80">
        <v>-0.95699999999999996</v>
      </c>
      <c r="M80">
        <v>-0.92400000000000004</v>
      </c>
      <c r="N80">
        <f t="shared" si="1"/>
        <v>-0.38466666666666666</v>
      </c>
    </row>
    <row r="81" spans="1:14" x14ac:dyDescent="0.2">
      <c r="A81">
        <v>1950</v>
      </c>
      <c r="B81">
        <v>-0.94099999999999995</v>
      </c>
      <c r="C81">
        <v>-1.131</v>
      </c>
      <c r="D81">
        <v>-1.347</v>
      </c>
      <c r="E81">
        <v>-1.377</v>
      </c>
      <c r="F81">
        <v>-1.282</v>
      </c>
      <c r="G81">
        <v>-1.232</v>
      </c>
      <c r="H81">
        <v>-1.538</v>
      </c>
      <c r="I81">
        <v>-1.7969999999999999</v>
      </c>
      <c r="J81">
        <v>-1.4330000000000001</v>
      </c>
      <c r="K81">
        <v>-1.03</v>
      </c>
      <c r="L81">
        <v>-1.109</v>
      </c>
      <c r="M81">
        <v>-1.3779999999999999</v>
      </c>
      <c r="N81">
        <f t="shared" si="1"/>
        <v>-1.2995833333333333</v>
      </c>
    </row>
    <row r="82" spans="1:14" x14ac:dyDescent="0.2">
      <c r="A82">
        <v>1951</v>
      </c>
      <c r="B82">
        <v>-1.264</v>
      </c>
      <c r="C82">
        <v>-1.18</v>
      </c>
      <c r="D82">
        <v>-1.1759999999999999</v>
      </c>
      <c r="E82">
        <v>-0.79500000000000004</v>
      </c>
      <c r="F82">
        <v>-0.13</v>
      </c>
      <c r="G82">
        <v>0.38200000000000001</v>
      </c>
      <c r="H82">
        <v>0.78200000000000003</v>
      </c>
      <c r="I82">
        <v>1.1160000000000001</v>
      </c>
      <c r="J82">
        <v>1.2330000000000001</v>
      </c>
      <c r="K82">
        <v>1.04</v>
      </c>
      <c r="L82">
        <v>0.86699999999999999</v>
      </c>
      <c r="M82">
        <v>0.73799999999999999</v>
      </c>
      <c r="N82">
        <f t="shared" si="1"/>
        <v>0.13441666666666666</v>
      </c>
    </row>
    <row r="83" spans="1:14" x14ac:dyDescent="0.2">
      <c r="A83">
        <v>1952</v>
      </c>
      <c r="B83">
        <v>0.61299999999999999</v>
      </c>
      <c r="C83">
        <v>0.56499999999999995</v>
      </c>
      <c r="D83">
        <v>0.44900000000000001</v>
      </c>
      <c r="E83">
        <v>0.437</v>
      </c>
      <c r="F83">
        <v>0.434</v>
      </c>
      <c r="G83">
        <v>1.7000000000000001E-2</v>
      </c>
      <c r="H83">
        <v>-0.30299999999999999</v>
      </c>
      <c r="I83">
        <v>-0.251</v>
      </c>
      <c r="J83">
        <v>4.0000000000000001E-3</v>
      </c>
      <c r="K83">
        <v>0.17799999999999999</v>
      </c>
      <c r="L83">
        <v>-3.5000000000000003E-2</v>
      </c>
      <c r="M83">
        <v>-0.11899999999999999</v>
      </c>
      <c r="N83">
        <f t="shared" si="1"/>
        <v>0.16575000000000001</v>
      </c>
    </row>
    <row r="84" spans="1:14" x14ac:dyDescent="0.2">
      <c r="A84">
        <v>1953</v>
      </c>
      <c r="B84">
        <v>0.154</v>
      </c>
      <c r="C84">
        <v>0.40300000000000002</v>
      </c>
      <c r="D84">
        <v>0.59</v>
      </c>
      <c r="E84">
        <v>0.69</v>
      </c>
      <c r="F84">
        <v>0.75800000000000001</v>
      </c>
      <c r="G84">
        <v>0.58099999999999996</v>
      </c>
      <c r="H84">
        <v>0.31</v>
      </c>
      <c r="I84">
        <v>0.44700000000000001</v>
      </c>
      <c r="J84">
        <v>0.77800000000000002</v>
      </c>
      <c r="K84">
        <v>0.56799999999999995</v>
      </c>
      <c r="L84">
        <v>0.104</v>
      </c>
      <c r="M84">
        <v>0.13800000000000001</v>
      </c>
      <c r="N84">
        <f t="shared" si="1"/>
        <v>0.46008333333333334</v>
      </c>
    </row>
    <row r="85" spans="1:14" x14ac:dyDescent="0.2">
      <c r="A85">
        <v>1954</v>
      </c>
      <c r="B85">
        <v>0.10299999999999999</v>
      </c>
      <c r="C85">
        <v>-0.13700000000000001</v>
      </c>
      <c r="D85">
        <v>-2.4E-2</v>
      </c>
      <c r="E85">
        <v>0.13700000000000001</v>
      </c>
      <c r="F85">
        <v>-6.5000000000000002E-2</v>
      </c>
      <c r="G85">
        <v>-0.41899999999999998</v>
      </c>
      <c r="H85">
        <v>-0.83799999999999997</v>
      </c>
      <c r="I85">
        <v>-1.0409999999999999</v>
      </c>
      <c r="J85">
        <v>-0.96199999999999997</v>
      </c>
      <c r="K85">
        <v>-0.95399999999999996</v>
      </c>
      <c r="L85">
        <v>-1.0489999999999999</v>
      </c>
      <c r="M85">
        <v>-1.155</v>
      </c>
      <c r="N85">
        <f t="shared" si="1"/>
        <v>-0.53366666666666662</v>
      </c>
    </row>
    <row r="86" spans="1:14" x14ac:dyDescent="0.2">
      <c r="A86">
        <v>1955</v>
      </c>
      <c r="B86">
        <v>-0.95499999999999996</v>
      </c>
      <c r="C86">
        <v>-0.85799999999999998</v>
      </c>
      <c r="D86">
        <v>-1.147</v>
      </c>
      <c r="E86">
        <v>-1.292</v>
      </c>
      <c r="F86">
        <v>-1.4970000000000001</v>
      </c>
      <c r="G86">
        <v>-1.887</v>
      </c>
      <c r="H86">
        <v>-1.7490000000000001</v>
      </c>
      <c r="I86">
        <v>-1.5429999999999999</v>
      </c>
      <c r="J86">
        <v>-1.647</v>
      </c>
      <c r="K86">
        <v>-1.96</v>
      </c>
      <c r="L86">
        <v>-2.081</v>
      </c>
      <c r="M86">
        <v>-1.9650000000000001</v>
      </c>
      <c r="N86">
        <f t="shared" si="1"/>
        <v>-1.5484166666666666</v>
      </c>
    </row>
    <row r="87" spans="1:14" x14ac:dyDescent="0.2">
      <c r="A87">
        <v>1956</v>
      </c>
      <c r="B87">
        <v>-1.7629999999999999</v>
      </c>
      <c r="C87">
        <v>-1.6140000000000001</v>
      </c>
      <c r="D87">
        <v>-1.532</v>
      </c>
      <c r="E87">
        <v>-1.329</v>
      </c>
      <c r="F87">
        <v>-1.3660000000000001</v>
      </c>
      <c r="G87">
        <v>-1.538</v>
      </c>
      <c r="H87">
        <v>-1.371</v>
      </c>
      <c r="I87">
        <v>-0.89800000000000002</v>
      </c>
      <c r="J87">
        <v>-0.754</v>
      </c>
      <c r="K87">
        <v>-0.95</v>
      </c>
      <c r="L87">
        <v>-1.0760000000000001</v>
      </c>
      <c r="M87">
        <v>-0.94699999999999995</v>
      </c>
      <c r="N87">
        <f t="shared" si="1"/>
        <v>-1.2614999999999998</v>
      </c>
    </row>
    <row r="88" spans="1:14" x14ac:dyDescent="0.2">
      <c r="A88">
        <v>1957</v>
      </c>
      <c r="B88">
        <v>-0.73599999999999999</v>
      </c>
      <c r="C88">
        <v>-0.38700000000000001</v>
      </c>
      <c r="D88">
        <v>4.9000000000000002E-2</v>
      </c>
      <c r="E88">
        <v>0.41</v>
      </c>
      <c r="F88">
        <v>0.79200000000000004</v>
      </c>
      <c r="G88">
        <v>1.371</v>
      </c>
      <c r="H88">
        <v>1.6279999999999999</v>
      </c>
      <c r="I88">
        <v>1.5509999999999999</v>
      </c>
      <c r="J88">
        <v>1.4359999999999999</v>
      </c>
      <c r="K88">
        <v>1.1519999999999999</v>
      </c>
      <c r="L88">
        <v>1.157</v>
      </c>
      <c r="M88">
        <v>1.3120000000000001</v>
      </c>
      <c r="N88">
        <f t="shared" si="1"/>
        <v>0.81124999999999992</v>
      </c>
    </row>
    <row r="89" spans="1:14" x14ac:dyDescent="0.2">
      <c r="A89">
        <v>1958</v>
      </c>
      <c r="B89">
        <v>1.478</v>
      </c>
      <c r="C89">
        <v>1.5489999999999999</v>
      </c>
      <c r="D89">
        <v>1.5049999999999999</v>
      </c>
      <c r="E89">
        <v>1.38</v>
      </c>
      <c r="F89">
        <v>1.5</v>
      </c>
      <c r="G89">
        <v>1.6020000000000001</v>
      </c>
      <c r="H89">
        <v>1.419</v>
      </c>
      <c r="I89">
        <v>1.02</v>
      </c>
      <c r="J89">
        <v>0.60399999999999998</v>
      </c>
      <c r="K89">
        <v>0.42399999999999999</v>
      </c>
      <c r="L89">
        <v>0.373</v>
      </c>
      <c r="M89">
        <v>0.53400000000000003</v>
      </c>
      <c r="N89">
        <f t="shared" si="1"/>
        <v>1.1156666666666666</v>
      </c>
    </row>
    <row r="90" spans="1:14" x14ac:dyDescent="0.2">
      <c r="A90">
        <v>1959</v>
      </c>
      <c r="B90">
        <v>0.63900000000000001</v>
      </c>
      <c r="C90">
        <v>0.747</v>
      </c>
      <c r="D90">
        <v>0.86</v>
      </c>
      <c r="E90">
        <v>0.748</v>
      </c>
      <c r="F90">
        <v>0.79700000000000004</v>
      </c>
      <c r="G90">
        <v>0.86399999999999999</v>
      </c>
      <c r="H90">
        <v>0.54900000000000004</v>
      </c>
      <c r="I90">
        <v>0.308</v>
      </c>
      <c r="J90">
        <v>0.23200000000000001</v>
      </c>
      <c r="K90">
        <v>0.14199999999999999</v>
      </c>
      <c r="L90">
        <v>4.8000000000000001E-2</v>
      </c>
      <c r="M90">
        <v>-0.125</v>
      </c>
      <c r="N90">
        <f t="shared" si="1"/>
        <v>0.48408333333333342</v>
      </c>
    </row>
    <row r="91" spans="1:14" x14ac:dyDescent="0.2">
      <c r="A91">
        <v>1960</v>
      </c>
      <c r="B91">
        <v>-7.0000000000000007E-2</v>
      </c>
      <c r="C91">
        <v>7.2999999999999995E-2</v>
      </c>
      <c r="D91">
        <v>0.106</v>
      </c>
      <c r="E91">
        <v>0.16700000000000001</v>
      </c>
      <c r="F91">
        <v>0.17699999999999999</v>
      </c>
      <c r="G91">
        <v>7.0999999999999994E-2</v>
      </c>
      <c r="H91">
        <v>-7.8E-2</v>
      </c>
      <c r="I91">
        <v>-0.30299999999999999</v>
      </c>
      <c r="J91">
        <v>-0.253</v>
      </c>
      <c r="K91">
        <v>-0.25600000000000001</v>
      </c>
      <c r="L91">
        <v>-0.28599999999999998</v>
      </c>
      <c r="M91">
        <v>-0.19700000000000001</v>
      </c>
      <c r="N91">
        <f t="shared" si="1"/>
        <v>-7.0749999999999993E-2</v>
      </c>
    </row>
    <row r="92" spans="1:14" x14ac:dyDescent="0.2">
      <c r="A92">
        <v>1961</v>
      </c>
      <c r="B92">
        <v>-1.0999999999999999E-2</v>
      </c>
      <c r="C92">
        <v>1.6E-2</v>
      </c>
      <c r="D92">
        <v>-6.5000000000000002E-2</v>
      </c>
      <c r="E92">
        <v>0.156</v>
      </c>
      <c r="F92">
        <v>0.27300000000000002</v>
      </c>
      <c r="G92">
        <v>0.193</v>
      </c>
      <c r="H92">
        <v>8.6999999999999994E-2</v>
      </c>
      <c r="I92">
        <v>0.108</v>
      </c>
      <c r="J92">
        <v>6.0000000000000001E-3</v>
      </c>
      <c r="K92">
        <v>-0.39600000000000002</v>
      </c>
      <c r="L92">
        <v>-0.50800000000000001</v>
      </c>
      <c r="M92">
        <v>-0.52600000000000002</v>
      </c>
      <c r="N92">
        <f t="shared" si="1"/>
        <v>-5.5583333333333339E-2</v>
      </c>
    </row>
    <row r="93" spans="1:14" x14ac:dyDescent="0.2">
      <c r="A93">
        <v>1962</v>
      </c>
      <c r="B93">
        <v>-0.89400000000000002</v>
      </c>
      <c r="C93">
        <v>-0.89100000000000001</v>
      </c>
      <c r="D93">
        <v>-0.434</v>
      </c>
      <c r="E93">
        <v>-0.436</v>
      </c>
      <c r="F93">
        <v>-0.97499999999999998</v>
      </c>
      <c r="G93">
        <v>-0.89400000000000002</v>
      </c>
      <c r="H93">
        <v>-0.40799999999999997</v>
      </c>
      <c r="I93">
        <v>-0.40799999999999997</v>
      </c>
      <c r="J93">
        <v>-0.53400000000000003</v>
      </c>
      <c r="K93">
        <v>-0.59</v>
      </c>
      <c r="L93">
        <v>-0.61599999999999999</v>
      </c>
      <c r="M93">
        <v>-0.3</v>
      </c>
      <c r="N93">
        <f t="shared" si="1"/>
        <v>-0.61499999999999999</v>
      </c>
    </row>
    <row r="94" spans="1:14" x14ac:dyDescent="0.2">
      <c r="A94">
        <v>1963</v>
      </c>
      <c r="B94">
        <v>-0.371</v>
      </c>
      <c r="C94">
        <v>-0.57899999999999996</v>
      </c>
      <c r="D94">
        <v>-0.46100000000000002</v>
      </c>
      <c r="E94">
        <v>-0.23300000000000001</v>
      </c>
      <c r="F94">
        <v>3.6999999999999998E-2</v>
      </c>
      <c r="G94">
        <v>0.23200000000000001</v>
      </c>
      <c r="H94">
        <v>0.50800000000000001</v>
      </c>
      <c r="I94">
        <v>0.91</v>
      </c>
      <c r="J94">
        <v>1.0589999999999999</v>
      </c>
      <c r="K94">
        <v>1.1100000000000001</v>
      </c>
      <c r="L94">
        <v>1.07</v>
      </c>
      <c r="M94">
        <v>0.97399999999999998</v>
      </c>
      <c r="N94">
        <f t="shared" si="1"/>
        <v>0.35466666666666669</v>
      </c>
    </row>
    <row r="95" spans="1:14" x14ac:dyDescent="0.2">
      <c r="A95">
        <v>1964</v>
      </c>
      <c r="B95">
        <v>0.93300000000000005</v>
      </c>
      <c r="C95">
        <v>0.73</v>
      </c>
      <c r="D95">
        <v>0.25</v>
      </c>
      <c r="E95">
        <v>-0.34899999999999998</v>
      </c>
      <c r="F95">
        <v>-0.82699999999999996</v>
      </c>
      <c r="G95">
        <v>-1.093</v>
      </c>
      <c r="H95">
        <v>-1.2769999999999999</v>
      </c>
      <c r="I95">
        <v>-1.2889999999999999</v>
      </c>
      <c r="J95">
        <v>-1.1910000000000001</v>
      </c>
      <c r="K95">
        <v>-1.171</v>
      </c>
      <c r="L95">
        <v>-1.0589999999999999</v>
      </c>
      <c r="M95">
        <v>-0.89500000000000002</v>
      </c>
      <c r="N95">
        <f t="shared" si="1"/>
        <v>-0.60316666666666663</v>
      </c>
    </row>
    <row r="96" spans="1:14" x14ac:dyDescent="0.2">
      <c r="A96">
        <v>1965</v>
      </c>
      <c r="B96">
        <v>-0.66</v>
      </c>
      <c r="C96">
        <v>-0.33300000000000002</v>
      </c>
      <c r="D96">
        <v>-0.13200000000000001</v>
      </c>
      <c r="E96">
        <v>7.5999999999999998E-2</v>
      </c>
      <c r="F96">
        <v>0.51900000000000002</v>
      </c>
      <c r="G96">
        <v>1.0249999999999999</v>
      </c>
      <c r="H96">
        <v>1.363</v>
      </c>
      <c r="I96">
        <v>1.7310000000000001</v>
      </c>
      <c r="J96">
        <v>1.73</v>
      </c>
      <c r="K96">
        <v>1.42</v>
      </c>
      <c r="L96">
        <v>1.5229999999999999</v>
      </c>
      <c r="M96">
        <v>1.726</v>
      </c>
      <c r="N96">
        <f t="shared" si="1"/>
        <v>0.83233333333333326</v>
      </c>
    </row>
    <row r="97" spans="1:16" x14ac:dyDescent="0.2">
      <c r="A97">
        <v>1966</v>
      </c>
      <c r="B97">
        <v>1.6819999999999999</v>
      </c>
      <c r="C97">
        <v>1.526</v>
      </c>
      <c r="D97">
        <v>1.2130000000000001</v>
      </c>
      <c r="E97">
        <v>0.88900000000000001</v>
      </c>
      <c r="F97">
        <v>0.82299999999999995</v>
      </c>
      <c r="G97">
        <v>0.64800000000000002</v>
      </c>
      <c r="H97">
        <v>0.35699999999999998</v>
      </c>
      <c r="I97">
        <v>0.26400000000000001</v>
      </c>
      <c r="J97">
        <v>7.5999999999999998E-2</v>
      </c>
      <c r="K97">
        <v>-0.05</v>
      </c>
      <c r="L97">
        <v>7.0000000000000007E-2</v>
      </c>
      <c r="M97">
        <v>2.3E-2</v>
      </c>
      <c r="N97">
        <f t="shared" si="1"/>
        <v>0.62675000000000003</v>
      </c>
    </row>
    <row r="98" spans="1:16" x14ac:dyDescent="0.2">
      <c r="A98">
        <v>1967</v>
      </c>
      <c r="B98">
        <v>-0.20799999999999999</v>
      </c>
      <c r="C98">
        <v>-0.501</v>
      </c>
      <c r="D98">
        <v>-0.753</v>
      </c>
      <c r="E98">
        <v>-0.72699999999999998</v>
      </c>
      <c r="F98">
        <v>-0.55000000000000004</v>
      </c>
      <c r="G98">
        <v>-0.58199999999999996</v>
      </c>
      <c r="H98">
        <v>-0.74099999999999999</v>
      </c>
      <c r="I98">
        <v>-0.82799999999999996</v>
      </c>
      <c r="J98">
        <v>-0.83699999999999997</v>
      </c>
      <c r="K98">
        <v>-0.78500000000000003</v>
      </c>
      <c r="L98">
        <v>-0.59099999999999997</v>
      </c>
      <c r="M98">
        <v>-0.372</v>
      </c>
      <c r="N98">
        <f t="shared" si="1"/>
        <v>-0.62291666666666667</v>
      </c>
    </row>
    <row r="99" spans="1:16" x14ac:dyDescent="0.2">
      <c r="A99">
        <v>1968</v>
      </c>
      <c r="B99">
        <v>-0.45600000000000002</v>
      </c>
      <c r="C99">
        <v>-0.62</v>
      </c>
      <c r="D99">
        <v>-0.65800000000000003</v>
      </c>
      <c r="E99">
        <v>-0.75900000000000001</v>
      </c>
      <c r="F99">
        <v>-0.73299999999999998</v>
      </c>
      <c r="G99">
        <v>-0.52500000000000002</v>
      </c>
      <c r="H99">
        <v>-0.54400000000000004</v>
      </c>
      <c r="I99">
        <v>-0.33800000000000002</v>
      </c>
      <c r="J99">
        <v>0.20399999999999999</v>
      </c>
      <c r="K99">
        <v>0.61899999999999999</v>
      </c>
      <c r="L99">
        <v>0.72599999999999998</v>
      </c>
      <c r="M99">
        <v>0.65500000000000003</v>
      </c>
      <c r="N99">
        <f t="shared" si="1"/>
        <v>-0.20241666666666669</v>
      </c>
    </row>
    <row r="100" spans="1:16" x14ac:dyDescent="0.2">
      <c r="A100">
        <v>1969</v>
      </c>
      <c r="B100">
        <v>0.755</v>
      </c>
      <c r="C100">
        <v>1.04</v>
      </c>
      <c r="D100">
        <v>1.0269999999999999</v>
      </c>
      <c r="E100">
        <v>0.94099999999999995</v>
      </c>
      <c r="F100">
        <v>1.0920000000000001</v>
      </c>
      <c r="G100">
        <v>1.2190000000000001</v>
      </c>
      <c r="H100">
        <v>1.077</v>
      </c>
      <c r="I100">
        <v>0.90600000000000003</v>
      </c>
      <c r="J100">
        <v>0.85699999999999998</v>
      </c>
      <c r="K100">
        <v>0.83099999999999996</v>
      </c>
      <c r="L100">
        <v>0.76</v>
      </c>
      <c r="M100">
        <v>0.74399999999999999</v>
      </c>
      <c r="N100">
        <f t="shared" si="1"/>
        <v>0.93741666666666656</v>
      </c>
    </row>
    <row r="101" spans="1:16" x14ac:dyDescent="0.2">
      <c r="A101">
        <v>1970</v>
      </c>
      <c r="B101">
        <v>0.67500000000000004</v>
      </c>
      <c r="C101">
        <v>0.57499999999999996</v>
      </c>
      <c r="D101">
        <v>0.439</v>
      </c>
      <c r="E101">
        <v>0.309</v>
      </c>
      <c r="F101">
        <v>0.09</v>
      </c>
      <c r="G101">
        <v>-0.501</v>
      </c>
      <c r="H101">
        <v>-1.153</v>
      </c>
      <c r="I101">
        <v>-1.347</v>
      </c>
      <c r="J101">
        <v>-1.228</v>
      </c>
      <c r="K101">
        <v>-1.1000000000000001</v>
      </c>
      <c r="L101">
        <v>-1.06</v>
      </c>
      <c r="M101">
        <v>-1.1279999999999999</v>
      </c>
      <c r="N101">
        <f t="shared" si="1"/>
        <v>-0.45241666666666669</v>
      </c>
    </row>
    <row r="102" spans="1:16" x14ac:dyDescent="0.2">
      <c r="A102">
        <v>1971</v>
      </c>
      <c r="B102">
        <v>-1.2809999999999999</v>
      </c>
      <c r="C102">
        <v>-1.5629999999999999</v>
      </c>
      <c r="D102">
        <v>-1.873</v>
      </c>
      <c r="E102">
        <v>-1.9790000000000001</v>
      </c>
      <c r="F102">
        <v>-1.764</v>
      </c>
      <c r="G102">
        <v>-1.534</v>
      </c>
      <c r="H102">
        <v>-1.304</v>
      </c>
      <c r="I102">
        <v>-1.0409999999999999</v>
      </c>
      <c r="J102">
        <v>-1.296</v>
      </c>
      <c r="K102">
        <v>-1.3979999999999999</v>
      </c>
      <c r="L102">
        <v>-1.1020000000000001</v>
      </c>
      <c r="M102">
        <v>-0.98599999999999999</v>
      </c>
      <c r="N102">
        <f t="shared" si="1"/>
        <v>-1.42675</v>
      </c>
    </row>
    <row r="103" spans="1:16" x14ac:dyDescent="0.2">
      <c r="A103">
        <v>1972</v>
      </c>
      <c r="B103">
        <v>-0.65100000000000002</v>
      </c>
      <c r="C103">
        <v>-0.25800000000000001</v>
      </c>
      <c r="D103">
        <v>-0.14599999999999999</v>
      </c>
      <c r="E103">
        <v>0.08</v>
      </c>
      <c r="F103">
        <v>0.751</v>
      </c>
      <c r="G103">
        <v>1.546</v>
      </c>
      <c r="H103">
        <v>2.0870000000000002</v>
      </c>
      <c r="I103">
        <v>2.2090000000000001</v>
      </c>
      <c r="J103">
        <v>2.0680000000000001</v>
      </c>
      <c r="K103">
        <v>1.88</v>
      </c>
      <c r="L103">
        <v>1.8440000000000001</v>
      </c>
      <c r="M103">
        <v>2.008</v>
      </c>
      <c r="N103">
        <f t="shared" si="1"/>
        <v>1.1181666666666665</v>
      </c>
    </row>
    <row r="104" spans="1:16" x14ac:dyDescent="0.2">
      <c r="A104">
        <v>1973</v>
      </c>
      <c r="B104">
        <v>2.0230000000000001</v>
      </c>
      <c r="C104">
        <v>1.756</v>
      </c>
      <c r="D104">
        <v>1.3029999999999999</v>
      </c>
      <c r="E104">
        <v>0.74299999999999999</v>
      </c>
      <c r="F104">
        <v>0.154</v>
      </c>
      <c r="G104">
        <v>-0.52</v>
      </c>
      <c r="H104">
        <v>-1.077</v>
      </c>
      <c r="I104">
        <v>-1.363</v>
      </c>
      <c r="J104">
        <v>-1.6639999999999999</v>
      </c>
      <c r="K104">
        <v>-1.742</v>
      </c>
      <c r="L104">
        <v>-1.591</v>
      </c>
      <c r="M104">
        <v>-1.768</v>
      </c>
      <c r="N104">
        <f t="shared" si="1"/>
        <v>-0.3121666666666667</v>
      </c>
    </row>
    <row r="105" spans="1:16" x14ac:dyDescent="0.2">
      <c r="A105">
        <v>1974</v>
      </c>
      <c r="B105">
        <v>-2.024</v>
      </c>
      <c r="C105">
        <v>-2.1880000000000002</v>
      </c>
      <c r="D105">
        <v>-2.0880000000000001</v>
      </c>
      <c r="E105">
        <v>-1.802</v>
      </c>
      <c r="F105">
        <v>-1.2410000000000001</v>
      </c>
      <c r="G105">
        <v>-0.82099999999999995</v>
      </c>
      <c r="H105">
        <v>-0.97599999999999998</v>
      </c>
      <c r="I105">
        <v>-0.85799999999999998</v>
      </c>
      <c r="J105">
        <v>-0.54300000000000004</v>
      </c>
      <c r="K105">
        <v>-0.81499999999999995</v>
      </c>
      <c r="L105">
        <v>-1.0940000000000001</v>
      </c>
      <c r="M105">
        <v>-1.0329999999999999</v>
      </c>
      <c r="N105">
        <f t="shared" si="1"/>
        <v>-1.2902499999999999</v>
      </c>
    </row>
    <row r="106" spans="1:16" x14ac:dyDescent="0.2">
      <c r="A106">
        <v>1975</v>
      </c>
      <c r="B106">
        <v>-0.70299999999999996</v>
      </c>
      <c r="C106">
        <v>-0.47899999999999998</v>
      </c>
      <c r="D106">
        <v>-0.625</v>
      </c>
      <c r="E106">
        <v>-0.95299999999999996</v>
      </c>
      <c r="F106">
        <v>-1.083</v>
      </c>
      <c r="G106">
        <v>-1.1679999999999999</v>
      </c>
      <c r="H106">
        <v>-1.4079999999999999</v>
      </c>
      <c r="I106">
        <v>-1.744</v>
      </c>
      <c r="J106">
        <v>-2.0550000000000002</v>
      </c>
      <c r="K106">
        <v>-2.27</v>
      </c>
      <c r="L106">
        <v>-2.19</v>
      </c>
      <c r="M106">
        <v>-1.909</v>
      </c>
      <c r="N106">
        <f t="shared" si="1"/>
        <v>-1.38225</v>
      </c>
    </row>
    <row r="107" spans="1:16" x14ac:dyDescent="0.2">
      <c r="A107">
        <v>1976</v>
      </c>
      <c r="B107">
        <v>-1.764</v>
      </c>
      <c r="C107">
        <v>-1.6259999999999999</v>
      </c>
      <c r="D107">
        <v>-1.4590000000000001</v>
      </c>
      <c r="E107">
        <v>-1.2889999999999999</v>
      </c>
      <c r="F107">
        <v>-0.77700000000000002</v>
      </c>
      <c r="G107">
        <v>-7.0000000000000001E-3</v>
      </c>
      <c r="H107">
        <v>0.67400000000000004</v>
      </c>
      <c r="I107">
        <v>0.77100000000000002</v>
      </c>
      <c r="J107">
        <v>0.94799999999999995</v>
      </c>
      <c r="K107">
        <v>1.272</v>
      </c>
      <c r="L107">
        <v>0.98199999999999998</v>
      </c>
      <c r="M107">
        <v>0.73099999999999998</v>
      </c>
      <c r="N107">
        <f t="shared" si="1"/>
        <v>-0.12866666666666662</v>
      </c>
    </row>
    <row r="108" spans="1:16" x14ac:dyDescent="0.2">
      <c r="A108">
        <v>1977</v>
      </c>
      <c r="B108">
        <v>0.71</v>
      </c>
      <c r="C108">
        <v>0.65100000000000002</v>
      </c>
      <c r="D108">
        <v>0.54800000000000004</v>
      </c>
      <c r="E108">
        <v>0.55800000000000005</v>
      </c>
      <c r="F108">
        <v>0.51100000000000001</v>
      </c>
      <c r="G108">
        <v>0.42099999999999999</v>
      </c>
      <c r="H108">
        <v>0.64100000000000001</v>
      </c>
      <c r="I108">
        <v>0.749</v>
      </c>
      <c r="J108">
        <v>0.71499999999999997</v>
      </c>
      <c r="K108">
        <v>0.83099999999999996</v>
      </c>
      <c r="L108">
        <v>1.01</v>
      </c>
      <c r="M108">
        <v>1.1120000000000001</v>
      </c>
      <c r="N108">
        <f t="shared" si="1"/>
        <v>0.70474999999999988</v>
      </c>
    </row>
    <row r="109" spans="1:16" x14ac:dyDescent="0.2">
      <c r="A109">
        <v>1978</v>
      </c>
      <c r="B109">
        <v>0.93899999999999995</v>
      </c>
      <c r="C109">
        <v>0.84599999999999997</v>
      </c>
      <c r="D109">
        <v>0.89500000000000002</v>
      </c>
      <c r="E109">
        <v>0.56999999999999995</v>
      </c>
      <c r="F109">
        <v>2.3E-2</v>
      </c>
      <c r="G109">
        <v>-0.23499999999999999</v>
      </c>
      <c r="H109">
        <v>-0.13700000000000001</v>
      </c>
      <c r="I109">
        <v>0.19</v>
      </c>
      <c r="J109">
        <v>-5.6000000000000001E-2</v>
      </c>
      <c r="K109">
        <v>-0.14199999999999999</v>
      </c>
      <c r="L109">
        <v>0.39</v>
      </c>
      <c r="M109">
        <v>0.626</v>
      </c>
      <c r="N109">
        <f t="shared" si="1"/>
        <v>0.32574999999999998</v>
      </c>
    </row>
    <row r="110" spans="1:16" x14ac:dyDescent="0.2">
      <c r="A110">
        <v>1979</v>
      </c>
      <c r="B110">
        <v>0.57699999999999996</v>
      </c>
      <c r="C110">
        <v>0.40200000000000002</v>
      </c>
      <c r="D110">
        <v>0.13200000000000001</v>
      </c>
      <c r="E110">
        <v>0.16400000000000001</v>
      </c>
      <c r="F110">
        <v>0.623</v>
      </c>
      <c r="G110">
        <v>0.63700000000000001</v>
      </c>
      <c r="H110">
        <v>0.34599999999999997</v>
      </c>
      <c r="I110">
        <v>0.58399999999999996</v>
      </c>
      <c r="J110">
        <v>0.876</v>
      </c>
      <c r="K110">
        <v>0.81799999999999995</v>
      </c>
      <c r="L110">
        <v>0.83099999999999996</v>
      </c>
      <c r="M110">
        <v>1.012</v>
      </c>
      <c r="N110">
        <f t="shared" si="1"/>
        <v>0.58350000000000002</v>
      </c>
      <c r="O110">
        <f>AVERAGE(C110:N110)</f>
        <v>0.58404166666666668</v>
      </c>
      <c r="P110" t="s">
        <v>31</v>
      </c>
    </row>
    <row r="111" spans="1:16" x14ac:dyDescent="0.2">
      <c r="A111">
        <v>1980</v>
      </c>
      <c r="B111">
        <v>1.014</v>
      </c>
      <c r="C111">
        <v>0.81299999999999994</v>
      </c>
      <c r="D111">
        <v>0.83199999999999996</v>
      </c>
      <c r="E111">
        <v>1.167</v>
      </c>
      <c r="F111">
        <v>1.2490000000000001</v>
      </c>
      <c r="G111">
        <v>0.91900000000000004</v>
      </c>
      <c r="H111">
        <v>0.78300000000000003</v>
      </c>
      <c r="I111">
        <v>0.68899999999999995</v>
      </c>
      <c r="J111">
        <v>0.41099999999999998</v>
      </c>
      <c r="K111">
        <v>0.33600000000000002</v>
      </c>
      <c r="L111">
        <v>0.22600000000000001</v>
      </c>
      <c r="M111">
        <v>0.189</v>
      </c>
      <c r="N111">
        <f t="shared" si="1"/>
        <v>0.71899999999999997</v>
      </c>
      <c r="O111">
        <f t="shared" si="1"/>
        <v>0.69441666666666668</v>
      </c>
    </row>
    <row r="112" spans="1:16" x14ac:dyDescent="0.2">
      <c r="A112">
        <v>1981</v>
      </c>
      <c r="B112">
        <v>-8.6999999999999994E-2</v>
      </c>
      <c r="C112">
        <v>-0.33700000000000002</v>
      </c>
      <c r="D112">
        <v>-0.128</v>
      </c>
      <c r="E112">
        <v>0.36199999999999999</v>
      </c>
      <c r="F112">
        <v>0.28999999999999998</v>
      </c>
      <c r="G112">
        <v>1.2999999999999999E-2</v>
      </c>
      <c r="H112">
        <v>-9.6000000000000002E-2</v>
      </c>
      <c r="I112">
        <v>-7.5999999999999998E-2</v>
      </c>
      <c r="J112">
        <v>8.2000000000000003E-2</v>
      </c>
      <c r="K112">
        <v>0.20100000000000001</v>
      </c>
      <c r="L112">
        <v>0.17699999999999999</v>
      </c>
      <c r="M112">
        <v>6.4000000000000001E-2</v>
      </c>
      <c r="N112">
        <f t="shared" si="1"/>
        <v>3.8749999999999993E-2</v>
      </c>
      <c r="O112">
        <f t="shared" si="1"/>
        <v>4.9229166666666657E-2</v>
      </c>
    </row>
    <row r="113" spans="1:15" x14ac:dyDescent="0.2">
      <c r="A113">
        <v>1982</v>
      </c>
      <c r="B113">
        <v>7.6999999999999999E-2</v>
      </c>
      <c r="C113">
        <v>1.9E-2</v>
      </c>
      <c r="D113">
        <v>0.107</v>
      </c>
      <c r="E113">
        <v>0.44</v>
      </c>
      <c r="F113">
        <v>0.94899999999999995</v>
      </c>
      <c r="G113">
        <v>1.48</v>
      </c>
      <c r="H113">
        <v>1.768</v>
      </c>
      <c r="I113">
        <v>1.841</v>
      </c>
      <c r="J113">
        <v>1.871</v>
      </c>
      <c r="K113">
        <v>2.254</v>
      </c>
      <c r="L113">
        <v>2.593</v>
      </c>
      <c r="M113">
        <v>2.7770000000000001</v>
      </c>
      <c r="N113">
        <f t="shared" si="1"/>
        <v>1.3479999999999999</v>
      </c>
      <c r="O113">
        <f t="shared" si="1"/>
        <v>1.4539166666666665</v>
      </c>
    </row>
    <row r="114" spans="1:15" x14ac:dyDescent="0.2">
      <c r="A114">
        <v>1983</v>
      </c>
      <c r="B114">
        <v>3.08</v>
      </c>
      <c r="C114">
        <v>3.31</v>
      </c>
      <c r="D114">
        <v>3.3490000000000002</v>
      </c>
      <c r="E114">
        <v>3.0840000000000001</v>
      </c>
      <c r="F114">
        <v>2.665</v>
      </c>
      <c r="G114">
        <v>2.3370000000000002</v>
      </c>
      <c r="H114">
        <v>1.9219999999999999</v>
      </c>
      <c r="I114">
        <v>1.155</v>
      </c>
      <c r="J114">
        <v>0.46200000000000002</v>
      </c>
      <c r="K114">
        <v>0.105</v>
      </c>
      <c r="L114">
        <v>-9.9000000000000005E-2</v>
      </c>
      <c r="M114">
        <v>5.3999999999999999E-2</v>
      </c>
      <c r="N114">
        <f t="shared" si="1"/>
        <v>1.7853333333333332</v>
      </c>
      <c r="O114">
        <f t="shared" si="1"/>
        <v>1.6774444444444445</v>
      </c>
    </row>
    <row r="115" spans="1:15" x14ac:dyDescent="0.2">
      <c r="A115">
        <v>1984</v>
      </c>
      <c r="B115">
        <v>5.3999999999999999E-2</v>
      </c>
      <c r="C115">
        <v>-0.16600000000000001</v>
      </c>
      <c r="D115">
        <v>-0.192</v>
      </c>
      <c r="E115">
        <v>9.6000000000000002E-2</v>
      </c>
      <c r="F115">
        <v>-5.1999999999999998E-2</v>
      </c>
      <c r="G115">
        <v>-0.40200000000000002</v>
      </c>
      <c r="H115">
        <v>-0.41599999999999998</v>
      </c>
      <c r="I115">
        <v>-0.36499999999999999</v>
      </c>
      <c r="J115">
        <v>-0.214</v>
      </c>
      <c r="K115">
        <v>-0.10199999999999999</v>
      </c>
      <c r="L115">
        <v>-0.35899999999999999</v>
      </c>
      <c r="M115">
        <v>-0.66</v>
      </c>
      <c r="N115">
        <f t="shared" si="1"/>
        <v>-0.23150000000000004</v>
      </c>
      <c r="O115">
        <f t="shared" si="1"/>
        <v>-0.25529166666666664</v>
      </c>
    </row>
    <row r="116" spans="1:15" x14ac:dyDescent="0.2">
      <c r="A116">
        <v>1985</v>
      </c>
      <c r="B116">
        <v>-0.74399999999999999</v>
      </c>
      <c r="C116">
        <v>-0.77700000000000002</v>
      </c>
      <c r="D116">
        <v>-0.86299999999999999</v>
      </c>
      <c r="E116">
        <v>-0.77200000000000002</v>
      </c>
      <c r="F116">
        <v>-0.79100000000000004</v>
      </c>
      <c r="G116">
        <v>-0.53300000000000003</v>
      </c>
      <c r="H116">
        <v>-0.10199999999999999</v>
      </c>
      <c r="I116">
        <v>-0.36499999999999999</v>
      </c>
      <c r="J116">
        <v>-0.60099999999999998</v>
      </c>
      <c r="K116">
        <v>-0.25700000000000001</v>
      </c>
      <c r="L116">
        <v>1.4999999999999999E-2</v>
      </c>
      <c r="M116">
        <v>-0.151</v>
      </c>
      <c r="N116">
        <f t="shared" si="1"/>
        <v>-0.49508333333333332</v>
      </c>
      <c r="O116">
        <f t="shared" si="1"/>
        <v>-0.47434027777777771</v>
      </c>
    </row>
    <row r="117" spans="1:15" x14ac:dyDescent="0.2">
      <c r="A117">
        <v>1986</v>
      </c>
      <c r="B117">
        <v>-0.27800000000000002</v>
      </c>
      <c r="C117">
        <v>-0.22800000000000001</v>
      </c>
      <c r="D117">
        <v>-8.6999999999999994E-2</v>
      </c>
      <c r="E117">
        <v>-4.0000000000000001E-3</v>
      </c>
      <c r="F117">
        <v>0.14099999999999999</v>
      </c>
      <c r="G117">
        <v>0.31900000000000001</v>
      </c>
      <c r="H117">
        <v>0.377</v>
      </c>
      <c r="I117">
        <v>0.73599999999999999</v>
      </c>
      <c r="J117">
        <v>1.147</v>
      </c>
      <c r="K117">
        <v>1.198</v>
      </c>
      <c r="L117">
        <v>1.2370000000000001</v>
      </c>
      <c r="M117">
        <v>1.3420000000000001</v>
      </c>
      <c r="N117">
        <f t="shared" si="1"/>
        <v>0.4916666666666667</v>
      </c>
      <c r="O117">
        <f t="shared" si="1"/>
        <v>0.55580555555555566</v>
      </c>
    </row>
    <row r="118" spans="1:15" x14ac:dyDescent="0.2">
      <c r="A118">
        <v>1987</v>
      </c>
      <c r="B118">
        <v>1.38</v>
      </c>
      <c r="C118">
        <v>1.5289999999999999</v>
      </c>
      <c r="D118">
        <v>1.883</v>
      </c>
      <c r="E118">
        <v>2.1709999999999998</v>
      </c>
      <c r="F118">
        <v>2.1619999999999999</v>
      </c>
      <c r="G118">
        <v>2.069</v>
      </c>
      <c r="H118">
        <v>2.2000000000000002</v>
      </c>
      <c r="I118">
        <v>2.343</v>
      </c>
      <c r="J118">
        <v>2.0539999999999998</v>
      </c>
      <c r="K118">
        <v>1.8240000000000001</v>
      </c>
      <c r="L118">
        <v>1.575</v>
      </c>
      <c r="M118">
        <v>1.49</v>
      </c>
      <c r="N118">
        <f t="shared" si="1"/>
        <v>1.8899999999999997</v>
      </c>
      <c r="O118">
        <f t="shared" si="1"/>
        <v>1.9324999999999999</v>
      </c>
    </row>
    <row r="119" spans="1:15" x14ac:dyDescent="0.2">
      <c r="A119">
        <v>1988</v>
      </c>
      <c r="B119">
        <v>1.387</v>
      </c>
      <c r="C119">
        <v>1.02</v>
      </c>
      <c r="D119">
        <v>0.70299999999999996</v>
      </c>
      <c r="E119">
        <v>0.42899999999999999</v>
      </c>
      <c r="F119">
        <v>-4.7E-2</v>
      </c>
      <c r="G119">
        <v>-0.73499999999999999</v>
      </c>
      <c r="H119">
        <v>-1.4159999999999999</v>
      </c>
      <c r="I119">
        <v>-1.704</v>
      </c>
      <c r="J119">
        <v>-1.7829999999999999</v>
      </c>
      <c r="K119">
        <v>-1.76</v>
      </c>
      <c r="L119">
        <v>-1.778</v>
      </c>
      <c r="M119">
        <v>-1.67</v>
      </c>
      <c r="N119">
        <f t="shared" si="1"/>
        <v>-0.61283333333333323</v>
      </c>
      <c r="O119">
        <f t="shared" si="1"/>
        <v>-0.77948611111111099</v>
      </c>
    </row>
    <row r="120" spans="1:15" x14ac:dyDescent="0.2">
      <c r="A120">
        <v>1989</v>
      </c>
      <c r="B120">
        <v>-1.468</v>
      </c>
      <c r="C120">
        <v>-1.33</v>
      </c>
      <c r="D120">
        <v>-1.198</v>
      </c>
      <c r="E120">
        <v>-1.143</v>
      </c>
      <c r="F120">
        <v>-1.1240000000000001</v>
      </c>
      <c r="G120">
        <v>-1.0269999999999999</v>
      </c>
      <c r="H120">
        <v>-0.95099999999999996</v>
      </c>
      <c r="I120">
        <v>-0.63700000000000001</v>
      </c>
      <c r="J120">
        <v>-0.35</v>
      </c>
      <c r="K120">
        <v>-0.38900000000000001</v>
      </c>
      <c r="L120">
        <v>-0.33</v>
      </c>
      <c r="M120">
        <v>1E-3</v>
      </c>
      <c r="N120">
        <f t="shared" si="1"/>
        <v>-0.82883333333333331</v>
      </c>
      <c r="O120">
        <f t="shared" si="1"/>
        <v>-0.77556944444444442</v>
      </c>
    </row>
    <row r="121" spans="1:15" x14ac:dyDescent="0.2">
      <c r="A121">
        <v>1990</v>
      </c>
      <c r="B121">
        <v>0.22500000000000001</v>
      </c>
      <c r="C121">
        <v>0.46200000000000002</v>
      </c>
      <c r="D121">
        <v>0.74199999999999999</v>
      </c>
      <c r="E121">
        <v>0.72299999999999998</v>
      </c>
      <c r="F121">
        <v>0.53100000000000003</v>
      </c>
      <c r="G121">
        <v>0.42199999999999999</v>
      </c>
      <c r="H121">
        <v>0.35199999999999998</v>
      </c>
      <c r="I121">
        <v>0.14699999999999999</v>
      </c>
      <c r="J121">
        <v>0.25700000000000001</v>
      </c>
      <c r="K121">
        <v>0.45400000000000001</v>
      </c>
      <c r="L121">
        <v>0.38200000000000001</v>
      </c>
      <c r="M121">
        <v>0.29799999999999999</v>
      </c>
      <c r="N121">
        <f t="shared" si="1"/>
        <v>0.41625000000000001</v>
      </c>
      <c r="O121">
        <f t="shared" si="1"/>
        <v>0.43218749999999995</v>
      </c>
    </row>
    <row r="122" spans="1:15" x14ac:dyDescent="0.2">
      <c r="A122">
        <v>1991</v>
      </c>
      <c r="B122">
        <v>0.40699999999999997</v>
      </c>
      <c r="C122">
        <v>0.41299999999999998</v>
      </c>
      <c r="D122">
        <v>0.49299999999999999</v>
      </c>
      <c r="E122">
        <v>0.76300000000000001</v>
      </c>
      <c r="F122">
        <v>1.014</v>
      </c>
      <c r="G122">
        <v>1.1839999999999999</v>
      </c>
      <c r="H122">
        <v>1.1020000000000001</v>
      </c>
      <c r="I122">
        <v>0.55300000000000005</v>
      </c>
      <c r="J122">
        <v>0.29599999999999999</v>
      </c>
      <c r="K122">
        <v>0.8</v>
      </c>
      <c r="L122">
        <v>1.2569999999999999</v>
      </c>
      <c r="M122">
        <v>1.45</v>
      </c>
      <c r="N122">
        <f t="shared" si="1"/>
        <v>0.81099999999999994</v>
      </c>
      <c r="O122">
        <f t="shared" si="1"/>
        <v>0.84466666666666657</v>
      </c>
    </row>
    <row r="123" spans="1:15" x14ac:dyDescent="0.2">
      <c r="A123">
        <v>1992</v>
      </c>
      <c r="B123">
        <v>1.857</v>
      </c>
      <c r="C123">
        <v>2.0390000000000001</v>
      </c>
      <c r="D123">
        <v>2.052</v>
      </c>
      <c r="E123">
        <v>2.2890000000000001</v>
      </c>
      <c r="F123">
        <v>2.4039999999999999</v>
      </c>
      <c r="G123">
        <v>2.2930000000000001</v>
      </c>
      <c r="H123">
        <v>1.742</v>
      </c>
      <c r="I123">
        <v>0.72299999999999998</v>
      </c>
      <c r="J123">
        <v>0.46400000000000002</v>
      </c>
      <c r="K123">
        <v>0.751</v>
      </c>
      <c r="L123">
        <v>0.76500000000000001</v>
      </c>
      <c r="M123">
        <v>0.80800000000000005</v>
      </c>
      <c r="N123">
        <f t="shared" si="1"/>
        <v>1.5155833333333337</v>
      </c>
      <c r="O123">
        <f t="shared" si="1"/>
        <v>1.4871319444444449</v>
      </c>
    </row>
    <row r="124" spans="1:15" x14ac:dyDescent="0.2">
      <c r="A124">
        <v>1993</v>
      </c>
      <c r="B124">
        <v>0.92500000000000004</v>
      </c>
      <c r="C124">
        <v>1.0489999999999999</v>
      </c>
      <c r="D124">
        <v>1.177</v>
      </c>
      <c r="E124">
        <v>1.44</v>
      </c>
      <c r="F124">
        <v>1.86</v>
      </c>
      <c r="G124">
        <v>1.835</v>
      </c>
      <c r="H124">
        <v>1.228</v>
      </c>
      <c r="I124">
        <v>0.72399999999999998</v>
      </c>
      <c r="J124">
        <v>0.79500000000000004</v>
      </c>
      <c r="K124">
        <v>1.1859999999999999</v>
      </c>
      <c r="L124">
        <v>1.1579999999999999</v>
      </c>
      <c r="M124">
        <v>0.78400000000000003</v>
      </c>
      <c r="N124">
        <f t="shared" si="1"/>
        <v>1.1800833333333334</v>
      </c>
      <c r="O124">
        <f t="shared" si="1"/>
        <v>1.201340277777778</v>
      </c>
    </row>
    <row r="125" spans="1:15" x14ac:dyDescent="0.2">
      <c r="A125">
        <v>1994</v>
      </c>
      <c r="B125">
        <v>0.64400000000000002</v>
      </c>
      <c r="C125">
        <v>0.42199999999999999</v>
      </c>
      <c r="D125">
        <v>0.27800000000000002</v>
      </c>
      <c r="E125">
        <v>0.64600000000000002</v>
      </c>
      <c r="F125">
        <v>1.0109999999999999</v>
      </c>
      <c r="G125">
        <v>0.99199999999999999</v>
      </c>
      <c r="H125">
        <v>0.88500000000000001</v>
      </c>
      <c r="I125">
        <v>0.73099999999999998</v>
      </c>
      <c r="J125">
        <v>0.79600000000000004</v>
      </c>
      <c r="K125">
        <v>1.355</v>
      </c>
      <c r="L125">
        <v>1.4470000000000001</v>
      </c>
      <c r="M125">
        <v>1.319</v>
      </c>
      <c r="N125">
        <f t="shared" si="1"/>
        <v>0.87716666666666665</v>
      </c>
      <c r="O125">
        <f t="shared" si="1"/>
        <v>0.89659722222222216</v>
      </c>
    </row>
    <row r="126" spans="1:15" x14ac:dyDescent="0.2">
      <c r="A126">
        <v>1995</v>
      </c>
      <c r="B126">
        <v>1.337</v>
      </c>
      <c r="C126">
        <v>1.196</v>
      </c>
      <c r="D126">
        <v>0.93500000000000005</v>
      </c>
      <c r="E126">
        <v>0.83</v>
      </c>
      <c r="F126">
        <v>0.94</v>
      </c>
      <c r="G126">
        <v>0.81299999999999994</v>
      </c>
      <c r="H126">
        <v>0.48299999999999998</v>
      </c>
      <c r="I126">
        <v>0.25800000000000001</v>
      </c>
      <c r="J126">
        <v>-8.1000000000000003E-2</v>
      </c>
      <c r="K126">
        <v>-0.27400000000000002</v>
      </c>
      <c r="L126">
        <v>-0.40699999999999997</v>
      </c>
      <c r="M126">
        <v>-0.432</v>
      </c>
      <c r="N126">
        <f t="shared" si="1"/>
        <v>0.46649999999999986</v>
      </c>
      <c r="O126">
        <f t="shared" si="1"/>
        <v>0.39395833333333324</v>
      </c>
    </row>
    <row r="127" spans="1:15" x14ac:dyDescent="0.2">
      <c r="A127">
        <v>1996</v>
      </c>
      <c r="B127">
        <v>-0.437</v>
      </c>
      <c r="C127">
        <v>-0.42099999999999999</v>
      </c>
      <c r="D127">
        <v>-0.34799999999999998</v>
      </c>
      <c r="E127">
        <v>-0.36099999999999999</v>
      </c>
      <c r="F127">
        <v>-0.435</v>
      </c>
      <c r="G127">
        <v>-0.27200000000000002</v>
      </c>
      <c r="H127">
        <v>-0.214</v>
      </c>
      <c r="I127">
        <v>-0.218</v>
      </c>
      <c r="J127">
        <v>-0.22</v>
      </c>
      <c r="K127">
        <v>-0.32700000000000001</v>
      </c>
      <c r="L127">
        <v>-0.21299999999999999</v>
      </c>
      <c r="M127">
        <v>-0.20300000000000001</v>
      </c>
      <c r="N127">
        <f t="shared" si="1"/>
        <v>-0.30575000000000002</v>
      </c>
      <c r="O127">
        <f t="shared" si="1"/>
        <v>-0.29481250000000003</v>
      </c>
    </row>
    <row r="128" spans="1:15" x14ac:dyDescent="0.2">
      <c r="A128">
        <v>1997</v>
      </c>
      <c r="B128">
        <v>-0.45300000000000001</v>
      </c>
      <c r="C128">
        <v>-0.57699999999999996</v>
      </c>
      <c r="D128">
        <v>-0.32300000000000001</v>
      </c>
      <c r="E128">
        <v>0.52900000000000003</v>
      </c>
      <c r="F128">
        <v>1.61</v>
      </c>
      <c r="G128">
        <v>2.6019999999999999</v>
      </c>
      <c r="H128">
        <v>3.12</v>
      </c>
      <c r="I128">
        <v>3.181</v>
      </c>
      <c r="J128">
        <v>3.1680000000000001</v>
      </c>
      <c r="K128">
        <v>3.214</v>
      </c>
      <c r="L128">
        <v>3.2010000000000001</v>
      </c>
      <c r="M128">
        <v>3.0219999999999998</v>
      </c>
      <c r="N128">
        <f t="shared" si="1"/>
        <v>1.857833333333333</v>
      </c>
      <c r="O128">
        <f t="shared" si="1"/>
        <v>2.0504027777777774</v>
      </c>
    </row>
    <row r="129" spans="1:15" x14ac:dyDescent="0.2">
      <c r="A129">
        <v>1998</v>
      </c>
      <c r="B129">
        <v>2.8220000000000001</v>
      </c>
      <c r="C129">
        <v>2.823</v>
      </c>
      <c r="D129">
        <v>2.944</v>
      </c>
      <c r="E129">
        <v>2.8210000000000002</v>
      </c>
      <c r="F129">
        <v>2.3359999999999999</v>
      </c>
      <c r="G129">
        <v>1.355</v>
      </c>
      <c r="H129">
        <v>0.18</v>
      </c>
      <c r="I129">
        <v>-0.73099999999999998</v>
      </c>
      <c r="J129">
        <v>-0.86299999999999999</v>
      </c>
      <c r="K129">
        <v>-0.75900000000000001</v>
      </c>
      <c r="L129">
        <v>-0.85699999999999998</v>
      </c>
      <c r="M129">
        <v>-0.97299999999999998</v>
      </c>
      <c r="N129">
        <f t="shared" si="1"/>
        <v>0.92483333333333329</v>
      </c>
      <c r="O129">
        <f t="shared" si="1"/>
        <v>0.76673611111111117</v>
      </c>
    </row>
    <row r="130" spans="1:15" x14ac:dyDescent="0.2">
      <c r="A130">
        <v>1999</v>
      </c>
      <c r="B130">
        <v>-1.1080000000000001</v>
      </c>
      <c r="C130">
        <v>-1.2310000000000001</v>
      </c>
      <c r="D130">
        <v>-1.121</v>
      </c>
      <c r="E130">
        <v>-1.0980000000000001</v>
      </c>
      <c r="F130">
        <v>-1.1870000000000001</v>
      </c>
      <c r="G130">
        <v>-0.97499999999999998</v>
      </c>
      <c r="H130">
        <v>-0.82599999999999996</v>
      </c>
      <c r="I130">
        <v>-0.80100000000000005</v>
      </c>
      <c r="J130">
        <v>-0.72699999999999998</v>
      </c>
      <c r="K130">
        <v>-0.84699999999999998</v>
      </c>
      <c r="L130">
        <v>-1.0449999999999999</v>
      </c>
      <c r="M130">
        <v>-1.1819999999999999</v>
      </c>
      <c r="N130">
        <f t="shared" si="1"/>
        <v>-1.0123333333333333</v>
      </c>
      <c r="O130">
        <f t="shared" si="1"/>
        <v>-1.004361111111111</v>
      </c>
    </row>
    <row r="131" spans="1:15" x14ac:dyDescent="0.2">
      <c r="A131">
        <v>2000</v>
      </c>
      <c r="B131">
        <v>-1.2549999999999999</v>
      </c>
      <c r="C131">
        <v>-1.2949999999999999</v>
      </c>
      <c r="D131">
        <v>-1.319</v>
      </c>
      <c r="E131">
        <v>-1.1679999999999999</v>
      </c>
      <c r="F131">
        <v>-0.96</v>
      </c>
      <c r="G131">
        <v>-0.71099999999999997</v>
      </c>
      <c r="H131">
        <v>-0.47899999999999998</v>
      </c>
      <c r="I131">
        <v>-0.29799999999999999</v>
      </c>
      <c r="J131">
        <v>-0.113</v>
      </c>
      <c r="K131">
        <v>-0.109</v>
      </c>
      <c r="L131">
        <v>-0.39700000000000002</v>
      </c>
      <c r="M131">
        <v>-0.64200000000000002</v>
      </c>
      <c r="N131">
        <f t="shared" ref="N131:O136" si="2">AVERAGE(B131:M131)</f>
        <v>-0.72883333333333333</v>
      </c>
      <c r="O131">
        <f t="shared" si="2"/>
        <v>-0.6849861111111113</v>
      </c>
    </row>
    <row r="132" spans="1:15" x14ac:dyDescent="0.2">
      <c r="A132">
        <v>2001</v>
      </c>
      <c r="B132">
        <v>-0.70599999999999996</v>
      </c>
      <c r="C132">
        <v>-0.79600000000000004</v>
      </c>
      <c r="D132">
        <v>-0.71</v>
      </c>
      <c r="E132">
        <v>-0.39800000000000002</v>
      </c>
      <c r="F132">
        <v>-0.32200000000000001</v>
      </c>
      <c r="G132">
        <v>-0.34899999999999998</v>
      </c>
      <c r="H132">
        <v>-0.22500000000000001</v>
      </c>
      <c r="I132">
        <v>-4.1000000000000002E-2</v>
      </c>
      <c r="J132">
        <v>-9.8000000000000004E-2</v>
      </c>
      <c r="K132">
        <v>-0.25600000000000001</v>
      </c>
      <c r="L132">
        <v>-0.28999999999999998</v>
      </c>
      <c r="M132">
        <v>-0.19900000000000001</v>
      </c>
      <c r="N132">
        <f t="shared" si="2"/>
        <v>-0.36583333333333329</v>
      </c>
      <c r="O132">
        <f t="shared" si="2"/>
        <v>-0.33748611111111115</v>
      </c>
    </row>
    <row r="133" spans="1:15" x14ac:dyDescent="0.2">
      <c r="A133">
        <v>2002</v>
      </c>
      <c r="B133">
        <v>-6.4000000000000001E-2</v>
      </c>
      <c r="C133">
        <v>-9.0999999999999998E-2</v>
      </c>
      <c r="D133">
        <v>4.4999999999999998E-2</v>
      </c>
      <c r="E133">
        <v>0.35899999999999999</v>
      </c>
      <c r="F133">
        <v>0.66900000000000004</v>
      </c>
      <c r="G133">
        <v>0.91200000000000003</v>
      </c>
      <c r="H133">
        <v>0.66700000000000004</v>
      </c>
      <c r="I133">
        <v>0.63600000000000001</v>
      </c>
      <c r="J133">
        <v>0.90300000000000002</v>
      </c>
      <c r="K133">
        <v>1.0900000000000001</v>
      </c>
      <c r="L133">
        <v>1.2070000000000001</v>
      </c>
      <c r="M133">
        <v>1.2230000000000001</v>
      </c>
      <c r="N133">
        <f t="shared" si="2"/>
        <v>0.6296666666666666</v>
      </c>
      <c r="O133">
        <f t="shared" si="2"/>
        <v>0.68747222222222215</v>
      </c>
    </row>
    <row r="134" spans="1:15" x14ac:dyDescent="0.2">
      <c r="A134">
        <v>2003</v>
      </c>
      <c r="B134">
        <v>1.252</v>
      </c>
      <c r="C134">
        <v>1.0840000000000001</v>
      </c>
      <c r="D134">
        <v>0.95299999999999996</v>
      </c>
      <c r="E134">
        <v>0.81599999999999995</v>
      </c>
      <c r="F134">
        <v>0.26200000000000001</v>
      </c>
      <c r="G134">
        <v>-9.4E-2</v>
      </c>
      <c r="H134">
        <v>4.0000000000000001E-3</v>
      </c>
      <c r="I134">
        <v>8.3000000000000004E-2</v>
      </c>
      <c r="J134">
        <v>0.36</v>
      </c>
      <c r="K134">
        <v>0.53300000000000003</v>
      </c>
      <c r="L134">
        <v>0.59399999999999997</v>
      </c>
      <c r="M134">
        <v>0.64600000000000002</v>
      </c>
      <c r="N134">
        <f t="shared" si="2"/>
        <v>0.54108333333333347</v>
      </c>
      <c r="O134">
        <f t="shared" si="2"/>
        <v>0.48184027777777788</v>
      </c>
    </row>
    <row r="135" spans="1:15" x14ac:dyDescent="0.2">
      <c r="A135">
        <v>2004</v>
      </c>
      <c r="B135">
        <v>0.52600000000000002</v>
      </c>
      <c r="C135">
        <v>0.33100000000000002</v>
      </c>
      <c r="D135">
        <v>0.11799999999999999</v>
      </c>
      <c r="E135">
        <v>0.125</v>
      </c>
      <c r="F135">
        <v>0.29899999999999999</v>
      </c>
      <c r="G135">
        <v>0.214</v>
      </c>
      <c r="H135">
        <v>0.27100000000000002</v>
      </c>
      <c r="I135">
        <v>0.58199999999999996</v>
      </c>
      <c r="J135">
        <v>0.80300000000000005</v>
      </c>
      <c r="K135">
        <v>0.68</v>
      </c>
      <c r="L135">
        <v>0.69</v>
      </c>
      <c r="M135">
        <v>0.74</v>
      </c>
      <c r="N135">
        <f t="shared" si="2"/>
        <v>0.44824999999999998</v>
      </c>
      <c r="O135">
        <f t="shared" si="2"/>
        <v>0.44177083333333328</v>
      </c>
    </row>
    <row r="136" spans="1:15" x14ac:dyDescent="0.2">
      <c r="A136">
        <v>2005</v>
      </c>
      <c r="B136">
        <v>0.432</v>
      </c>
      <c r="C136">
        <v>0.28000000000000003</v>
      </c>
      <c r="D136">
        <v>0.63100000000000001</v>
      </c>
      <c r="E136">
        <v>0.77300000000000002</v>
      </c>
      <c r="F136">
        <v>0.58799999999999997</v>
      </c>
      <c r="G136">
        <v>0.73699999999999999</v>
      </c>
      <c r="H136">
        <v>0.8</v>
      </c>
      <c r="I136">
        <v>0.49199999999999999</v>
      </c>
      <c r="J136">
        <v>0.08</v>
      </c>
      <c r="K136">
        <v>-0.66100000000000003</v>
      </c>
      <c r="L136">
        <v>-0.998</v>
      </c>
      <c r="M136">
        <v>-0.95399999999999996</v>
      </c>
      <c r="N136">
        <f t="shared" si="2"/>
        <v>0.18333333333333343</v>
      </c>
      <c r="O136">
        <f t="shared" si="2"/>
        <v>0.16261111111111115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98612-A8FA-F640-8F85-794EE2C963E9}">
  <dimension ref="A1:N157"/>
  <sheetViews>
    <sheetView tabSelected="1" topLeftCell="A135" workbookViewId="0">
      <selection activeCell="M158" sqref="M158"/>
    </sheetView>
  </sheetViews>
  <sheetFormatPr baseColWidth="10" defaultRowHeight="16" x14ac:dyDescent="0.2"/>
  <sheetData>
    <row r="1" spans="1:14" x14ac:dyDescent="0.2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</row>
    <row r="2" spans="1:14" x14ac:dyDescent="0.2">
      <c r="A2">
        <v>1871</v>
      </c>
      <c r="B2">
        <v>3.2000000000000001E-2</v>
      </c>
      <c r="C2">
        <v>-5.5E-2</v>
      </c>
      <c r="D2">
        <v>5.0000000000000001E-3</v>
      </c>
      <c r="E2">
        <v>0.42</v>
      </c>
      <c r="F2">
        <v>0.19500000000000001</v>
      </c>
      <c r="G2">
        <v>-0.63900000000000001</v>
      </c>
      <c r="H2">
        <v>-0.84199999999999997</v>
      </c>
      <c r="I2">
        <v>-0.47399999999999998</v>
      </c>
      <c r="J2">
        <v>-0.14299999999999999</v>
      </c>
      <c r="K2">
        <v>7.1999999999999995E-2</v>
      </c>
      <c r="L2">
        <v>0.107</v>
      </c>
      <c r="M2">
        <v>-0.20599999999999999</v>
      </c>
    </row>
    <row r="3" spans="1:14" x14ac:dyDescent="0.2">
      <c r="A3">
        <v>1872</v>
      </c>
      <c r="B3">
        <v>-0.63300000000000001</v>
      </c>
      <c r="C3">
        <v>-0.875</v>
      </c>
      <c r="D3">
        <v>-0.86399999999999999</v>
      </c>
      <c r="E3">
        <v>-0.66400000000000003</v>
      </c>
      <c r="F3">
        <v>-0.59</v>
      </c>
      <c r="G3">
        <v>-0.61799999999999999</v>
      </c>
      <c r="H3">
        <v>-0.65800000000000003</v>
      </c>
      <c r="I3">
        <v>-0.79500000000000004</v>
      </c>
      <c r="J3">
        <v>-0.8</v>
      </c>
      <c r="K3">
        <v>-0.66900000000000004</v>
      </c>
      <c r="L3">
        <v>-0.65100000000000002</v>
      </c>
      <c r="M3">
        <v>-0.84699999999999998</v>
      </c>
      <c r="N3">
        <f>(SUM(B3:I3)+SUM(J2:M2))/12</f>
        <v>-0.48891666666666667</v>
      </c>
    </row>
    <row r="4" spans="1:14" x14ac:dyDescent="0.2">
      <c r="A4">
        <v>1873</v>
      </c>
      <c r="B4">
        <v>-0.93</v>
      </c>
      <c r="C4">
        <v>-0.99099999999999999</v>
      </c>
      <c r="D4">
        <v>-1.3009999999999999</v>
      </c>
      <c r="E4">
        <v>-1.4890000000000001</v>
      </c>
      <c r="F4">
        <v>-1.0660000000000001</v>
      </c>
      <c r="G4">
        <v>-0.68899999999999995</v>
      </c>
      <c r="H4">
        <v>-0.65700000000000003</v>
      </c>
      <c r="I4">
        <v>-0.64600000000000002</v>
      </c>
      <c r="J4">
        <v>-0.318</v>
      </c>
      <c r="K4">
        <v>-1.2E-2</v>
      </c>
      <c r="L4">
        <v>-0.35499999999999998</v>
      </c>
      <c r="M4">
        <v>-0.54</v>
      </c>
      <c r="N4">
        <f t="shared" ref="N4:N67" si="0">(SUM(B4:I4)+SUM(J3:M3))/12</f>
        <v>-0.89466666666666672</v>
      </c>
    </row>
    <row r="5" spans="1:14" x14ac:dyDescent="0.2">
      <c r="A5">
        <v>1874</v>
      </c>
      <c r="B5">
        <v>-0.61099999999999999</v>
      </c>
      <c r="C5">
        <v>-0.80200000000000005</v>
      </c>
      <c r="D5">
        <v>-1.036</v>
      </c>
      <c r="E5">
        <v>-1.2749999999999999</v>
      </c>
      <c r="F5">
        <v>-1.258</v>
      </c>
      <c r="G5">
        <v>-0.96399999999999997</v>
      </c>
      <c r="H5">
        <v>-0.90200000000000002</v>
      </c>
      <c r="I5">
        <v>-1.143</v>
      </c>
      <c r="J5">
        <v>-1.1479999999999999</v>
      </c>
      <c r="K5">
        <v>-1.0029999999999999</v>
      </c>
      <c r="L5">
        <v>-0.77100000000000002</v>
      </c>
      <c r="M5">
        <v>-0.67900000000000005</v>
      </c>
      <c r="N5">
        <f t="shared" si="0"/>
        <v>-0.7679999999999999</v>
      </c>
    </row>
    <row r="6" spans="1:14" x14ac:dyDescent="0.2">
      <c r="A6">
        <v>1875</v>
      </c>
      <c r="B6">
        <v>-0.77400000000000002</v>
      </c>
      <c r="C6">
        <v>-0.68600000000000005</v>
      </c>
      <c r="D6">
        <v>-0.67</v>
      </c>
      <c r="E6">
        <v>-0.95799999999999996</v>
      </c>
      <c r="F6">
        <v>-1.3149999999999999</v>
      </c>
      <c r="G6">
        <v>-1.8120000000000001</v>
      </c>
      <c r="H6">
        <v>-1.964</v>
      </c>
      <c r="I6">
        <v>-1.5529999999999999</v>
      </c>
      <c r="J6">
        <v>-1.2949999999999999</v>
      </c>
      <c r="K6">
        <v>-0.99299999999999999</v>
      </c>
      <c r="L6">
        <v>-0.68200000000000005</v>
      </c>
      <c r="M6">
        <v>-0.68799999999999994</v>
      </c>
      <c r="N6">
        <f t="shared" si="0"/>
        <v>-1.1110833333333332</v>
      </c>
    </row>
    <row r="7" spans="1:14" x14ac:dyDescent="0.2">
      <c r="A7">
        <v>1876</v>
      </c>
      <c r="B7">
        <v>-0.878</v>
      </c>
      <c r="C7">
        <v>-1.196</v>
      </c>
      <c r="D7">
        <v>-1.504</v>
      </c>
      <c r="E7">
        <v>-1.6910000000000001</v>
      </c>
      <c r="F7">
        <v>-1.8779999999999999</v>
      </c>
      <c r="G7">
        <v>-1.845</v>
      </c>
      <c r="H7">
        <v>-1.4350000000000001</v>
      </c>
      <c r="I7">
        <v>-0.86699999999999999</v>
      </c>
      <c r="J7">
        <v>-0.39300000000000002</v>
      </c>
      <c r="K7">
        <v>-7.0999999999999994E-2</v>
      </c>
      <c r="L7">
        <v>8.7999999999999995E-2</v>
      </c>
      <c r="M7">
        <v>0.17</v>
      </c>
      <c r="N7">
        <f t="shared" si="0"/>
        <v>-1.246</v>
      </c>
    </row>
    <row r="8" spans="1:14" x14ac:dyDescent="0.2">
      <c r="A8">
        <v>1877</v>
      </c>
      <c r="B8">
        <v>0.193</v>
      </c>
      <c r="C8">
        <v>0.33400000000000002</v>
      </c>
      <c r="D8">
        <v>0.373</v>
      </c>
      <c r="E8">
        <v>0.35299999999999998</v>
      </c>
      <c r="F8">
        <v>0.441</v>
      </c>
      <c r="G8">
        <v>0.69</v>
      </c>
      <c r="H8">
        <v>1.3180000000000001</v>
      </c>
      <c r="I8">
        <v>1.6870000000000001</v>
      </c>
      <c r="J8">
        <v>1.788</v>
      </c>
      <c r="K8">
        <v>2.0699999999999998</v>
      </c>
      <c r="L8">
        <v>2.165</v>
      </c>
      <c r="M8">
        <v>1.7629999999999999</v>
      </c>
      <c r="N8">
        <f t="shared" si="0"/>
        <v>0.43191666666666667</v>
      </c>
    </row>
    <row r="9" spans="1:14" x14ac:dyDescent="0.2">
      <c r="A9">
        <v>1878</v>
      </c>
      <c r="B9">
        <v>1.877</v>
      </c>
      <c r="C9">
        <v>2.3610000000000002</v>
      </c>
      <c r="D9">
        <v>2.4950000000000001</v>
      </c>
      <c r="E9">
        <v>1.883</v>
      </c>
      <c r="F9">
        <v>1.006</v>
      </c>
      <c r="G9">
        <v>0.57999999999999996</v>
      </c>
      <c r="H9">
        <v>0.54</v>
      </c>
      <c r="I9">
        <v>0.23499999999999999</v>
      </c>
      <c r="J9">
        <v>-0.371</v>
      </c>
      <c r="K9">
        <v>-0.84499999999999997</v>
      </c>
      <c r="L9">
        <v>-0.91100000000000003</v>
      </c>
      <c r="M9">
        <v>-0.92100000000000004</v>
      </c>
      <c r="N9">
        <f t="shared" si="0"/>
        <v>1.5635833333333331</v>
      </c>
    </row>
    <row r="10" spans="1:14" x14ac:dyDescent="0.2">
      <c r="A10">
        <v>1879</v>
      </c>
      <c r="B10">
        <v>-1.0049999999999999</v>
      </c>
      <c r="C10">
        <v>-0.72899999999999998</v>
      </c>
      <c r="D10">
        <v>-0.44500000000000001</v>
      </c>
      <c r="E10">
        <v>-0.44700000000000001</v>
      </c>
      <c r="F10">
        <v>-0.95599999999999996</v>
      </c>
      <c r="G10">
        <v>-1.18</v>
      </c>
      <c r="H10">
        <v>-0.82699999999999996</v>
      </c>
      <c r="I10">
        <v>-0.60699999999999998</v>
      </c>
      <c r="J10">
        <v>-0.52300000000000002</v>
      </c>
      <c r="K10">
        <v>-0.55700000000000005</v>
      </c>
      <c r="L10">
        <v>-0.72</v>
      </c>
      <c r="M10">
        <v>-1.0309999999999999</v>
      </c>
      <c r="N10">
        <f t="shared" si="0"/>
        <v>-0.77033333333333331</v>
      </c>
    </row>
    <row r="11" spans="1:14" x14ac:dyDescent="0.2">
      <c r="A11">
        <v>1880</v>
      </c>
      <c r="B11">
        <v>-1.0569999999999999</v>
      </c>
      <c r="C11">
        <v>-0.83</v>
      </c>
      <c r="D11">
        <v>-0.89900000000000002</v>
      </c>
      <c r="E11">
        <v>-1.069</v>
      </c>
      <c r="F11">
        <v>-0.96499999999999997</v>
      </c>
      <c r="G11">
        <v>-0.59499999999999997</v>
      </c>
      <c r="H11">
        <v>0.113</v>
      </c>
      <c r="I11">
        <v>0.39400000000000002</v>
      </c>
      <c r="J11">
        <v>8.3000000000000004E-2</v>
      </c>
      <c r="K11">
        <v>-0.22800000000000001</v>
      </c>
      <c r="L11">
        <v>-0.128</v>
      </c>
      <c r="M11">
        <v>0.17</v>
      </c>
      <c r="N11">
        <f t="shared" si="0"/>
        <v>-0.64491666666666658</v>
      </c>
    </row>
    <row r="12" spans="1:14" x14ac:dyDescent="0.2">
      <c r="A12">
        <v>1881</v>
      </c>
      <c r="B12">
        <v>0.14799999999999999</v>
      </c>
      <c r="C12">
        <v>0.215</v>
      </c>
      <c r="D12">
        <v>0.17399999999999999</v>
      </c>
      <c r="E12">
        <v>8.2000000000000003E-2</v>
      </c>
      <c r="F12">
        <v>-0.105</v>
      </c>
      <c r="G12">
        <v>-6.2E-2</v>
      </c>
      <c r="H12">
        <v>-0.153</v>
      </c>
      <c r="I12">
        <v>-0.55900000000000005</v>
      </c>
      <c r="J12">
        <v>-0.65600000000000003</v>
      </c>
      <c r="K12">
        <v>-0.38900000000000001</v>
      </c>
      <c r="L12">
        <v>-0.499</v>
      </c>
      <c r="M12">
        <v>-0.77600000000000002</v>
      </c>
      <c r="N12">
        <f t="shared" si="0"/>
        <v>-3.025000000000001E-2</v>
      </c>
    </row>
    <row r="13" spans="1:14" x14ac:dyDescent="0.2">
      <c r="A13">
        <v>1882</v>
      </c>
      <c r="B13">
        <v>-0.59799999999999998</v>
      </c>
      <c r="C13">
        <v>-0.46100000000000002</v>
      </c>
      <c r="D13">
        <v>-0.58499999999999996</v>
      </c>
      <c r="E13">
        <v>-0.79900000000000004</v>
      </c>
      <c r="F13">
        <v>-1.028</v>
      </c>
      <c r="G13">
        <v>-0.97</v>
      </c>
      <c r="H13">
        <v>-0.68600000000000005</v>
      </c>
      <c r="I13">
        <v>-0.436</v>
      </c>
      <c r="J13">
        <v>-0.26700000000000002</v>
      </c>
      <c r="K13">
        <v>-0.26100000000000001</v>
      </c>
      <c r="L13">
        <v>-0.379</v>
      </c>
      <c r="M13">
        <v>-0.40400000000000003</v>
      </c>
      <c r="N13">
        <f t="shared" si="0"/>
        <v>-0.6569166666666667</v>
      </c>
    </row>
    <row r="14" spans="1:14" x14ac:dyDescent="0.2">
      <c r="A14">
        <v>1883</v>
      </c>
      <c r="B14">
        <v>-0.56200000000000006</v>
      </c>
      <c r="C14">
        <v>-0.628</v>
      </c>
      <c r="D14">
        <v>-0.56200000000000006</v>
      </c>
      <c r="E14">
        <v>-0.67200000000000004</v>
      </c>
      <c r="F14">
        <v>-1.07</v>
      </c>
      <c r="G14">
        <v>-0.89800000000000002</v>
      </c>
      <c r="H14">
        <v>-0.28399999999999997</v>
      </c>
      <c r="I14">
        <v>-0.22800000000000001</v>
      </c>
      <c r="J14">
        <v>-0.314</v>
      </c>
      <c r="K14">
        <v>-0.01</v>
      </c>
      <c r="L14">
        <v>4.0000000000000001E-3</v>
      </c>
      <c r="M14">
        <v>-1.2E-2</v>
      </c>
      <c r="N14">
        <f t="shared" si="0"/>
        <v>-0.51791666666666658</v>
      </c>
    </row>
    <row r="15" spans="1:14" x14ac:dyDescent="0.2">
      <c r="A15">
        <v>1884</v>
      </c>
      <c r="B15">
        <v>9.4E-2</v>
      </c>
      <c r="C15">
        <v>0.121</v>
      </c>
      <c r="D15">
        <v>0.112</v>
      </c>
      <c r="E15">
        <v>0.36899999999999999</v>
      </c>
      <c r="F15">
        <v>0.78600000000000003</v>
      </c>
      <c r="G15">
        <v>0.72499999999999998</v>
      </c>
      <c r="H15">
        <v>0.36799999999999999</v>
      </c>
      <c r="I15">
        <v>0.433</v>
      </c>
      <c r="J15">
        <v>0.628</v>
      </c>
      <c r="K15">
        <v>0.52500000000000002</v>
      </c>
      <c r="L15">
        <v>0.33300000000000002</v>
      </c>
      <c r="M15">
        <v>0.432</v>
      </c>
      <c r="N15">
        <f t="shared" si="0"/>
        <v>0.22299999999999998</v>
      </c>
    </row>
    <row r="16" spans="1:14" x14ac:dyDescent="0.2">
      <c r="A16">
        <v>1885</v>
      </c>
      <c r="B16">
        <v>0.63900000000000001</v>
      </c>
      <c r="C16">
        <v>0.59899999999999998</v>
      </c>
      <c r="D16">
        <v>0.26200000000000001</v>
      </c>
      <c r="E16">
        <v>0.247</v>
      </c>
      <c r="F16">
        <v>0.58799999999999997</v>
      </c>
      <c r="G16">
        <v>0.41399999999999998</v>
      </c>
      <c r="H16">
        <v>-4.3999999999999997E-2</v>
      </c>
      <c r="I16">
        <v>0.21099999999999999</v>
      </c>
      <c r="J16">
        <v>0.50600000000000001</v>
      </c>
      <c r="K16">
        <v>0.80400000000000005</v>
      </c>
      <c r="L16">
        <v>1.216</v>
      </c>
      <c r="M16">
        <v>0.91400000000000003</v>
      </c>
      <c r="N16">
        <f t="shared" si="0"/>
        <v>0.40283333333333332</v>
      </c>
    </row>
    <row r="17" spans="1:14" x14ac:dyDescent="0.2">
      <c r="A17">
        <v>1886</v>
      </c>
      <c r="B17">
        <v>0.38400000000000001</v>
      </c>
      <c r="C17">
        <v>0.112</v>
      </c>
      <c r="D17">
        <v>1.6E-2</v>
      </c>
      <c r="E17">
        <v>-0.10299999999999999</v>
      </c>
      <c r="F17">
        <v>-0.61899999999999999</v>
      </c>
      <c r="G17">
        <v>-1.274</v>
      </c>
      <c r="H17">
        <v>-1.466</v>
      </c>
      <c r="I17">
        <v>-1.351</v>
      </c>
      <c r="J17">
        <v>-1.228</v>
      </c>
      <c r="K17">
        <v>-1.2330000000000001</v>
      </c>
      <c r="L17">
        <v>-1.306</v>
      </c>
      <c r="M17">
        <v>-1.272</v>
      </c>
      <c r="N17">
        <f t="shared" si="0"/>
        <v>-7.1750000000000022E-2</v>
      </c>
    </row>
    <row r="18" spans="1:14" x14ac:dyDescent="0.2">
      <c r="A18">
        <v>1887</v>
      </c>
      <c r="B18">
        <v>-1.4510000000000001</v>
      </c>
      <c r="C18">
        <v>-1.573</v>
      </c>
      <c r="D18">
        <v>-1.3129999999999999</v>
      </c>
      <c r="E18">
        <v>-1.0880000000000001</v>
      </c>
      <c r="F18">
        <v>-1.2569999999999999</v>
      </c>
      <c r="G18">
        <v>-0.92600000000000005</v>
      </c>
      <c r="H18">
        <v>-6.6000000000000003E-2</v>
      </c>
      <c r="I18">
        <v>0.19400000000000001</v>
      </c>
      <c r="J18">
        <v>0.113</v>
      </c>
      <c r="K18">
        <v>-0.154</v>
      </c>
      <c r="L18">
        <v>-0.314</v>
      </c>
      <c r="M18">
        <v>-0.155</v>
      </c>
      <c r="N18">
        <f t="shared" si="0"/>
        <v>-1.04325</v>
      </c>
    </row>
    <row r="19" spans="1:14" x14ac:dyDescent="0.2">
      <c r="A19">
        <v>1888</v>
      </c>
      <c r="B19">
        <v>3.5999999999999997E-2</v>
      </c>
      <c r="C19">
        <v>0.38900000000000001</v>
      </c>
      <c r="D19">
        <v>0.79200000000000004</v>
      </c>
      <c r="E19">
        <v>0.94799999999999995</v>
      </c>
      <c r="F19">
        <v>0.874</v>
      </c>
      <c r="G19">
        <v>0.92100000000000004</v>
      </c>
      <c r="H19">
        <v>1.038</v>
      </c>
      <c r="I19">
        <v>1.34</v>
      </c>
      <c r="J19">
        <v>1.732</v>
      </c>
      <c r="K19">
        <v>1.788</v>
      </c>
      <c r="L19">
        <v>1.7230000000000001</v>
      </c>
      <c r="M19">
        <v>1.851</v>
      </c>
      <c r="N19">
        <f t="shared" si="0"/>
        <v>0.48566666666666669</v>
      </c>
    </row>
    <row r="20" spans="1:14" x14ac:dyDescent="0.2">
      <c r="A20">
        <v>1889</v>
      </c>
      <c r="B20">
        <v>1.893</v>
      </c>
      <c r="C20">
        <v>1.865</v>
      </c>
      <c r="D20">
        <v>1.6180000000000001</v>
      </c>
      <c r="E20">
        <v>1.163</v>
      </c>
      <c r="F20">
        <v>0.48099999999999998</v>
      </c>
      <c r="G20">
        <v>-6.8000000000000005E-2</v>
      </c>
      <c r="H20">
        <v>-0.55500000000000005</v>
      </c>
      <c r="I20">
        <v>-1.1919999999999999</v>
      </c>
      <c r="J20">
        <v>-1.494</v>
      </c>
      <c r="K20">
        <v>-1.534</v>
      </c>
      <c r="L20">
        <v>-1.532</v>
      </c>
      <c r="M20">
        <v>-1.4510000000000001</v>
      </c>
      <c r="N20">
        <f t="shared" si="0"/>
        <v>1.0249166666666667</v>
      </c>
    </row>
    <row r="21" spans="1:14" x14ac:dyDescent="0.2">
      <c r="A21">
        <v>1890</v>
      </c>
      <c r="B21">
        <v>-1.53</v>
      </c>
      <c r="C21">
        <v>-1.7310000000000001</v>
      </c>
      <c r="D21">
        <v>-1.5840000000000001</v>
      </c>
      <c r="E21">
        <v>-1.456</v>
      </c>
      <c r="F21">
        <v>-1.55</v>
      </c>
      <c r="G21">
        <v>-1.5640000000000001</v>
      </c>
      <c r="H21">
        <v>-1.4059999999999999</v>
      </c>
      <c r="I21">
        <v>-1.264</v>
      </c>
      <c r="J21">
        <v>-1.1859999999999999</v>
      </c>
      <c r="K21">
        <v>-1.006</v>
      </c>
      <c r="L21">
        <v>-0.876</v>
      </c>
      <c r="M21">
        <v>-0.63800000000000001</v>
      </c>
      <c r="N21">
        <f>(SUM(B21:I21)+SUM(J20:M20))/12</f>
        <v>-1.508</v>
      </c>
    </row>
    <row r="22" spans="1:14" x14ac:dyDescent="0.2">
      <c r="A22">
        <v>1891</v>
      </c>
      <c r="B22">
        <v>-0.55700000000000005</v>
      </c>
      <c r="C22">
        <v>-0.28699999999999998</v>
      </c>
      <c r="D22">
        <v>0.17</v>
      </c>
      <c r="E22">
        <v>0.28499999999999998</v>
      </c>
      <c r="F22">
        <v>6.0999999999999999E-2</v>
      </c>
      <c r="G22">
        <v>0.128</v>
      </c>
      <c r="H22">
        <v>0.36</v>
      </c>
      <c r="I22">
        <v>0.38200000000000001</v>
      </c>
      <c r="J22">
        <v>0.192</v>
      </c>
      <c r="K22">
        <v>2.1000000000000001E-2</v>
      </c>
      <c r="L22">
        <v>-9.7000000000000003E-2</v>
      </c>
      <c r="M22">
        <v>-0.188</v>
      </c>
      <c r="N22">
        <f t="shared" si="0"/>
        <v>-0.26366666666666666</v>
      </c>
    </row>
    <row r="23" spans="1:14" x14ac:dyDescent="0.2">
      <c r="A23">
        <v>1892</v>
      </c>
      <c r="B23">
        <v>-0.128</v>
      </c>
      <c r="C23">
        <v>-0.184</v>
      </c>
      <c r="D23">
        <v>-0.70799999999999996</v>
      </c>
      <c r="E23">
        <v>-1.486</v>
      </c>
      <c r="F23">
        <v>-1.5720000000000001</v>
      </c>
      <c r="G23">
        <v>-1.1519999999999999</v>
      </c>
      <c r="H23">
        <v>-1.0269999999999999</v>
      </c>
      <c r="I23">
        <v>-1.29</v>
      </c>
      <c r="J23">
        <v>-1.619</v>
      </c>
      <c r="K23">
        <v>-1.748</v>
      </c>
      <c r="L23">
        <v>-1.6819999999999999</v>
      </c>
      <c r="M23">
        <v>-1.5449999999999999</v>
      </c>
      <c r="N23">
        <f t="shared" si="0"/>
        <v>-0.63491666666666668</v>
      </c>
    </row>
    <row r="24" spans="1:14" x14ac:dyDescent="0.2">
      <c r="A24">
        <v>1893</v>
      </c>
      <c r="B24">
        <v>-1.5529999999999999</v>
      </c>
      <c r="C24">
        <v>-1.625</v>
      </c>
      <c r="D24">
        <v>-1.5649999999999999</v>
      </c>
      <c r="E24">
        <v>-1.524</v>
      </c>
      <c r="F24">
        <v>-1.9410000000000001</v>
      </c>
      <c r="G24">
        <v>-2.3559999999999999</v>
      </c>
      <c r="H24">
        <v>-2.56</v>
      </c>
      <c r="I24">
        <v>-2.524</v>
      </c>
      <c r="J24">
        <v>-2.427</v>
      </c>
      <c r="K24">
        <v>-2.1669999999999998</v>
      </c>
      <c r="L24">
        <v>-1.8320000000000001</v>
      </c>
      <c r="M24">
        <v>-1.3680000000000001</v>
      </c>
      <c r="N24">
        <f t="shared" si="0"/>
        <v>-1.8534999999999997</v>
      </c>
    </row>
    <row r="25" spans="1:14" x14ac:dyDescent="0.2">
      <c r="A25">
        <v>1894</v>
      </c>
      <c r="B25">
        <v>-1.206</v>
      </c>
      <c r="C25">
        <v>-1.323</v>
      </c>
      <c r="D25">
        <v>-1.448</v>
      </c>
      <c r="E25">
        <v>-1.645</v>
      </c>
      <c r="F25">
        <v>-1.32</v>
      </c>
      <c r="G25">
        <v>-0.77100000000000002</v>
      </c>
      <c r="H25">
        <v>-0.92</v>
      </c>
      <c r="I25">
        <v>-1.018</v>
      </c>
      <c r="J25">
        <v>-0.85599999999999998</v>
      </c>
      <c r="K25">
        <v>-0.91400000000000003</v>
      </c>
      <c r="L25">
        <v>-0.79900000000000004</v>
      </c>
      <c r="M25">
        <v>-0.66500000000000004</v>
      </c>
      <c r="N25">
        <f t="shared" si="0"/>
        <v>-1.4537500000000001</v>
      </c>
    </row>
    <row r="26" spans="1:14" x14ac:dyDescent="0.2">
      <c r="A26">
        <v>1895</v>
      </c>
      <c r="B26">
        <v>-0.70599999999999996</v>
      </c>
      <c r="C26">
        <v>-0.77500000000000002</v>
      </c>
      <c r="D26">
        <v>-0.77200000000000002</v>
      </c>
      <c r="E26">
        <v>-0.80300000000000005</v>
      </c>
      <c r="F26">
        <v>-0.83</v>
      </c>
      <c r="G26">
        <v>-0.624</v>
      </c>
      <c r="H26">
        <v>-0.182</v>
      </c>
      <c r="I26">
        <v>0.28100000000000003</v>
      </c>
      <c r="J26">
        <v>0.45300000000000001</v>
      </c>
      <c r="K26">
        <v>0.26400000000000001</v>
      </c>
      <c r="L26">
        <v>8.2000000000000003E-2</v>
      </c>
      <c r="M26">
        <v>4.3999999999999997E-2</v>
      </c>
      <c r="N26">
        <f t="shared" si="0"/>
        <v>-0.63708333333333333</v>
      </c>
    </row>
    <row r="27" spans="1:14" x14ac:dyDescent="0.2">
      <c r="A27">
        <v>1896</v>
      </c>
      <c r="B27">
        <v>-0.16</v>
      </c>
      <c r="C27">
        <v>-0.20799999999999999</v>
      </c>
      <c r="D27">
        <v>-6.5000000000000002E-2</v>
      </c>
      <c r="E27">
        <v>-0.161</v>
      </c>
      <c r="F27">
        <v>6.6000000000000003E-2</v>
      </c>
      <c r="G27">
        <v>0.65700000000000003</v>
      </c>
      <c r="H27">
        <v>0.91</v>
      </c>
      <c r="I27">
        <v>1.2230000000000001</v>
      </c>
      <c r="J27">
        <v>1.484</v>
      </c>
      <c r="K27">
        <v>1.294</v>
      </c>
      <c r="L27">
        <v>1.2</v>
      </c>
      <c r="M27">
        <v>1.4179999999999999</v>
      </c>
      <c r="N27">
        <f t="shared" si="0"/>
        <v>0.25875000000000004</v>
      </c>
    </row>
    <row r="28" spans="1:14" x14ac:dyDescent="0.2">
      <c r="A28">
        <v>1897</v>
      </c>
      <c r="B28">
        <v>1.5429999999999999</v>
      </c>
      <c r="C28">
        <v>1.351</v>
      </c>
      <c r="D28">
        <v>1.1499999999999999</v>
      </c>
      <c r="E28">
        <v>1.085</v>
      </c>
      <c r="F28">
        <v>0.876</v>
      </c>
      <c r="G28">
        <v>0.36899999999999999</v>
      </c>
      <c r="H28">
        <v>-3.1E-2</v>
      </c>
      <c r="I28">
        <v>-0.14699999999999999</v>
      </c>
      <c r="J28">
        <v>-0.29599999999999999</v>
      </c>
      <c r="K28">
        <v>-0.44900000000000001</v>
      </c>
      <c r="L28">
        <v>-0.34799999999999998</v>
      </c>
      <c r="M28">
        <v>-0.38400000000000001</v>
      </c>
      <c r="N28">
        <f t="shared" si="0"/>
        <v>0.96600000000000008</v>
      </c>
    </row>
    <row r="29" spans="1:14" x14ac:dyDescent="0.2">
      <c r="A29">
        <v>1898</v>
      </c>
      <c r="B29">
        <v>-0.46100000000000002</v>
      </c>
      <c r="C29">
        <v>-0.69099999999999995</v>
      </c>
      <c r="D29">
        <v>-0.999</v>
      </c>
      <c r="E29">
        <v>-0.89600000000000002</v>
      </c>
      <c r="F29">
        <v>-0.55000000000000004</v>
      </c>
      <c r="G29">
        <v>-0.42499999999999999</v>
      </c>
      <c r="H29">
        <v>-0.307</v>
      </c>
      <c r="I29">
        <v>-0.59699999999999998</v>
      </c>
      <c r="J29">
        <v>-1.093</v>
      </c>
      <c r="K29">
        <v>-0.85</v>
      </c>
      <c r="L29">
        <v>-0.312</v>
      </c>
      <c r="M29">
        <v>-0.33400000000000002</v>
      </c>
      <c r="N29">
        <f t="shared" si="0"/>
        <v>-0.53358333333333341</v>
      </c>
    </row>
    <row r="30" spans="1:14" x14ac:dyDescent="0.2">
      <c r="A30">
        <v>1899</v>
      </c>
      <c r="B30">
        <v>-0.60799999999999998</v>
      </c>
      <c r="C30">
        <v>-0.69399999999999995</v>
      </c>
      <c r="D30">
        <v>-0.53900000000000003</v>
      </c>
      <c r="E30">
        <v>-0.245</v>
      </c>
      <c r="F30">
        <v>0.03</v>
      </c>
      <c r="G30">
        <v>0.182</v>
      </c>
      <c r="H30">
        <v>0.48199999999999998</v>
      </c>
      <c r="I30">
        <v>0.88300000000000001</v>
      </c>
      <c r="J30">
        <v>1.1140000000000001</v>
      </c>
      <c r="K30">
        <v>0.96599999999999997</v>
      </c>
      <c r="L30">
        <v>0.90600000000000003</v>
      </c>
      <c r="M30">
        <v>1.079</v>
      </c>
      <c r="N30">
        <f t="shared" si="0"/>
        <v>-0.25816666666666671</v>
      </c>
    </row>
    <row r="31" spans="1:14" x14ac:dyDescent="0.2">
      <c r="A31">
        <v>1900</v>
      </c>
      <c r="B31">
        <v>1.056</v>
      </c>
      <c r="C31">
        <v>1.05</v>
      </c>
      <c r="D31">
        <v>1.1870000000000001</v>
      </c>
      <c r="E31">
        <v>1.46</v>
      </c>
      <c r="F31">
        <v>1.7130000000000001</v>
      </c>
      <c r="G31">
        <v>1.653</v>
      </c>
      <c r="H31">
        <v>1.361</v>
      </c>
      <c r="I31">
        <v>0.68799999999999994</v>
      </c>
      <c r="J31">
        <v>0.314</v>
      </c>
      <c r="K31">
        <v>0.35399999999999998</v>
      </c>
      <c r="L31">
        <v>0.46700000000000003</v>
      </c>
      <c r="M31">
        <v>0.438</v>
      </c>
      <c r="N31">
        <f t="shared" si="0"/>
        <v>1.1860833333333334</v>
      </c>
    </row>
    <row r="32" spans="1:14" x14ac:dyDescent="0.2">
      <c r="A32">
        <v>1901</v>
      </c>
      <c r="B32">
        <v>0.61199999999999999</v>
      </c>
      <c r="C32">
        <v>0.53300000000000003</v>
      </c>
      <c r="D32">
        <v>0.156</v>
      </c>
      <c r="E32">
        <v>-0.09</v>
      </c>
      <c r="F32">
        <v>-1.2999999999999999E-2</v>
      </c>
      <c r="G32">
        <v>-6.2E-2</v>
      </c>
      <c r="H32">
        <v>-0.112</v>
      </c>
      <c r="I32">
        <v>7.3999999999999996E-2</v>
      </c>
      <c r="J32">
        <v>-0.121</v>
      </c>
      <c r="K32">
        <v>-0.38300000000000001</v>
      </c>
      <c r="L32">
        <v>-0.57599999999999996</v>
      </c>
      <c r="M32">
        <v>-0.42499999999999999</v>
      </c>
      <c r="N32">
        <f t="shared" si="0"/>
        <v>0.22258333333333333</v>
      </c>
    </row>
    <row r="33" spans="1:14" x14ac:dyDescent="0.2">
      <c r="A33">
        <v>1902</v>
      </c>
      <c r="B33">
        <v>-0.32800000000000001</v>
      </c>
      <c r="C33">
        <v>-0.25600000000000001</v>
      </c>
      <c r="D33">
        <v>9.8000000000000004E-2</v>
      </c>
      <c r="E33">
        <v>0.48699999999999999</v>
      </c>
      <c r="F33">
        <v>0.95499999999999996</v>
      </c>
      <c r="G33">
        <v>1.5189999999999999</v>
      </c>
      <c r="H33">
        <v>1.917</v>
      </c>
      <c r="I33">
        <v>1.591</v>
      </c>
      <c r="J33">
        <v>1.395</v>
      </c>
      <c r="K33">
        <v>1.706</v>
      </c>
      <c r="L33">
        <v>2.0390000000000001</v>
      </c>
      <c r="M33">
        <v>1.7130000000000001</v>
      </c>
      <c r="N33">
        <f t="shared" si="0"/>
        <v>0.37316666666666665</v>
      </c>
    </row>
    <row r="34" spans="1:14" x14ac:dyDescent="0.2">
      <c r="A34">
        <v>1903</v>
      </c>
      <c r="B34">
        <v>0.92500000000000004</v>
      </c>
      <c r="C34">
        <v>0.85299999999999998</v>
      </c>
      <c r="D34">
        <v>0.97799999999999998</v>
      </c>
      <c r="E34">
        <v>0.60599999999999998</v>
      </c>
      <c r="F34">
        <v>-5.8000000000000003E-2</v>
      </c>
      <c r="G34">
        <v>-0.39700000000000002</v>
      </c>
      <c r="H34">
        <v>-0.46</v>
      </c>
      <c r="I34">
        <v>-0.65700000000000003</v>
      </c>
      <c r="J34">
        <v>-0.495</v>
      </c>
      <c r="K34">
        <v>-0.504</v>
      </c>
      <c r="L34">
        <v>-0.78400000000000003</v>
      </c>
      <c r="M34">
        <v>-0.92500000000000004</v>
      </c>
      <c r="N34">
        <f t="shared" si="0"/>
        <v>0.72025000000000006</v>
      </c>
    </row>
    <row r="35" spans="1:14" x14ac:dyDescent="0.2">
      <c r="A35">
        <v>1904</v>
      </c>
      <c r="B35">
        <v>-1.194</v>
      </c>
      <c r="C35">
        <v>-1.2509999999999999</v>
      </c>
      <c r="D35">
        <v>-1.0900000000000001</v>
      </c>
      <c r="E35">
        <v>-0.92400000000000004</v>
      </c>
      <c r="F35">
        <v>-0.56299999999999994</v>
      </c>
      <c r="G35">
        <v>-0.20799999999999999</v>
      </c>
      <c r="H35">
        <v>0.3</v>
      </c>
      <c r="I35">
        <v>0.65700000000000003</v>
      </c>
      <c r="J35">
        <v>0.70699999999999996</v>
      </c>
      <c r="K35">
        <v>0.81200000000000006</v>
      </c>
      <c r="L35">
        <v>0.74299999999999999</v>
      </c>
      <c r="M35">
        <v>0.73599999999999999</v>
      </c>
      <c r="N35">
        <f t="shared" si="0"/>
        <v>-0.5817500000000001</v>
      </c>
    </row>
    <row r="36" spans="1:14" x14ac:dyDescent="0.2">
      <c r="A36">
        <v>1905</v>
      </c>
      <c r="B36">
        <v>0.78900000000000003</v>
      </c>
      <c r="C36">
        <v>0.89300000000000002</v>
      </c>
      <c r="D36">
        <v>1.1240000000000001</v>
      </c>
      <c r="E36">
        <v>1.2609999999999999</v>
      </c>
      <c r="F36">
        <v>1.129</v>
      </c>
      <c r="G36">
        <v>1.4570000000000001</v>
      </c>
      <c r="H36">
        <v>1.954</v>
      </c>
      <c r="I36">
        <v>1.869</v>
      </c>
      <c r="J36">
        <v>1.641</v>
      </c>
      <c r="K36">
        <v>1.482</v>
      </c>
      <c r="L36">
        <v>1.2210000000000001</v>
      </c>
      <c r="M36">
        <v>1.232</v>
      </c>
      <c r="N36">
        <f t="shared" si="0"/>
        <v>1.1228333333333333</v>
      </c>
    </row>
    <row r="37" spans="1:14" x14ac:dyDescent="0.2">
      <c r="A37">
        <v>1906</v>
      </c>
      <c r="B37">
        <v>1.0529999999999999</v>
      </c>
      <c r="C37">
        <v>0.66400000000000003</v>
      </c>
      <c r="D37">
        <v>0.51200000000000001</v>
      </c>
      <c r="E37">
        <v>0.47699999999999998</v>
      </c>
      <c r="F37">
        <v>0.37</v>
      </c>
      <c r="G37">
        <v>0.16900000000000001</v>
      </c>
      <c r="H37">
        <v>-0.28000000000000003</v>
      </c>
      <c r="I37">
        <v>-0.49199999999999999</v>
      </c>
      <c r="J37">
        <v>-0.79200000000000004</v>
      </c>
      <c r="K37">
        <v>-1.1839999999999999</v>
      </c>
      <c r="L37">
        <v>-0.874</v>
      </c>
      <c r="M37">
        <v>-0.67400000000000004</v>
      </c>
      <c r="N37">
        <f t="shared" si="0"/>
        <v>0.67074999999999996</v>
      </c>
    </row>
    <row r="38" spans="1:14" x14ac:dyDescent="0.2">
      <c r="A38">
        <v>1907</v>
      </c>
      <c r="B38">
        <v>-0.82799999999999996</v>
      </c>
      <c r="C38">
        <v>-0.72699999999999998</v>
      </c>
      <c r="D38">
        <v>-0.66900000000000004</v>
      </c>
      <c r="E38">
        <v>-0.89</v>
      </c>
      <c r="F38">
        <v>-1.016</v>
      </c>
      <c r="G38">
        <v>-0.92300000000000004</v>
      </c>
      <c r="H38">
        <v>-0.51100000000000001</v>
      </c>
      <c r="I38">
        <v>-8.0000000000000002E-3</v>
      </c>
      <c r="J38">
        <v>0.14299999999999999</v>
      </c>
      <c r="K38">
        <v>2.4E-2</v>
      </c>
      <c r="L38">
        <v>-0.35599999999999998</v>
      </c>
      <c r="M38">
        <v>-0.46600000000000003</v>
      </c>
      <c r="N38">
        <f t="shared" si="0"/>
        <v>-0.75800000000000001</v>
      </c>
    </row>
    <row r="39" spans="1:14" x14ac:dyDescent="0.2">
      <c r="A39">
        <v>1908</v>
      </c>
      <c r="B39">
        <v>-0.44700000000000001</v>
      </c>
      <c r="C39">
        <v>-0.46500000000000002</v>
      </c>
      <c r="D39">
        <v>-0.64400000000000002</v>
      </c>
      <c r="E39">
        <v>-0.98799999999999999</v>
      </c>
      <c r="F39">
        <v>-1.306</v>
      </c>
      <c r="G39">
        <v>-1.32</v>
      </c>
      <c r="H39">
        <v>-0.873</v>
      </c>
      <c r="I39">
        <v>-0.67200000000000004</v>
      </c>
      <c r="J39">
        <v>-0.88500000000000001</v>
      </c>
      <c r="K39">
        <v>-1.004</v>
      </c>
      <c r="L39">
        <v>-1.0640000000000001</v>
      </c>
      <c r="M39">
        <v>-1.282</v>
      </c>
      <c r="N39">
        <f t="shared" si="0"/>
        <v>-0.61416666666666664</v>
      </c>
    </row>
    <row r="40" spans="1:14" x14ac:dyDescent="0.2">
      <c r="A40">
        <v>1909</v>
      </c>
      <c r="B40">
        <v>-1.0289999999999999</v>
      </c>
      <c r="C40">
        <v>-0.61299999999999999</v>
      </c>
      <c r="D40">
        <v>-0.67700000000000005</v>
      </c>
      <c r="E40">
        <v>-0.91400000000000003</v>
      </c>
      <c r="F40">
        <v>-0.97499999999999998</v>
      </c>
      <c r="G40">
        <v>-1.2030000000000001</v>
      </c>
      <c r="H40">
        <v>-1.5</v>
      </c>
      <c r="I40">
        <v>-1.673</v>
      </c>
      <c r="J40">
        <v>-1.7529999999999999</v>
      </c>
      <c r="K40">
        <v>-1.6</v>
      </c>
      <c r="L40">
        <v>-1.532</v>
      </c>
      <c r="M40">
        <v>-1.498</v>
      </c>
      <c r="N40">
        <f t="shared" si="0"/>
        <v>-1.0682499999999999</v>
      </c>
    </row>
    <row r="41" spans="1:14" x14ac:dyDescent="0.2">
      <c r="A41">
        <v>1910</v>
      </c>
      <c r="B41">
        <v>-1.385</v>
      </c>
      <c r="C41">
        <v>-1.42</v>
      </c>
      <c r="D41">
        <v>-1.623</v>
      </c>
      <c r="E41">
        <v>-1.8129999999999999</v>
      </c>
      <c r="F41">
        <v>-1.911</v>
      </c>
      <c r="G41">
        <v>-1.9850000000000001</v>
      </c>
      <c r="H41">
        <v>-2.008</v>
      </c>
      <c r="I41">
        <v>-1.65</v>
      </c>
      <c r="J41">
        <v>-1.488</v>
      </c>
      <c r="K41">
        <v>-1.611</v>
      </c>
      <c r="L41">
        <v>-1.4259999999999999</v>
      </c>
      <c r="M41">
        <v>-1.3480000000000001</v>
      </c>
      <c r="N41">
        <f t="shared" si="0"/>
        <v>-1.6815</v>
      </c>
    </row>
    <row r="42" spans="1:14" x14ac:dyDescent="0.2">
      <c r="A42">
        <v>1911</v>
      </c>
      <c r="B42">
        <v>-1.196</v>
      </c>
      <c r="C42">
        <v>-0.72799999999999998</v>
      </c>
      <c r="D42">
        <v>-0.55000000000000004</v>
      </c>
      <c r="E42">
        <v>-1.0469999999999999</v>
      </c>
      <c r="F42">
        <v>-1.55</v>
      </c>
      <c r="G42">
        <v>-1.556</v>
      </c>
      <c r="H42">
        <v>-0.91900000000000004</v>
      </c>
      <c r="I42">
        <v>-0.05</v>
      </c>
      <c r="J42">
        <v>0.30099999999999999</v>
      </c>
      <c r="K42">
        <v>0.502</v>
      </c>
      <c r="L42">
        <v>0.74399999999999999</v>
      </c>
      <c r="M42">
        <v>0.78900000000000003</v>
      </c>
      <c r="N42">
        <f t="shared" si="0"/>
        <v>-1.1224166666666666</v>
      </c>
    </row>
    <row r="43" spans="1:14" x14ac:dyDescent="0.2">
      <c r="A43">
        <v>1912</v>
      </c>
      <c r="B43">
        <v>0.91300000000000003</v>
      </c>
      <c r="C43">
        <v>1.004</v>
      </c>
      <c r="D43">
        <v>0.79800000000000004</v>
      </c>
      <c r="E43">
        <v>0.61899999999999999</v>
      </c>
      <c r="F43">
        <v>0.36</v>
      </c>
      <c r="G43">
        <v>-0.30599999999999999</v>
      </c>
      <c r="H43">
        <v>-0.57999999999999996</v>
      </c>
      <c r="I43">
        <v>-0.56899999999999995</v>
      </c>
      <c r="J43">
        <v>-0.28499999999999998</v>
      </c>
      <c r="K43">
        <v>3.0000000000000001E-3</v>
      </c>
      <c r="L43">
        <v>3.0000000000000001E-3</v>
      </c>
      <c r="M43">
        <v>-4.8000000000000001E-2</v>
      </c>
      <c r="N43">
        <f t="shared" si="0"/>
        <v>0.38124999999999992</v>
      </c>
    </row>
    <row r="44" spans="1:14" x14ac:dyDescent="0.2">
      <c r="A44">
        <v>1913</v>
      </c>
      <c r="B44">
        <v>-1.9E-2</v>
      </c>
      <c r="C44">
        <v>0.19400000000000001</v>
      </c>
      <c r="D44">
        <v>0.17</v>
      </c>
      <c r="E44">
        <v>-0.54800000000000004</v>
      </c>
      <c r="F44">
        <v>-0.94399999999999995</v>
      </c>
      <c r="G44">
        <v>-0.376</v>
      </c>
      <c r="H44">
        <v>5.6000000000000001E-2</v>
      </c>
      <c r="I44">
        <v>0.34200000000000003</v>
      </c>
      <c r="J44">
        <v>0.68100000000000005</v>
      </c>
      <c r="K44">
        <v>0.53100000000000003</v>
      </c>
      <c r="L44">
        <v>0.54800000000000004</v>
      </c>
      <c r="M44">
        <v>0.78</v>
      </c>
      <c r="N44">
        <f t="shared" si="0"/>
        <v>-0.121</v>
      </c>
    </row>
    <row r="45" spans="1:14" x14ac:dyDescent="0.2">
      <c r="A45">
        <v>1914</v>
      </c>
      <c r="B45">
        <v>0.80500000000000005</v>
      </c>
      <c r="C45">
        <v>0.80900000000000005</v>
      </c>
      <c r="D45">
        <v>0.79600000000000004</v>
      </c>
      <c r="E45">
        <v>0.60399999999999998</v>
      </c>
      <c r="F45">
        <v>0.45100000000000001</v>
      </c>
      <c r="G45">
        <v>0.35399999999999998</v>
      </c>
      <c r="H45">
        <v>0.61299999999999999</v>
      </c>
      <c r="I45">
        <v>1.2190000000000001</v>
      </c>
      <c r="J45">
        <v>1.3280000000000001</v>
      </c>
      <c r="K45">
        <v>0.97399999999999998</v>
      </c>
      <c r="L45">
        <v>1.028</v>
      </c>
      <c r="M45">
        <v>1.2569999999999999</v>
      </c>
      <c r="N45">
        <f t="shared" si="0"/>
        <v>0.68258333333333343</v>
      </c>
    </row>
    <row r="46" spans="1:14" x14ac:dyDescent="0.2">
      <c r="A46">
        <v>1915</v>
      </c>
      <c r="B46">
        <v>1.3080000000000001</v>
      </c>
      <c r="C46">
        <v>1.173</v>
      </c>
      <c r="D46">
        <v>0.88500000000000001</v>
      </c>
      <c r="E46">
        <v>1.091</v>
      </c>
      <c r="F46">
        <v>1.556</v>
      </c>
      <c r="G46">
        <v>1.552</v>
      </c>
      <c r="H46">
        <v>0.98299999999999998</v>
      </c>
      <c r="I46">
        <v>0.52300000000000002</v>
      </c>
      <c r="J46">
        <v>0.21</v>
      </c>
      <c r="K46">
        <v>-0.317</v>
      </c>
      <c r="L46">
        <v>-0.68799999999999994</v>
      </c>
      <c r="M46">
        <v>-0.58899999999999997</v>
      </c>
      <c r="N46">
        <f t="shared" si="0"/>
        <v>1.1381666666666665</v>
      </c>
    </row>
    <row r="47" spans="1:14" x14ac:dyDescent="0.2">
      <c r="A47">
        <v>1916</v>
      </c>
      <c r="B47">
        <v>-0.40500000000000003</v>
      </c>
      <c r="C47">
        <v>-0.67500000000000004</v>
      </c>
      <c r="D47">
        <v>-0.99299999999999999</v>
      </c>
      <c r="E47">
        <v>-0.872</v>
      </c>
      <c r="F47">
        <v>-0.85099999999999998</v>
      </c>
      <c r="G47">
        <v>-1.0529999999999999</v>
      </c>
      <c r="H47">
        <v>-1.498</v>
      </c>
      <c r="I47">
        <v>-2.0990000000000002</v>
      </c>
      <c r="J47">
        <v>-2.173</v>
      </c>
      <c r="K47">
        <v>-1.7729999999999999</v>
      </c>
      <c r="L47">
        <v>-1.6779999999999999</v>
      </c>
      <c r="M47">
        <v>-1.899</v>
      </c>
      <c r="N47">
        <f t="shared" si="0"/>
        <v>-0.81916666666666682</v>
      </c>
    </row>
    <row r="48" spans="1:14" x14ac:dyDescent="0.2">
      <c r="A48">
        <v>1917</v>
      </c>
      <c r="B48">
        <v>-1.915</v>
      </c>
      <c r="C48">
        <v>-1.764</v>
      </c>
      <c r="D48">
        <v>-1.6060000000000001</v>
      </c>
      <c r="E48">
        <v>-1.5720000000000001</v>
      </c>
      <c r="F48">
        <v>-1.7450000000000001</v>
      </c>
      <c r="G48">
        <v>-1.7130000000000001</v>
      </c>
      <c r="H48">
        <v>-1.127</v>
      </c>
      <c r="I48">
        <v>-0.96699999999999997</v>
      </c>
      <c r="J48">
        <v>-1.093</v>
      </c>
      <c r="K48">
        <v>-1.1160000000000001</v>
      </c>
      <c r="L48">
        <v>-1.127</v>
      </c>
      <c r="M48">
        <v>-1.202</v>
      </c>
      <c r="N48">
        <f t="shared" si="0"/>
        <v>-1.6610000000000003</v>
      </c>
    </row>
    <row r="49" spans="1:14" x14ac:dyDescent="0.2">
      <c r="A49">
        <v>1918</v>
      </c>
      <c r="B49">
        <v>-1.3280000000000001</v>
      </c>
      <c r="C49">
        <v>-1.1379999999999999</v>
      </c>
      <c r="D49">
        <v>-0.94899999999999995</v>
      </c>
      <c r="E49">
        <v>-0.78700000000000003</v>
      </c>
      <c r="F49">
        <v>-0.57399999999999995</v>
      </c>
      <c r="G49">
        <v>-5.5E-2</v>
      </c>
      <c r="H49">
        <v>1.046</v>
      </c>
      <c r="I49">
        <v>1.4790000000000001</v>
      </c>
      <c r="J49">
        <v>1.052</v>
      </c>
      <c r="K49">
        <v>0.96899999999999997</v>
      </c>
      <c r="L49">
        <v>1.0509999999999999</v>
      </c>
      <c r="M49">
        <v>1.1579999999999999</v>
      </c>
      <c r="N49">
        <f t="shared" si="0"/>
        <v>-0.57033333333333325</v>
      </c>
    </row>
    <row r="50" spans="1:14" x14ac:dyDescent="0.2">
      <c r="A50">
        <v>1919</v>
      </c>
      <c r="B50">
        <v>1.5269999999999999</v>
      </c>
      <c r="C50">
        <v>1.7529999999999999</v>
      </c>
      <c r="D50">
        <v>1.538</v>
      </c>
      <c r="E50">
        <v>1.083</v>
      </c>
      <c r="F50">
        <v>1.026</v>
      </c>
      <c r="G50">
        <v>1.2789999999999999</v>
      </c>
      <c r="H50">
        <v>1.224</v>
      </c>
      <c r="I50">
        <v>1.151</v>
      </c>
      <c r="J50">
        <v>0.995</v>
      </c>
      <c r="K50">
        <v>0.81</v>
      </c>
      <c r="L50">
        <v>0.5</v>
      </c>
      <c r="M50">
        <v>0.14499999999999999</v>
      </c>
      <c r="N50">
        <f t="shared" si="0"/>
        <v>1.2342500000000001</v>
      </c>
    </row>
    <row r="51" spans="1:14" x14ac:dyDescent="0.2">
      <c r="A51">
        <v>1920</v>
      </c>
      <c r="B51">
        <v>0.26500000000000001</v>
      </c>
      <c r="C51">
        <v>0.56399999999999995</v>
      </c>
      <c r="D51">
        <v>0.66300000000000003</v>
      </c>
      <c r="E51">
        <v>0.56699999999999995</v>
      </c>
      <c r="F51">
        <v>0.34699999999999998</v>
      </c>
      <c r="G51">
        <v>0.248</v>
      </c>
      <c r="H51">
        <v>-0.19700000000000001</v>
      </c>
      <c r="I51">
        <v>-0.34200000000000003</v>
      </c>
      <c r="J51">
        <v>-0.23499999999999999</v>
      </c>
      <c r="K51">
        <v>-0.3</v>
      </c>
      <c r="L51">
        <v>-5.3999999999999999E-2</v>
      </c>
      <c r="M51">
        <v>3.6999999999999998E-2</v>
      </c>
      <c r="N51">
        <f t="shared" si="0"/>
        <v>0.38041666666666663</v>
      </c>
    </row>
    <row r="52" spans="1:14" x14ac:dyDescent="0.2">
      <c r="A52">
        <v>1921</v>
      </c>
      <c r="B52">
        <v>3.4000000000000002E-2</v>
      </c>
      <c r="C52">
        <v>-5.1999999999999998E-2</v>
      </c>
      <c r="D52">
        <v>-0.63800000000000001</v>
      </c>
      <c r="E52">
        <v>-1.1240000000000001</v>
      </c>
      <c r="F52">
        <v>-0.83399999999999996</v>
      </c>
      <c r="G52">
        <v>-0.57799999999999996</v>
      </c>
      <c r="H52">
        <v>-0.60499999999999998</v>
      </c>
      <c r="I52">
        <v>-0.56299999999999994</v>
      </c>
      <c r="J52">
        <v>-0.59499999999999997</v>
      </c>
      <c r="K52">
        <v>-0.61699999999999999</v>
      </c>
      <c r="L52">
        <v>-0.36799999999999999</v>
      </c>
      <c r="M52">
        <v>-0.29599999999999999</v>
      </c>
      <c r="N52">
        <f t="shared" si="0"/>
        <v>-0.40933333333333333</v>
      </c>
    </row>
    <row r="53" spans="1:14" x14ac:dyDescent="0.2">
      <c r="A53">
        <v>1922</v>
      </c>
      <c r="B53">
        <v>-0.48299999999999998</v>
      </c>
      <c r="C53">
        <v>-0.56499999999999995</v>
      </c>
      <c r="D53">
        <v>-0.36499999999999999</v>
      </c>
      <c r="E53">
        <v>-4.3999999999999997E-2</v>
      </c>
      <c r="F53">
        <v>2.9000000000000001E-2</v>
      </c>
      <c r="G53">
        <v>-0.223</v>
      </c>
      <c r="H53">
        <v>-0.49199999999999999</v>
      </c>
      <c r="I53">
        <v>-0.40100000000000002</v>
      </c>
      <c r="J53">
        <v>-0.37</v>
      </c>
      <c r="K53">
        <v>-0.50600000000000001</v>
      </c>
      <c r="L53">
        <v>-0.46500000000000002</v>
      </c>
      <c r="M53">
        <v>-0.69099999999999995</v>
      </c>
      <c r="N53">
        <f t="shared" si="0"/>
        <v>-0.3683333333333334</v>
      </c>
    </row>
    <row r="54" spans="1:14" x14ac:dyDescent="0.2">
      <c r="A54">
        <v>1923</v>
      </c>
      <c r="B54">
        <v>-0.83799999999999997</v>
      </c>
      <c r="C54">
        <v>-0.623</v>
      </c>
      <c r="D54">
        <v>-0.51700000000000002</v>
      </c>
      <c r="E54">
        <v>-0.52800000000000002</v>
      </c>
      <c r="F54">
        <v>-0.41</v>
      </c>
      <c r="G54">
        <v>-3.5000000000000003E-2</v>
      </c>
      <c r="H54">
        <v>0.49399999999999999</v>
      </c>
      <c r="I54">
        <v>0.78800000000000003</v>
      </c>
      <c r="J54">
        <v>0.89500000000000002</v>
      </c>
      <c r="K54">
        <v>0.92</v>
      </c>
      <c r="L54">
        <v>1.0209999999999999</v>
      </c>
      <c r="M54">
        <v>0.92900000000000005</v>
      </c>
      <c r="N54">
        <f t="shared" si="0"/>
        <v>-0.30841666666666662</v>
      </c>
    </row>
    <row r="55" spans="1:14" x14ac:dyDescent="0.2">
      <c r="A55">
        <v>1924</v>
      </c>
      <c r="B55">
        <v>0.66400000000000003</v>
      </c>
      <c r="C55">
        <v>0.40899999999999997</v>
      </c>
      <c r="D55">
        <v>0.124</v>
      </c>
      <c r="E55">
        <v>-0.216</v>
      </c>
      <c r="F55">
        <v>-0.68500000000000005</v>
      </c>
      <c r="G55">
        <v>-1.093</v>
      </c>
      <c r="H55">
        <v>-1.244</v>
      </c>
      <c r="I55">
        <v>-1.448</v>
      </c>
      <c r="J55">
        <v>-1.458</v>
      </c>
      <c r="K55">
        <v>-0.996</v>
      </c>
      <c r="L55">
        <v>-0.84499999999999997</v>
      </c>
      <c r="M55">
        <v>-0.95599999999999996</v>
      </c>
      <c r="N55">
        <f t="shared" si="0"/>
        <v>2.2999999999999982E-2</v>
      </c>
    </row>
    <row r="56" spans="1:14" x14ac:dyDescent="0.2">
      <c r="A56">
        <v>1925</v>
      </c>
      <c r="B56">
        <v>-0.95399999999999996</v>
      </c>
      <c r="C56">
        <v>-0.79</v>
      </c>
      <c r="D56">
        <v>-0.48199999999999998</v>
      </c>
      <c r="E56">
        <v>-0.13400000000000001</v>
      </c>
      <c r="F56">
        <v>4.8000000000000001E-2</v>
      </c>
      <c r="G56">
        <v>2.5000000000000001E-2</v>
      </c>
      <c r="H56">
        <v>0.217</v>
      </c>
      <c r="I56">
        <v>0.80200000000000005</v>
      </c>
      <c r="J56">
        <v>1.286</v>
      </c>
      <c r="K56">
        <v>1.5109999999999999</v>
      </c>
      <c r="L56">
        <v>1.5109999999999999</v>
      </c>
      <c r="M56">
        <v>1.5880000000000001</v>
      </c>
      <c r="N56">
        <f t="shared" si="0"/>
        <v>-0.46024999999999988</v>
      </c>
    </row>
    <row r="57" spans="1:14" x14ac:dyDescent="0.2">
      <c r="A57">
        <v>1926</v>
      </c>
      <c r="B57">
        <v>1.407</v>
      </c>
      <c r="C57">
        <v>1.35</v>
      </c>
      <c r="D57">
        <v>1.6020000000000001</v>
      </c>
      <c r="E57">
        <v>1.71</v>
      </c>
      <c r="F57">
        <v>1.33</v>
      </c>
      <c r="G57">
        <v>1.06</v>
      </c>
      <c r="H57">
        <v>1.0669999999999999</v>
      </c>
      <c r="I57">
        <v>0.68500000000000005</v>
      </c>
      <c r="J57">
        <v>0.17899999999999999</v>
      </c>
      <c r="K57">
        <v>-0.03</v>
      </c>
      <c r="L57">
        <v>-2.5000000000000001E-2</v>
      </c>
      <c r="M57">
        <v>-1E-3</v>
      </c>
      <c r="N57">
        <f t="shared" si="0"/>
        <v>1.3422499999999999</v>
      </c>
    </row>
    <row r="58" spans="1:14" x14ac:dyDescent="0.2">
      <c r="A58">
        <v>1927</v>
      </c>
      <c r="B58">
        <v>1.4E-2</v>
      </c>
      <c r="C58">
        <v>0.158</v>
      </c>
      <c r="D58">
        <v>0.193</v>
      </c>
      <c r="E58">
        <v>-0.27400000000000002</v>
      </c>
      <c r="F58">
        <v>-0.39900000000000002</v>
      </c>
      <c r="G58">
        <v>-0.23899999999999999</v>
      </c>
      <c r="H58">
        <v>-0.40500000000000003</v>
      </c>
      <c r="I58">
        <v>-0.19500000000000001</v>
      </c>
      <c r="J58">
        <v>0.16200000000000001</v>
      </c>
      <c r="K58">
        <v>0.20599999999999999</v>
      </c>
      <c r="L58">
        <v>0.376</v>
      </c>
      <c r="M58">
        <v>0.34300000000000003</v>
      </c>
      <c r="N58">
        <f t="shared" si="0"/>
        <v>-8.533333333333333E-2</v>
      </c>
    </row>
    <row r="59" spans="1:14" x14ac:dyDescent="0.2">
      <c r="A59">
        <v>1928</v>
      </c>
      <c r="B59">
        <v>0.312</v>
      </c>
      <c r="C59">
        <v>0.47599999999999998</v>
      </c>
      <c r="D59">
        <v>0.34599999999999997</v>
      </c>
      <c r="E59">
        <v>-1E-3</v>
      </c>
      <c r="F59">
        <v>-0.13100000000000001</v>
      </c>
      <c r="G59">
        <v>7.0999999999999994E-2</v>
      </c>
      <c r="H59">
        <v>0.34599999999999997</v>
      </c>
      <c r="I59">
        <v>0.06</v>
      </c>
      <c r="J59">
        <v>-0.47099999999999997</v>
      </c>
      <c r="K59">
        <v>-0.46600000000000003</v>
      </c>
      <c r="L59">
        <v>-0.29599999999999999</v>
      </c>
      <c r="M59">
        <v>-0.161</v>
      </c>
      <c r="N59">
        <f t="shared" si="0"/>
        <v>0.21383333333333332</v>
      </c>
    </row>
    <row r="60" spans="1:14" x14ac:dyDescent="0.2">
      <c r="A60">
        <v>1929</v>
      </c>
      <c r="B60">
        <v>-6.4000000000000001E-2</v>
      </c>
      <c r="C60">
        <v>-5.3999999999999999E-2</v>
      </c>
      <c r="D60">
        <v>-0.189</v>
      </c>
      <c r="E60">
        <v>-0.23699999999999999</v>
      </c>
      <c r="F60">
        <v>7.5999999999999998E-2</v>
      </c>
      <c r="G60">
        <v>0.41799999999999998</v>
      </c>
      <c r="H60">
        <v>0.55700000000000005</v>
      </c>
      <c r="I60">
        <v>0.73399999999999999</v>
      </c>
      <c r="J60">
        <v>0.84499999999999997</v>
      </c>
      <c r="K60">
        <v>0.67700000000000005</v>
      </c>
      <c r="L60">
        <v>0.45900000000000002</v>
      </c>
      <c r="M60">
        <v>0.46800000000000003</v>
      </c>
      <c r="N60">
        <f t="shared" si="0"/>
        <v>-1.2750000000000003E-2</v>
      </c>
    </row>
    <row r="61" spans="1:14" x14ac:dyDescent="0.2">
      <c r="A61">
        <v>1930</v>
      </c>
      <c r="B61">
        <v>0.50600000000000001</v>
      </c>
      <c r="C61">
        <v>0.55200000000000005</v>
      </c>
      <c r="D61">
        <v>0.76700000000000002</v>
      </c>
      <c r="E61">
        <v>1.038</v>
      </c>
      <c r="F61">
        <v>1.1990000000000001</v>
      </c>
      <c r="G61">
        <v>1.054</v>
      </c>
      <c r="H61">
        <v>1.143</v>
      </c>
      <c r="I61">
        <v>1.395</v>
      </c>
      <c r="J61">
        <v>1.5069999999999999</v>
      </c>
      <c r="K61">
        <v>1.6519999999999999</v>
      </c>
      <c r="L61">
        <v>1.7230000000000001</v>
      </c>
      <c r="M61">
        <v>1.925</v>
      </c>
      <c r="N61">
        <f t="shared" si="0"/>
        <v>0.84191666666666665</v>
      </c>
    </row>
    <row r="62" spans="1:14" x14ac:dyDescent="0.2">
      <c r="A62">
        <v>1931</v>
      </c>
      <c r="B62">
        <v>1.915</v>
      </c>
      <c r="C62">
        <v>1.855</v>
      </c>
      <c r="D62">
        <v>1.9550000000000001</v>
      </c>
      <c r="E62">
        <v>1.905</v>
      </c>
      <c r="F62">
        <v>1.496</v>
      </c>
      <c r="G62">
        <v>0.877</v>
      </c>
      <c r="H62">
        <v>0.42499999999999999</v>
      </c>
      <c r="I62">
        <v>0.26200000000000001</v>
      </c>
      <c r="J62">
        <v>0.17199999999999999</v>
      </c>
      <c r="K62">
        <v>0.17899999999999999</v>
      </c>
      <c r="L62">
        <v>0.248</v>
      </c>
      <c r="M62">
        <v>0.19700000000000001</v>
      </c>
      <c r="N62">
        <f t="shared" si="0"/>
        <v>1.4580833333333334</v>
      </c>
    </row>
    <row r="63" spans="1:14" x14ac:dyDescent="0.2">
      <c r="A63">
        <v>1932</v>
      </c>
      <c r="B63">
        <v>0.187</v>
      </c>
      <c r="C63">
        <v>0.27600000000000002</v>
      </c>
      <c r="D63">
        <v>0.48499999999999999</v>
      </c>
      <c r="E63">
        <v>0.78700000000000003</v>
      </c>
      <c r="F63">
        <v>0.96399999999999997</v>
      </c>
      <c r="G63">
        <v>0.998</v>
      </c>
      <c r="H63">
        <v>1.1140000000000001</v>
      </c>
      <c r="I63">
        <v>1.0249999999999999</v>
      </c>
      <c r="J63">
        <v>0.48299999999999998</v>
      </c>
      <c r="K63">
        <v>-0.05</v>
      </c>
      <c r="L63">
        <v>-0.14699999999999999</v>
      </c>
      <c r="M63">
        <v>-2.3E-2</v>
      </c>
      <c r="N63">
        <f t="shared" si="0"/>
        <v>0.55266666666666675</v>
      </c>
    </row>
    <row r="64" spans="1:14" x14ac:dyDescent="0.2">
      <c r="A64">
        <v>1933</v>
      </c>
      <c r="B64">
        <v>-5.8999999999999997E-2</v>
      </c>
      <c r="C64">
        <v>-0.126</v>
      </c>
      <c r="D64">
        <v>-0.39600000000000002</v>
      </c>
      <c r="E64">
        <v>-0.497</v>
      </c>
      <c r="F64">
        <v>-0.38800000000000001</v>
      </c>
      <c r="G64">
        <v>-0.67100000000000004</v>
      </c>
      <c r="H64">
        <v>-0.76900000000000002</v>
      </c>
      <c r="I64">
        <v>-0.82699999999999996</v>
      </c>
      <c r="J64">
        <v>-1.014</v>
      </c>
      <c r="K64">
        <v>-1.0009999999999999</v>
      </c>
      <c r="L64">
        <v>-0.98699999999999999</v>
      </c>
      <c r="M64">
        <v>-1.093</v>
      </c>
      <c r="N64">
        <f t="shared" si="0"/>
        <v>-0.28916666666666663</v>
      </c>
    </row>
    <row r="65" spans="1:14" x14ac:dyDescent="0.2">
      <c r="A65">
        <v>1934</v>
      </c>
      <c r="B65">
        <v>-1.2509999999999999</v>
      </c>
      <c r="C65">
        <v>-1.214</v>
      </c>
      <c r="D65">
        <v>-1.0069999999999999</v>
      </c>
      <c r="E65">
        <v>-0.65100000000000002</v>
      </c>
      <c r="F65">
        <v>-0.246</v>
      </c>
      <c r="G65">
        <v>-7.3999999999999996E-2</v>
      </c>
      <c r="H65">
        <v>-0.13300000000000001</v>
      </c>
      <c r="I65">
        <v>-0.17399999999999999</v>
      </c>
      <c r="J65">
        <v>3.6999999999999998E-2</v>
      </c>
      <c r="K65">
        <v>0.114</v>
      </c>
      <c r="L65">
        <v>-8.4000000000000005E-2</v>
      </c>
      <c r="M65">
        <v>-0.14099999999999999</v>
      </c>
      <c r="N65">
        <f t="shared" si="0"/>
        <v>-0.7370833333333332</v>
      </c>
    </row>
    <row r="66" spans="1:14" x14ac:dyDescent="0.2">
      <c r="A66">
        <v>1935</v>
      </c>
      <c r="B66">
        <v>-0.19700000000000001</v>
      </c>
      <c r="C66">
        <v>-0.33100000000000002</v>
      </c>
      <c r="D66">
        <v>-0.51100000000000001</v>
      </c>
      <c r="E66">
        <v>-0.50800000000000001</v>
      </c>
      <c r="F66">
        <v>-0.11</v>
      </c>
      <c r="G66">
        <v>9.6000000000000002E-2</v>
      </c>
      <c r="H66">
        <v>-5.5E-2</v>
      </c>
      <c r="I66">
        <v>1.7000000000000001E-2</v>
      </c>
      <c r="J66">
        <v>0.32200000000000001</v>
      </c>
      <c r="K66">
        <v>0.41199999999999998</v>
      </c>
      <c r="L66">
        <v>0.36399999999999999</v>
      </c>
      <c r="M66">
        <v>0.372</v>
      </c>
      <c r="N66">
        <f t="shared" si="0"/>
        <v>-0.13941666666666669</v>
      </c>
    </row>
    <row r="67" spans="1:14" x14ac:dyDescent="0.2">
      <c r="A67">
        <v>1936</v>
      </c>
      <c r="B67">
        <v>0.193</v>
      </c>
      <c r="C67">
        <v>0.156</v>
      </c>
      <c r="D67">
        <v>0.31900000000000001</v>
      </c>
      <c r="E67">
        <v>0.44</v>
      </c>
      <c r="F67">
        <v>0.51300000000000001</v>
      </c>
      <c r="G67">
        <v>0.47399999999999998</v>
      </c>
      <c r="H67">
        <v>0.29199999999999998</v>
      </c>
      <c r="I67">
        <v>0.249</v>
      </c>
      <c r="J67">
        <v>0.20599999999999999</v>
      </c>
      <c r="K67">
        <v>0.13800000000000001</v>
      </c>
      <c r="L67">
        <v>0.25800000000000001</v>
      </c>
      <c r="M67">
        <v>0.36099999999999999</v>
      </c>
      <c r="N67">
        <f t="shared" si="0"/>
        <v>0.34216666666666667</v>
      </c>
    </row>
    <row r="68" spans="1:14" x14ac:dyDescent="0.2">
      <c r="A68">
        <v>1937</v>
      </c>
      <c r="B68">
        <v>0.34</v>
      </c>
      <c r="C68">
        <v>0.20599999999999999</v>
      </c>
      <c r="D68">
        <v>0.218</v>
      </c>
      <c r="E68">
        <v>8.2000000000000003E-2</v>
      </c>
      <c r="F68">
        <v>-0.13</v>
      </c>
      <c r="G68">
        <v>-0.27700000000000002</v>
      </c>
      <c r="H68">
        <v>-0.29199999999999998</v>
      </c>
      <c r="I68">
        <v>-7.0999999999999994E-2</v>
      </c>
      <c r="J68">
        <v>0.186</v>
      </c>
      <c r="K68">
        <v>0.26</v>
      </c>
      <c r="L68">
        <v>0.157</v>
      </c>
      <c r="M68">
        <v>-8.1000000000000003E-2</v>
      </c>
      <c r="N68">
        <f t="shared" ref="N68:N131" si="1">(SUM(B68:I68)+SUM(J67:M67))/12</f>
        <v>8.6583333333333332E-2</v>
      </c>
    </row>
    <row r="69" spans="1:14" x14ac:dyDescent="0.2">
      <c r="A69">
        <v>1938</v>
      </c>
      <c r="B69">
        <v>-0.27700000000000002</v>
      </c>
      <c r="C69">
        <v>-0.40799999999999997</v>
      </c>
      <c r="D69">
        <v>-0.47699999999999998</v>
      </c>
      <c r="E69">
        <v>-0.68</v>
      </c>
      <c r="F69">
        <v>-0.97099999999999997</v>
      </c>
      <c r="G69">
        <v>-1.0349999999999999</v>
      </c>
      <c r="H69">
        <v>-1.25</v>
      </c>
      <c r="I69">
        <v>-1.3919999999999999</v>
      </c>
      <c r="J69">
        <v>-1.198</v>
      </c>
      <c r="K69">
        <v>-0.78700000000000003</v>
      </c>
      <c r="L69">
        <v>-0.59499999999999997</v>
      </c>
      <c r="M69">
        <v>-0.71399999999999997</v>
      </c>
      <c r="N69">
        <f t="shared" si="1"/>
        <v>-0.49733333333333335</v>
      </c>
    </row>
    <row r="70" spans="1:14" x14ac:dyDescent="0.2">
      <c r="A70">
        <v>1939</v>
      </c>
      <c r="B70">
        <v>-0.78600000000000003</v>
      </c>
      <c r="C70">
        <v>-0.82399999999999995</v>
      </c>
      <c r="D70">
        <v>-0.97899999999999998</v>
      </c>
      <c r="E70">
        <v>-0.93</v>
      </c>
      <c r="F70">
        <v>-0.433</v>
      </c>
      <c r="G70">
        <v>3.3000000000000002E-2</v>
      </c>
      <c r="H70">
        <v>0.26900000000000002</v>
      </c>
      <c r="I70">
        <v>0.57899999999999996</v>
      </c>
      <c r="J70">
        <v>0.877</v>
      </c>
      <c r="K70">
        <v>0.71499999999999997</v>
      </c>
      <c r="L70">
        <v>0.313</v>
      </c>
      <c r="M70">
        <v>0.313</v>
      </c>
      <c r="N70">
        <f t="shared" si="1"/>
        <v>-0.53041666666666665</v>
      </c>
    </row>
    <row r="71" spans="1:14" x14ac:dyDescent="0.2">
      <c r="A71">
        <v>1940</v>
      </c>
      <c r="B71">
        <v>0.65800000000000003</v>
      </c>
      <c r="C71">
        <v>0.92100000000000004</v>
      </c>
      <c r="D71">
        <v>1.163</v>
      </c>
      <c r="E71">
        <v>1.419</v>
      </c>
      <c r="F71">
        <v>1.4410000000000001</v>
      </c>
      <c r="G71">
        <v>1.419</v>
      </c>
      <c r="H71">
        <v>1.3520000000000001</v>
      </c>
      <c r="I71">
        <v>1.119</v>
      </c>
      <c r="J71">
        <v>0.98799999999999999</v>
      </c>
      <c r="K71">
        <v>0.96499999999999997</v>
      </c>
      <c r="L71">
        <v>0.873</v>
      </c>
      <c r="M71">
        <v>0.96699999999999997</v>
      </c>
      <c r="N71">
        <f t="shared" si="1"/>
        <v>0.97583333333333322</v>
      </c>
    </row>
    <row r="72" spans="1:14" x14ac:dyDescent="0.2">
      <c r="A72">
        <v>1941</v>
      </c>
      <c r="B72">
        <v>1.35</v>
      </c>
      <c r="C72">
        <v>1.55</v>
      </c>
      <c r="D72">
        <v>1.7929999999999999</v>
      </c>
      <c r="E72">
        <v>2.0699999999999998</v>
      </c>
      <c r="F72">
        <v>2.2690000000000001</v>
      </c>
      <c r="G72">
        <v>2.0009999999999999</v>
      </c>
      <c r="H72">
        <v>1.496</v>
      </c>
      <c r="I72">
        <v>1.522</v>
      </c>
      <c r="J72">
        <v>1.514</v>
      </c>
      <c r="K72">
        <v>1.4350000000000001</v>
      </c>
      <c r="L72">
        <v>1.629</v>
      </c>
      <c r="M72">
        <v>1.605</v>
      </c>
      <c r="N72">
        <f t="shared" si="1"/>
        <v>1.4870000000000001</v>
      </c>
    </row>
    <row r="73" spans="1:14" x14ac:dyDescent="0.2">
      <c r="A73">
        <v>1942</v>
      </c>
      <c r="B73">
        <v>1.3240000000000001</v>
      </c>
      <c r="C73">
        <v>1.0289999999999999</v>
      </c>
      <c r="D73">
        <v>0.87</v>
      </c>
      <c r="E73">
        <v>0.79800000000000004</v>
      </c>
      <c r="F73">
        <v>0.41</v>
      </c>
      <c r="G73">
        <v>-0.26200000000000001</v>
      </c>
      <c r="H73">
        <v>-0.70599999999999996</v>
      </c>
      <c r="I73">
        <v>-0.879</v>
      </c>
      <c r="J73">
        <v>-0.90800000000000003</v>
      </c>
      <c r="K73">
        <v>-0.96799999999999997</v>
      </c>
      <c r="L73">
        <v>-1.089</v>
      </c>
      <c r="M73">
        <v>-1.165</v>
      </c>
      <c r="N73">
        <f t="shared" si="1"/>
        <v>0.73058333333333325</v>
      </c>
    </row>
    <row r="74" spans="1:14" x14ac:dyDescent="0.2">
      <c r="A74">
        <v>1943</v>
      </c>
      <c r="B74">
        <v>-1.2569999999999999</v>
      </c>
      <c r="C74">
        <v>-1.1659999999999999</v>
      </c>
      <c r="D74">
        <v>-0.84599999999999997</v>
      </c>
      <c r="E74">
        <v>-0.46300000000000002</v>
      </c>
      <c r="F74">
        <v>-4.0000000000000001E-3</v>
      </c>
      <c r="G74">
        <v>0.375</v>
      </c>
      <c r="H74">
        <v>0.504</v>
      </c>
      <c r="I74">
        <v>0.14499999999999999</v>
      </c>
      <c r="J74">
        <v>-0.17899999999999999</v>
      </c>
      <c r="K74">
        <v>-0.36299999999999999</v>
      </c>
      <c r="L74">
        <v>-0.42799999999999999</v>
      </c>
      <c r="M74">
        <v>-0.34699999999999998</v>
      </c>
      <c r="N74">
        <f t="shared" si="1"/>
        <v>-0.57016666666666671</v>
      </c>
    </row>
    <row r="75" spans="1:14" x14ac:dyDescent="0.2">
      <c r="A75">
        <v>1944</v>
      </c>
      <c r="B75">
        <v>-0.28899999999999998</v>
      </c>
      <c r="C75">
        <v>-3.5000000000000003E-2</v>
      </c>
      <c r="D75">
        <v>0.22</v>
      </c>
      <c r="E75">
        <v>0.25800000000000001</v>
      </c>
      <c r="F75">
        <v>0.23899999999999999</v>
      </c>
      <c r="G75">
        <v>0.161</v>
      </c>
      <c r="H75">
        <v>0.108</v>
      </c>
      <c r="I75">
        <v>2.9000000000000001E-2</v>
      </c>
      <c r="J75">
        <v>-0.25700000000000001</v>
      </c>
      <c r="K75">
        <v>-0.27300000000000002</v>
      </c>
      <c r="L75">
        <v>-0.25600000000000001</v>
      </c>
      <c r="M75">
        <v>-0.42499999999999999</v>
      </c>
      <c r="N75">
        <f t="shared" si="1"/>
        <v>-5.216666666666666E-2</v>
      </c>
    </row>
    <row r="76" spans="1:14" x14ac:dyDescent="0.2">
      <c r="A76">
        <v>1945</v>
      </c>
      <c r="B76">
        <v>-0.39500000000000002</v>
      </c>
      <c r="C76">
        <v>-0.41</v>
      </c>
      <c r="D76">
        <v>-0.47099999999999997</v>
      </c>
      <c r="E76">
        <v>-0.42499999999999999</v>
      </c>
      <c r="F76">
        <v>-0.193</v>
      </c>
      <c r="G76">
        <v>2.4E-2</v>
      </c>
      <c r="H76">
        <v>-0.36199999999999999</v>
      </c>
      <c r="I76">
        <v>-0.64500000000000002</v>
      </c>
      <c r="J76">
        <v>-0.46200000000000002</v>
      </c>
      <c r="K76">
        <v>-0.01</v>
      </c>
      <c r="L76">
        <v>0.23400000000000001</v>
      </c>
      <c r="M76">
        <v>-1.7999999999999999E-2</v>
      </c>
      <c r="N76">
        <f t="shared" si="1"/>
        <v>-0.34066666666666667</v>
      </c>
    </row>
    <row r="77" spans="1:14" x14ac:dyDescent="0.2">
      <c r="A77">
        <v>1946</v>
      </c>
      <c r="B77">
        <v>-0.21299999999999999</v>
      </c>
      <c r="C77">
        <v>-0.247</v>
      </c>
      <c r="D77">
        <v>-0.223</v>
      </c>
      <c r="E77">
        <v>-0.158</v>
      </c>
      <c r="F77">
        <v>-0.214</v>
      </c>
      <c r="G77">
        <v>-0.193</v>
      </c>
      <c r="H77">
        <v>-7.1999999999999995E-2</v>
      </c>
      <c r="I77">
        <v>-4.2999999999999997E-2</v>
      </c>
      <c r="J77">
        <v>0.14099999999999999</v>
      </c>
      <c r="K77">
        <v>0.36</v>
      </c>
      <c r="L77">
        <v>0.33</v>
      </c>
      <c r="M77">
        <v>0.21199999999999999</v>
      </c>
      <c r="N77">
        <f t="shared" si="1"/>
        <v>-0.13491666666666666</v>
      </c>
    </row>
    <row r="78" spans="1:14" x14ac:dyDescent="0.2">
      <c r="A78">
        <v>1947</v>
      </c>
      <c r="B78">
        <v>0.19700000000000001</v>
      </c>
      <c r="C78">
        <v>0.111</v>
      </c>
      <c r="D78">
        <v>-0.11600000000000001</v>
      </c>
      <c r="E78">
        <v>-0.30099999999999999</v>
      </c>
      <c r="F78">
        <v>-0.38200000000000001</v>
      </c>
      <c r="G78">
        <v>-0.157</v>
      </c>
      <c r="H78">
        <v>-0.17699999999999999</v>
      </c>
      <c r="I78">
        <v>-0.47599999999999998</v>
      </c>
      <c r="J78">
        <v>-0.63300000000000001</v>
      </c>
      <c r="K78">
        <v>-0.67</v>
      </c>
      <c r="L78">
        <v>-0.54100000000000004</v>
      </c>
      <c r="M78">
        <v>-0.40600000000000003</v>
      </c>
      <c r="N78">
        <f t="shared" si="1"/>
        <v>-2.1500000000000002E-2</v>
      </c>
    </row>
    <row r="79" spans="1:14" x14ac:dyDescent="0.2">
      <c r="A79">
        <v>1948</v>
      </c>
      <c r="B79">
        <v>-6.3E-2</v>
      </c>
      <c r="C79">
        <v>0.32600000000000001</v>
      </c>
      <c r="D79">
        <v>0.60599999999999998</v>
      </c>
      <c r="E79">
        <v>0.56899999999999995</v>
      </c>
      <c r="F79">
        <v>0.25900000000000001</v>
      </c>
      <c r="G79">
        <v>0.18</v>
      </c>
      <c r="H79">
        <v>6.7000000000000004E-2</v>
      </c>
      <c r="I79">
        <v>-4.2000000000000003E-2</v>
      </c>
      <c r="J79">
        <v>-2.7E-2</v>
      </c>
      <c r="K79">
        <v>-8.3000000000000004E-2</v>
      </c>
      <c r="L79">
        <v>-0.27900000000000003</v>
      </c>
      <c r="M79">
        <v>-0.17499999999999999</v>
      </c>
      <c r="N79">
        <f t="shared" si="1"/>
        <v>-2.9000000000000008E-2</v>
      </c>
    </row>
    <row r="80" spans="1:14" x14ac:dyDescent="0.2">
      <c r="A80">
        <v>1949</v>
      </c>
      <c r="B80">
        <v>6.6000000000000003E-2</v>
      </c>
      <c r="C80">
        <v>-6.3E-2</v>
      </c>
      <c r="D80">
        <v>-0.252</v>
      </c>
      <c r="E80">
        <v>-0.13300000000000001</v>
      </c>
      <c r="F80">
        <v>0.19400000000000001</v>
      </c>
      <c r="G80">
        <v>7.0000000000000001E-3</v>
      </c>
      <c r="H80">
        <v>-0.51900000000000002</v>
      </c>
      <c r="I80">
        <v>-0.69799999999999995</v>
      </c>
      <c r="J80">
        <v>-0.61099999999999999</v>
      </c>
      <c r="K80">
        <v>-0.72599999999999998</v>
      </c>
      <c r="L80">
        <v>-0.95699999999999996</v>
      </c>
      <c r="M80">
        <v>-0.92400000000000004</v>
      </c>
      <c r="N80">
        <f t="shared" si="1"/>
        <v>-0.16350000000000001</v>
      </c>
    </row>
    <row r="81" spans="1:14" x14ac:dyDescent="0.2">
      <c r="A81">
        <v>1950</v>
      </c>
      <c r="B81">
        <v>-0.94099999999999995</v>
      </c>
      <c r="C81">
        <v>-1.131</v>
      </c>
      <c r="D81">
        <v>-1.347</v>
      </c>
      <c r="E81">
        <v>-1.377</v>
      </c>
      <c r="F81">
        <v>-1.282</v>
      </c>
      <c r="G81">
        <v>-1.232</v>
      </c>
      <c r="H81">
        <v>-1.538</v>
      </c>
      <c r="I81">
        <v>-1.7969999999999999</v>
      </c>
      <c r="J81">
        <v>-1.4330000000000001</v>
      </c>
      <c r="K81">
        <v>-1.03</v>
      </c>
      <c r="L81">
        <v>-1.109</v>
      </c>
      <c r="M81">
        <v>-1.3779999999999999</v>
      </c>
      <c r="N81">
        <f t="shared" si="1"/>
        <v>-1.1552500000000001</v>
      </c>
    </row>
    <row r="82" spans="1:14" x14ac:dyDescent="0.2">
      <c r="A82">
        <v>1951</v>
      </c>
      <c r="B82">
        <v>-1.264</v>
      </c>
      <c r="C82">
        <v>-1.18</v>
      </c>
      <c r="D82">
        <v>-1.1759999999999999</v>
      </c>
      <c r="E82">
        <v>-0.79500000000000004</v>
      </c>
      <c r="F82">
        <v>-0.13</v>
      </c>
      <c r="G82">
        <v>0.38200000000000001</v>
      </c>
      <c r="H82">
        <v>0.78200000000000003</v>
      </c>
      <c r="I82">
        <v>1.1160000000000001</v>
      </c>
      <c r="J82">
        <v>1.2330000000000001</v>
      </c>
      <c r="K82">
        <v>1.04</v>
      </c>
      <c r="L82">
        <v>0.86699999999999999</v>
      </c>
      <c r="M82">
        <v>0.73799999999999999</v>
      </c>
      <c r="N82">
        <f t="shared" si="1"/>
        <v>-0.60124999999999995</v>
      </c>
    </row>
    <row r="83" spans="1:14" x14ac:dyDescent="0.2">
      <c r="A83">
        <v>1952</v>
      </c>
      <c r="B83">
        <v>0.61299999999999999</v>
      </c>
      <c r="C83">
        <v>0.56499999999999995</v>
      </c>
      <c r="D83">
        <v>0.44900000000000001</v>
      </c>
      <c r="E83">
        <v>0.437</v>
      </c>
      <c r="F83">
        <v>0.434</v>
      </c>
      <c r="G83">
        <v>1.7000000000000001E-2</v>
      </c>
      <c r="H83">
        <v>-0.30299999999999999</v>
      </c>
      <c r="I83">
        <v>-0.251</v>
      </c>
      <c r="J83">
        <v>4.0000000000000001E-3</v>
      </c>
      <c r="K83">
        <v>0.17799999999999999</v>
      </c>
      <c r="L83">
        <v>-3.5000000000000003E-2</v>
      </c>
      <c r="M83">
        <v>-0.11899999999999999</v>
      </c>
      <c r="N83">
        <f t="shared" si="1"/>
        <v>0.48658333333333337</v>
      </c>
    </row>
    <row r="84" spans="1:14" x14ac:dyDescent="0.2">
      <c r="A84">
        <v>1953</v>
      </c>
      <c r="B84">
        <v>0.154</v>
      </c>
      <c r="C84">
        <v>0.40300000000000002</v>
      </c>
      <c r="D84">
        <v>0.59</v>
      </c>
      <c r="E84">
        <v>0.69</v>
      </c>
      <c r="F84">
        <v>0.75800000000000001</v>
      </c>
      <c r="G84">
        <v>0.58099999999999996</v>
      </c>
      <c r="H84">
        <v>0.31</v>
      </c>
      <c r="I84">
        <v>0.44700000000000001</v>
      </c>
      <c r="J84">
        <v>0.77800000000000002</v>
      </c>
      <c r="K84">
        <v>0.56799999999999995</v>
      </c>
      <c r="L84">
        <v>0.104</v>
      </c>
      <c r="M84">
        <v>0.13800000000000001</v>
      </c>
      <c r="N84">
        <f t="shared" si="1"/>
        <v>0.33008333333333334</v>
      </c>
    </row>
    <row r="85" spans="1:14" x14ac:dyDescent="0.2">
      <c r="A85">
        <v>1954</v>
      </c>
      <c r="B85">
        <v>0.10299999999999999</v>
      </c>
      <c r="C85">
        <v>-0.13700000000000001</v>
      </c>
      <c r="D85">
        <v>-2.4E-2</v>
      </c>
      <c r="E85">
        <v>0.13700000000000001</v>
      </c>
      <c r="F85">
        <v>-6.5000000000000002E-2</v>
      </c>
      <c r="G85">
        <v>-0.41899999999999998</v>
      </c>
      <c r="H85">
        <v>-0.83799999999999997</v>
      </c>
      <c r="I85">
        <v>-1.0409999999999999</v>
      </c>
      <c r="J85">
        <v>-0.96199999999999997</v>
      </c>
      <c r="K85">
        <v>-0.95399999999999996</v>
      </c>
      <c r="L85">
        <v>-1.0489999999999999</v>
      </c>
      <c r="M85">
        <v>-1.155</v>
      </c>
      <c r="N85">
        <f t="shared" si="1"/>
        <v>-5.7999999999999975E-2</v>
      </c>
    </row>
    <row r="86" spans="1:14" x14ac:dyDescent="0.2">
      <c r="A86">
        <v>1955</v>
      </c>
      <c r="B86">
        <v>-0.95499999999999996</v>
      </c>
      <c r="C86">
        <v>-0.85799999999999998</v>
      </c>
      <c r="D86">
        <v>-1.147</v>
      </c>
      <c r="E86">
        <v>-1.292</v>
      </c>
      <c r="F86">
        <v>-1.4970000000000001</v>
      </c>
      <c r="G86">
        <v>-1.887</v>
      </c>
      <c r="H86">
        <v>-1.7490000000000001</v>
      </c>
      <c r="I86">
        <v>-1.5429999999999999</v>
      </c>
      <c r="J86">
        <v>-1.647</v>
      </c>
      <c r="K86">
        <v>-1.96</v>
      </c>
      <c r="L86">
        <v>-2.081</v>
      </c>
      <c r="M86">
        <v>-1.9650000000000001</v>
      </c>
      <c r="N86">
        <f t="shared" si="1"/>
        <v>-1.2539999999999998</v>
      </c>
    </row>
    <row r="87" spans="1:14" x14ac:dyDescent="0.2">
      <c r="A87">
        <v>1956</v>
      </c>
      <c r="B87">
        <v>-1.7629999999999999</v>
      </c>
      <c r="C87">
        <v>-1.6140000000000001</v>
      </c>
      <c r="D87">
        <v>-1.532</v>
      </c>
      <c r="E87">
        <v>-1.329</v>
      </c>
      <c r="F87">
        <v>-1.3660000000000001</v>
      </c>
      <c r="G87">
        <v>-1.538</v>
      </c>
      <c r="H87">
        <v>-1.371</v>
      </c>
      <c r="I87">
        <v>-0.89800000000000002</v>
      </c>
      <c r="J87">
        <v>-0.754</v>
      </c>
      <c r="K87">
        <v>-0.95</v>
      </c>
      <c r="L87">
        <v>-1.0760000000000001</v>
      </c>
      <c r="M87">
        <v>-0.94699999999999995</v>
      </c>
      <c r="N87">
        <f t="shared" si="1"/>
        <v>-1.5886666666666667</v>
      </c>
    </row>
    <row r="88" spans="1:14" x14ac:dyDescent="0.2">
      <c r="A88">
        <v>1957</v>
      </c>
      <c r="B88">
        <v>-0.73599999999999999</v>
      </c>
      <c r="C88">
        <v>-0.38700000000000001</v>
      </c>
      <c r="D88">
        <v>4.9000000000000002E-2</v>
      </c>
      <c r="E88">
        <v>0.41</v>
      </c>
      <c r="F88">
        <v>0.79200000000000004</v>
      </c>
      <c r="G88">
        <v>1.371</v>
      </c>
      <c r="H88">
        <v>1.6279999999999999</v>
      </c>
      <c r="I88">
        <v>1.5509999999999999</v>
      </c>
      <c r="J88">
        <v>1.4359999999999999</v>
      </c>
      <c r="K88">
        <v>1.1519999999999999</v>
      </c>
      <c r="L88">
        <v>1.157</v>
      </c>
      <c r="M88">
        <v>1.3120000000000001</v>
      </c>
      <c r="N88">
        <f t="shared" si="1"/>
        <v>7.9249999999999973E-2</v>
      </c>
    </row>
    <row r="89" spans="1:14" x14ac:dyDescent="0.2">
      <c r="A89">
        <v>1958</v>
      </c>
      <c r="B89">
        <v>1.478</v>
      </c>
      <c r="C89">
        <v>1.5489999999999999</v>
      </c>
      <c r="D89">
        <v>1.5049999999999999</v>
      </c>
      <c r="E89">
        <v>1.38</v>
      </c>
      <c r="F89">
        <v>1.5</v>
      </c>
      <c r="G89">
        <v>1.6020000000000001</v>
      </c>
      <c r="H89">
        <v>1.419</v>
      </c>
      <c r="I89">
        <v>1.02</v>
      </c>
      <c r="J89">
        <v>0.60399999999999998</v>
      </c>
      <c r="K89">
        <v>0.42399999999999999</v>
      </c>
      <c r="L89">
        <v>0.373</v>
      </c>
      <c r="M89">
        <v>0.53400000000000003</v>
      </c>
      <c r="N89">
        <f t="shared" si="1"/>
        <v>1.3758333333333332</v>
      </c>
    </row>
    <row r="90" spans="1:14" x14ac:dyDescent="0.2">
      <c r="A90">
        <v>1959</v>
      </c>
      <c r="B90">
        <v>0.63900000000000001</v>
      </c>
      <c r="C90">
        <v>0.747</v>
      </c>
      <c r="D90">
        <v>0.86</v>
      </c>
      <c r="E90">
        <v>0.748</v>
      </c>
      <c r="F90">
        <v>0.79700000000000004</v>
      </c>
      <c r="G90">
        <v>0.86399999999999999</v>
      </c>
      <c r="H90">
        <v>0.54900000000000004</v>
      </c>
      <c r="I90">
        <v>0.308</v>
      </c>
      <c r="J90">
        <v>0.23200000000000001</v>
      </c>
      <c r="K90">
        <v>0.14199999999999999</v>
      </c>
      <c r="L90">
        <v>4.8000000000000001E-2</v>
      </c>
      <c r="M90">
        <v>-0.125</v>
      </c>
      <c r="N90">
        <f t="shared" si="1"/>
        <v>0.62058333333333338</v>
      </c>
    </row>
    <row r="91" spans="1:14" x14ac:dyDescent="0.2">
      <c r="A91">
        <v>1960</v>
      </c>
      <c r="B91">
        <v>-7.0000000000000007E-2</v>
      </c>
      <c r="C91">
        <v>7.2999999999999995E-2</v>
      </c>
      <c r="D91">
        <v>0.106</v>
      </c>
      <c r="E91">
        <v>0.16700000000000001</v>
      </c>
      <c r="F91">
        <v>0.17699999999999999</v>
      </c>
      <c r="G91">
        <v>7.0999999999999994E-2</v>
      </c>
      <c r="H91">
        <v>-7.8E-2</v>
      </c>
      <c r="I91">
        <v>-0.30299999999999999</v>
      </c>
      <c r="J91">
        <v>-0.253</v>
      </c>
      <c r="K91">
        <v>-0.25600000000000001</v>
      </c>
      <c r="L91">
        <v>-0.28599999999999998</v>
      </c>
      <c r="M91">
        <v>-0.19700000000000001</v>
      </c>
      <c r="N91">
        <f t="shared" si="1"/>
        <v>3.6666666666666667E-2</v>
      </c>
    </row>
    <row r="92" spans="1:14" x14ac:dyDescent="0.2">
      <c r="A92">
        <v>1961</v>
      </c>
      <c r="B92">
        <v>-1.0999999999999999E-2</v>
      </c>
      <c r="C92">
        <v>1.6E-2</v>
      </c>
      <c r="D92">
        <v>-6.5000000000000002E-2</v>
      </c>
      <c r="E92">
        <v>0.156</v>
      </c>
      <c r="F92">
        <v>0.27300000000000002</v>
      </c>
      <c r="G92">
        <v>0.193</v>
      </c>
      <c r="H92">
        <v>8.6999999999999994E-2</v>
      </c>
      <c r="I92">
        <v>0.108</v>
      </c>
      <c r="J92">
        <v>6.0000000000000001E-3</v>
      </c>
      <c r="K92">
        <v>-0.39600000000000002</v>
      </c>
      <c r="L92">
        <v>-0.50800000000000001</v>
      </c>
      <c r="M92">
        <v>-0.52600000000000002</v>
      </c>
      <c r="N92">
        <f t="shared" si="1"/>
        <v>-1.9583333333333331E-2</v>
      </c>
    </row>
    <row r="93" spans="1:14" x14ac:dyDescent="0.2">
      <c r="A93">
        <v>1962</v>
      </c>
      <c r="B93">
        <v>-0.89400000000000002</v>
      </c>
      <c r="C93">
        <v>-0.89100000000000001</v>
      </c>
      <c r="D93">
        <v>-0.434</v>
      </c>
      <c r="E93">
        <v>-0.436</v>
      </c>
      <c r="F93">
        <v>-0.97499999999999998</v>
      </c>
      <c r="G93">
        <v>-0.89400000000000002</v>
      </c>
      <c r="H93">
        <v>-0.40799999999999997</v>
      </c>
      <c r="I93">
        <v>-0.40799999999999997</v>
      </c>
      <c r="J93">
        <v>-0.53400000000000003</v>
      </c>
      <c r="K93">
        <v>-0.59</v>
      </c>
      <c r="L93">
        <v>-0.61599999999999999</v>
      </c>
      <c r="M93">
        <v>-0.3</v>
      </c>
      <c r="N93">
        <f t="shared" si="1"/>
        <v>-0.56366666666666676</v>
      </c>
    </row>
    <row r="94" spans="1:14" x14ac:dyDescent="0.2">
      <c r="A94">
        <v>1963</v>
      </c>
      <c r="B94">
        <v>-0.371</v>
      </c>
      <c r="C94">
        <v>-0.57899999999999996</v>
      </c>
      <c r="D94">
        <v>-0.46100000000000002</v>
      </c>
      <c r="E94">
        <v>-0.23300000000000001</v>
      </c>
      <c r="F94">
        <v>3.6999999999999998E-2</v>
      </c>
      <c r="G94">
        <v>0.23200000000000001</v>
      </c>
      <c r="H94">
        <v>0.50800000000000001</v>
      </c>
      <c r="I94">
        <v>0.91</v>
      </c>
      <c r="J94">
        <v>1.0589999999999999</v>
      </c>
      <c r="K94">
        <v>1.1100000000000001</v>
      </c>
      <c r="L94">
        <v>1.07</v>
      </c>
      <c r="M94">
        <v>0.97399999999999998</v>
      </c>
      <c r="N94">
        <f t="shared" si="1"/>
        <v>-0.16641666666666668</v>
      </c>
    </row>
    <row r="95" spans="1:14" x14ac:dyDescent="0.2">
      <c r="A95">
        <v>1964</v>
      </c>
      <c r="B95">
        <v>0.93300000000000005</v>
      </c>
      <c r="C95">
        <v>0.73</v>
      </c>
      <c r="D95">
        <v>0.25</v>
      </c>
      <c r="E95">
        <v>-0.34899999999999998</v>
      </c>
      <c r="F95">
        <v>-0.82699999999999996</v>
      </c>
      <c r="G95">
        <v>-1.093</v>
      </c>
      <c r="H95">
        <v>-1.2769999999999999</v>
      </c>
      <c r="I95">
        <v>-1.2889999999999999</v>
      </c>
      <c r="J95">
        <v>-1.1910000000000001</v>
      </c>
      <c r="K95">
        <v>-1.171</v>
      </c>
      <c r="L95">
        <v>-1.0589999999999999</v>
      </c>
      <c r="M95">
        <v>-0.89500000000000002</v>
      </c>
      <c r="N95">
        <f t="shared" si="1"/>
        <v>0.10758333333333336</v>
      </c>
    </row>
    <row r="96" spans="1:14" x14ac:dyDescent="0.2">
      <c r="A96">
        <v>1965</v>
      </c>
      <c r="B96">
        <v>-0.66</v>
      </c>
      <c r="C96">
        <v>-0.33300000000000002</v>
      </c>
      <c r="D96">
        <v>-0.13200000000000001</v>
      </c>
      <c r="E96">
        <v>7.5999999999999998E-2</v>
      </c>
      <c r="F96">
        <v>0.51900000000000002</v>
      </c>
      <c r="G96">
        <v>1.0249999999999999</v>
      </c>
      <c r="H96">
        <v>1.363</v>
      </c>
      <c r="I96">
        <v>1.7310000000000001</v>
      </c>
      <c r="J96">
        <v>1.73</v>
      </c>
      <c r="K96">
        <v>1.42</v>
      </c>
      <c r="L96">
        <v>1.5229999999999999</v>
      </c>
      <c r="M96">
        <v>1.726</v>
      </c>
      <c r="N96">
        <f t="shared" si="1"/>
        <v>-6.0583333333333357E-2</v>
      </c>
    </row>
    <row r="97" spans="1:14" x14ac:dyDescent="0.2">
      <c r="A97">
        <v>1966</v>
      </c>
      <c r="B97">
        <v>1.6819999999999999</v>
      </c>
      <c r="C97">
        <v>1.526</v>
      </c>
      <c r="D97">
        <v>1.2130000000000001</v>
      </c>
      <c r="E97">
        <v>0.88900000000000001</v>
      </c>
      <c r="F97">
        <v>0.82299999999999995</v>
      </c>
      <c r="G97">
        <v>0.64800000000000002</v>
      </c>
      <c r="H97">
        <v>0.35699999999999998</v>
      </c>
      <c r="I97">
        <v>0.26400000000000001</v>
      </c>
      <c r="J97">
        <v>7.5999999999999998E-2</v>
      </c>
      <c r="K97">
        <v>-0.05</v>
      </c>
      <c r="L97">
        <v>7.0000000000000007E-2</v>
      </c>
      <c r="M97">
        <v>2.3E-2</v>
      </c>
      <c r="N97">
        <f t="shared" si="1"/>
        <v>1.1500833333333336</v>
      </c>
    </row>
    <row r="98" spans="1:14" x14ac:dyDescent="0.2">
      <c r="A98">
        <v>1967</v>
      </c>
      <c r="B98">
        <v>-0.20799999999999999</v>
      </c>
      <c r="C98">
        <v>-0.501</v>
      </c>
      <c r="D98">
        <v>-0.753</v>
      </c>
      <c r="E98">
        <v>-0.72699999999999998</v>
      </c>
      <c r="F98">
        <v>-0.55000000000000004</v>
      </c>
      <c r="G98">
        <v>-0.58199999999999996</v>
      </c>
      <c r="H98">
        <v>-0.74099999999999999</v>
      </c>
      <c r="I98">
        <v>-0.82799999999999996</v>
      </c>
      <c r="J98">
        <v>-0.83699999999999997</v>
      </c>
      <c r="K98">
        <v>-0.78500000000000003</v>
      </c>
      <c r="L98">
        <v>-0.59099999999999997</v>
      </c>
      <c r="M98">
        <v>-0.372</v>
      </c>
      <c r="N98">
        <f t="shared" si="1"/>
        <v>-0.39758333333333334</v>
      </c>
    </row>
    <row r="99" spans="1:14" x14ac:dyDescent="0.2">
      <c r="A99">
        <v>1968</v>
      </c>
      <c r="B99">
        <v>-0.45600000000000002</v>
      </c>
      <c r="C99">
        <v>-0.62</v>
      </c>
      <c r="D99">
        <v>-0.65800000000000003</v>
      </c>
      <c r="E99">
        <v>-0.75900000000000001</v>
      </c>
      <c r="F99">
        <v>-0.73299999999999998</v>
      </c>
      <c r="G99">
        <v>-0.52500000000000002</v>
      </c>
      <c r="H99">
        <v>-0.54400000000000004</v>
      </c>
      <c r="I99">
        <v>-0.33800000000000002</v>
      </c>
      <c r="J99">
        <v>0.20399999999999999</v>
      </c>
      <c r="K99">
        <v>0.61899999999999999</v>
      </c>
      <c r="L99">
        <v>0.72599999999999998</v>
      </c>
      <c r="M99">
        <v>0.65500000000000003</v>
      </c>
      <c r="N99">
        <f t="shared" si="1"/>
        <v>-0.60150000000000003</v>
      </c>
    </row>
    <row r="100" spans="1:14" x14ac:dyDescent="0.2">
      <c r="A100">
        <v>1969</v>
      </c>
      <c r="B100">
        <v>0.755</v>
      </c>
      <c r="C100">
        <v>1.04</v>
      </c>
      <c r="D100">
        <v>1.0269999999999999</v>
      </c>
      <c r="E100">
        <v>0.94099999999999995</v>
      </c>
      <c r="F100">
        <v>1.0920000000000001</v>
      </c>
      <c r="G100">
        <v>1.2190000000000001</v>
      </c>
      <c r="H100">
        <v>1.077</v>
      </c>
      <c r="I100">
        <v>0.90600000000000003</v>
      </c>
      <c r="J100">
        <v>0.85699999999999998</v>
      </c>
      <c r="K100">
        <v>0.83099999999999996</v>
      </c>
      <c r="L100">
        <v>0.76</v>
      </c>
      <c r="M100">
        <v>0.74399999999999999</v>
      </c>
      <c r="N100">
        <f t="shared" si="1"/>
        <v>0.85508333333333331</v>
      </c>
    </row>
    <row r="101" spans="1:14" x14ac:dyDescent="0.2">
      <c r="A101">
        <v>1970</v>
      </c>
      <c r="B101">
        <v>0.67500000000000004</v>
      </c>
      <c r="C101">
        <v>0.57499999999999996</v>
      </c>
      <c r="D101">
        <v>0.439</v>
      </c>
      <c r="E101">
        <v>0.309</v>
      </c>
      <c r="F101">
        <v>0.09</v>
      </c>
      <c r="G101">
        <v>-0.501</v>
      </c>
      <c r="H101">
        <v>-1.153</v>
      </c>
      <c r="I101">
        <v>-1.347</v>
      </c>
      <c r="J101">
        <v>-1.228</v>
      </c>
      <c r="K101">
        <v>-1.1000000000000001</v>
      </c>
      <c r="L101">
        <v>-1.06</v>
      </c>
      <c r="M101">
        <v>-1.1279999999999999</v>
      </c>
      <c r="N101">
        <f t="shared" si="1"/>
        <v>0.18991666666666671</v>
      </c>
    </row>
    <row r="102" spans="1:14" x14ac:dyDescent="0.2">
      <c r="A102">
        <v>1971</v>
      </c>
      <c r="B102">
        <v>-1.2809999999999999</v>
      </c>
      <c r="C102">
        <v>-1.5629999999999999</v>
      </c>
      <c r="D102">
        <v>-1.873</v>
      </c>
      <c r="E102">
        <v>-1.9790000000000001</v>
      </c>
      <c r="F102">
        <v>-1.764</v>
      </c>
      <c r="G102">
        <v>-1.534</v>
      </c>
      <c r="H102">
        <v>-1.304</v>
      </c>
      <c r="I102">
        <v>-1.0409999999999999</v>
      </c>
      <c r="J102">
        <v>-1.296</v>
      </c>
      <c r="K102">
        <v>-1.3979999999999999</v>
      </c>
      <c r="L102">
        <v>-1.1020000000000001</v>
      </c>
      <c r="M102">
        <v>-0.98599999999999999</v>
      </c>
      <c r="N102">
        <f t="shared" si="1"/>
        <v>-1.4045833333333333</v>
      </c>
    </row>
    <row r="103" spans="1:14" x14ac:dyDescent="0.2">
      <c r="A103">
        <v>1972</v>
      </c>
      <c r="B103">
        <v>-0.65100000000000002</v>
      </c>
      <c r="C103">
        <v>-0.25800000000000001</v>
      </c>
      <c r="D103">
        <v>-0.14599999999999999</v>
      </c>
      <c r="E103">
        <v>0.08</v>
      </c>
      <c r="F103">
        <v>0.751</v>
      </c>
      <c r="G103">
        <v>1.546</v>
      </c>
      <c r="H103">
        <v>2.0870000000000002</v>
      </c>
      <c r="I103">
        <v>2.2090000000000001</v>
      </c>
      <c r="J103">
        <v>2.0680000000000001</v>
      </c>
      <c r="K103">
        <v>1.88</v>
      </c>
      <c r="L103">
        <v>1.8440000000000001</v>
      </c>
      <c r="M103">
        <v>2.008</v>
      </c>
      <c r="N103">
        <f t="shared" si="1"/>
        <v>6.9666666666666696E-2</v>
      </c>
    </row>
    <row r="104" spans="1:14" x14ac:dyDescent="0.2">
      <c r="A104">
        <v>1973</v>
      </c>
      <c r="B104">
        <v>2.0230000000000001</v>
      </c>
      <c r="C104">
        <v>1.756</v>
      </c>
      <c r="D104">
        <v>1.3029999999999999</v>
      </c>
      <c r="E104">
        <v>0.74299999999999999</v>
      </c>
      <c r="F104">
        <v>0.154</v>
      </c>
      <c r="G104">
        <v>-0.52</v>
      </c>
      <c r="H104">
        <v>-1.077</v>
      </c>
      <c r="I104">
        <v>-1.363</v>
      </c>
      <c r="J104">
        <v>-1.6639999999999999</v>
      </c>
      <c r="K104">
        <v>-1.742</v>
      </c>
      <c r="L104">
        <v>-1.591</v>
      </c>
      <c r="M104">
        <v>-1.768</v>
      </c>
      <c r="N104">
        <f t="shared" si="1"/>
        <v>0.90158333333333329</v>
      </c>
    </row>
    <row r="105" spans="1:14" x14ac:dyDescent="0.2">
      <c r="A105">
        <v>1974</v>
      </c>
      <c r="B105">
        <v>-2.024</v>
      </c>
      <c r="C105">
        <v>-2.1880000000000002</v>
      </c>
      <c r="D105">
        <v>-2.0880000000000001</v>
      </c>
      <c r="E105">
        <v>-1.802</v>
      </c>
      <c r="F105">
        <v>-1.2410000000000001</v>
      </c>
      <c r="G105">
        <v>-0.82099999999999995</v>
      </c>
      <c r="H105">
        <v>-0.97599999999999998</v>
      </c>
      <c r="I105">
        <v>-0.85799999999999998</v>
      </c>
      <c r="J105">
        <v>-0.54300000000000004</v>
      </c>
      <c r="K105">
        <v>-0.81499999999999995</v>
      </c>
      <c r="L105">
        <v>-1.0940000000000001</v>
      </c>
      <c r="M105">
        <v>-1.0329999999999999</v>
      </c>
      <c r="N105">
        <f t="shared" si="1"/>
        <v>-1.5635833333333335</v>
      </c>
    </row>
    <row r="106" spans="1:14" x14ac:dyDescent="0.2">
      <c r="A106">
        <v>1975</v>
      </c>
      <c r="B106">
        <v>-0.70299999999999996</v>
      </c>
      <c r="C106">
        <v>-0.47899999999999998</v>
      </c>
      <c r="D106">
        <v>-0.625</v>
      </c>
      <c r="E106">
        <v>-0.95299999999999996</v>
      </c>
      <c r="F106">
        <v>-1.083</v>
      </c>
      <c r="G106">
        <v>-1.1679999999999999</v>
      </c>
      <c r="H106">
        <v>-1.4079999999999999</v>
      </c>
      <c r="I106">
        <v>-1.744</v>
      </c>
      <c r="J106">
        <v>-2.0550000000000002</v>
      </c>
      <c r="K106">
        <v>-2.27</v>
      </c>
      <c r="L106">
        <v>-2.19</v>
      </c>
      <c r="M106">
        <v>-1.909</v>
      </c>
      <c r="N106">
        <f t="shared" si="1"/>
        <v>-0.97066666666666668</v>
      </c>
    </row>
    <row r="107" spans="1:14" x14ac:dyDescent="0.2">
      <c r="A107">
        <v>1976</v>
      </c>
      <c r="B107">
        <v>-1.764</v>
      </c>
      <c r="C107">
        <v>-1.6259999999999999</v>
      </c>
      <c r="D107">
        <v>-1.4590000000000001</v>
      </c>
      <c r="E107">
        <v>-1.2889999999999999</v>
      </c>
      <c r="F107">
        <v>-0.77700000000000002</v>
      </c>
      <c r="G107">
        <v>-7.0000000000000001E-3</v>
      </c>
      <c r="H107">
        <v>0.67400000000000004</v>
      </c>
      <c r="I107">
        <v>0.77100000000000002</v>
      </c>
      <c r="J107">
        <v>0.94799999999999995</v>
      </c>
      <c r="K107">
        <v>1.272</v>
      </c>
      <c r="L107">
        <v>0.98199999999999998</v>
      </c>
      <c r="M107">
        <v>0.73099999999999998</v>
      </c>
      <c r="N107">
        <f t="shared" si="1"/>
        <v>-1.1584166666666667</v>
      </c>
    </row>
    <row r="108" spans="1:14" x14ac:dyDescent="0.2">
      <c r="A108">
        <v>1977</v>
      </c>
      <c r="B108">
        <v>0.71</v>
      </c>
      <c r="C108">
        <v>0.65100000000000002</v>
      </c>
      <c r="D108">
        <v>0.54800000000000004</v>
      </c>
      <c r="E108">
        <v>0.55800000000000005</v>
      </c>
      <c r="F108">
        <v>0.51100000000000001</v>
      </c>
      <c r="G108">
        <v>0.42099999999999999</v>
      </c>
      <c r="H108">
        <v>0.64100000000000001</v>
      </c>
      <c r="I108">
        <v>0.749</v>
      </c>
      <c r="J108">
        <v>0.71499999999999997</v>
      </c>
      <c r="K108">
        <v>0.83099999999999996</v>
      </c>
      <c r="L108">
        <v>1.01</v>
      </c>
      <c r="M108">
        <v>1.1120000000000001</v>
      </c>
      <c r="N108">
        <f t="shared" si="1"/>
        <v>0.72683333333333333</v>
      </c>
    </row>
    <row r="109" spans="1:14" x14ac:dyDescent="0.2">
      <c r="A109">
        <v>1978</v>
      </c>
      <c r="B109">
        <v>0.93899999999999995</v>
      </c>
      <c r="C109">
        <v>0.84599999999999997</v>
      </c>
      <c r="D109">
        <v>0.89500000000000002</v>
      </c>
      <c r="E109">
        <v>0.56999999999999995</v>
      </c>
      <c r="F109">
        <v>2.3E-2</v>
      </c>
      <c r="G109">
        <v>-0.23499999999999999</v>
      </c>
      <c r="H109">
        <v>-0.13700000000000001</v>
      </c>
      <c r="I109">
        <v>0.19</v>
      </c>
      <c r="J109">
        <v>-5.6000000000000001E-2</v>
      </c>
      <c r="K109">
        <v>-0.14199999999999999</v>
      </c>
      <c r="L109">
        <v>0.39</v>
      </c>
      <c r="M109">
        <v>0.626</v>
      </c>
      <c r="N109">
        <f t="shared" si="1"/>
        <v>0.56325000000000003</v>
      </c>
    </row>
    <row r="110" spans="1:14" x14ac:dyDescent="0.2">
      <c r="A110">
        <v>1979</v>
      </c>
      <c r="B110">
        <v>0.47</v>
      </c>
      <c r="C110">
        <v>0.28999999999999998</v>
      </c>
      <c r="D110">
        <v>-0.05</v>
      </c>
      <c r="E110">
        <v>0.21</v>
      </c>
      <c r="F110">
        <v>0.27</v>
      </c>
      <c r="G110">
        <v>-0.11</v>
      </c>
      <c r="H110">
        <v>-0.11</v>
      </c>
      <c r="I110">
        <v>0.47</v>
      </c>
      <c r="J110">
        <v>0.38</v>
      </c>
      <c r="K110">
        <v>0.23</v>
      </c>
      <c r="L110">
        <v>0.53</v>
      </c>
      <c r="M110">
        <v>0.63</v>
      </c>
      <c r="N110">
        <f t="shared" si="1"/>
        <v>0.18816666666666668</v>
      </c>
    </row>
    <row r="111" spans="1:14" x14ac:dyDescent="0.2">
      <c r="A111">
        <v>1980</v>
      </c>
      <c r="B111">
        <v>0.33</v>
      </c>
      <c r="C111">
        <v>0.2</v>
      </c>
      <c r="D111">
        <v>0.39</v>
      </c>
      <c r="E111">
        <v>0.51</v>
      </c>
      <c r="F111">
        <v>0.45</v>
      </c>
      <c r="G111">
        <v>0.55000000000000004</v>
      </c>
      <c r="H111">
        <v>0.47</v>
      </c>
      <c r="I111">
        <v>0.03</v>
      </c>
      <c r="J111">
        <v>0.12</v>
      </c>
      <c r="K111">
        <v>0.02</v>
      </c>
      <c r="L111">
        <v>-7.0000000000000007E-2</v>
      </c>
      <c r="M111">
        <v>-0.12</v>
      </c>
      <c r="N111">
        <f t="shared" si="1"/>
        <v>0.39166666666666666</v>
      </c>
    </row>
    <row r="112" spans="1:14" x14ac:dyDescent="0.2">
      <c r="A112">
        <v>1981</v>
      </c>
      <c r="B112">
        <v>-0.36</v>
      </c>
      <c r="C112">
        <v>-0.23</v>
      </c>
      <c r="D112">
        <v>0.33</v>
      </c>
      <c r="E112">
        <v>0.43</v>
      </c>
      <c r="F112">
        <v>-0.24</v>
      </c>
      <c r="G112">
        <v>-0.7</v>
      </c>
      <c r="H112">
        <v>-0.61</v>
      </c>
      <c r="I112">
        <v>-0.34</v>
      </c>
      <c r="J112">
        <v>-7.0000000000000007E-2</v>
      </c>
      <c r="K112">
        <v>-0.16</v>
      </c>
      <c r="L112">
        <v>-0.27</v>
      </c>
      <c r="M112">
        <v>-0.19</v>
      </c>
      <c r="N112">
        <f t="shared" si="1"/>
        <v>-0.14749999999999999</v>
      </c>
    </row>
    <row r="113" spans="1:14" x14ac:dyDescent="0.2">
      <c r="A113">
        <v>1982</v>
      </c>
      <c r="B113">
        <v>-0.43</v>
      </c>
      <c r="C113">
        <v>-0.49</v>
      </c>
      <c r="D113">
        <v>-0.27</v>
      </c>
      <c r="E113">
        <v>-0.36</v>
      </c>
      <c r="F113">
        <v>-0.12</v>
      </c>
      <c r="G113">
        <v>0.62</v>
      </c>
      <c r="H113">
        <v>1.65</v>
      </c>
      <c r="I113">
        <v>1.91</v>
      </c>
      <c r="J113">
        <v>1.69</v>
      </c>
      <c r="K113">
        <v>1.78</v>
      </c>
      <c r="L113">
        <v>2.14</v>
      </c>
      <c r="M113">
        <v>2.37</v>
      </c>
      <c r="N113">
        <f t="shared" si="1"/>
        <v>0.15166666666666664</v>
      </c>
    </row>
    <row r="114" spans="1:14" x14ac:dyDescent="0.2">
      <c r="A114">
        <v>1983</v>
      </c>
      <c r="B114">
        <v>2.48</v>
      </c>
      <c r="C114">
        <v>2.68</v>
      </c>
      <c r="D114">
        <v>2.61</v>
      </c>
      <c r="E114">
        <v>2.76</v>
      </c>
      <c r="F114">
        <v>2.86</v>
      </c>
      <c r="G114">
        <v>1.98</v>
      </c>
      <c r="H114">
        <v>0.63</v>
      </c>
      <c r="I114">
        <v>-0.17</v>
      </c>
      <c r="J114">
        <v>-0.49</v>
      </c>
      <c r="K114">
        <v>-0.53</v>
      </c>
      <c r="L114">
        <v>-0.47</v>
      </c>
      <c r="M114">
        <v>-0.5</v>
      </c>
      <c r="N114">
        <f t="shared" si="1"/>
        <v>1.9841666666666666</v>
      </c>
    </row>
    <row r="115" spans="1:14" x14ac:dyDescent="0.2">
      <c r="A115">
        <v>1984</v>
      </c>
      <c r="B115">
        <v>-0.54</v>
      </c>
      <c r="C115">
        <v>-0.56000000000000005</v>
      </c>
      <c r="D115">
        <v>-0.16</v>
      </c>
      <c r="E115">
        <v>7.0000000000000007E-2</v>
      </c>
      <c r="F115">
        <v>-0.45</v>
      </c>
      <c r="G115">
        <v>-0.66</v>
      </c>
      <c r="H115">
        <v>-0.34</v>
      </c>
      <c r="I115">
        <v>-0.2</v>
      </c>
      <c r="J115">
        <v>-0.14000000000000001</v>
      </c>
      <c r="K115">
        <v>-0.19</v>
      </c>
      <c r="L115">
        <v>-0.57999999999999996</v>
      </c>
      <c r="M115">
        <v>-0.28000000000000003</v>
      </c>
      <c r="N115">
        <f t="shared" si="1"/>
        <v>-0.40250000000000002</v>
      </c>
    </row>
    <row r="116" spans="1:14" x14ac:dyDescent="0.2">
      <c r="A116">
        <v>1985</v>
      </c>
      <c r="B116">
        <v>-0.25</v>
      </c>
      <c r="C116">
        <v>-0.57999999999999996</v>
      </c>
      <c r="D116">
        <v>-0.6</v>
      </c>
      <c r="E116">
        <v>-0.76</v>
      </c>
      <c r="F116">
        <v>-1.23</v>
      </c>
      <c r="G116">
        <v>-0.67</v>
      </c>
      <c r="H116">
        <v>-0.1</v>
      </c>
      <c r="I116">
        <v>-0.49</v>
      </c>
      <c r="J116">
        <v>-0.56000000000000005</v>
      </c>
      <c r="K116">
        <v>-0.08</v>
      </c>
      <c r="L116">
        <v>-0.06</v>
      </c>
      <c r="M116">
        <v>-0.42</v>
      </c>
      <c r="N116">
        <f t="shared" si="1"/>
        <v>-0.48916666666666658</v>
      </c>
    </row>
    <row r="117" spans="1:14" x14ac:dyDescent="0.2">
      <c r="A117">
        <v>1986</v>
      </c>
      <c r="B117">
        <v>-0.4</v>
      </c>
      <c r="C117">
        <v>-0.34</v>
      </c>
      <c r="D117">
        <v>-0.4</v>
      </c>
      <c r="E117">
        <v>-0.53</v>
      </c>
      <c r="F117">
        <v>-0.26</v>
      </c>
      <c r="G117">
        <v>0.01</v>
      </c>
      <c r="H117">
        <v>0.41</v>
      </c>
      <c r="I117">
        <v>0.97</v>
      </c>
      <c r="J117">
        <v>1.29</v>
      </c>
      <c r="K117">
        <v>0.56000000000000005</v>
      </c>
      <c r="L117">
        <v>0.64</v>
      </c>
      <c r="M117">
        <v>1.06</v>
      </c>
      <c r="N117">
        <f t="shared" si="1"/>
        <v>-0.13833333333333334</v>
      </c>
    </row>
    <row r="118" spans="1:14" x14ac:dyDescent="0.2">
      <c r="A118">
        <v>1987</v>
      </c>
      <c r="B118">
        <v>1.03</v>
      </c>
      <c r="C118">
        <v>1.1599999999999999</v>
      </c>
      <c r="D118">
        <v>1.57</v>
      </c>
      <c r="E118">
        <v>1.74</v>
      </c>
      <c r="F118">
        <v>1.96</v>
      </c>
      <c r="G118">
        <v>2.0699999999999998</v>
      </c>
      <c r="H118">
        <v>1.88</v>
      </c>
      <c r="I118">
        <v>1.46</v>
      </c>
      <c r="J118">
        <v>1.26</v>
      </c>
      <c r="K118">
        <v>1.18</v>
      </c>
      <c r="L118">
        <v>0.9</v>
      </c>
      <c r="M118">
        <v>0.79</v>
      </c>
      <c r="N118">
        <f t="shared" si="1"/>
        <v>1.3683333333333334</v>
      </c>
    </row>
    <row r="119" spans="1:14" x14ac:dyDescent="0.2">
      <c r="A119">
        <v>1988</v>
      </c>
      <c r="B119">
        <v>0.63</v>
      </c>
      <c r="C119">
        <v>0.33</v>
      </c>
      <c r="D119">
        <v>0.17</v>
      </c>
      <c r="E119">
        <v>-0.01</v>
      </c>
      <c r="F119">
        <v>-0.39</v>
      </c>
      <c r="G119">
        <v>-1.17</v>
      </c>
      <c r="H119">
        <v>-1.78</v>
      </c>
      <c r="I119">
        <v>-1.81</v>
      </c>
      <c r="J119">
        <v>-1.8</v>
      </c>
      <c r="K119">
        <v>-1.59</v>
      </c>
      <c r="L119">
        <v>-1.7</v>
      </c>
      <c r="M119">
        <v>-1.55</v>
      </c>
      <c r="N119">
        <f t="shared" si="1"/>
        <v>8.3333333333333037E-3</v>
      </c>
    </row>
    <row r="120" spans="1:14" x14ac:dyDescent="0.2">
      <c r="A120">
        <v>1989</v>
      </c>
      <c r="B120">
        <v>-1.1200000000000001</v>
      </c>
      <c r="C120">
        <v>-1.1000000000000001</v>
      </c>
      <c r="D120">
        <v>-1.24</v>
      </c>
      <c r="E120">
        <v>-1.0900000000000001</v>
      </c>
      <c r="F120">
        <v>-1.03</v>
      </c>
      <c r="G120">
        <v>-0.99</v>
      </c>
      <c r="H120">
        <v>-1.08</v>
      </c>
      <c r="I120">
        <v>-0.66</v>
      </c>
      <c r="J120">
        <v>-0.53</v>
      </c>
      <c r="K120">
        <v>-0.49</v>
      </c>
      <c r="L120">
        <v>-0.36</v>
      </c>
      <c r="M120">
        <v>-7.0000000000000007E-2</v>
      </c>
      <c r="N120">
        <f t="shared" si="1"/>
        <v>-1.2458333333333333</v>
      </c>
    </row>
    <row r="121" spans="1:14" x14ac:dyDescent="0.2">
      <c r="A121">
        <v>1990</v>
      </c>
      <c r="B121">
        <v>0.13</v>
      </c>
      <c r="C121">
        <v>0.45</v>
      </c>
      <c r="D121">
        <v>0.61</v>
      </c>
      <c r="E121">
        <v>0.17</v>
      </c>
      <c r="F121">
        <v>0.08</v>
      </c>
      <c r="G121">
        <v>0.05</v>
      </c>
      <c r="H121">
        <v>0.13</v>
      </c>
      <c r="I121">
        <v>0.02</v>
      </c>
      <c r="J121">
        <v>0.22</v>
      </c>
      <c r="K121">
        <v>-7.0000000000000007E-2</v>
      </c>
      <c r="L121">
        <v>0.12</v>
      </c>
      <c r="M121">
        <v>0.31</v>
      </c>
      <c r="N121">
        <f t="shared" si="1"/>
        <v>1.5833333333333349E-2</v>
      </c>
    </row>
    <row r="122" spans="1:14" x14ac:dyDescent="0.2">
      <c r="A122">
        <v>1991</v>
      </c>
      <c r="B122">
        <v>0.19</v>
      </c>
      <c r="C122">
        <v>0.08</v>
      </c>
      <c r="D122">
        <v>0.2</v>
      </c>
      <c r="E122">
        <v>0.2</v>
      </c>
      <c r="F122">
        <v>0.35</v>
      </c>
      <c r="G122">
        <v>0.97</v>
      </c>
      <c r="H122">
        <v>0.91</v>
      </c>
      <c r="I122">
        <v>0.37</v>
      </c>
      <c r="J122">
        <v>0.54</v>
      </c>
      <c r="K122">
        <v>0.97</v>
      </c>
      <c r="L122">
        <v>1.04</v>
      </c>
      <c r="M122">
        <v>1.23</v>
      </c>
      <c r="N122">
        <f t="shared" si="1"/>
        <v>0.32083333333333336</v>
      </c>
    </row>
    <row r="123" spans="1:14" x14ac:dyDescent="0.2">
      <c r="A123">
        <v>1992</v>
      </c>
      <c r="B123">
        <v>1.68</v>
      </c>
      <c r="C123">
        <v>1.58</v>
      </c>
      <c r="D123">
        <v>1.71</v>
      </c>
      <c r="E123">
        <v>1.97</v>
      </c>
      <c r="F123">
        <v>1.68</v>
      </c>
      <c r="G123">
        <v>1.51</v>
      </c>
      <c r="H123">
        <v>0.62</v>
      </c>
      <c r="I123">
        <v>-0.02</v>
      </c>
      <c r="J123">
        <v>0.4</v>
      </c>
      <c r="K123">
        <v>0.67</v>
      </c>
      <c r="L123">
        <v>0.62</v>
      </c>
      <c r="M123">
        <v>0.73</v>
      </c>
      <c r="N123">
        <f t="shared" si="1"/>
        <v>1.2091666666666665</v>
      </c>
    </row>
    <row r="124" spans="1:14" x14ac:dyDescent="0.2">
      <c r="A124">
        <v>1993</v>
      </c>
      <c r="B124">
        <v>0.79</v>
      </c>
      <c r="C124">
        <v>0.89</v>
      </c>
      <c r="D124">
        <v>0.77</v>
      </c>
      <c r="E124">
        <v>0.98</v>
      </c>
      <c r="F124">
        <v>1.47</v>
      </c>
      <c r="G124">
        <v>1.51</v>
      </c>
      <c r="H124">
        <v>0.9</v>
      </c>
      <c r="I124">
        <v>0.6</v>
      </c>
      <c r="J124">
        <v>0.61</v>
      </c>
      <c r="K124">
        <v>0.96</v>
      </c>
      <c r="L124">
        <v>0.7</v>
      </c>
      <c r="M124">
        <v>0.27</v>
      </c>
      <c r="N124">
        <f t="shared" si="1"/>
        <v>0.86083333333333334</v>
      </c>
    </row>
    <row r="125" spans="1:14" x14ac:dyDescent="0.2">
      <c r="A125">
        <v>1994</v>
      </c>
      <c r="B125">
        <v>-0.01</v>
      </c>
      <c r="C125">
        <v>-0.21</v>
      </c>
      <c r="D125">
        <v>-0.23</v>
      </c>
      <c r="E125">
        <v>0.01</v>
      </c>
      <c r="F125">
        <v>-0.03</v>
      </c>
      <c r="G125">
        <v>0.25</v>
      </c>
      <c r="H125">
        <v>0.96</v>
      </c>
      <c r="I125">
        <v>0.87</v>
      </c>
      <c r="J125">
        <v>1.1000000000000001</v>
      </c>
      <c r="K125">
        <v>1.52</v>
      </c>
      <c r="L125">
        <v>1.01</v>
      </c>
      <c r="M125">
        <v>0.91</v>
      </c>
      <c r="N125">
        <f t="shared" si="1"/>
        <v>0.34583333333333327</v>
      </c>
    </row>
    <row r="126" spans="1:14" x14ac:dyDescent="0.2">
      <c r="A126">
        <v>1995</v>
      </c>
      <c r="B126">
        <v>0.82</v>
      </c>
      <c r="C126">
        <v>0.54</v>
      </c>
      <c r="D126">
        <v>0.17</v>
      </c>
      <c r="E126">
        <v>0.13</v>
      </c>
      <c r="F126">
        <v>0.14000000000000001</v>
      </c>
      <c r="G126">
        <v>0.01</v>
      </c>
      <c r="H126">
        <v>-0.28999999999999998</v>
      </c>
      <c r="I126">
        <v>-0.7</v>
      </c>
      <c r="J126">
        <v>-0.94</v>
      </c>
      <c r="K126">
        <v>-0.74</v>
      </c>
      <c r="L126">
        <v>-0.77</v>
      </c>
      <c r="M126">
        <v>-0.9</v>
      </c>
      <c r="N126">
        <f t="shared" si="1"/>
        <v>0.4466666666666666</v>
      </c>
    </row>
    <row r="127" spans="1:14" x14ac:dyDescent="0.2">
      <c r="A127">
        <v>1996</v>
      </c>
      <c r="B127">
        <v>-0.85</v>
      </c>
      <c r="C127">
        <v>-0.8</v>
      </c>
      <c r="D127">
        <v>-0.66</v>
      </c>
      <c r="E127">
        <v>-0.76</v>
      </c>
      <c r="F127">
        <v>-0.85</v>
      </c>
      <c r="G127">
        <v>-0.91</v>
      </c>
      <c r="H127">
        <v>-0.83</v>
      </c>
      <c r="I127">
        <v>-0.64</v>
      </c>
      <c r="J127">
        <v>-0.31</v>
      </c>
      <c r="K127">
        <v>-0.37</v>
      </c>
      <c r="L127">
        <v>-0.34</v>
      </c>
      <c r="M127">
        <v>-0.47</v>
      </c>
      <c r="N127">
        <f t="shared" si="1"/>
        <v>-0.8041666666666667</v>
      </c>
    </row>
    <row r="128" spans="1:14" x14ac:dyDescent="0.2">
      <c r="A128">
        <v>1997</v>
      </c>
      <c r="B128">
        <v>-0.65</v>
      </c>
      <c r="C128">
        <v>-0.72</v>
      </c>
      <c r="D128">
        <v>-0.3</v>
      </c>
      <c r="E128">
        <v>0.15</v>
      </c>
      <c r="F128">
        <v>0.71</v>
      </c>
      <c r="G128">
        <v>2.34</v>
      </c>
      <c r="H128">
        <v>2.2599999999999998</v>
      </c>
      <c r="I128">
        <v>2.2599999999999998</v>
      </c>
      <c r="J128">
        <v>2.2000000000000002</v>
      </c>
      <c r="K128">
        <v>2.06</v>
      </c>
      <c r="L128">
        <v>2.14</v>
      </c>
      <c r="M128">
        <v>2.11</v>
      </c>
      <c r="N128">
        <f t="shared" si="1"/>
        <v>0.37999999999999989</v>
      </c>
    </row>
    <row r="129" spans="1:14" x14ac:dyDescent="0.2">
      <c r="A129">
        <v>1998</v>
      </c>
      <c r="B129">
        <v>2.2999999999999998</v>
      </c>
      <c r="C129">
        <v>2.4500000000000002</v>
      </c>
      <c r="D129">
        <v>2.27</v>
      </c>
      <c r="E129">
        <v>2.61</v>
      </c>
      <c r="F129">
        <v>2.33</v>
      </c>
      <c r="G129">
        <v>0.42</v>
      </c>
      <c r="H129">
        <v>-1.53</v>
      </c>
      <c r="I129">
        <v>-1.82</v>
      </c>
      <c r="J129">
        <v>-1.4</v>
      </c>
      <c r="K129">
        <v>-1.29</v>
      </c>
      <c r="L129">
        <v>-1.34</v>
      </c>
      <c r="M129">
        <v>-1.29</v>
      </c>
      <c r="N129">
        <f t="shared" si="1"/>
        <v>1.4616666666666667</v>
      </c>
    </row>
    <row r="130" spans="1:14" x14ac:dyDescent="0.2">
      <c r="A130">
        <v>1999</v>
      </c>
      <c r="B130">
        <v>-1.28</v>
      </c>
      <c r="C130">
        <v>-1.2</v>
      </c>
      <c r="D130">
        <v>-1.1499999999999999</v>
      </c>
      <c r="E130">
        <v>-1.1599999999999999</v>
      </c>
      <c r="F130">
        <v>-1.33</v>
      </c>
      <c r="G130">
        <v>-1.26</v>
      </c>
      <c r="H130">
        <v>-1.18</v>
      </c>
      <c r="I130">
        <v>-1.03</v>
      </c>
      <c r="J130">
        <v>-1.1599999999999999</v>
      </c>
      <c r="K130">
        <v>-1.33</v>
      </c>
      <c r="L130">
        <v>-1.33</v>
      </c>
      <c r="M130">
        <v>-1.43</v>
      </c>
      <c r="N130">
        <f t="shared" si="1"/>
        <v>-1.2424999999999999</v>
      </c>
    </row>
    <row r="131" spans="1:14" x14ac:dyDescent="0.2">
      <c r="A131">
        <v>2000</v>
      </c>
      <c r="B131">
        <v>-1.25</v>
      </c>
      <c r="C131">
        <v>-1.26</v>
      </c>
      <c r="D131">
        <v>-1.37</v>
      </c>
      <c r="E131">
        <v>-0.9</v>
      </c>
      <c r="F131">
        <v>-0.93</v>
      </c>
      <c r="G131">
        <v>-1.18</v>
      </c>
      <c r="H131">
        <v>-0.61</v>
      </c>
      <c r="I131">
        <v>-0.08</v>
      </c>
      <c r="J131">
        <v>-0.35</v>
      </c>
      <c r="K131">
        <v>-0.52</v>
      </c>
      <c r="L131">
        <v>-0.86</v>
      </c>
      <c r="M131">
        <v>-0.79</v>
      </c>
      <c r="N131">
        <f t="shared" si="1"/>
        <v>-1.0691666666666666</v>
      </c>
    </row>
    <row r="132" spans="1:14" x14ac:dyDescent="0.2">
      <c r="A132">
        <v>2001</v>
      </c>
      <c r="B132">
        <v>-0.83</v>
      </c>
      <c r="C132">
        <v>-0.86</v>
      </c>
      <c r="D132">
        <v>-0.78</v>
      </c>
      <c r="E132">
        <v>-0.55000000000000004</v>
      </c>
      <c r="F132">
        <v>-0.51</v>
      </c>
      <c r="G132">
        <v>-0.73</v>
      </c>
      <c r="H132">
        <v>0.04</v>
      </c>
      <c r="I132">
        <v>0.38</v>
      </c>
      <c r="J132">
        <v>-0.06</v>
      </c>
      <c r="K132">
        <v>-0.22</v>
      </c>
      <c r="L132">
        <v>-0.28000000000000003</v>
      </c>
      <c r="M132">
        <v>0.06</v>
      </c>
      <c r="N132">
        <f t="shared" ref="N132:N153" si="2">(SUM(B132:I132)+SUM(J131:M131))/12</f>
        <v>-0.52999999999999992</v>
      </c>
    </row>
    <row r="133" spans="1:14" x14ac:dyDescent="0.2">
      <c r="A133">
        <v>2002</v>
      </c>
      <c r="B133">
        <v>0.09</v>
      </c>
      <c r="C133">
        <v>-0.26</v>
      </c>
      <c r="D133">
        <v>-0.2</v>
      </c>
      <c r="E133">
        <v>-0.36</v>
      </c>
      <c r="F133">
        <v>-0.14000000000000001</v>
      </c>
      <c r="G133">
        <v>0.34</v>
      </c>
      <c r="H133">
        <v>0.44</v>
      </c>
      <c r="I133">
        <v>1.01</v>
      </c>
      <c r="J133">
        <v>0.88</v>
      </c>
      <c r="K133">
        <v>0.84</v>
      </c>
      <c r="L133">
        <v>0.84</v>
      </c>
      <c r="M133">
        <v>0.91</v>
      </c>
      <c r="N133">
        <f t="shared" si="2"/>
        <v>3.4999999999999996E-2</v>
      </c>
    </row>
    <row r="134" spans="1:14" x14ac:dyDescent="0.2">
      <c r="A134">
        <v>2003</v>
      </c>
      <c r="B134">
        <v>0.82</v>
      </c>
      <c r="C134">
        <v>0.63</v>
      </c>
      <c r="D134">
        <v>0.53</v>
      </c>
      <c r="E134">
        <v>-0.11</v>
      </c>
      <c r="F134">
        <v>-0.61</v>
      </c>
      <c r="G134">
        <v>-0.1</v>
      </c>
      <c r="H134">
        <v>0.01</v>
      </c>
      <c r="I134">
        <v>0.05</v>
      </c>
      <c r="J134">
        <v>0.18</v>
      </c>
      <c r="K134">
        <v>0.28000000000000003</v>
      </c>
      <c r="L134">
        <v>0.3</v>
      </c>
      <c r="M134">
        <v>0.14000000000000001</v>
      </c>
      <c r="N134">
        <f t="shared" si="2"/>
        <v>0.39083333333333331</v>
      </c>
    </row>
    <row r="135" spans="1:14" x14ac:dyDescent="0.2">
      <c r="A135">
        <v>2004</v>
      </c>
      <c r="B135">
        <v>0.19</v>
      </c>
      <c r="C135">
        <v>-0.05</v>
      </c>
      <c r="D135">
        <v>-0.43</v>
      </c>
      <c r="E135">
        <v>-0.23</v>
      </c>
      <c r="F135">
        <v>-0.46</v>
      </c>
      <c r="G135">
        <v>-0.39</v>
      </c>
      <c r="H135">
        <v>0.46</v>
      </c>
      <c r="I135">
        <v>0.77</v>
      </c>
      <c r="J135">
        <v>0.59</v>
      </c>
      <c r="K135">
        <v>0.4</v>
      </c>
      <c r="L135">
        <v>0.56000000000000005</v>
      </c>
      <c r="M135">
        <v>0.48</v>
      </c>
      <c r="N135">
        <f t="shared" si="2"/>
        <v>6.3333333333333325E-2</v>
      </c>
    </row>
    <row r="136" spans="1:14" x14ac:dyDescent="0.2">
      <c r="A136">
        <v>2005</v>
      </c>
      <c r="B136">
        <v>0.09</v>
      </c>
      <c r="C136">
        <v>0.61</v>
      </c>
      <c r="D136">
        <v>0.83</v>
      </c>
      <c r="E136">
        <v>0.14000000000000001</v>
      </c>
      <c r="F136">
        <v>0.19</v>
      </c>
      <c r="G136">
        <v>0.2</v>
      </c>
      <c r="H136">
        <v>0</v>
      </c>
      <c r="I136">
        <v>0.01</v>
      </c>
      <c r="J136">
        <v>-0.02</v>
      </c>
      <c r="K136">
        <v>-0.66</v>
      </c>
      <c r="L136">
        <v>-0.7</v>
      </c>
      <c r="M136">
        <v>-0.7</v>
      </c>
      <c r="N136">
        <f t="shared" si="2"/>
        <v>0.34166666666666662</v>
      </c>
    </row>
    <row r="137" spans="1:14" x14ac:dyDescent="0.2">
      <c r="A137">
        <v>2006</v>
      </c>
      <c r="B137">
        <v>-0.64</v>
      </c>
      <c r="C137">
        <v>-0.48</v>
      </c>
      <c r="D137">
        <v>-0.62</v>
      </c>
      <c r="E137">
        <v>-0.84</v>
      </c>
      <c r="F137">
        <v>-0.42</v>
      </c>
      <c r="G137">
        <v>-0.18</v>
      </c>
      <c r="H137">
        <v>0.21</v>
      </c>
      <c r="I137">
        <v>0.59</v>
      </c>
      <c r="J137">
        <v>0.65</v>
      </c>
      <c r="K137">
        <v>0.77</v>
      </c>
      <c r="L137">
        <v>1</v>
      </c>
      <c r="M137">
        <v>0.64</v>
      </c>
      <c r="N137">
        <f t="shared" si="2"/>
        <v>-0.37166666666666676</v>
      </c>
    </row>
    <row r="138" spans="1:14" x14ac:dyDescent="0.2">
      <c r="A138">
        <v>2007</v>
      </c>
      <c r="B138">
        <v>0.64</v>
      </c>
      <c r="C138">
        <v>0.39</v>
      </c>
      <c r="D138">
        <v>-0.19</v>
      </c>
      <c r="E138">
        <v>-0.32</v>
      </c>
      <c r="F138">
        <v>-0.41</v>
      </c>
      <c r="G138">
        <v>-0.83</v>
      </c>
      <c r="H138">
        <v>-0.75</v>
      </c>
      <c r="I138">
        <v>-0.9</v>
      </c>
      <c r="J138">
        <v>-1.06</v>
      </c>
      <c r="K138">
        <v>-1.1299999999999999</v>
      </c>
      <c r="L138">
        <v>-1.1200000000000001</v>
      </c>
      <c r="M138">
        <v>-1.19</v>
      </c>
      <c r="N138">
        <f t="shared" si="2"/>
        <v>5.7499999999999996E-2</v>
      </c>
    </row>
    <row r="139" spans="1:14" x14ac:dyDescent="0.2">
      <c r="A139">
        <v>2008</v>
      </c>
      <c r="B139">
        <v>-1.06</v>
      </c>
      <c r="C139">
        <v>-1.27</v>
      </c>
      <c r="D139">
        <v>-1.52</v>
      </c>
      <c r="E139">
        <v>-1.1100000000000001</v>
      </c>
      <c r="F139">
        <v>-0.99</v>
      </c>
      <c r="G139">
        <v>-0.8</v>
      </c>
      <c r="H139">
        <v>-0.78</v>
      </c>
      <c r="I139">
        <v>-1.01</v>
      </c>
      <c r="J139">
        <v>-1.02</v>
      </c>
      <c r="K139">
        <v>-1.08</v>
      </c>
      <c r="L139">
        <v>-0.98</v>
      </c>
      <c r="M139">
        <v>-1.01</v>
      </c>
      <c r="N139">
        <f t="shared" si="2"/>
        <v>-1.0866666666666667</v>
      </c>
    </row>
    <row r="140" spans="1:14" x14ac:dyDescent="0.2">
      <c r="A140">
        <v>2009</v>
      </c>
      <c r="B140">
        <v>-1.01</v>
      </c>
      <c r="C140">
        <v>-0.85</v>
      </c>
      <c r="D140">
        <v>-0.95</v>
      </c>
      <c r="E140">
        <v>-0.81</v>
      </c>
      <c r="F140">
        <v>-0.72</v>
      </c>
      <c r="G140">
        <v>-0.05</v>
      </c>
      <c r="H140">
        <v>0.56000000000000005</v>
      </c>
      <c r="I140">
        <v>0.56000000000000005</v>
      </c>
      <c r="J140">
        <v>0.42</v>
      </c>
      <c r="K140">
        <v>0.56000000000000005</v>
      </c>
      <c r="L140">
        <v>1.04</v>
      </c>
      <c r="M140">
        <v>0.95</v>
      </c>
      <c r="N140">
        <f t="shared" si="2"/>
        <v>-0.61333333333333329</v>
      </c>
    </row>
    <row r="141" spans="1:14" x14ac:dyDescent="0.2">
      <c r="A141">
        <v>2010</v>
      </c>
      <c r="B141">
        <v>0.93</v>
      </c>
      <c r="C141">
        <v>1.28</v>
      </c>
      <c r="D141">
        <v>1.33</v>
      </c>
      <c r="E141">
        <v>0.49</v>
      </c>
      <c r="F141">
        <v>-0.12</v>
      </c>
      <c r="G141">
        <v>-1.29</v>
      </c>
      <c r="H141">
        <v>-2.4300000000000002</v>
      </c>
      <c r="I141">
        <v>-2.38</v>
      </c>
      <c r="J141">
        <v>-2.2599999999999998</v>
      </c>
      <c r="K141">
        <v>-2.16</v>
      </c>
      <c r="L141">
        <v>-2.0099999999999998</v>
      </c>
      <c r="M141">
        <v>-1.86</v>
      </c>
      <c r="N141">
        <f t="shared" si="2"/>
        <v>6.4999999999999988E-2</v>
      </c>
    </row>
    <row r="142" spans="1:14" x14ac:dyDescent="0.2">
      <c r="A142">
        <v>2011</v>
      </c>
      <c r="B142">
        <v>-1.77</v>
      </c>
      <c r="C142">
        <v>-1.59</v>
      </c>
      <c r="D142">
        <v>-1.75</v>
      </c>
      <c r="E142">
        <v>-1.69</v>
      </c>
      <c r="F142">
        <v>-1.23</v>
      </c>
      <c r="G142">
        <v>-1.02</v>
      </c>
      <c r="H142">
        <v>-0.75</v>
      </c>
      <c r="I142">
        <v>-0.81</v>
      </c>
      <c r="J142">
        <v>-1.08</v>
      </c>
      <c r="K142">
        <v>-1.3</v>
      </c>
      <c r="L142">
        <v>-1.1399999999999999</v>
      </c>
      <c r="M142">
        <v>-1.18</v>
      </c>
      <c r="N142">
        <f t="shared" si="2"/>
        <v>-1.575</v>
      </c>
    </row>
    <row r="143" spans="1:14" x14ac:dyDescent="0.2">
      <c r="A143">
        <v>2012</v>
      </c>
      <c r="B143">
        <v>-1.07</v>
      </c>
      <c r="C143">
        <v>-0.68</v>
      </c>
      <c r="D143">
        <v>-0.57999999999999996</v>
      </c>
      <c r="E143">
        <v>-0.38</v>
      </c>
      <c r="F143">
        <v>-0.32</v>
      </c>
      <c r="G143">
        <v>-0.28000000000000003</v>
      </c>
      <c r="H143">
        <v>0.34</v>
      </c>
      <c r="I143">
        <v>-0.02</v>
      </c>
      <c r="J143">
        <v>-0.28999999999999998</v>
      </c>
      <c r="K143">
        <v>-0.19</v>
      </c>
      <c r="L143">
        <v>-0.03</v>
      </c>
      <c r="M143">
        <v>-0.03</v>
      </c>
      <c r="N143">
        <f t="shared" si="2"/>
        <v>-0.64083333333333325</v>
      </c>
    </row>
    <row r="144" spans="1:14" x14ac:dyDescent="0.2">
      <c r="A144">
        <v>2013</v>
      </c>
      <c r="B144">
        <v>-0.06</v>
      </c>
      <c r="C144">
        <v>-0.08</v>
      </c>
      <c r="D144">
        <v>-0.12</v>
      </c>
      <c r="E144">
        <v>-0.35</v>
      </c>
      <c r="F144">
        <v>-0.68</v>
      </c>
      <c r="G144">
        <v>-1.1399999999999999</v>
      </c>
      <c r="H144">
        <v>-0.79</v>
      </c>
      <c r="I144">
        <v>-0.45</v>
      </c>
      <c r="J144">
        <v>-0.33</v>
      </c>
      <c r="K144">
        <v>-0.13</v>
      </c>
      <c r="L144">
        <v>-0.16</v>
      </c>
      <c r="M144">
        <v>-0.34</v>
      </c>
      <c r="N144">
        <f t="shared" si="2"/>
        <v>-0.35083333333333333</v>
      </c>
    </row>
    <row r="145" spans="1:14" x14ac:dyDescent="0.2">
      <c r="A145">
        <v>2014</v>
      </c>
      <c r="B145">
        <v>-0.5</v>
      </c>
      <c r="C145">
        <v>-0.42</v>
      </c>
      <c r="D145">
        <v>-0.05</v>
      </c>
      <c r="E145">
        <v>-0.16</v>
      </c>
      <c r="F145">
        <v>-0.17</v>
      </c>
      <c r="G145">
        <v>0</v>
      </c>
      <c r="H145">
        <v>0.42</v>
      </c>
      <c r="I145">
        <v>0.23</v>
      </c>
      <c r="J145">
        <v>-0.09</v>
      </c>
      <c r="K145">
        <v>0.12</v>
      </c>
      <c r="L145">
        <v>0.37</v>
      </c>
      <c r="M145">
        <v>0.35</v>
      </c>
      <c r="N145">
        <f t="shared" si="2"/>
        <v>-0.13416666666666666</v>
      </c>
    </row>
    <row r="146" spans="1:14" x14ac:dyDescent="0.2">
      <c r="A146">
        <v>2015</v>
      </c>
      <c r="B146">
        <v>0.23</v>
      </c>
      <c r="C146">
        <v>0.06</v>
      </c>
      <c r="D146">
        <v>0.15</v>
      </c>
      <c r="E146">
        <v>0.31</v>
      </c>
      <c r="F146">
        <v>0.95</v>
      </c>
      <c r="G146">
        <v>1.9</v>
      </c>
      <c r="H146">
        <v>1.79</v>
      </c>
      <c r="I146">
        <v>1.95</v>
      </c>
      <c r="J146">
        <v>2.2400000000000002</v>
      </c>
      <c r="K146">
        <v>2.15</v>
      </c>
      <c r="L146">
        <v>1.94</v>
      </c>
      <c r="M146">
        <v>1.93</v>
      </c>
      <c r="N146">
        <f t="shared" si="2"/>
        <v>0.67416666666666669</v>
      </c>
    </row>
    <row r="147" spans="1:14" x14ac:dyDescent="0.2">
      <c r="A147">
        <v>2016</v>
      </c>
      <c r="B147">
        <v>1.94</v>
      </c>
      <c r="C147">
        <v>1.81</v>
      </c>
      <c r="D147">
        <v>1.32</v>
      </c>
      <c r="E147">
        <v>1.33</v>
      </c>
      <c r="F147">
        <v>1.24</v>
      </c>
      <c r="G147">
        <v>0.36</v>
      </c>
      <c r="H147">
        <v>-0.53</v>
      </c>
      <c r="I147">
        <v>-0.27</v>
      </c>
      <c r="J147">
        <v>-0.28999999999999998</v>
      </c>
      <c r="K147">
        <v>-0.54</v>
      </c>
      <c r="L147">
        <v>-0.48</v>
      </c>
      <c r="M147">
        <v>-0.37</v>
      </c>
      <c r="N147">
        <f t="shared" si="2"/>
        <v>1.2883333333333333</v>
      </c>
    </row>
    <row r="148" spans="1:14" x14ac:dyDescent="0.2">
      <c r="A148">
        <v>2017</v>
      </c>
      <c r="B148">
        <v>-0.43</v>
      </c>
      <c r="C148">
        <v>-0.42</v>
      </c>
      <c r="D148">
        <v>-0.57999999999999996</v>
      </c>
      <c r="E148">
        <v>-0.19</v>
      </c>
      <c r="F148">
        <v>0.19</v>
      </c>
      <c r="G148">
        <v>-0.24</v>
      </c>
      <c r="H148">
        <v>-0.63</v>
      </c>
      <c r="I148">
        <v>-0.73</v>
      </c>
      <c r="J148">
        <v>-0.74</v>
      </c>
      <c r="K148">
        <v>-0.59</v>
      </c>
      <c r="L148">
        <v>-0.62</v>
      </c>
      <c r="M148">
        <v>-0.74</v>
      </c>
      <c r="N148">
        <f t="shared" si="2"/>
        <v>-0.39250000000000002</v>
      </c>
    </row>
    <row r="149" spans="1:14" x14ac:dyDescent="0.2">
      <c r="A149">
        <v>2018</v>
      </c>
      <c r="B149">
        <v>-0.79</v>
      </c>
      <c r="C149">
        <v>-0.71</v>
      </c>
      <c r="D149">
        <v>-0.8</v>
      </c>
      <c r="E149">
        <v>-1.32</v>
      </c>
      <c r="F149">
        <v>-0.94</v>
      </c>
      <c r="G149">
        <v>-0.52</v>
      </c>
      <c r="H149">
        <v>-0.05</v>
      </c>
      <c r="I149">
        <v>0.46</v>
      </c>
      <c r="J149">
        <v>0.62</v>
      </c>
      <c r="K149">
        <v>0.52</v>
      </c>
      <c r="L149">
        <v>0.33</v>
      </c>
      <c r="M149">
        <v>0.18</v>
      </c>
      <c r="N149">
        <f t="shared" si="2"/>
        <v>-0.6133333333333334</v>
      </c>
    </row>
    <row r="150" spans="1:14" x14ac:dyDescent="0.2">
      <c r="A150">
        <v>2019</v>
      </c>
      <c r="B150">
        <v>0.09</v>
      </c>
      <c r="C150">
        <v>0.5</v>
      </c>
      <c r="D150">
        <v>0.76</v>
      </c>
      <c r="E150">
        <v>0.3</v>
      </c>
      <c r="F150">
        <v>0.23</v>
      </c>
      <c r="G150">
        <v>0.35</v>
      </c>
      <c r="H150">
        <v>0.3</v>
      </c>
      <c r="I150">
        <v>0.32</v>
      </c>
      <c r="J150">
        <v>0.16</v>
      </c>
      <c r="K150">
        <v>0.31</v>
      </c>
      <c r="L150">
        <v>0.47</v>
      </c>
      <c r="M150">
        <v>0.36</v>
      </c>
      <c r="N150">
        <f t="shared" si="2"/>
        <v>0.375</v>
      </c>
    </row>
    <row r="151" spans="1:14" x14ac:dyDescent="0.2">
      <c r="A151">
        <v>2020</v>
      </c>
      <c r="B151">
        <v>0.25</v>
      </c>
      <c r="C151">
        <v>0.26</v>
      </c>
      <c r="D151">
        <v>0.13</v>
      </c>
      <c r="E151">
        <v>-0.15</v>
      </c>
      <c r="F151">
        <v>-0.23</v>
      </c>
      <c r="G151">
        <v>-0.68</v>
      </c>
      <c r="H151">
        <v>-0.94</v>
      </c>
      <c r="I151">
        <v>-0.96</v>
      </c>
      <c r="J151">
        <v>-1.1499999999999999</v>
      </c>
      <c r="K151">
        <v>-1.17</v>
      </c>
      <c r="L151">
        <v>-1.1299999999999999</v>
      </c>
      <c r="M151">
        <v>-1.1399999999999999</v>
      </c>
      <c r="N151">
        <f t="shared" si="2"/>
        <v>-8.5000000000000006E-2</v>
      </c>
    </row>
    <row r="152" spans="1:14" x14ac:dyDescent="0.2">
      <c r="A152">
        <v>2021</v>
      </c>
      <c r="B152">
        <v>-1.2</v>
      </c>
      <c r="C152">
        <v>-0.96</v>
      </c>
      <c r="D152">
        <v>-0.79</v>
      </c>
      <c r="E152">
        <v>-0.95</v>
      </c>
      <c r="F152">
        <v>-1.07</v>
      </c>
      <c r="G152">
        <v>-1.05</v>
      </c>
      <c r="H152">
        <v>-1.44</v>
      </c>
      <c r="I152">
        <v>-1.29</v>
      </c>
      <c r="J152">
        <v>-1.38</v>
      </c>
      <c r="K152">
        <v>-1.46</v>
      </c>
      <c r="L152">
        <v>-1.39</v>
      </c>
      <c r="M152">
        <v>-1.2</v>
      </c>
      <c r="N152">
        <f t="shared" si="2"/>
        <v>-1.1116666666666666</v>
      </c>
    </row>
    <row r="153" spans="1:14" x14ac:dyDescent="0.2">
      <c r="A153">
        <v>2022</v>
      </c>
      <c r="B153">
        <v>-1.01</v>
      </c>
      <c r="C153">
        <v>-0.98</v>
      </c>
      <c r="D153">
        <v>-1.31</v>
      </c>
      <c r="E153">
        <v>-1.61</v>
      </c>
      <c r="F153">
        <v>-1.63</v>
      </c>
      <c r="G153">
        <v>-1.9</v>
      </c>
      <c r="H153">
        <v>-2.17</v>
      </c>
      <c r="I153">
        <v>-1.75</v>
      </c>
      <c r="J153">
        <v>-1.73</v>
      </c>
      <c r="K153">
        <v>-1.73</v>
      </c>
      <c r="L153">
        <v>-1.53</v>
      </c>
      <c r="M153">
        <v>-1.28</v>
      </c>
      <c r="N153">
        <f t="shared" si="2"/>
        <v>-1.4824999999999999</v>
      </c>
    </row>
    <row r="154" spans="1:14" x14ac:dyDescent="0.2">
      <c r="A154">
        <v>2023</v>
      </c>
      <c r="B154">
        <v>-1.1100000000000001</v>
      </c>
      <c r="C154">
        <v>-0.91</v>
      </c>
      <c r="D154">
        <v>-0.76</v>
      </c>
      <c r="E154">
        <v>-0.37</v>
      </c>
      <c r="F154">
        <v>-0.06</v>
      </c>
      <c r="G154">
        <v>0.43</v>
      </c>
      <c r="H154">
        <v>0.5</v>
      </c>
      <c r="I154">
        <v>0.51</v>
      </c>
      <c r="J154">
        <v>0.68</v>
      </c>
      <c r="K154">
        <v>0.48</v>
      </c>
      <c r="L154">
        <v>0.91</v>
      </c>
      <c r="M154">
        <v>1.1299999999999999</v>
      </c>
      <c r="N154">
        <f>(SUM(B154:I154)+SUM(J153:M153))/12</f>
        <v>-0.67</v>
      </c>
    </row>
    <row r="155" spans="1:14" x14ac:dyDescent="0.2">
      <c r="A155">
        <f>meiv2!A47</f>
        <v>2024</v>
      </c>
      <c r="B155">
        <f>meiv2!B47</f>
        <v>0.7</v>
      </c>
      <c r="C155">
        <f>meiv2!C47</f>
        <v>0.68</v>
      </c>
      <c r="D155">
        <f>meiv2!D47</f>
        <v>0.78</v>
      </c>
      <c r="E155">
        <f>meiv2!E47</f>
        <v>0.34</v>
      </c>
      <c r="F155">
        <f>meiv2!F47</f>
        <v>0.12</v>
      </c>
      <c r="G155">
        <f>meiv2!G47</f>
        <v>-0.23</v>
      </c>
      <c r="H155">
        <f>meiv2!H47</f>
        <v>-0.72</v>
      </c>
      <c r="I155">
        <f>meiv2!I47</f>
        <v>-0.73</v>
      </c>
      <c r="J155">
        <f>meiv2!J47</f>
        <v>-0.65</v>
      </c>
      <c r="K155">
        <f>meiv2!K47</f>
        <v>-0.51</v>
      </c>
      <c r="L155">
        <f>meiv2!L47</f>
        <v>-0.68</v>
      </c>
      <c r="M155">
        <f>meiv2!M47</f>
        <v>-0.91</v>
      </c>
      <c r="N155">
        <f t="shared" ref="N155:N156" si="3">(SUM(B155:I155)+SUM(J154:M154))/12</f>
        <v>0.34500000000000003</v>
      </c>
    </row>
    <row r="156" spans="1:14" x14ac:dyDescent="0.2">
      <c r="A156">
        <f>meiv2!A48</f>
        <v>2025</v>
      </c>
      <c r="B156">
        <f>meiv2!B48</f>
        <v>-1</v>
      </c>
      <c r="C156">
        <f>meiv2!C48</f>
        <v>-0.83</v>
      </c>
      <c r="D156">
        <f>meiv2!D48</f>
        <v>-0.68</v>
      </c>
      <c r="E156">
        <f>meiv2!E48</f>
        <v>-0.38</v>
      </c>
      <c r="F156">
        <f>meiv2!F48</f>
        <v>-0.36</v>
      </c>
      <c r="G156">
        <f>meiv2!G48</f>
        <v>-1.17</v>
      </c>
      <c r="H156">
        <f>meiv2!H48</f>
        <v>-1.22</v>
      </c>
      <c r="I156">
        <f>meiv2!I48</f>
        <v>-0.87</v>
      </c>
      <c r="J156">
        <f>meiv2!J48</f>
        <v>-1.1200000000000001</v>
      </c>
      <c r="K156">
        <f>meiv2!K48</f>
        <v>-1.19</v>
      </c>
      <c r="L156">
        <f>meiv2!L48</f>
        <v>-1.06</v>
      </c>
      <c r="M156">
        <f>meiv2!M48</f>
        <v>-0.77</v>
      </c>
      <c r="N156">
        <f t="shared" si="3"/>
        <v>-0.77166666666666661</v>
      </c>
    </row>
    <row r="157" spans="1:14" x14ac:dyDescent="0.2">
      <c r="A157">
        <f>meiv2!A49</f>
        <v>2026</v>
      </c>
      <c r="B157">
        <f>meiv2!B49</f>
        <v>-0.76</v>
      </c>
      <c r="C157">
        <f>meiv2!C49</f>
        <v>-0.95</v>
      </c>
      <c r="D157">
        <f>meiv2!D49</f>
        <v>-1.03</v>
      </c>
      <c r="E157">
        <f>meiv2!E49</f>
        <v>-0.64</v>
      </c>
      <c r="F157">
        <f>meiv2!F49</f>
        <v>0.27</v>
      </c>
      <c r="G157">
        <f>meiv2!G49</f>
        <v>1.52</v>
      </c>
      <c r="H157">
        <f>meiv2!H49</f>
        <v>2.41</v>
      </c>
      <c r="I157">
        <f>meiv2!I49</f>
        <v>2.54</v>
      </c>
      <c r="J15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meiv2</vt:lpstr>
      <vt:lpstr>meiEXT</vt:lpstr>
      <vt:lpstr>mei_shift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2024-09-10T18:24:11Z</dcterms:created>
  <dcterms:modified xsi:type="dcterms:W3CDTF">2026-09-22T18:10:22Z</dcterms:modified>
</cp:coreProperties>
</file>