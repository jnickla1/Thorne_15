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Common_Data/"/>
    </mc:Choice>
  </mc:AlternateContent>
  <xr:revisionPtr revIDLastSave="0" documentId="13_ncr:20001_{88DEFCA1-D87D-4A43-8302-BE298EE7F39F}" xr6:coauthVersionLast="47" xr6:coauthVersionMax="47" xr10:uidLastSave="{00000000-0000-0000-0000-000000000000}"/>
  <bookViews>
    <workbookView xWindow="10780" yWindow="600" windowWidth="35840" windowHeight="20920" xr2:uid="{00000000-000D-0000-FFFF-FFFF00000000}"/>
  </bookViews>
  <sheets>
    <sheet name="toyKFmodelData8c" sheetId="1" r:id="rId1"/>
    <sheet name="ERF source" sheetId="2" r:id="rId2"/>
    <sheet name="Extension inputs" sheetId="3" r:id="rId3"/>
  </sheets>
  <externalReferences>
    <externalReference r:id="rId4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6" i="1" l="1"/>
  <c r="K176" i="1"/>
  <c r="K182" i="1" a="1"/>
  <c r="K182" i="1" s="1"/>
  <c r="K174" i="1"/>
  <c r="K175" i="1"/>
  <c r="H17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" i="1"/>
  <c r="C174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5" i="1"/>
  <c r="C1" i="1"/>
  <c r="I1" i="1" l="1" a="1"/>
  <c r="I1" i="1" s="1"/>
  <c r="AE276" i="2"/>
  <c r="Z276" i="2"/>
  <c r="AA276" i="2" s="1"/>
  <c r="I176" i="3" s="1"/>
  <c r="AE275" i="2"/>
  <c r="Z275" i="2"/>
  <c r="AA275" i="2" s="1"/>
  <c r="I175" i="3" s="1"/>
  <c r="AE274" i="2"/>
  <c r="Z274" i="2"/>
  <c r="AA274" i="2" s="1"/>
  <c r="AE273" i="2"/>
  <c r="Z273" i="2"/>
  <c r="AA273" i="2" s="1"/>
  <c r="AE272" i="2"/>
  <c r="Z272" i="2"/>
  <c r="AA272" i="2" s="1"/>
  <c r="AE271" i="2"/>
  <c r="Z271" i="2"/>
  <c r="AA271" i="2" s="1"/>
  <c r="I171" i="3" s="1"/>
  <c r="AE270" i="2"/>
  <c r="Z270" i="2"/>
  <c r="AA270" i="2" s="1"/>
  <c r="AE269" i="2"/>
  <c r="AA269" i="2"/>
  <c r="I169" i="3" s="1"/>
  <c r="Z269" i="2"/>
  <c r="AE268" i="2"/>
  <c r="Z268" i="2"/>
  <c r="AA268" i="2" s="1"/>
  <c r="AE267" i="2"/>
  <c r="Z267" i="2"/>
  <c r="AA267" i="2" s="1"/>
  <c r="AE266" i="2"/>
  <c r="Z266" i="2"/>
  <c r="AA266" i="2" s="1"/>
  <c r="AE265" i="2"/>
  <c r="Z265" i="2"/>
  <c r="AA265" i="2" s="1"/>
  <c r="AE264" i="2"/>
  <c r="Z264" i="2"/>
  <c r="AA264" i="2" s="1"/>
  <c r="AE263" i="2"/>
  <c r="Z263" i="2"/>
  <c r="AA263" i="2" s="1"/>
  <c r="AE262" i="2"/>
  <c r="Z262" i="2"/>
  <c r="AA262" i="2" s="1"/>
  <c r="AE261" i="2"/>
  <c r="Z261" i="2"/>
  <c r="AA261" i="2" s="1"/>
  <c r="K160" i="1" s="1"/>
  <c r="AE260" i="2"/>
  <c r="Z260" i="2"/>
  <c r="AA260" i="2" s="1"/>
  <c r="AE259" i="2"/>
  <c r="Z259" i="2"/>
  <c r="AA259" i="2" s="1"/>
  <c r="AE258" i="2"/>
  <c r="Z258" i="2"/>
  <c r="AA258" i="2" s="1"/>
  <c r="I158" i="3" s="1"/>
  <c r="AE257" i="2"/>
  <c r="Z257" i="2"/>
  <c r="AA257" i="2" s="1"/>
  <c r="AE256" i="2"/>
  <c r="Z256" i="2"/>
  <c r="AA256" i="2" s="1"/>
  <c r="AE255" i="2"/>
  <c r="Z255" i="2"/>
  <c r="AA255" i="2" s="1"/>
  <c r="AE254" i="2"/>
  <c r="Z254" i="2"/>
  <c r="AA254" i="2" s="1"/>
  <c r="AE253" i="2"/>
  <c r="AA253" i="2"/>
  <c r="I153" i="3" s="1"/>
  <c r="Z253" i="2"/>
  <c r="AE252" i="2"/>
  <c r="Z252" i="2"/>
  <c r="AA252" i="2" s="1"/>
  <c r="AE251" i="2"/>
  <c r="Z251" i="2"/>
  <c r="AA251" i="2" s="1"/>
  <c r="AE250" i="2"/>
  <c r="Z250" i="2"/>
  <c r="AA250" i="2" s="1"/>
  <c r="AE249" i="2"/>
  <c r="Z249" i="2"/>
  <c r="AA249" i="2" s="1"/>
  <c r="AE248" i="2"/>
  <c r="Z248" i="2"/>
  <c r="AA248" i="2" s="1"/>
  <c r="AE247" i="2"/>
  <c r="Z247" i="2"/>
  <c r="AA247" i="2" s="1"/>
  <c r="AE246" i="2"/>
  <c r="Z246" i="2"/>
  <c r="AA246" i="2" s="1"/>
  <c r="AE245" i="2"/>
  <c r="Z245" i="2"/>
  <c r="AA245" i="2" s="1"/>
  <c r="AE244" i="2"/>
  <c r="Z244" i="2"/>
  <c r="AA244" i="2" s="1"/>
  <c r="AE243" i="2"/>
  <c r="Z243" i="2"/>
  <c r="AA243" i="2" s="1"/>
  <c r="AE242" i="2"/>
  <c r="Z242" i="2"/>
  <c r="AA242" i="2" s="1"/>
  <c r="AE241" i="2"/>
  <c r="Z241" i="2"/>
  <c r="AA241" i="2" s="1"/>
  <c r="AE240" i="2"/>
  <c r="Z240" i="2"/>
  <c r="AA240" i="2" s="1"/>
  <c r="AE239" i="2"/>
  <c r="Z239" i="2"/>
  <c r="AA239" i="2" s="1"/>
  <c r="AE238" i="2"/>
  <c r="Z238" i="2"/>
  <c r="AA238" i="2" s="1"/>
  <c r="AE237" i="2"/>
  <c r="AA237" i="2"/>
  <c r="Z237" i="2"/>
  <c r="AE236" i="2"/>
  <c r="Z236" i="2"/>
  <c r="AA236" i="2" s="1"/>
  <c r="AE235" i="2"/>
  <c r="Z235" i="2"/>
  <c r="AA235" i="2" s="1"/>
  <c r="AE234" i="2"/>
  <c r="Z234" i="2"/>
  <c r="AA234" i="2" s="1"/>
  <c r="AE233" i="2"/>
  <c r="Z233" i="2"/>
  <c r="AA233" i="2" s="1"/>
  <c r="AE232" i="2"/>
  <c r="Z232" i="2"/>
  <c r="AA232" i="2" s="1"/>
  <c r="AE231" i="2"/>
  <c r="Z231" i="2"/>
  <c r="AA231" i="2" s="1"/>
  <c r="AE230" i="2"/>
  <c r="Z230" i="2"/>
  <c r="AA230" i="2" s="1"/>
  <c r="AE229" i="2"/>
  <c r="Z229" i="2"/>
  <c r="AA229" i="2" s="1"/>
  <c r="AE228" i="2"/>
  <c r="Z228" i="2"/>
  <c r="AA228" i="2" s="1"/>
  <c r="AE227" i="2"/>
  <c r="Z227" i="2"/>
  <c r="AA227" i="2" s="1"/>
  <c r="AE226" i="2"/>
  <c r="Z226" i="2"/>
  <c r="AA226" i="2" s="1"/>
  <c r="AE225" i="2"/>
  <c r="Z225" i="2"/>
  <c r="AA225" i="2" s="1"/>
  <c r="AE224" i="2"/>
  <c r="AA224" i="2"/>
  <c r="Z224" i="2"/>
  <c r="AE223" i="2"/>
  <c r="Z223" i="2"/>
  <c r="AA223" i="2" s="1"/>
  <c r="AE222" i="2"/>
  <c r="Z222" i="2"/>
  <c r="AA222" i="2" s="1"/>
  <c r="AE221" i="2"/>
  <c r="AA221" i="2"/>
  <c r="Z221" i="2"/>
  <c r="AE220" i="2"/>
  <c r="Z220" i="2"/>
  <c r="AA220" i="2" s="1"/>
  <c r="AE219" i="2"/>
  <c r="Z219" i="2"/>
  <c r="AA219" i="2" s="1"/>
  <c r="AE218" i="2"/>
  <c r="Z218" i="2"/>
  <c r="AA218" i="2" s="1"/>
  <c r="AE217" i="2"/>
  <c r="Z217" i="2"/>
  <c r="AA217" i="2" s="1"/>
  <c r="AE216" i="2"/>
  <c r="AA216" i="2"/>
  <c r="Z216" i="2"/>
  <c r="AE215" i="2"/>
  <c r="Z215" i="2"/>
  <c r="AA215" i="2" s="1"/>
  <c r="AE214" i="2"/>
  <c r="Z214" i="2"/>
  <c r="AA214" i="2" s="1"/>
  <c r="AE213" i="2"/>
  <c r="Z213" i="2"/>
  <c r="AA213" i="2" s="1"/>
  <c r="AE212" i="2"/>
  <c r="Z212" i="2"/>
  <c r="AA212" i="2" s="1"/>
  <c r="AE211" i="2"/>
  <c r="Z211" i="2"/>
  <c r="AA211" i="2" s="1"/>
  <c r="AE210" i="2"/>
  <c r="Z210" i="2"/>
  <c r="AA210" i="2" s="1"/>
  <c r="AE209" i="2"/>
  <c r="Z209" i="2"/>
  <c r="AA209" i="2" s="1"/>
  <c r="AE208" i="2"/>
  <c r="AA208" i="2"/>
  <c r="Z208" i="2"/>
  <c r="AE207" i="2"/>
  <c r="Z207" i="2"/>
  <c r="AA207" i="2" s="1"/>
  <c r="AE206" i="2"/>
  <c r="Z206" i="2"/>
  <c r="AA206" i="2" s="1"/>
  <c r="AE205" i="2"/>
  <c r="AA205" i="2"/>
  <c r="Z205" i="2"/>
  <c r="AE204" i="2"/>
  <c r="Z204" i="2"/>
  <c r="AA204" i="2" s="1"/>
  <c r="AE203" i="2"/>
  <c r="Z203" i="2"/>
  <c r="AA203" i="2" s="1"/>
  <c r="AE202" i="2"/>
  <c r="Z202" i="2"/>
  <c r="AA202" i="2" s="1"/>
  <c r="AE201" i="2"/>
  <c r="Z201" i="2"/>
  <c r="AA201" i="2" s="1"/>
  <c r="AE200" i="2"/>
  <c r="Z200" i="2"/>
  <c r="AA200" i="2" s="1"/>
  <c r="AE199" i="2"/>
  <c r="Z199" i="2"/>
  <c r="AA199" i="2" s="1"/>
  <c r="AE198" i="2"/>
  <c r="Z198" i="2"/>
  <c r="AA198" i="2" s="1"/>
  <c r="AE197" i="2"/>
  <c r="Z197" i="2"/>
  <c r="AA197" i="2" s="1"/>
  <c r="AE196" i="2"/>
  <c r="Z196" i="2"/>
  <c r="AA196" i="2" s="1"/>
  <c r="AE195" i="2"/>
  <c r="Z195" i="2"/>
  <c r="AA195" i="2" s="1"/>
  <c r="AE194" i="2"/>
  <c r="Z194" i="2"/>
  <c r="AA194" i="2" s="1"/>
  <c r="AE193" i="2"/>
  <c r="Z193" i="2"/>
  <c r="AA193" i="2" s="1"/>
  <c r="AE192" i="2"/>
  <c r="AA192" i="2"/>
  <c r="Z192" i="2"/>
  <c r="AE191" i="2"/>
  <c r="Z191" i="2"/>
  <c r="AA191" i="2" s="1"/>
  <c r="AE190" i="2"/>
  <c r="Z190" i="2"/>
  <c r="AA190" i="2" s="1"/>
  <c r="AE189" i="2"/>
  <c r="AA189" i="2"/>
  <c r="Z189" i="2"/>
  <c r="AE188" i="2"/>
  <c r="Z188" i="2"/>
  <c r="AA188" i="2" s="1"/>
  <c r="AE187" i="2"/>
  <c r="Z187" i="2"/>
  <c r="AA187" i="2" s="1"/>
  <c r="AE186" i="2"/>
  <c r="Z186" i="2"/>
  <c r="AA186" i="2" s="1"/>
  <c r="AE185" i="2"/>
  <c r="Z185" i="2"/>
  <c r="AA185" i="2" s="1"/>
  <c r="AE184" i="2"/>
  <c r="AA184" i="2"/>
  <c r="Z184" i="2"/>
  <c r="AE183" i="2"/>
  <c r="Z183" i="2"/>
  <c r="AA183" i="2" s="1"/>
  <c r="AE182" i="2"/>
  <c r="Z182" i="2"/>
  <c r="AA182" i="2" s="1"/>
  <c r="AE181" i="2"/>
  <c r="Z181" i="2"/>
  <c r="AA181" i="2" s="1"/>
  <c r="AE180" i="2"/>
  <c r="Z180" i="2"/>
  <c r="AA180" i="2" s="1"/>
  <c r="AE179" i="2"/>
  <c r="Z179" i="2"/>
  <c r="AA179" i="2" s="1"/>
  <c r="AE178" i="2"/>
  <c r="Z178" i="2"/>
  <c r="AA178" i="2" s="1"/>
  <c r="AE177" i="2"/>
  <c r="Z177" i="2"/>
  <c r="AA177" i="2" s="1"/>
  <c r="AE176" i="2"/>
  <c r="AA176" i="2"/>
  <c r="Z176" i="2"/>
  <c r="AE175" i="2"/>
  <c r="Z175" i="2"/>
  <c r="AA175" i="2" s="1"/>
  <c r="AE174" i="2"/>
  <c r="Z174" i="2"/>
  <c r="AA174" i="2" s="1"/>
  <c r="AE173" i="2"/>
  <c r="AA173" i="2"/>
  <c r="Z173" i="2"/>
  <c r="AE172" i="2"/>
  <c r="Z172" i="2"/>
  <c r="AA172" i="2" s="1"/>
  <c r="AE171" i="2"/>
  <c r="Z171" i="2"/>
  <c r="AA171" i="2" s="1"/>
  <c r="AE170" i="2"/>
  <c r="Z170" i="2"/>
  <c r="AA170" i="2" s="1"/>
  <c r="AE169" i="2"/>
  <c r="Z169" i="2"/>
  <c r="AA169" i="2" s="1"/>
  <c r="AE168" i="2"/>
  <c r="Z168" i="2"/>
  <c r="AA168" i="2" s="1"/>
  <c r="AE167" i="2"/>
  <c r="Z167" i="2"/>
  <c r="AA167" i="2" s="1"/>
  <c r="AE166" i="2"/>
  <c r="Z166" i="2"/>
  <c r="AA166" i="2" s="1"/>
  <c r="AE165" i="2"/>
  <c r="Z165" i="2"/>
  <c r="AA165" i="2" s="1"/>
  <c r="AE164" i="2"/>
  <c r="Z164" i="2"/>
  <c r="AA164" i="2" s="1"/>
  <c r="AE163" i="2"/>
  <c r="Z163" i="2"/>
  <c r="AA163" i="2" s="1"/>
  <c r="AE162" i="2"/>
  <c r="Z162" i="2"/>
  <c r="AA162" i="2" s="1"/>
  <c r="AE161" i="2"/>
  <c r="Z161" i="2"/>
  <c r="AA161" i="2" s="1"/>
  <c r="AE160" i="2"/>
  <c r="AA160" i="2"/>
  <c r="Z160" i="2"/>
  <c r="AE159" i="2"/>
  <c r="Z159" i="2"/>
  <c r="AA159" i="2" s="1"/>
  <c r="AE158" i="2"/>
  <c r="Z158" i="2"/>
  <c r="AA158" i="2" s="1"/>
  <c r="AE157" i="2"/>
  <c r="AA157" i="2"/>
  <c r="Z157" i="2"/>
  <c r="AE156" i="2"/>
  <c r="Z156" i="2"/>
  <c r="AA156" i="2" s="1"/>
  <c r="AE155" i="2"/>
  <c r="Z155" i="2"/>
  <c r="AA155" i="2" s="1"/>
  <c r="AE154" i="2"/>
  <c r="Z154" i="2"/>
  <c r="AA154" i="2" s="1"/>
  <c r="AE153" i="2"/>
  <c r="Z153" i="2"/>
  <c r="AA153" i="2" s="1"/>
  <c r="AE152" i="2"/>
  <c r="AA152" i="2"/>
  <c r="Z152" i="2"/>
  <c r="AE151" i="2"/>
  <c r="Z151" i="2"/>
  <c r="AA151" i="2" s="1"/>
  <c r="AE150" i="2"/>
  <c r="Z150" i="2"/>
  <c r="AA150" i="2" s="1"/>
  <c r="AE149" i="2"/>
  <c r="Z149" i="2"/>
  <c r="AA149" i="2" s="1"/>
  <c r="AE148" i="2"/>
  <c r="Z148" i="2"/>
  <c r="AA148" i="2" s="1"/>
  <c r="AE147" i="2"/>
  <c r="Z147" i="2"/>
  <c r="AA147" i="2" s="1"/>
  <c r="AE146" i="2"/>
  <c r="Z146" i="2"/>
  <c r="AA146" i="2" s="1"/>
  <c r="AE145" i="2"/>
  <c r="Z145" i="2"/>
  <c r="AA145" i="2" s="1"/>
  <c r="AE144" i="2"/>
  <c r="AA144" i="2"/>
  <c r="Z144" i="2"/>
  <c r="AE143" i="2"/>
  <c r="Z143" i="2"/>
  <c r="AA143" i="2" s="1"/>
  <c r="AE142" i="2"/>
  <c r="Z142" i="2"/>
  <c r="AA142" i="2" s="1"/>
  <c r="AE141" i="2"/>
  <c r="AA141" i="2"/>
  <c r="Z141" i="2"/>
  <c r="AE140" i="2"/>
  <c r="Z140" i="2"/>
  <c r="AA140" i="2" s="1"/>
  <c r="AE139" i="2"/>
  <c r="Z139" i="2"/>
  <c r="AA139" i="2" s="1"/>
  <c r="AE138" i="2"/>
  <c r="Z138" i="2"/>
  <c r="AA138" i="2" s="1"/>
  <c r="AE137" i="2"/>
  <c r="Z137" i="2"/>
  <c r="AA137" i="2" s="1"/>
  <c r="AE136" i="2"/>
  <c r="Z136" i="2"/>
  <c r="AA136" i="2" s="1"/>
  <c r="AE135" i="2"/>
  <c r="Z135" i="2"/>
  <c r="AA135" i="2" s="1"/>
  <c r="AE134" i="2"/>
  <c r="Z134" i="2"/>
  <c r="AA134" i="2" s="1"/>
  <c r="AE133" i="2"/>
  <c r="Z133" i="2"/>
  <c r="AA133" i="2" s="1"/>
  <c r="AE132" i="2"/>
  <c r="Z132" i="2"/>
  <c r="AA132" i="2" s="1"/>
  <c r="AE131" i="2"/>
  <c r="Z131" i="2"/>
  <c r="AA131" i="2" s="1"/>
  <c r="AE130" i="2"/>
  <c r="Z130" i="2"/>
  <c r="AA130" i="2" s="1"/>
  <c r="AE129" i="2"/>
  <c r="Z129" i="2"/>
  <c r="AA129" i="2" s="1"/>
  <c r="AE128" i="2"/>
  <c r="AA128" i="2"/>
  <c r="Z128" i="2"/>
  <c r="AE127" i="2"/>
  <c r="Z127" i="2"/>
  <c r="AA127" i="2" s="1"/>
  <c r="AE126" i="2"/>
  <c r="Z126" i="2"/>
  <c r="AA126" i="2" s="1"/>
  <c r="AE125" i="2"/>
  <c r="AA125" i="2"/>
  <c r="Z125" i="2"/>
  <c r="AE124" i="2"/>
  <c r="Z124" i="2"/>
  <c r="AA124" i="2" s="1"/>
  <c r="AE123" i="2"/>
  <c r="Z123" i="2"/>
  <c r="AA123" i="2" s="1"/>
  <c r="AE122" i="2"/>
  <c r="Z122" i="2"/>
  <c r="AA122" i="2" s="1"/>
  <c r="AE121" i="2"/>
  <c r="Z121" i="2"/>
  <c r="AA121" i="2" s="1"/>
  <c r="AE120" i="2"/>
  <c r="AA120" i="2"/>
  <c r="Z120" i="2"/>
  <c r="AE119" i="2"/>
  <c r="Z119" i="2"/>
  <c r="AA119" i="2" s="1"/>
  <c r="AE118" i="2"/>
  <c r="Z118" i="2"/>
  <c r="AA118" i="2" s="1"/>
  <c r="AE117" i="2"/>
  <c r="Z117" i="2"/>
  <c r="AA117" i="2" s="1"/>
  <c r="AE116" i="2"/>
  <c r="Z116" i="2"/>
  <c r="AA116" i="2" s="1"/>
  <c r="AE115" i="2"/>
  <c r="Z115" i="2"/>
  <c r="AA115" i="2" s="1"/>
  <c r="AE114" i="2"/>
  <c r="Z114" i="2"/>
  <c r="AA114" i="2" s="1"/>
  <c r="AE113" i="2"/>
  <c r="Z113" i="2"/>
  <c r="AA113" i="2" s="1"/>
  <c r="AE112" i="2"/>
  <c r="AA112" i="2"/>
  <c r="Z112" i="2"/>
  <c r="AE111" i="2"/>
  <c r="Z111" i="2"/>
  <c r="AA111" i="2" s="1"/>
  <c r="AE110" i="2"/>
  <c r="Z110" i="2"/>
  <c r="AA110" i="2" s="1"/>
  <c r="AE109" i="2"/>
  <c r="AA109" i="2"/>
  <c r="Z109" i="2"/>
  <c r="AE108" i="2"/>
  <c r="Z108" i="2"/>
  <c r="AA108" i="2" s="1"/>
  <c r="AE107" i="2"/>
  <c r="Z107" i="2"/>
  <c r="AA107" i="2" s="1"/>
  <c r="AE106" i="2"/>
  <c r="Z106" i="2"/>
  <c r="AA106" i="2" s="1"/>
  <c r="AE105" i="2"/>
  <c r="Z105" i="2"/>
  <c r="AA105" i="2" s="1"/>
  <c r="AE104" i="2"/>
  <c r="Z104" i="2"/>
  <c r="AA104" i="2" s="1"/>
  <c r="AE103" i="2"/>
  <c r="Z103" i="2"/>
  <c r="AA103" i="2" s="1"/>
  <c r="AE102" i="2"/>
  <c r="Z102" i="2"/>
  <c r="AA102" i="2" s="1"/>
  <c r="AE101" i="2"/>
  <c r="Z101" i="2"/>
  <c r="AA101" i="2" s="1"/>
  <c r="AE100" i="2"/>
  <c r="Z100" i="2"/>
  <c r="AA100" i="2" s="1"/>
  <c r="AE99" i="2"/>
  <c r="Z99" i="2"/>
  <c r="AA99" i="2" s="1"/>
  <c r="AE98" i="2"/>
  <c r="Z98" i="2"/>
  <c r="AA98" i="2" s="1"/>
  <c r="AE97" i="2"/>
  <c r="Z97" i="2"/>
  <c r="AA97" i="2" s="1"/>
  <c r="AE96" i="2"/>
  <c r="AA96" i="2"/>
  <c r="Z96" i="2"/>
  <c r="AE95" i="2"/>
  <c r="Z95" i="2"/>
  <c r="AA95" i="2" s="1"/>
  <c r="AE94" i="2"/>
  <c r="Z94" i="2"/>
  <c r="AA94" i="2" s="1"/>
  <c r="AE93" i="2"/>
  <c r="AA93" i="2"/>
  <c r="Z93" i="2"/>
  <c r="AE92" i="2"/>
  <c r="Z92" i="2"/>
  <c r="AA92" i="2" s="1"/>
  <c r="AE91" i="2"/>
  <c r="Z91" i="2"/>
  <c r="AA91" i="2" s="1"/>
  <c r="AE90" i="2"/>
  <c r="Z90" i="2"/>
  <c r="AA90" i="2" s="1"/>
  <c r="AE89" i="2"/>
  <c r="Z89" i="2"/>
  <c r="AA89" i="2" s="1"/>
  <c r="AE88" i="2"/>
  <c r="AA88" i="2"/>
  <c r="Z88" i="2"/>
  <c r="AE87" i="2"/>
  <c r="Z87" i="2"/>
  <c r="AA87" i="2" s="1"/>
  <c r="AE86" i="2"/>
  <c r="Z86" i="2"/>
  <c r="AA86" i="2" s="1"/>
  <c r="AE85" i="2"/>
  <c r="Z85" i="2"/>
  <c r="AA85" i="2" s="1"/>
  <c r="AE84" i="2"/>
  <c r="Z84" i="2"/>
  <c r="AA84" i="2" s="1"/>
  <c r="AE83" i="2"/>
  <c r="Z83" i="2"/>
  <c r="AA83" i="2" s="1"/>
  <c r="AE82" i="2"/>
  <c r="Z82" i="2"/>
  <c r="AA82" i="2" s="1"/>
  <c r="AE81" i="2"/>
  <c r="Z81" i="2"/>
  <c r="AA81" i="2" s="1"/>
  <c r="AE80" i="2"/>
  <c r="AA80" i="2"/>
  <c r="Z80" i="2"/>
  <c r="AE79" i="2"/>
  <c r="Z79" i="2"/>
  <c r="AA79" i="2" s="1"/>
  <c r="AE78" i="2"/>
  <c r="Z78" i="2"/>
  <c r="AA78" i="2" s="1"/>
  <c r="AE77" i="2"/>
  <c r="AA77" i="2"/>
  <c r="Z77" i="2"/>
  <c r="AE76" i="2"/>
  <c r="Z76" i="2"/>
  <c r="AA76" i="2" s="1"/>
  <c r="AE75" i="2"/>
  <c r="Z75" i="2"/>
  <c r="AA75" i="2" s="1"/>
  <c r="AE74" i="2"/>
  <c r="Z74" i="2"/>
  <c r="AA74" i="2" s="1"/>
  <c r="AE73" i="2"/>
  <c r="Z73" i="2"/>
  <c r="AA73" i="2" s="1"/>
  <c r="AE72" i="2"/>
  <c r="Z72" i="2"/>
  <c r="AA72" i="2" s="1"/>
  <c r="AE71" i="2"/>
  <c r="AA71" i="2"/>
  <c r="Z71" i="2"/>
  <c r="AE70" i="2"/>
  <c r="Z70" i="2"/>
  <c r="AA70" i="2" s="1"/>
  <c r="AE69" i="2"/>
  <c r="Z69" i="2"/>
  <c r="AA69" i="2" s="1"/>
  <c r="AE68" i="2"/>
  <c r="Z68" i="2"/>
  <c r="AA68" i="2" s="1"/>
  <c r="AE67" i="2"/>
  <c r="Z67" i="2"/>
  <c r="AA67" i="2" s="1"/>
  <c r="AE66" i="2"/>
  <c r="Z66" i="2"/>
  <c r="AA66" i="2" s="1"/>
  <c r="AE65" i="2"/>
  <c r="Z65" i="2"/>
  <c r="AA65" i="2" s="1"/>
  <c r="AE64" i="2"/>
  <c r="AA64" i="2"/>
  <c r="Z64" i="2"/>
  <c r="AE63" i="2"/>
  <c r="Z63" i="2"/>
  <c r="AA63" i="2" s="1"/>
  <c r="AE62" i="2"/>
  <c r="Z62" i="2"/>
  <c r="AA62" i="2" s="1"/>
  <c r="AE61" i="2"/>
  <c r="AA61" i="2"/>
  <c r="Z61" i="2"/>
  <c r="AE60" i="2"/>
  <c r="Z60" i="2"/>
  <c r="AA60" i="2" s="1"/>
  <c r="AE59" i="2"/>
  <c r="Z59" i="2"/>
  <c r="AA59" i="2" s="1"/>
  <c r="AE58" i="2"/>
  <c r="Z58" i="2"/>
  <c r="AA58" i="2" s="1"/>
  <c r="AE57" i="2"/>
  <c r="Z57" i="2"/>
  <c r="AA57" i="2" s="1"/>
  <c r="AE56" i="2"/>
  <c r="Z56" i="2"/>
  <c r="AA56" i="2" s="1"/>
  <c r="AE55" i="2"/>
  <c r="AA55" i="2"/>
  <c r="Z55" i="2"/>
  <c r="AE54" i="2"/>
  <c r="Z54" i="2"/>
  <c r="AA54" i="2" s="1"/>
  <c r="AE53" i="2"/>
  <c r="Z53" i="2"/>
  <c r="AA53" i="2" s="1"/>
  <c r="AE52" i="2"/>
  <c r="Z52" i="2"/>
  <c r="AA52" i="2" s="1"/>
  <c r="AE51" i="2"/>
  <c r="Z51" i="2"/>
  <c r="AA51" i="2" s="1"/>
  <c r="AE50" i="2"/>
  <c r="Z50" i="2"/>
  <c r="AA50" i="2" s="1"/>
  <c r="AE49" i="2"/>
  <c r="Z49" i="2"/>
  <c r="AA49" i="2" s="1"/>
  <c r="AE48" i="2"/>
  <c r="AA48" i="2"/>
  <c r="Z48" i="2"/>
  <c r="AE47" i="2"/>
  <c r="Z47" i="2"/>
  <c r="AA47" i="2" s="1"/>
  <c r="AE46" i="2"/>
  <c r="Z46" i="2"/>
  <c r="AA46" i="2" s="1"/>
  <c r="AE45" i="2"/>
  <c r="AA45" i="2"/>
  <c r="Z45" i="2"/>
  <c r="AE44" i="2"/>
  <c r="Z44" i="2"/>
  <c r="AA44" i="2" s="1"/>
  <c r="AE43" i="2"/>
  <c r="Z43" i="2"/>
  <c r="AA43" i="2" s="1"/>
  <c r="AE42" i="2"/>
  <c r="Z42" i="2"/>
  <c r="AA42" i="2" s="1"/>
  <c r="AE41" i="2"/>
  <c r="Z41" i="2"/>
  <c r="AA41" i="2" s="1"/>
  <c r="AE40" i="2"/>
  <c r="Z40" i="2"/>
  <c r="AA40" i="2" s="1"/>
  <c r="AE39" i="2"/>
  <c r="AA39" i="2"/>
  <c r="Z39" i="2"/>
  <c r="AE38" i="2"/>
  <c r="Z38" i="2"/>
  <c r="AA38" i="2" s="1"/>
  <c r="AE37" i="2"/>
  <c r="Z37" i="2"/>
  <c r="AA37" i="2" s="1"/>
  <c r="AE36" i="2"/>
  <c r="Z36" i="2"/>
  <c r="AA36" i="2" s="1"/>
  <c r="AE35" i="2"/>
  <c r="Z35" i="2"/>
  <c r="AA35" i="2" s="1"/>
  <c r="AE34" i="2"/>
  <c r="Z34" i="2"/>
  <c r="AA34" i="2" s="1"/>
  <c r="AE33" i="2"/>
  <c r="Z33" i="2"/>
  <c r="AA33" i="2" s="1"/>
  <c r="AE32" i="2"/>
  <c r="AA32" i="2"/>
  <c r="Z32" i="2"/>
  <c r="AE31" i="2"/>
  <c r="Z31" i="2"/>
  <c r="AA31" i="2" s="1"/>
  <c r="AE30" i="2"/>
  <c r="Z30" i="2"/>
  <c r="AA30" i="2" s="1"/>
  <c r="AE29" i="2"/>
  <c r="AA29" i="2"/>
  <c r="Z29" i="2"/>
  <c r="AE28" i="2"/>
  <c r="Z28" i="2"/>
  <c r="AA28" i="2" s="1"/>
  <c r="AE27" i="2"/>
  <c r="Z27" i="2"/>
  <c r="AA27" i="2" s="1"/>
  <c r="AE26" i="2"/>
  <c r="Z26" i="2"/>
  <c r="AA26" i="2" s="1"/>
  <c r="AE25" i="2"/>
  <c r="Z25" i="2"/>
  <c r="AA25" i="2" s="1"/>
  <c r="AE24" i="2"/>
  <c r="Z24" i="2"/>
  <c r="AA24" i="2" s="1"/>
  <c r="AE23" i="2"/>
  <c r="AA23" i="2"/>
  <c r="Z23" i="2"/>
  <c r="AE22" i="2"/>
  <c r="Z22" i="2"/>
  <c r="AA22" i="2" s="1"/>
  <c r="AE21" i="2"/>
  <c r="Z21" i="2"/>
  <c r="AA21" i="2" s="1"/>
  <c r="AE20" i="2"/>
  <c r="Z20" i="2"/>
  <c r="AA20" i="2" s="1"/>
  <c r="AE19" i="2"/>
  <c r="Z19" i="2"/>
  <c r="AA19" i="2" s="1"/>
  <c r="AE18" i="2"/>
  <c r="Z18" i="2"/>
  <c r="AA18" i="2" s="1"/>
  <c r="AE17" i="2"/>
  <c r="Z17" i="2"/>
  <c r="AA17" i="2" s="1"/>
  <c r="AE16" i="2"/>
  <c r="AA16" i="2"/>
  <c r="Z16" i="2"/>
  <c r="AE15" i="2"/>
  <c r="Z15" i="2"/>
  <c r="AA15" i="2" s="1"/>
  <c r="AE14" i="2"/>
  <c r="Z14" i="2"/>
  <c r="AA14" i="2" s="1"/>
  <c r="AE13" i="2"/>
  <c r="AA13" i="2"/>
  <c r="Z13" i="2"/>
  <c r="AE12" i="2"/>
  <c r="Z12" i="2"/>
  <c r="AA12" i="2" s="1"/>
  <c r="AE11" i="2"/>
  <c r="Z11" i="2"/>
  <c r="AA11" i="2" s="1"/>
  <c r="AE10" i="2"/>
  <c r="Z10" i="2"/>
  <c r="AA10" i="2" s="1"/>
  <c r="AE9" i="2"/>
  <c r="Z9" i="2"/>
  <c r="AA9" i="2" s="1"/>
  <c r="AE8" i="2"/>
  <c r="Z8" i="2"/>
  <c r="AA8" i="2" s="1"/>
  <c r="AE7" i="2"/>
  <c r="AA7" i="2"/>
  <c r="Z7" i="2"/>
  <c r="AE6" i="2"/>
  <c r="Z6" i="2"/>
  <c r="AA6" i="2" s="1"/>
  <c r="AE5" i="2"/>
  <c r="Z5" i="2"/>
  <c r="AA5" i="2" s="1"/>
  <c r="AE4" i="2"/>
  <c r="Z4" i="2"/>
  <c r="AA4" i="2" s="1"/>
  <c r="AE3" i="2"/>
  <c r="Z3" i="2"/>
  <c r="AA3" i="2" s="1"/>
  <c r="AE2" i="2"/>
  <c r="Z2" i="2"/>
  <c r="AA2" i="2" s="1"/>
  <c r="F220" i="1"/>
  <c r="F219" i="1"/>
  <c r="E186" i="1"/>
  <c r="E187" i="1" s="1"/>
  <c r="AC180" i="1"/>
  <c r="R180" i="1"/>
  <c r="AI180" i="1"/>
  <c r="Z176" i="1"/>
  <c r="G176" i="1"/>
  <c r="D176" i="1"/>
  <c r="G175" i="1"/>
  <c r="AC175" i="1"/>
  <c r="F175" i="1" s="1"/>
  <c r="Z175" i="1"/>
  <c r="D175" i="1"/>
  <c r="G174" i="1"/>
  <c r="V174" i="1" s="1"/>
  <c r="AI174" i="1"/>
  <c r="AH174" i="1" s="1"/>
  <c r="AC174" i="1"/>
  <c r="D174" i="1"/>
  <c r="G173" i="1"/>
  <c r="V173" i="1" s="1"/>
  <c r="AI173" i="1"/>
  <c r="AH173" i="1" s="1"/>
  <c r="AC173" i="1"/>
  <c r="D173" i="1"/>
  <c r="AJ172" i="1"/>
  <c r="AJ173" i="1" s="1"/>
  <c r="AJ174" i="1" s="1"/>
  <c r="G172" i="1"/>
  <c r="AI172" i="1"/>
  <c r="AH172" i="1" s="1"/>
  <c r="AC172" i="1"/>
  <c r="V172" i="1"/>
  <c r="D172" i="1"/>
  <c r="G171" i="1"/>
  <c r="V171" i="1" s="1"/>
  <c r="Q171" i="1"/>
  <c r="P171" i="1"/>
  <c r="D171" i="1"/>
  <c r="G170" i="1"/>
  <c r="V170" i="1" s="1"/>
  <c r="AC170" i="1"/>
  <c r="F170" i="1" s="1" a="1"/>
  <c r="K170" i="1"/>
  <c r="D170" i="1"/>
  <c r="AC169" i="1"/>
  <c r="V169" i="1"/>
  <c r="D169" i="1"/>
  <c r="P168" i="1"/>
  <c r="K168" i="1"/>
  <c r="D168" i="1"/>
  <c r="D167" i="1"/>
  <c r="V166" i="1"/>
  <c r="D166" i="1"/>
  <c r="AH165" i="1"/>
  <c r="D165" i="1"/>
  <c r="AC164" i="1"/>
  <c r="D164" i="1"/>
  <c r="Q163" i="1"/>
  <c r="P163" i="1"/>
  <c r="D163" i="1"/>
  <c r="AH162" i="1"/>
  <c r="D162" i="1"/>
  <c r="AC161" i="1"/>
  <c r="D161" i="1"/>
  <c r="K161" i="1"/>
  <c r="P160" i="1"/>
  <c r="D160" i="1"/>
  <c r="AC159" i="1"/>
  <c r="D159" i="1"/>
  <c r="AC158" i="1"/>
  <c r="V158" i="1"/>
  <c r="Q158" i="1"/>
  <c r="D158" i="1"/>
  <c r="AC157" i="1"/>
  <c r="K157" i="1"/>
  <c r="D157" i="1"/>
  <c r="AC156" i="1"/>
  <c r="D156" i="1"/>
  <c r="Q155" i="1"/>
  <c r="D155" i="1"/>
  <c r="AH154" i="1"/>
  <c r="AC154" i="1"/>
  <c r="D154" i="1"/>
  <c r="AC153" i="1"/>
  <c r="V153" i="1"/>
  <c r="D153" i="1"/>
  <c r="P152" i="1"/>
  <c r="K152" i="1"/>
  <c r="D152" i="1"/>
  <c r="D151" i="1"/>
  <c r="V150" i="1"/>
  <c r="D150" i="1"/>
  <c r="AC149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AH128" i="1"/>
  <c r="S125" i="1"/>
  <c r="FT44" i="1"/>
  <c r="GC41" i="1" s="1"/>
  <c r="FH44" i="1"/>
  <c r="AB40" i="1"/>
  <c r="AC40" i="1" s="1"/>
  <c r="AD40" i="1" s="1"/>
  <c r="AE40" i="1" s="1"/>
  <c r="AF40" i="1" s="1"/>
  <c r="AG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G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T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CG40" i="1" s="1"/>
  <c r="CH40" i="1" s="1"/>
  <c r="CI40" i="1" s="1"/>
  <c r="CJ40" i="1" s="1"/>
  <c r="CK40" i="1" s="1"/>
  <c r="CL40" i="1" s="1"/>
  <c r="CM40" i="1" s="1"/>
  <c r="CN40" i="1" s="1"/>
  <c r="CO40" i="1" s="1"/>
  <c r="CP40" i="1" s="1"/>
  <c r="CQ40" i="1" s="1"/>
  <c r="CR40" i="1" s="1"/>
  <c r="CS40" i="1" s="1"/>
  <c r="CT40" i="1" s="1"/>
  <c r="CU40" i="1" s="1"/>
  <c r="CV40" i="1" s="1"/>
  <c r="CW40" i="1" s="1"/>
  <c r="CX40" i="1" s="1"/>
  <c r="CY40" i="1" s="1"/>
  <c r="CZ40" i="1" s="1"/>
  <c r="DA40" i="1" s="1"/>
  <c r="DB40" i="1" s="1"/>
  <c r="DC40" i="1" s="1"/>
  <c r="DD40" i="1" s="1"/>
  <c r="DE40" i="1" s="1"/>
  <c r="DF40" i="1" s="1"/>
  <c r="DG40" i="1" s="1"/>
  <c r="DH40" i="1" s="1"/>
  <c r="DI40" i="1" s="1"/>
  <c r="DJ40" i="1" s="1"/>
  <c r="DK40" i="1" s="1"/>
  <c r="DL40" i="1" s="1"/>
  <c r="DM40" i="1" s="1"/>
  <c r="DN40" i="1" s="1"/>
  <c r="DO40" i="1" s="1"/>
  <c r="DP40" i="1" s="1"/>
  <c r="DQ40" i="1" s="1"/>
  <c r="DR40" i="1" s="1"/>
  <c r="DS40" i="1" s="1"/>
  <c r="DT40" i="1" s="1"/>
  <c r="DU40" i="1" s="1"/>
  <c r="DV40" i="1" s="1"/>
  <c r="DW40" i="1" s="1"/>
  <c r="DX40" i="1" s="1"/>
  <c r="DY40" i="1" s="1"/>
  <c r="DZ40" i="1" s="1"/>
  <c r="EA40" i="1" s="1"/>
  <c r="EB40" i="1" s="1"/>
  <c r="EC40" i="1" s="1"/>
  <c r="ED40" i="1" s="1"/>
  <c r="EE40" i="1" s="1"/>
  <c r="EF40" i="1" s="1"/>
  <c r="EG40" i="1" s="1"/>
  <c r="EH40" i="1" s="1"/>
  <c r="EI40" i="1" s="1"/>
  <c r="EJ40" i="1" s="1"/>
  <c r="EK40" i="1" s="1"/>
  <c r="EL40" i="1" s="1"/>
  <c r="EM40" i="1" s="1"/>
  <c r="EN40" i="1" s="1"/>
  <c r="EO40" i="1" s="1"/>
  <c r="EP40" i="1" s="1"/>
  <c r="EQ40" i="1" s="1"/>
  <c r="ER40" i="1" s="1"/>
  <c r="ES40" i="1" s="1"/>
  <c r="ET40" i="1" s="1"/>
  <c r="EU40" i="1" s="1"/>
  <c r="EV40" i="1" s="1"/>
  <c r="EW40" i="1" s="1"/>
  <c r="EX40" i="1" s="1"/>
  <c r="EY40" i="1" s="1"/>
  <c r="EZ40" i="1" s="1"/>
  <c r="FA40" i="1" s="1"/>
  <c r="FB40" i="1" s="1"/>
  <c r="FC40" i="1" s="1"/>
  <c r="FD40" i="1" s="1"/>
  <c r="FE40" i="1" s="1"/>
  <c r="FF40" i="1" s="1"/>
  <c r="FG40" i="1" s="1"/>
  <c r="FH40" i="1" s="1"/>
  <c r="FI40" i="1" s="1"/>
  <c r="FJ40" i="1" s="1"/>
  <c r="FK40" i="1" s="1"/>
  <c r="FL40" i="1" s="1"/>
  <c r="FM40" i="1" s="1"/>
  <c r="FN40" i="1" s="1"/>
  <c r="FO40" i="1" s="1"/>
  <c r="FP40" i="1" s="1"/>
  <c r="FQ40" i="1" s="1"/>
  <c r="FR40" i="1" s="1"/>
  <c r="FS40" i="1" s="1"/>
  <c r="FT40" i="1" s="1"/>
  <c r="FU40" i="1" s="1"/>
  <c r="FV40" i="1" s="1"/>
  <c r="FW40" i="1" s="1"/>
  <c r="FX40" i="1" s="1"/>
  <c r="FY40" i="1" s="1"/>
  <c r="FZ40" i="1" s="1"/>
  <c r="GA40" i="1" s="1"/>
  <c r="GB40" i="1" s="1"/>
  <c r="GC40" i="1" s="1"/>
  <c r="M40" i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Z36" i="1"/>
  <c r="Z35" i="1" s="1"/>
  <c r="AD35" i="1"/>
  <c r="AC35" i="1"/>
  <c r="AB35" i="1"/>
  <c r="AA35" i="1"/>
  <c r="M34" i="1"/>
  <c r="M33" i="1"/>
  <c r="X29" i="1"/>
  <c r="W29" i="1"/>
  <c r="V29" i="1"/>
  <c r="U29" i="1"/>
  <c r="T29" i="1"/>
  <c r="S29" i="1"/>
  <c r="Z28" i="1"/>
  <c r="Y29" i="1" s="1"/>
  <c r="Y28" i="1"/>
  <c r="X28" i="1"/>
  <c r="W28" i="1"/>
  <c r="V28" i="1"/>
  <c r="U28" i="1"/>
  <c r="T28" i="1"/>
  <c r="S28" i="1"/>
  <c r="R29" i="1" s="1"/>
  <c r="R28" i="1"/>
  <c r="Q29" i="1" s="1"/>
  <c r="Q28" i="1"/>
  <c r="P29" i="1" s="1"/>
  <c r="P28" i="1"/>
  <c r="O29" i="1" s="1"/>
  <c r="O28" i="1"/>
  <c r="N29" i="1" s="1"/>
  <c r="N28" i="1"/>
  <c r="M29" i="1" s="1"/>
  <c r="M28" i="1"/>
  <c r="AE27" i="1"/>
  <c r="AD27" i="1"/>
  <c r="AC27" i="1"/>
  <c r="AB27" i="1"/>
  <c r="AA27" i="1"/>
  <c r="Z27" i="1"/>
  <c r="AD25" i="1"/>
  <c r="AD33" i="1" s="1"/>
  <c r="AC25" i="1"/>
  <c r="AC33" i="1" s="1"/>
  <c r="AB25" i="1"/>
  <c r="AB33" i="1" s="1"/>
  <c r="AA25" i="1"/>
  <c r="AA33" i="1" s="1"/>
  <c r="Z25" i="1"/>
  <c r="Z33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M23" i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G21" i="1" a="1"/>
  <c r="V164" i="1" s="1"/>
  <c r="F21" i="1" a="1"/>
  <c r="Q174" i="1" s="1"/>
  <c r="FC17" i="1"/>
  <c r="Y27" i="1" s="1"/>
  <c r="FB17" i="1"/>
  <c r="X27" i="1" s="1"/>
  <c r="I196" i="1" l="1"/>
  <c r="I195" i="1"/>
  <c r="K163" i="1"/>
  <c r="I164" i="3"/>
  <c r="H196" i="1"/>
  <c r="I155" i="3"/>
  <c r="K154" i="1"/>
  <c r="I163" i="3"/>
  <c r="K162" i="1"/>
  <c r="K169" i="1"/>
  <c r="I170" i="3"/>
  <c r="I157" i="3"/>
  <c r="K156" i="1"/>
  <c r="I156" i="3"/>
  <c r="K155" i="1"/>
  <c r="D196" i="1"/>
  <c r="D195" i="1"/>
  <c r="C196" i="1"/>
  <c r="C195" i="1"/>
  <c r="K171" i="1"/>
  <c r="I172" i="3"/>
  <c r="K164" i="1"/>
  <c r="I165" i="3"/>
  <c r="K172" i="1"/>
  <c r="I173" i="3"/>
  <c r="K165" i="1"/>
  <c r="I166" i="3"/>
  <c r="H184" i="1" a="1"/>
  <c r="H184" i="1" s="1"/>
  <c r="I159" i="3"/>
  <c r="K158" i="1"/>
  <c r="I174" i="3"/>
  <c r="K173" i="1"/>
  <c r="AA28" i="1"/>
  <c r="AB28" i="1" s="1"/>
  <c r="AC28" i="1" s="1"/>
  <c r="AD28" i="1" s="1"/>
  <c r="AE28" i="1" s="1"/>
  <c r="B200" i="1"/>
  <c r="B213" i="1" s="1"/>
  <c r="B220" i="1" s="1"/>
  <c r="H176" i="1"/>
  <c r="I152" i="3"/>
  <c r="K151" i="1"/>
  <c r="I167" i="3"/>
  <c r="K166" i="1"/>
  <c r="F174" i="1"/>
  <c r="F173" i="1"/>
  <c r="F172" i="1"/>
  <c r="F171" i="1"/>
  <c r="F170" i="1"/>
  <c r="B201" i="1"/>
  <c r="I160" i="3"/>
  <c r="K159" i="1"/>
  <c r="I168" i="3"/>
  <c r="K167" i="1"/>
  <c r="B202" i="1"/>
  <c r="K153" i="1"/>
  <c r="I154" i="3"/>
  <c r="I161" i="3"/>
  <c r="H195" i="1"/>
  <c r="L36" i="1"/>
  <c r="I162" i="3"/>
  <c r="Q132" i="1"/>
  <c r="Q134" i="1"/>
  <c r="Q136" i="1"/>
  <c r="Q138" i="1"/>
  <c r="Q140" i="1"/>
  <c r="Q142" i="1"/>
  <c r="Q144" i="1"/>
  <c r="Q146" i="1"/>
  <c r="Q148" i="1"/>
  <c r="AH149" i="1"/>
  <c r="Q152" i="1"/>
  <c r="P157" i="1"/>
  <c r="AH159" i="1"/>
  <c r="V163" i="1"/>
  <c r="Q168" i="1"/>
  <c r="P170" i="1"/>
  <c r="V132" i="1"/>
  <c r="V134" i="1"/>
  <c r="V136" i="1"/>
  <c r="V138" i="1"/>
  <c r="V140" i="1"/>
  <c r="V142" i="1"/>
  <c r="V144" i="1"/>
  <c r="V146" i="1"/>
  <c r="V148" i="1"/>
  <c r="V152" i="1"/>
  <c r="Q157" i="1"/>
  <c r="P162" i="1"/>
  <c r="AC163" i="1"/>
  <c r="AH164" i="1"/>
  <c r="V168" i="1"/>
  <c r="Q170" i="1"/>
  <c r="AC171" i="1"/>
  <c r="AH124" i="1"/>
  <c r="AH127" i="1"/>
  <c r="AH130" i="1"/>
  <c r="AH132" i="1"/>
  <c r="AH134" i="1"/>
  <c r="AH136" i="1"/>
  <c r="AH138" i="1"/>
  <c r="AH140" i="1"/>
  <c r="AH142" i="1"/>
  <c r="AH144" i="1"/>
  <c r="AH146" i="1"/>
  <c r="AC148" i="1"/>
  <c r="P151" i="1"/>
  <c r="AC152" i="1"/>
  <c r="AH153" i="1"/>
  <c r="V157" i="1"/>
  <c r="Q162" i="1"/>
  <c r="P167" i="1"/>
  <c r="AC168" i="1"/>
  <c r="AH169" i="1"/>
  <c r="FA17" i="1"/>
  <c r="AH121" i="1"/>
  <c r="Q151" i="1"/>
  <c r="P156" i="1"/>
  <c r="AH158" i="1"/>
  <c r="V162" i="1"/>
  <c r="Q167" i="1"/>
  <c r="V151" i="1"/>
  <c r="Q156" i="1"/>
  <c r="P161" i="1"/>
  <c r="AC162" i="1"/>
  <c r="AH163" i="1"/>
  <c r="V167" i="1"/>
  <c r="AH171" i="1"/>
  <c r="AH148" i="1"/>
  <c r="AC151" i="1"/>
  <c r="AH152" i="1"/>
  <c r="V156" i="1"/>
  <c r="Q161" i="1"/>
  <c r="P166" i="1"/>
  <c r="AC167" i="1"/>
  <c r="AH168" i="1"/>
  <c r="Q150" i="1"/>
  <c r="P155" i="1"/>
  <c r="AH157" i="1"/>
  <c r="V161" i="1"/>
  <c r="Q166" i="1"/>
  <c r="AH170" i="1"/>
  <c r="G187" i="1"/>
  <c r="AH122" i="1"/>
  <c r="AH125" i="1"/>
  <c r="Q131" i="1"/>
  <c r="Q133" i="1"/>
  <c r="Q135" i="1"/>
  <c r="Q137" i="1"/>
  <c r="Q139" i="1"/>
  <c r="Q141" i="1"/>
  <c r="Q143" i="1"/>
  <c r="Q145" i="1"/>
  <c r="Q147" i="1"/>
  <c r="AC150" i="1"/>
  <c r="AH151" i="1"/>
  <c r="V155" i="1"/>
  <c r="Q160" i="1"/>
  <c r="P165" i="1"/>
  <c r="AC166" i="1"/>
  <c r="AH167" i="1"/>
  <c r="V131" i="1"/>
  <c r="V133" i="1"/>
  <c r="V135" i="1"/>
  <c r="V137" i="1"/>
  <c r="V139" i="1"/>
  <c r="V141" i="1"/>
  <c r="V143" i="1"/>
  <c r="V145" i="1"/>
  <c r="V147" i="1"/>
  <c r="P154" i="1"/>
  <c r="AC155" i="1"/>
  <c r="AH156" i="1"/>
  <c r="V160" i="1"/>
  <c r="Q165" i="1"/>
  <c r="G21" i="1"/>
  <c r="G184" i="1" s="1"/>
  <c r="AH131" i="1"/>
  <c r="AH133" i="1"/>
  <c r="AH135" i="1"/>
  <c r="AH137" i="1"/>
  <c r="AH139" i="1"/>
  <c r="AH141" i="1"/>
  <c r="AH143" i="1"/>
  <c r="AH145" i="1"/>
  <c r="AH147" i="1"/>
  <c r="Q154" i="1"/>
  <c r="P159" i="1"/>
  <c r="AC160" i="1"/>
  <c r="AH161" i="1"/>
  <c r="V165" i="1"/>
  <c r="AC176" i="1"/>
  <c r="F176" i="1" s="1"/>
  <c r="Q149" i="1"/>
  <c r="AH150" i="1"/>
  <c r="V154" i="1"/>
  <c r="Q159" i="1"/>
  <c r="P164" i="1"/>
  <c r="AC165" i="1"/>
  <c r="AH166" i="1"/>
  <c r="AH129" i="1"/>
  <c r="V149" i="1"/>
  <c r="P153" i="1"/>
  <c r="AH155" i="1"/>
  <c r="V159" i="1"/>
  <c r="Q164" i="1"/>
  <c r="P169" i="1"/>
  <c r="P172" i="1"/>
  <c r="P173" i="1"/>
  <c r="P174" i="1"/>
  <c r="F21" i="1"/>
  <c r="AH123" i="1"/>
  <c r="AH126" i="1"/>
  <c r="Q153" i="1"/>
  <c r="P158" i="1"/>
  <c r="AH160" i="1"/>
  <c r="Q169" i="1"/>
  <c r="Q172" i="1"/>
  <c r="Q173" i="1"/>
  <c r="B210" i="1" l="1"/>
  <c r="B209" i="1"/>
  <c r="B219" i="1" s="1"/>
  <c r="W27" i="1"/>
  <c r="EZ17" i="1"/>
  <c r="B207" i="1"/>
  <c r="B206" i="1"/>
  <c r="G15" i="1"/>
  <c r="G2" i="1"/>
  <c r="G5" i="1"/>
  <c r="G8" i="1"/>
  <c r="G18" i="1"/>
  <c r="G11" i="1"/>
  <c r="G14" i="1"/>
  <c r="G4" i="1"/>
  <c r="G10" i="1"/>
  <c r="G7" i="1"/>
  <c r="G20" i="1"/>
  <c r="G13" i="1"/>
  <c r="G16" i="1"/>
  <c r="G3" i="1"/>
  <c r="G6" i="1"/>
  <c r="G17" i="1"/>
  <c r="G19" i="1"/>
  <c r="G1" i="1"/>
  <c r="G9" i="1"/>
  <c r="G12" i="1"/>
  <c r="K178" i="1"/>
  <c r="EY17" i="1" l="1"/>
  <c r="V27" i="1"/>
  <c r="EX17" i="1" l="1"/>
  <c r="U27" i="1"/>
  <c r="T27" i="1" l="1"/>
  <c r="EW17" i="1"/>
  <c r="S27" i="1" l="1"/>
  <c r="EV17" i="1"/>
  <c r="EU17" i="1" l="1"/>
  <c r="R27" i="1"/>
  <c r="ET17" i="1" l="1"/>
  <c r="Q27" i="1"/>
  <c r="P27" i="1" l="1"/>
  <c r="ES17" i="1"/>
  <c r="O27" i="1" l="1"/>
  <c r="ER17" i="1"/>
  <c r="N27" i="1" l="1"/>
  <c r="EQ17" i="1"/>
  <c r="M2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<sst xmlns="http://schemas.openxmlformats.org/spreadsheetml/2006/main" count="106" uniqueCount="99">
  <si>
    <t>Zanna 2018</t>
  </si>
  <si>
    <t>https://zenodo.org/records/4603700#.ZDuFNxXMI88</t>
  </si>
  <si>
    <t>Boyer NOAA</t>
  </si>
  <si>
    <t>heat_content_anomaly_0-2000_yearly.nc</t>
  </si>
  <si>
    <t>https://www.ncei.noaa.gov/products/climate-data-records/global-ocean-heat-content</t>
  </si>
  <si>
    <t>https://www.ncei.noaa.gov/data/oceans/ncei/archive/data/0164586/derived/</t>
  </si>
  <si>
    <t>Rep Zanna18</t>
  </si>
  <si>
    <t>much larger 2005-2018 in Boyer NOAA - nearly double</t>
  </si>
  <si>
    <t>Confirmed in AR6 fig 2.26</t>
  </si>
  <si>
    <t>GloSSAC</t>
  </si>
  <si>
    <t>EN4c14</t>
  </si>
  <si>
    <t>IAP</t>
  </si>
  <si>
    <t>GCOS</t>
  </si>
  <si>
    <t>transposed on after 1980</t>
  </si>
  <si>
    <t>transposed on after 1995</t>
  </si>
  <si>
    <t>https://www.metoffice.gov.uk/hadobs/hadcrut5/data/HadCRUT.5.0.2.0/download.html</t>
  </si>
  <si>
    <t>https://github.com/ClimateIndicator/forcing-timeseries/tree/main/output</t>
  </si>
  <si>
    <t>https://data.giss.nasa.gov/modelforce/strataer/tau.line_2012.12.txt</t>
  </si>
  <si>
    <t>stdev</t>
  </si>
  <si>
    <t>https://www.ncei.noaa.gov/data/total-solar-irradiance/access/yearly/</t>
  </si>
  <si>
    <r>
      <t>AOD</t>
    </r>
    <r>
      <rPr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 xml:space="preserve"> at 550nm</t>
    </r>
  </si>
  <si>
    <t>see my version</t>
  </si>
  <si>
    <t>upper-lower</t>
  </si>
  <si>
    <t>before 1870</t>
  </si>
  <si>
    <t xml:space="preserve">GloSSAC_V2 satellite measurement product </t>
  </si>
  <si>
    <t>eg: 2022</t>
  </si>
  <si>
    <t>70 to 89 avg</t>
  </si>
  <si>
    <t>found avg trend</t>
  </si>
  <si>
    <t>mona loa</t>
  </si>
  <si>
    <t>1979 – 2023</t>
  </si>
  <si>
    <t>inferred</t>
  </si>
  <si>
    <t>https://asdc.larc.nasa.gov/project/GloSSAC/GloSSAC_2.0</t>
  </si>
  <si>
    <t>after 2018</t>
  </si>
  <si>
    <r>
      <t>AOD</t>
    </r>
    <r>
      <rPr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 xml:space="preserve"> at 525nm</t>
    </r>
  </si>
  <si>
    <t>change from</t>
  </si>
  <si>
    <t>09 to 18 avg</t>
  </si>
  <si>
    <t>must run ncl</t>
  </si>
  <si>
    <t>averaging script</t>
  </si>
  <si>
    <t>*1000</t>
  </si>
  <si>
    <t>last year guess - average of prior 10</t>
  </si>
  <si>
    <t>1951-1980</t>
  </si>
  <si>
    <t>1961-1990</t>
  </si>
  <si>
    <t>1981-2010</t>
  </si>
  <si>
    <t>GMST (°C)</t>
  </si>
  <si>
    <t>eCO2 (ppm)</t>
  </si>
  <si>
    <t>AOD ×1000</t>
  </si>
  <si>
    <t>GMST SE (°C)</t>
  </si>
  <si>
    <t>OHCA (ZJ)</t>
  </si>
  <si>
    <t>OHCA SE (ZJ)</t>
  </si>
  <si>
    <t>ARI + ACI (W/m²)</t>
  </si>
  <si>
    <t>TSI / 4 (W/m²)</t>
  </si>
  <si>
    <t>HadCRUT5.1</t>
  </si>
  <si>
    <t>ERF 2024</t>
  </si>
  <si>
    <t>GISS / GloSSAC</t>
  </si>
  <si>
    <t>Zanna / IAP</t>
  </si>
  <si>
    <t>CDR annual</t>
  </si>
  <si>
    <t>Frozen 9c export: A1:I176, annual 1850–2025. B/E use HadCRUT5.1; E and G are standard errors, not variances.</t>
  </si>
  <si>
    <t>H through 2024 links to authoritative AE (ARI + ACI) of ERF_best_aggregates_1750-2024.xlsx, copied with formulas into ERF source.</t>
  </si>
  <si>
    <t>H for 2025 is estimated by ordinary least-squares continuation of the previous ten years, 2015–2024. Formula in H176 uses SLOPE and INTERCEPT on H166:H175 against A166:A175.</t>
  </si>
  <si>
    <t>C through 2024 retains the source equivalent-CO2 formula. C2025 extrapolates the annual eCO2/observed-CO2 ratio over 2000–2024, multiplied by the existing observed CO2 value for 2025 (427.35 ppm).</t>
  </si>
  <si>
    <t>F/G from 1997 use IAP observations. F applies the original five-year 1992–1996 overlap adjustment (AC); G uses IAP SE (AE). The dashboard OHC ensemble remains separate.</t>
  </si>
  <si>
    <t>D2024–2025 uses GloSSAC v2.24 monthly 525 nm AOD, annualized with the original latitude weights, rounded to six decimals, multiplied by 1000 and then 0.897 once.</t>
  </si>
  <si>
    <t>I preserves 9a through 2022. 2023–2025 use full calendar-year TSI from local CDR v03 annual series, divided by four once, without a year shift.</t>
  </si>
  <si>
    <t>Sources: Common_Data/HadCRUT.5.1.csv; OHC_ensemble/observ_late/IAP/ohca_IAP.csv; Corrigendum_2026-10-13/code/GloSSAC_V2.24_NC4.nc.</t>
  </si>
  <si>
    <t>Solar source: Methods/43_Forcing_Based/1_ERF_FaIR/data_input_forcings/tsi_cdr_yearly.csv. Observed CO2 extension values retained from toyKFmodelData8c_locs.xlsx.</t>
  </si>
  <si>
    <t>Existing original calculation notes and charts are retained. This workbook is the calculation source; toyKFmodelData9c.csv is its frozen numeric export.</t>
  </si>
  <si>
    <t>CO2</t>
  </si>
  <si>
    <t>CH4</t>
  </si>
  <si>
    <t>N2O</t>
  </si>
  <si>
    <t>aerosol-radiation_interactions</t>
  </si>
  <si>
    <t>aerosol-cloud_interactions</t>
  </si>
  <si>
    <t>O3</t>
  </si>
  <si>
    <t>contrails</t>
  </si>
  <si>
    <t>land_use</t>
  </si>
  <si>
    <t>BC_on_snow</t>
  </si>
  <si>
    <t>H2O_stratospheric</t>
  </si>
  <si>
    <t>solar</t>
  </si>
  <si>
    <t>volcanic</t>
  </si>
  <si>
    <t>aerosol</t>
  </si>
  <si>
    <t>nonco2wmghg</t>
  </si>
  <si>
    <t>halogen</t>
  </si>
  <si>
    <t>anthro</t>
  </si>
  <si>
    <t>total</t>
  </si>
  <si>
    <t>minor</t>
  </si>
  <si>
    <t>anthro no aerosol</t>
  </si>
  <si>
    <t>eCO2 conc</t>
  </si>
  <si>
    <t>anthro_cloud+radiation</t>
  </si>
  <si>
    <t>Not really analagous to the TOA calcuation</t>
  </si>
  <si>
    <t>Source: /Users/JohnMatthew/Dropbox/KalmanFilterPython/ERF_best_aggregates_1750-2024.xlsx; AE is authoritative for H.</t>
  </si>
  <si>
    <t>Year</t>
  </si>
  <si>
    <t>HadCRUT5.1 anomaly (°C)</t>
  </si>
  <si>
    <t>Temperature SE (°C)</t>
  </si>
  <si>
    <t>IAP 0–6000 m (ZJ)</t>
  </si>
  <si>
    <t>IAP SE (ZJ)</t>
  </si>
  <si>
    <t>Annual TSI (W/m²)</t>
  </si>
  <si>
    <t>525 nm AOD ×1000</t>
  </si>
  <si>
    <t>Observed CO2 (ppm)</t>
  </si>
  <si>
    <t>eCO2 / CO2</t>
  </si>
  <si>
    <t>ERF_best_1750-2024.csv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</si>
</sst>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Arial Unicode MS"/>
      <family val="2"/>
    </font>
    <font>
      <sz val="12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</patternFill>
    </fill>
    <fill>
      <patternFill patternType="solid">
        <fgColor rgb="FF234E5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18" fillId="0" borderId="0" xfId="42"/>
    <xf numFmtId="0" fontId="19" fillId="0" borderId="0" xfId="0" applyFont="1"/>
    <xf numFmtId="0" fontId="20" fillId="0" borderId="0" xfId="0" applyFont="1"/>
    <xf numFmtId="0" fontId="0" fillId="33" borderId="0" xfId="0" applyFill="1"/>
    <xf numFmtId="0" fontId="0" fillId="0" borderId="0" xfId="0" applyAlignment="1">
      <alignment wrapText="1"/>
    </xf>
    <xf numFmtId="1" fontId="0" fillId="0" borderId="0" xfId="0" applyNumberFormat="1"/>
    <xf numFmtId="164" fontId="21" fillId="0" borderId="0" xfId="0" applyNumberFormat="1" applyFont="1"/>
    <xf numFmtId="0" fontId="19" fillId="0" borderId="0" xfId="0" applyFont="1" applyAlignment="1">
      <alignment wrapText="1"/>
    </xf>
    <xf numFmtId="0" fontId="22" fillId="34" borderId="0" xfId="0" applyFont="1" applyFill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/>
  </cellXfs>
  <cellStyles count="43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Hyperlink" xfId="42" xr:uid="{00000000-0005-0000-0000-000021000000}"/>
    <cellStyle name="Input" xfId="9" xr:uid="{00000000-0005-0000-0000-000022000000}"/>
    <cellStyle name="Linked Cell" xfId="12" xr:uid="{00000000-0005-0000-0000-000023000000}"/>
    <cellStyle name="Neutral" xfId="8" xr:uid="{00000000-0005-0000-0000-000024000000}"/>
    <cellStyle name="Normal" xfId="0" builtinId="0"/>
    <cellStyle name="Note" xfId="15" xr:uid="{00000000-0005-0000-0000-000026000000}"/>
    <cellStyle name="Output" xfId="10" xr:uid="{00000000-0005-0000-0000-000027000000}"/>
    <cellStyle name="Title" xfId="1" xr:uid="{00000000-0005-0000-0000-000028000000}"/>
    <cellStyle name="Total" xfId="17" xr:uid="{00000000-0005-0000-0000-000029000000}"/>
    <cellStyle name="Warning Text" xfId="14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toyKFmodelData8c!$A$1:$A$174</c:f>
              <c:numCache>
                <c:formatCode>0</c:formatCode>
                <c:ptCount val="174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</c:numCache>
            </c:numRef>
          </c:xVal>
          <c:yVal>
            <c:numRef>
              <c:f>toyKFmodelData8c!$D$1:$D$174</c:f>
              <c:numCache>
                <c:formatCode>0.000000</c:formatCode>
                <c:ptCount val="174"/>
                <c:pt idx="0">
                  <c:v>3.6</c:v>
                </c:pt>
                <c:pt idx="1">
                  <c:v>2.5083333329999999</c:v>
                </c:pt>
                <c:pt idx="2">
                  <c:v>1.441666667</c:v>
                </c:pt>
                <c:pt idx="3">
                  <c:v>0.61666666699999995</c:v>
                </c:pt>
                <c:pt idx="4">
                  <c:v>0.28333333300000002</c:v>
                </c:pt>
                <c:pt idx="5">
                  <c:v>2.0333333329999999</c:v>
                </c:pt>
                <c:pt idx="6">
                  <c:v>38.658333329999998</c:v>
                </c:pt>
                <c:pt idx="7">
                  <c:v>60.166666669999998</c:v>
                </c:pt>
                <c:pt idx="8">
                  <c:v>29</c:v>
                </c:pt>
                <c:pt idx="9">
                  <c:v>11.18333333</c:v>
                </c:pt>
                <c:pt idx="10">
                  <c:v>4.5916666670000001</c:v>
                </c:pt>
                <c:pt idx="11">
                  <c:v>3.4083333329999999</c:v>
                </c:pt>
                <c:pt idx="12">
                  <c:v>13.65833333</c:v>
                </c:pt>
                <c:pt idx="13">
                  <c:v>10.016666669999999</c:v>
                </c:pt>
                <c:pt idx="14">
                  <c:v>4.6333333330000004</c:v>
                </c:pt>
                <c:pt idx="15">
                  <c:v>2</c:v>
                </c:pt>
                <c:pt idx="16">
                  <c:v>0.82499999999999996</c:v>
                </c:pt>
                <c:pt idx="17">
                  <c:v>0.366666667</c:v>
                </c:pt>
                <c:pt idx="18">
                  <c:v>0.20833333300000001</c:v>
                </c:pt>
                <c:pt idx="19">
                  <c:v>0.6</c:v>
                </c:pt>
                <c:pt idx="20">
                  <c:v>0.60833333300000003</c:v>
                </c:pt>
                <c:pt idx="21">
                  <c:v>0.59166666700000003</c:v>
                </c:pt>
                <c:pt idx="22">
                  <c:v>1.316666667</c:v>
                </c:pt>
                <c:pt idx="23">
                  <c:v>3.0083333329999999</c:v>
                </c:pt>
                <c:pt idx="24">
                  <c:v>1.9583333329999999</c:v>
                </c:pt>
                <c:pt idx="25">
                  <c:v>1.2916666670000001</c:v>
                </c:pt>
                <c:pt idx="26">
                  <c:v>6.2</c:v>
                </c:pt>
                <c:pt idx="27">
                  <c:v>5.266666667</c:v>
                </c:pt>
                <c:pt idx="28">
                  <c:v>3.1583333329999999</c:v>
                </c:pt>
                <c:pt idx="29">
                  <c:v>2</c:v>
                </c:pt>
                <c:pt idx="30">
                  <c:v>1.141666667</c:v>
                </c:pt>
                <c:pt idx="31">
                  <c:v>0.66666666699999999</c:v>
                </c:pt>
                <c:pt idx="32">
                  <c:v>0.57499999999999996</c:v>
                </c:pt>
                <c:pt idx="33">
                  <c:v>47.291666669999998</c:v>
                </c:pt>
                <c:pt idx="34">
                  <c:v>142.90833330000001</c:v>
                </c:pt>
                <c:pt idx="35">
                  <c:v>63.491666670000001</c:v>
                </c:pt>
                <c:pt idx="36">
                  <c:v>36.433333330000004</c:v>
                </c:pt>
                <c:pt idx="37">
                  <c:v>37.108333330000001</c:v>
                </c:pt>
                <c:pt idx="38">
                  <c:v>21.858333330000001</c:v>
                </c:pt>
                <c:pt idx="39">
                  <c:v>28.533333330000001</c:v>
                </c:pt>
                <c:pt idx="40">
                  <c:v>39.125</c:v>
                </c:pt>
                <c:pt idx="41">
                  <c:v>29.975000000000001</c:v>
                </c:pt>
                <c:pt idx="42">
                  <c:v>21.658333330000001</c:v>
                </c:pt>
                <c:pt idx="43">
                  <c:v>9.4416666669999998</c:v>
                </c:pt>
                <c:pt idx="44">
                  <c:v>3.5333333329999999</c:v>
                </c:pt>
                <c:pt idx="45">
                  <c:v>1.3666666670000001</c:v>
                </c:pt>
                <c:pt idx="46">
                  <c:v>18.283333330000001</c:v>
                </c:pt>
                <c:pt idx="47">
                  <c:v>16.858333330000001</c:v>
                </c:pt>
                <c:pt idx="48">
                  <c:v>12.116666670000001</c:v>
                </c:pt>
                <c:pt idx="49">
                  <c:v>4.5583333330000002</c:v>
                </c:pt>
                <c:pt idx="50">
                  <c:v>1.7583333329999999</c:v>
                </c:pt>
                <c:pt idx="51">
                  <c:v>0.74166666699999995</c:v>
                </c:pt>
                <c:pt idx="52">
                  <c:v>20.2</c:v>
                </c:pt>
                <c:pt idx="53">
                  <c:v>71.516666670000006</c:v>
                </c:pt>
                <c:pt idx="54">
                  <c:v>31.791666670000001</c:v>
                </c:pt>
                <c:pt idx="55">
                  <c:v>12.574999999999999</c:v>
                </c:pt>
                <c:pt idx="56">
                  <c:v>7.25</c:v>
                </c:pt>
                <c:pt idx="57">
                  <c:v>9.1999999999999993</c:v>
                </c:pt>
                <c:pt idx="58">
                  <c:v>10.275</c:v>
                </c:pt>
                <c:pt idx="59">
                  <c:v>4.0083333330000004</c:v>
                </c:pt>
                <c:pt idx="60">
                  <c:v>3.125</c:v>
                </c:pt>
                <c:pt idx="61">
                  <c:v>1.675</c:v>
                </c:pt>
                <c:pt idx="62">
                  <c:v>19.3</c:v>
                </c:pt>
                <c:pt idx="63">
                  <c:v>24.083333329999999</c:v>
                </c:pt>
                <c:pt idx="64">
                  <c:v>9.9166666669999994</c:v>
                </c:pt>
                <c:pt idx="65">
                  <c:v>3.9416666669999998</c:v>
                </c:pt>
                <c:pt idx="66">
                  <c:v>2.7416666670000001</c:v>
                </c:pt>
                <c:pt idx="67">
                  <c:v>2.2250000000000001</c:v>
                </c:pt>
                <c:pt idx="68">
                  <c:v>1.95</c:v>
                </c:pt>
                <c:pt idx="69">
                  <c:v>2.0083333329999999</c:v>
                </c:pt>
                <c:pt idx="70">
                  <c:v>9.3583333329999991</c:v>
                </c:pt>
                <c:pt idx="71">
                  <c:v>7.6583333329999999</c:v>
                </c:pt>
                <c:pt idx="72">
                  <c:v>2.891666667</c:v>
                </c:pt>
                <c:pt idx="73">
                  <c:v>1.1166666670000001</c:v>
                </c:pt>
                <c:pt idx="74">
                  <c:v>3.4083333329999999</c:v>
                </c:pt>
                <c:pt idx="75">
                  <c:v>2.858333333</c:v>
                </c:pt>
                <c:pt idx="76">
                  <c:v>2.3416666670000001</c:v>
                </c:pt>
                <c:pt idx="77">
                  <c:v>1.5083333329999999</c:v>
                </c:pt>
                <c:pt idx="78">
                  <c:v>5.25</c:v>
                </c:pt>
                <c:pt idx="79">
                  <c:v>9.8249999999999993</c:v>
                </c:pt>
                <c:pt idx="80">
                  <c:v>6.2083333329999997</c:v>
                </c:pt>
                <c:pt idx="81">
                  <c:v>4.7</c:v>
                </c:pt>
                <c:pt idx="82">
                  <c:v>8.2416666670000005</c:v>
                </c:pt>
                <c:pt idx="83">
                  <c:v>6.6749999999999998</c:v>
                </c:pt>
                <c:pt idx="84">
                  <c:v>3.8</c:v>
                </c:pt>
                <c:pt idx="85">
                  <c:v>4.233333333</c:v>
                </c:pt>
                <c:pt idx="86">
                  <c:v>3.2583333329999999</c:v>
                </c:pt>
                <c:pt idx="87">
                  <c:v>2.8166666669999998</c:v>
                </c:pt>
                <c:pt idx="88">
                  <c:v>4.9083333329999999</c:v>
                </c:pt>
                <c:pt idx="89">
                  <c:v>4.0999999999999996</c:v>
                </c:pt>
                <c:pt idx="90">
                  <c:v>3.1916666669999998</c:v>
                </c:pt>
                <c:pt idx="91">
                  <c:v>1.941666667</c:v>
                </c:pt>
                <c:pt idx="92">
                  <c:v>4.2</c:v>
                </c:pt>
                <c:pt idx="93">
                  <c:v>4.375</c:v>
                </c:pt>
                <c:pt idx="94">
                  <c:v>2.35</c:v>
                </c:pt>
                <c:pt idx="95">
                  <c:v>2.2166666670000001</c:v>
                </c:pt>
                <c:pt idx="96">
                  <c:v>1.816666667</c:v>
                </c:pt>
                <c:pt idx="97">
                  <c:v>2.2833333329999999</c:v>
                </c:pt>
                <c:pt idx="98">
                  <c:v>1.7083333329999999</c:v>
                </c:pt>
                <c:pt idx="99">
                  <c:v>3.266666667</c:v>
                </c:pt>
                <c:pt idx="100">
                  <c:v>2.8666666670000001</c:v>
                </c:pt>
                <c:pt idx="101">
                  <c:v>1.9750000000000001</c:v>
                </c:pt>
                <c:pt idx="102">
                  <c:v>3.6749999999999998</c:v>
                </c:pt>
                <c:pt idx="103">
                  <c:v>3.391666667</c:v>
                </c:pt>
                <c:pt idx="104">
                  <c:v>3.608333333</c:v>
                </c:pt>
                <c:pt idx="105">
                  <c:v>1.8</c:v>
                </c:pt>
                <c:pt idx="106">
                  <c:v>1.1333333329999999</c:v>
                </c:pt>
                <c:pt idx="107">
                  <c:v>0.51666666699999997</c:v>
                </c:pt>
                <c:pt idx="108">
                  <c:v>0.25</c:v>
                </c:pt>
                <c:pt idx="109">
                  <c:v>0.2</c:v>
                </c:pt>
                <c:pt idx="110">
                  <c:v>4.6166666669999996</c:v>
                </c:pt>
                <c:pt idx="111">
                  <c:v>10.775</c:v>
                </c:pt>
                <c:pt idx="112">
                  <c:v>13.25</c:v>
                </c:pt>
                <c:pt idx="113">
                  <c:v>45.966666670000002</c:v>
                </c:pt>
                <c:pt idx="114">
                  <c:v>71.691666670000004</c:v>
                </c:pt>
                <c:pt idx="115">
                  <c:v>43.183333330000004</c:v>
                </c:pt>
                <c:pt idx="116">
                  <c:v>23.233333330000001</c:v>
                </c:pt>
                <c:pt idx="117">
                  <c:v>14.5</c:v>
                </c:pt>
                <c:pt idx="118">
                  <c:v>27.408333330000001</c:v>
                </c:pt>
                <c:pt idx="119">
                  <c:v>34.4</c:v>
                </c:pt>
                <c:pt idx="120">
                  <c:v>16.56666667</c:v>
                </c:pt>
                <c:pt idx="121">
                  <c:v>6.483333333</c:v>
                </c:pt>
                <c:pt idx="122">
                  <c:v>3.9249999999999998</c:v>
                </c:pt>
                <c:pt idx="123">
                  <c:v>7.7916666670000003</c:v>
                </c:pt>
                <c:pt idx="124">
                  <c:v>12.70833333</c:v>
                </c:pt>
                <c:pt idx="125">
                  <c:v>30.125</c:v>
                </c:pt>
                <c:pt idx="126">
                  <c:v>13.625</c:v>
                </c:pt>
                <c:pt idx="127">
                  <c:v>5.0916666670000001</c:v>
                </c:pt>
                <c:pt idx="128">
                  <c:v>7.5416666670000003</c:v>
                </c:pt>
                <c:pt idx="129">
                  <c:v>4.909281</c:v>
                </c:pt>
                <c:pt idx="130">
                  <c:v>6.851286</c:v>
                </c:pt>
                <c:pt idx="131">
                  <c:v>8.4192419999999988</c:v>
                </c:pt>
                <c:pt idx="132">
                  <c:v>25.977120000000003</c:v>
                </c:pt>
                <c:pt idx="133">
                  <c:v>43.255134000000005</c:v>
                </c:pt>
                <c:pt idx="134">
                  <c:v>25.451477999999998</c:v>
                </c:pt>
                <c:pt idx="135">
                  <c:v>12.705107999999999</c:v>
                </c:pt>
                <c:pt idx="136">
                  <c:v>14.297283</c:v>
                </c:pt>
                <c:pt idx="137">
                  <c:v>9.7019520000000004</c:v>
                </c:pt>
                <c:pt idx="138">
                  <c:v>7.1096219999999999</c:v>
                </c:pt>
                <c:pt idx="139">
                  <c:v>5.383794</c:v>
                </c:pt>
                <c:pt idx="140">
                  <c:v>5.7013319999999998</c:v>
                </c:pt>
                <c:pt idx="141">
                  <c:v>44.859867000000001</c:v>
                </c:pt>
                <c:pt idx="142">
                  <c:v>100.847019</c:v>
                </c:pt>
                <c:pt idx="143">
                  <c:v>50.434722000000001</c:v>
                </c:pt>
                <c:pt idx="144">
                  <c:v>16.094871000000001</c:v>
                </c:pt>
                <c:pt idx="145">
                  <c:v>7.8308100000000005</c:v>
                </c:pt>
                <c:pt idx="146">
                  <c:v>5.0079510000000003</c:v>
                </c:pt>
                <c:pt idx="147">
                  <c:v>4.0634100000000002</c:v>
                </c:pt>
                <c:pt idx="148">
                  <c:v>3.9674309999999999</c:v>
                </c:pt>
                <c:pt idx="149">
                  <c:v>3.8122500000000001</c:v>
                </c:pt>
                <c:pt idx="150">
                  <c:v>3.8032800000000004</c:v>
                </c:pt>
                <c:pt idx="151">
                  <c:v>3.9459029999999999</c:v>
                </c:pt>
                <c:pt idx="152">
                  <c:v>3.7467690000000005</c:v>
                </c:pt>
                <c:pt idx="153">
                  <c:v>4.4473259999999994</c:v>
                </c:pt>
                <c:pt idx="154">
                  <c:v>3.9781949999999999</c:v>
                </c:pt>
                <c:pt idx="155">
                  <c:v>5.4923310000000001</c:v>
                </c:pt>
                <c:pt idx="156">
                  <c:v>6.549894000000001</c:v>
                </c:pt>
                <c:pt idx="157">
                  <c:v>7.0450379999999999</c:v>
                </c:pt>
                <c:pt idx="158">
                  <c:v>6.0520590000000007</c:v>
                </c:pt>
                <c:pt idx="159">
                  <c:v>7.2791550000000003</c:v>
                </c:pt>
                <c:pt idx="160">
                  <c:v>5.8601009999999993</c:v>
                </c:pt>
                <c:pt idx="161">
                  <c:v>7.7626379999999999</c:v>
                </c:pt>
                <c:pt idx="162">
                  <c:v>5.9650499999999997</c:v>
                </c:pt>
                <c:pt idx="163">
                  <c:v>4.8267570000000006</c:v>
                </c:pt>
                <c:pt idx="164">
                  <c:v>5.9462130000000002</c:v>
                </c:pt>
                <c:pt idx="165">
                  <c:v>7.3177259999999995</c:v>
                </c:pt>
                <c:pt idx="166">
                  <c:v>6.2915580000000002</c:v>
                </c:pt>
                <c:pt idx="167">
                  <c:v>5.0877840000000001</c:v>
                </c:pt>
                <c:pt idx="168">
                  <c:v>6.1964760000000005</c:v>
                </c:pt>
                <c:pt idx="169">
                  <c:v>9.5970030000000008</c:v>
                </c:pt>
                <c:pt idx="170">
                  <c:v>11.077053000000001</c:v>
                </c:pt>
                <c:pt idx="171">
                  <c:v>8.5116329999999998</c:v>
                </c:pt>
                <c:pt idx="172">
                  <c:v>14.672229</c:v>
                </c:pt>
                <c:pt idx="173">
                  <c:v>11.176620000000002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65-6A47-B2D9-A979C1E06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132096"/>
        <c:axId val="168244288"/>
      </c:scatterChart>
      <c:valAx>
        <c:axId val="16824428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000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696132096"/>
        <c:crosses val="autoZero"/>
        <c:crossBetween val="midCat"/>
      </c:valAx>
      <c:valAx>
        <c:axId val="696132096"/>
        <c:scaling>
          <c:orientation val="minMax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68244288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 rot="0" vert="horz" anchor="ctr" anchorCtr="1"/>
        <a:lstStyle/>
        <a:p>
          <a:pPr>
            <a:defRPr sz="1400" b="0" i="0" u="none" strike="noStrike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Lit>
              <c:ptCount val="0"/>
            </c:numLit>
          </c:xVal>
          <c:yVal>
            <c:numRef>
              <c:f>toyKFmodelData8c!$AI$111:$AI$171</c:f>
              <c:numCache>
                <c:formatCode>General</c:formatCode>
                <c:ptCount val="61"/>
                <c:pt idx="0">
                  <c:v>0</c:v>
                </c:pt>
                <c:pt idx="1">
                  <c:v>15.7341175</c:v>
                </c:pt>
                <c:pt idx="2">
                  <c:v>28.681605999999999</c:v>
                </c:pt>
                <c:pt idx="3">
                  <c:v>21.137104000000001</c:v>
                </c:pt>
                <c:pt idx="4">
                  <c:v>9.8030749999999998</c:v>
                </c:pt>
                <c:pt idx="5">
                  <c:v>-0.31271191999999998</c:v>
                </c:pt>
                <c:pt idx="6">
                  <c:v>14.841215999999999</c:v>
                </c:pt>
                <c:pt idx="7">
                  <c:v>2.6593575</c:v>
                </c:pt>
                <c:pt idx="8">
                  <c:v>-18.206935999999999</c:v>
                </c:pt>
                <c:pt idx="9">
                  <c:v>-6.6342524999999997</c:v>
                </c:pt>
                <c:pt idx="10">
                  <c:v>-9.5825969999999998</c:v>
                </c:pt>
                <c:pt idx="11">
                  <c:v>9.4255294999999997</c:v>
                </c:pt>
                <c:pt idx="12">
                  <c:v>9.39377</c:v>
                </c:pt>
                <c:pt idx="13">
                  <c:v>14.937863</c:v>
                </c:pt>
                <c:pt idx="14">
                  <c:v>26.781303000000001</c:v>
                </c:pt>
                <c:pt idx="15">
                  <c:v>40.523837999999998</c:v>
                </c:pt>
                <c:pt idx="16">
                  <c:v>31.340205999999998</c:v>
                </c:pt>
                <c:pt idx="17">
                  <c:v>45.882458</c:v>
                </c:pt>
                <c:pt idx="18">
                  <c:v>57.353737000000002</c:v>
                </c:pt>
                <c:pt idx="19">
                  <c:v>42.907935999999999</c:v>
                </c:pt>
                <c:pt idx="20">
                  <c:v>67.759879999999995</c:v>
                </c:pt>
                <c:pt idx="21">
                  <c:v>63.948917000000002</c:v>
                </c:pt>
                <c:pt idx="22">
                  <c:v>44.092007000000002</c:v>
                </c:pt>
                <c:pt idx="23">
                  <c:v>36.691240000000001</c:v>
                </c:pt>
                <c:pt idx="24">
                  <c:v>50.752110000000002</c:v>
                </c:pt>
                <c:pt idx="25">
                  <c:v>60.67127</c:v>
                </c:pt>
                <c:pt idx="26">
                  <c:v>71.329229999999995</c:v>
                </c:pt>
                <c:pt idx="27">
                  <c:v>61.406146999999997</c:v>
                </c:pt>
                <c:pt idx="28">
                  <c:v>67.507964999999999</c:v>
                </c:pt>
                <c:pt idx="29">
                  <c:v>64.764210000000006</c:v>
                </c:pt>
                <c:pt idx="30">
                  <c:v>62.132812000000001</c:v>
                </c:pt>
                <c:pt idx="31">
                  <c:v>85.660899999999998</c:v>
                </c:pt>
                <c:pt idx="32">
                  <c:v>84.865539999999996</c:v>
                </c:pt>
                <c:pt idx="33">
                  <c:v>99.470894000000001</c:v>
                </c:pt>
                <c:pt idx="34">
                  <c:v>106.298545</c:v>
                </c:pt>
                <c:pt idx="35">
                  <c:v>91.044150000000002</c:v>
                </c:pt>
                <c:pt idx="36">
                  <c:v>119.98757999999999</c:v>
                </c:pt>
                <c:pt idx="37">
                  <c:v>116.52694</c:v>
                </c:pt>
                <c:pt idx="38">
                  <c:v>117.34068499999999</c:v>
                </c:pt>
                <c:pt idx="39">
                  <c:v>135.31801999999999</c:v>
                </c:pt>
                <c:pt idx="40">
                  <c:v>129.68714</c:v>
                </c:pt>
                <c:pt idx="41">
                  <c:v>133.35812000000001</c:v>
                </c:pt>
                <c:pt idx="42">
                  <c:v>165.54915</c:v>
                </c:pt>
                <c:pt idx="43">
                  <c:v>193.28711000000001</c:v>
                </c:pt>
                <c:pt idx="44">
                  <c:v>193.12026</c:v>
                </c:pt>
                <c:pt idx="45">
                  <c:v>193.38425000000001</c:v>
                </c:pt>
                <c:pt idx="46">
                  <c:v>204.96625</c:v>
                </c:pt>
                <c:pt idx="47">
                  <c:v>203.59003999999999</c:v>
                </c:pt>
                <c:pt idx="48">
                  <c:v>217.64767000000001</c:v>
                </c:pt>
                <c:pt idx="49">
                  <c:v>228.83922999999999</c:v>
                </c:pt>
                <c:pt idx="50">
                  <c:v>227.69424000000001</c:v>
                </c:pt>
                <c:pt idx="51">
                  <c:v>237.52162999999999</c:v>
                </c:pt>
                <c:pt idx="52">
                  <c:v>245.95169999999999</c:v>
                </c:pt>
                <c:pt idx="53">
                  <c:v>269.50617</c:v>
                </c:pt>
                <c:pt idx="54">
                  <c:v>281.18885</c:v>
                </c:pt>
                <c:pt idx="55">
                  <c:v>299.56844999999998</c:v>
                </c:pt>
                <c:pt idx="56">
                  <c:v>291.09023999999999</c:v>
                </c:pt>
                <c:pt idx="57">
                  <c:v>313.62380000000002</c:v>
                </c:pt>
                <c:pt idx="58">
                  <c:v>324.5249</c:v>
                </c:pt>
                <c:pt idx="59">
                  <c:v>340.98437000000001</c:v>
                </c:pt>
                <c:pt idx="60">
                  <c:v>344.71834999999999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59-724C-B236-CE8AEB668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74720"/>
        <c:axId val="693566656"/>
      </c:scatterChart>
      <c:valAx>
        <c:axId val="693566656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55974720"/>
        <c:crosses val="autoZero"/>
        <c:crossBetween val="midCat"/>
      </c:valAx>
      <c:valAx>
        <c:axId val="155974720"/>
        <c:scaling>
          <c:orientation val="minMax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693566656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3</xdr:row>
      <xdr:rowOff>0</xdr:rowOff>
    </xdr:from>
    <xdr:to>
      <xdr:col>13</xdr:col>
      <xdr:colOff>114300</xdr:colOff>
      <xdr:row>32</xdr:row>
      <xdr:rowOff>63500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295868</xdr:colOff>
      <xdr:row>95</xdr:row>
      <xdr:rowOff>93784</xdr:rowOff>
    </xdr:from>
    <xdr:to>
      <xdr:col>33</xdr:col>
      <xdr:colOff>750835</xdr:colOff>
      <xdr:row>108</xdr:row>
      <xdr:rowOff>115556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ropbox/KalmanFilterPython/ERF_best_aggregates_1750-2024.xlsx" TargetMode="External"/><Relationship Id="rId2" Type="http://schemas.openxmlformats.org/officeDocument/2006/relationships/externalLinkPath" Target="/Users/JohnMatthew/Dropbox/KalmanFilterPython/ERF_best_aggregates_1750-2024.xlsx" TargetMode="External"/><Relationship Id="rId1" Type="http://schemas.openxmlformats.org/officeDocument/2006/relationships/externalLinkPath" Target="/Users/JohnMatthew/Dropbox/KalmanFilterPython/ERF_best_aggregates_1750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RF_best_aggregates_1750-2024"/>
    </sheetNames>
    <sheetDataSet>
      <sheetData sheetId="0">
        <row r="102">
          <cell r="AA102">
            <v>288.23704313787636</v>
          </cell>
          <cell r="AE102">
            <v>-8.26226103124999E-2</v>
          </cell>
        </row>
        <row r="103">
          <cell r="AA103">
            <v>288.21870004727595</v>
          </cell>
          <cell r="AE103">
            <v>-7.4346853759078999E-2</v>
          </cell>
        </row>
        <row r="104">
          <cell r="AA104">
            <v>288.29345735393321</v>
          </cell>
          <cell r="AE104">
            <v>-7.1212116020470811E-2</v>
          </cell>
        </row>
        <row r="105">
          <cell r="AA105">
            <v>288.46589756085478</v>
          </cell>
          <cell r="AE105">
            <v>-7.5491193459268691E-2</v>
          </cell>
        </row>
        <row r="106">
          <cell r="AA106">
            <v>288.74847305757135</v>
          </cell>
          <cell r="AE106">
            <v>-9.1699698323694595E-2</v>
          </cell>
        </row>
        <row r="107">
          <cell r="AA107">
            <v>288.83009151157864</v>
          </cell>
          <cell r="AE107">
            <v>-8.6573275572353697E-2</v>
          </cell>
        </row>
        <row r="108">
          <cell r="AA108">
            <v>288.88936232844446</v>
          </cell>
          <cell r="AE108">
            <v>-8.8479988498929713E-2</v>
          </cell>
        </row>
        <row r="109">
          <cell r="AA109">
            <v>289.23435868401322</v>
          </cell>
          <cell r="AE109">
            <v>-9.5319325034582597E-2</v>
          </cell>
        </row>
        <row r="110">
          <cell r="AA110">
            <v>289.49978908419115</v>
          </cell>
          <cell r="AE110">
            <v>-9.9661230504816997E-2</v>
          </cell>
        </row>
        <row r="111">
          <cell r="AA111">
            <v>289.67401674054287</v>
          </cell>
          <cell r="AE111">
            <v>-0.102228586991902</v>
          </cell>
        </row>
        <row r="112">
          <cell r="AA112">
            <v>289.91823333869161</v>
          </cell>
          <cell r="AE112">
            <v>-0.10750808973946321</v>
          </cell>
        </row>
        <row r="113">
          <cell r="AA113">
            <v>290.26042377904059</v>
          </cell>
          <cell r="AE113">
            <v>-0.1083708851900326</v>
          </cell>
        </row>
        <row r="114">
          <cell r="AA114">
            <v>290.47888980921533</v>
          </cell>
          <cell r="AE114">
            <v>-0.10850063442846709</v>
          </cell>
        </row>
        <row r="115">
          <cell r="AA115">
            <v>290.71009459402455</v>
          </cell>
          <cell r="AE115">
            <v>-0.10643622614960199</v>
          </cell>
        </row>
        <row r="116">
          <cell r="AA116">
            <v>291.10969455477789</v>
          </cell>
          <cell r="AE116">
            <v>-0.1107377732235553</v>
          </cell>
        </row>
        <row r="117">
          <cell r="AA117">
            <v>291.53083561465706</v>
          </cell>
          <cell r="AE117">
            <v>-0.1236881890503455</v>
          </cell>
        </row>
        <row r="118">
          <cell r="AA118">
            <v>291.82365263596171</v>
          </cell>
          <cell r="AE118">
            <v>-0.12179117889656629</v>
          </cell>
        </row>
        <row r="119">
          <cell r="AA119">
            <v>292.2611152814253</v>
          </cell>
          <cell r="AE119">
            <v>-0.13258649276465129</v>
          </cell>
        </row>
        <row r="120">
          <cell r="AA120">
            <v>292.69957467996625</v>
          </cell>
          <cell r="AE120">
            <v>-0.14384636402408318</v>
          </cell>
        </row>
        <row r="121">
          <cell r="AA121">
            <v>292.84071296185874</v>
          </cell>
          <cell r="AE121">
            <v>-0.1418187174869143</v>
          </cell>
        </row>
        <row r="122">
          <cell r="AA122">
            <v>293.13105405097218</v>
          </cell>
          <cell r="AE122">
            <v>-0.15037133014471799</v>
          </cell>
        </row>
        <row r="123">
          <cell r="AA123">
            <v>293.20137570916006</v>
          </cell>
          <cell r="AE123">
            <v>-0.1482451032994602</v>
          </cell>
        </row>
        <row r="124">
          <cell r="AA124">
            <v>293.29319064183943</v>
          </cell>
          <cell r="AE124">
            <v>-0.15060727594339551</v>
          </cell>
        </row>
        <row r="125">
          <cell r="AA125">
            <v>293.61916512995271</v>
          </cell>
          <cell r="AE125">
            <v>-0.1662987077473812</v>
          </cell>
        </row>
        <row r="126">
          <cell r="AA126">
            <v>293.90688475549086</v>
          </cell>
          <cell r="AE126">
            <v>-0.17064407373562629</v>
          </cell>
        </row>
        <row r="127">
          <cell r="AA127">
            <v>294.05738931710533</v>
          </cell>
          <cell r="AE127">
            <v>-0.16763622306218529</v>
          </cell>
        </row>
        <row r="128">
          <cell r="AA128">
            <v>294.2892220342639</v>
          </cell>
          <cell r="AE128">
            <v>-0.1742931287953127</v>
          </cell>
        </row>
        <row r="129">
          <cell r="AA129">
            <v>294.61231377586154</v>
          </cell>
          <cell r="AE129">
            <v>-0.17938792105650039</v>
          </cell>
        </row>
        <row r="130">
          <cell r="AA130">
            <v>294.92872910794881</v>
          </cell>
          <cell r="AE130">
            <v>-0.18329610079250352</v>
          </cell>
        </row>
        <row r="131">
          <cell r="AA131">
            <v>295.19922290222587</v>
          </cell>
          <cell r="AE131">
            <v>-0.19487010940856739</v>
          </cell>
        </row>
        <row r="132">
          <cell r="AA132">
            <v>295.45640616230452</v>
          </cell>
          <cell r="AE132">
            <v>-0.2048028460642731</v>
          </cell>
        </row>
        <row r="133">
          <cell r="AA133">
            <v>295.87207033730652</v>
          </cell>
          <cell r="AE133">
            <v>-0.21030737891642462</v>
          </cell>
        </row>
        <row r="134">
          <cell r="AA134">
            <v>296.13249608344614</v>
          </cell>
          <cell r="AE134">
            <v>-0.21437935003845451</v>
          </cell>
        </row>
        <row r="135">
          <cell r="AA135">
            <v>296.35268045229162</v>
          </cell>
          <cell r="AE135">
            <v>-0.21511301351264142</v>
          </cell>
        </row>
        <row r="136">
          <cell r="AA136">
            <v>296.80515020939043</v>
          </cell>
          <cell r="AE136">
            <v>-0.22299133445700772</v>
          </cell>
        </row>
        <row r="137">
          <cell r="AA137">
            <v>297.17879085858647</v>
          </cell>
          <cell r="AE137">
            <v>-0.22729413327425502</v>
          </cell>
        </row>
        <row r="138">
          <cell r="AA138">
            <v>297.57712029683324</v>
          </cell>
          <cell r="AE138">
            <v>-0.22674831091480599</v>
          </cell>
        </row>
        <row r="139">
          <cell r="AA139">
            <v>298.06830690081182</v>
          </cell>
          <cell r="AE139">
            <v>-0.23731967729081951</v>
          </cell>
        </row>
        <row r="140">
          <cell r="AA140">
            <v>298.64463457739242</v>
          </cell>
          <cell r="AE140">
            <v>-0.26036188052266512</v>
          </cell>
        </row>
        <row r="141">
          <cell r="AA141">
            <v>299.05598656552394</v>
          </cell>
          <cell r="AE141">
            <v>-0.25676584847854267</v>
          </cell>
        </row>
        <row r="142">
          <cell r="AA142">
            <v>299.58899299555179</v>
          </cell>
          <cell r="AE142">
            <v>-0.27440500543321139</v>
          </cell>
        </row>
        <row r="143">
          <cell r="AA143">
            <v>299.95233254459362</v>
          </cell>
          <cell r="AE143">
            <v>-0.27317970026812366</v>
          </cell>
        </row>
        <row r="144">
          <cell r="AA144">
            <v>300.38330941904513</v>
          </cell>
          <cell r="AE144">
            <v>-0.27249242327856349</v>
          </cell>
        </row>
        <row r="145">
          <cell r="AA145">
            <v>300.85807337979236</v>
          </cell>
          <cell r="AE145">
            <v>-0.27501676257001251</v>
          </cell>
        </row>
        <row r="146">
          <cell r="AA146">
            <v>301.4567789806211</v>
          </cell>
          <cell r="AE146">
            <v>-0.29329918104934122</v>
          </cell>
        </row>
        <row r="147">
          <cell r="AA147">
            <v>301.84122727663237</v>
          </cell>
          <cell r="AE147">
            <v>-0.29982717340214721</v>
          </cell>
        </row>
        <row r="148">
          <cell r="AA148">
            <v>302.00342174825806</v>
          </cell>
          <cell r="AE148">
            <v>-0.30061554066488666</v>
          </cell>
        </row>
        <row r="149">
          <cell r="AA149">
            <v>302.53224016895132</v>
          </cell>
          <cell r="AE149">
            <v>-0.31843977600359241</v>
          </cell>
        </row>
        <row r="150">
          <cell r="AA150">
            <v>302.96242787352622</v>
          </cell>
          <cell r="AE150">
            <v>-0.32942573365651318</v>
          </cell>
        </row>
        <row r="151">
          <cell r="AA151">
            <v>303.48696397921771</v>
          </cell>
          <cell r="AE151">
            <v>-0.35606617883603642</v>
          </cell>
        </row>
        <row r="152">
          <cell r="AA152">
            <v>303.95015648075787</v>
          </cell>
          <cell r="AE152">
            <v>-0.36637708982954564</v>
          </cell>
        </row>
        <row r="153">
          <cell r="AA153">
            <v>304.41616736184443</v>
          </cell>
          <cell r="AE153">
            <v>-0.37226926737588611</v>
          </cell>
        </row>
        <row r="154">
          <cell r="AA154">
            <v>304.84964710941239</v>
          </cell>
          <cell r="AE154">
            <v>-0.37729048222577177</v>
          </cell>
        </row>
        <row r="155">
          <cell r="AA155">
            <v>305.32463831001974</v>
          </cell>
          <cell r="AE155">
            <v>-0.39337624545616212</v>
          </cell>
        </row>
        <row r="156">
          <cell r="AA156">
            <v>306.02581559459782</v>
          </cell>
          <cell r="AE156">
            <v>-0.41026947431324912</v>
          </cell>
        </row>
        <row r="157">
          <cell r="AA157">
            <v>306.69852515979613</v>
          </cell>
          <cell r="AE157">
            <v>-0.43037102996140875</v>
          </cell>
        </row>
        <row r="158">
          <cell r="AA158">
            <v>307.33970458727913</v>
          </cell>
          <cell r="AE158">
            <v>-0.44677644929050703</v>
          </cell>
        </row>
        <row r="159">
          <cell r="AA159">
            <v>308.30162665485403</v>
          </cell>
          <cell r="AE159">
            <v>-0.48977805104557948</v>
          </cell>
        </row>
        <row r="160">
          <cell r="AA160">
            <v>308.96974768594055</v>
          </cell>
          <cell r="AE160">
            <v>-0.47919060375387157</v>
          </cell>
        </row>
        <row r="161">
          <cell r="AA161">
            <v>309.64187067667751</v>
          </cell>
          <cell r="AE161">
            <v>-0.49184942620875732</v>
          </cell>
        </row>
        <row r="162">
          <cell r="AA162">
            <v>310.53799619976132</v>
          </cell>
          <cell r="AE162">
            <v>-0.51729839639340669</v>
          </cell>
        </row>
        <row r="163">
          <cell r="AA163">
            <v>311.21243364636575</v>
          </cell>
          <cell r="AE163">
            <v>-0.50988937030339287</v>
          </cell>
        </row>
        <row r="164">
          <cell r="AA164">
            <v>311.96359484118932</v>
          </cell>
          <cell r="AE164">
            <v>-0.51697145901201003</v>
          </cell>
        </row>
        <row r="165">
          <cell r="AA165">
            <v>312.89233941128936</v>
          </cell>
          <cell r="AE165">
            <v>-0.53961569953406863</v>
          </cell>
        </row>
        <row r="166">
          <cell r="AA166">
            <v>313.60353435759686</v>
          </cell>
          <cell r="AE166">
            <v>-0.51659334257348066</v>
          </cell>
        </row>
        <row r="167">
          <cell r="AA167">
            <v>314.2431414835529</v>
          </cell>
          <cell r="AE167">
            <v>-0.50578391752030494</v>
          </cell>
        </row>
        <row r="168">
          <cell r="AA168">
            <v>315.22225843728285</v>
          </cell>
          <cell r="AE168">
            <v>-0.53433331345735546</v>
          </cell>
        </row>
        <row r="169">
          <cell r="AA169">
            <v>316.30573038166864</v>
          </cell>
          <cell r="AE169">
            <v>-0.55653037464573873</v>
          </cell>
        </row>
        <row r="170">
          <cell r="AA170">
            <v>317.13303067623787</v>
          </cell>
          <cell r="AE170">
            <v>-0.55564413552018033</v>
          </cell>
        </row>
        <row r="171">
          <cell r="AA171">
            <v>317.62033324892485</v>
          </cell>
          <cell r="AE171">
            <v>-0.49458309960828289</v>
          </cell>
        </row>
        <row r="172">
          <cell r="AA172">
            <v>318.63294306104171</v>
          </cell>
          <cell r="AE172">
            <v>-0.53528352081090058</v>
          </cell>
        </row>
        <row r="173">
          <cell r="AA173">
            <v>319.06734185325371</v>
          </cell>
          <cell r="AE173">
            <v>-0.4683056564951617</v>
          </cell>
        </row>
        <row r="174">
          <cell r="AA174">
            <v>319.716815490741</v>
          </cell>
          <cell r="AE174">
            <v>-0.47721655189493811</v>
          </cell>
        </row>
        <row r="175">
          <cell r="AA175">
            <v>320.95835645330226</v>
          </cell>
          <cell r="AE175">
            <v>-0.53259841771949834</v>
          </cell>
        </row>
        <row r="176">
          <cell r="AA176">
            <v>321.26323002310795</v>
          </cell>
          <cell r="AE176">
            <v>-0.52094350176340598</v>
          </cell>
        </row>
        <row r="177">
          <cell r="AA177">
            <v>321.62687730155295</v>
          </cell>
          <cell r="AE177">
            <v>-0.52483842551222426</v>
          </cell>
        </row>
        <row r="178">
          <cell r="AA178">
            <v>321.75381525142978</v>
          </cell>
          <cell r="AE178">
            <v>-0.53188922968210128</v>
          </cell>
        </row>
        <row r="179">
          <cell r="AA179">
            <v>322.28376520743274</v>
          </cell>
          <cell r="AE179">
            <v>-0.55942924835417096</v>
          </cell>
        </row>
        <row r="180">
          <cell r="AA180">
            <v>322.60348929514191</v>
          </cell>
          <cell r="AE180">
            <v>-0.56089936133342344</v>
          </cell>
        </row>
        <row r="181">
          <cell r="AA181">
            <v>323.19032645170375</v>
          </cell>
          <cell r="AE181">
            <v>-0.59487940514953597</v>
          </cell>
        </row>
        <row r="182">
          <cell r="AA182">
            <v>323.532424608094</v>
          </cell>
          <cell r="AE182">
            <v>-0.57295812333472396</v>
          </cell>
        </row>
        <row r="183">
          <cell r="AA183">
            <v>323.40926072135318</v>
          </cell>
          <cell r="AE183">
            <v>-0.50240444198715384</v>
          </cell>
        </row>
        <row r="184">
          <cell r="AA184">
            <v>323.87077682695514</v>
          </cell>
          <cell r="AE184">
            <v>-0.46747273506750486</v>
          </cell>
        </row>
        <row r="185">
          <cell r="AA185">
            <v>324.33813289348188</v>
          </cell>
          <cell r="AE185">
            <v>-0.4833367830185239</v>
          </cell>
        </row>
        <row r="186">
          <cell r="AA186">
            <v>325.31932467559585</v>
          </cell>
          <cell r="AE186">
            <v>-0.53194020041595036</v>
          </cell>
        </row>
        <row r="187">
          <cell r="AA187">
            <v>326.06599145865874</v>
          </cell>
          <cell r="AE187">
            <v>-0.55812072664409895</v>
          </cell>
        </row>
        <row r="188">
          <cell r="AA188">
            <v>327.49684119834779</v>
          </cell>
          <cell r="AE188">
            <v>-0.59904124901760603</v>
          </cell>
        </row>
        <row r="189">
          <cell r="AA189">
            <v>328.55096901819405</v>
          </cell>
          <cell r="AE189">
            <v>-0.62423201781219706</v>
          </cell>
        </row>
        <row r="190">
          <cell r="AA190">
            <v>328.98656686184069</v>
          </cell>
          <cell r="AE190">
            <v>-0.58068512307880993</v>
          </cell>
        </row>
        <row r="191">
          <cell r="AA191">
            <v>330.21424825106158</v>
          </cell>
          <cell r="AE191">
            <v>-0.62299645982940999</v>
          </cell>
        </row>
        <row r="192">
          <cell r="AA192">
            <v>331.0204748731237</v>
          </cell>
          <cell r="AE192">
            <v>-0.65769114160305797</v>
          </cell>
        </row>
        <row r="193">
          <cell r="AA193">
            <v>331.84743269096907</v>
          </cell>
          <cell r="AE193">
            <v>-0.67380797183464103</v>
          </cell>
        </row>
        <row r="194">
          <cell r="AA194">
            <v>332.71262227633349</v>
          </cell>
          <cell r="AE194">
            <v>-0.69584667588867199</v>
          </cell>
        </row>
        <row r="195">
          <cell r="AA195">
            <v>333.47638663362244</v>
          </cell>
          <cell r="AE195">
            <v>-0.69963566232170793</v>
          </cell>
        </row>
        <row r="196">
          <cell r="AA196">
            <v>333.90079065065981</v>
          </cell>
          <cell r="AE196">
            <v>-0.68927576279160796</v>
          </cell>
        </row>
        <row r="197">
          <cell r="AA197">
            <v>333.81786340079913</v>
          </cell>
          <cell r="AE197">
            <v>-0.61458457789035104</v>
          </cell>
        </row>
        <row r="198">
          <cell r="AA198">
            <v>334.03104571095679</v>
          </cell>
          <cell r="AE198">
            <v>-0.59727986764829599</v>
          </cell>
        </row>
        <row r="199">
          <cell r="AA199">
            <v>334.72552701226618</v>
          </cell>
          <cell r="AE199">
            <v>-0.63885704358112405</v>
          </cell>
        </row>
        <row r="200">
          <cell r="AA200">
            <v>335.52213272341129</v>
          </cell>
          <cell r="AE200">
            <v>-0.66719954264223902</v>
          </cell>
        </row>
        <row r="201">
          <cell r="AA201">
            <v>335.75664382734175</v>
          </cell>
          <cell r="AE201">
            <v>-0.66198495169623206</v>
          </cell>
        </row>
        <row r="202">
          <cell r="AA202">
            <v>336.7816776047639</v>
          </cell>
          <cell r="AE202">
            <v>-0.71409861138450492</v>
          </cell>
        </row>
        <row r="203">
          <cell r="AA203">
            <v>336.86249048045528</v>
          </cell>
          <cell r="AE203">
            <v>-0.70817507028081894</v>
          </cell>
        </row>
        <row r="204">
          <cell r="AA204">
            <v>337.6585368500098</v>
          </cell>
          <cell r="AE204">
            <v>-0.729376141138534</v>
          </cell>
        </row>
        <row r="205">
          <cell r="AA205">
            <v>338.83975996126065</v>
          </cell>
          <cell r="AE205">
            <v>-0.75270511865592493</v>
          </cell>
        </row>
        <row r="206">
          <cell r="AA206">
            <v>339.92550204028277</v>
          </cell>
          <cell r="AE206">
            <v>-0.76700950809170998</v>
          </cell>
        </row>
        <row r="207">
          <cell r="AA207">
            <v>341.26282987885401</v>
          </cell>
          <cell r="AE207">
            <v>-0.81070480231183606</v>
          </cell>
        </row>
        <row r="208">
          <cell r="AA208">
            <v>342.95041609438931</v>
          </cell>
          <cell r="AE208">
            <v>-0.87026018611940503</v>
          </cell>
        </row>
        <row r="209">
          <cell r="AA209">
            <v>344.51991081293352</v>
          </cell>
          <cell r="AE209">
            <v>-0.90482353023954309</v>
          </cell>
        </row>
        <row r="210">
          <cell r="AA210">
            <v>345.21389113524714</v>
          </cell>
          <cell r="AE210">
            <v>-0.88722565624126903</v>
          </cell>
        </row>
        <row r="211">
          <cell r="AA211">
            <v>346.47614218081804</v>
          </cell>
          <cell r="AE211">
            <v>-0.91216967738601895</v>
          </cell>
        </row>
        <row r="212">
          <cell r="AA212">
            <v>348.21520674180499</v>
          </cell>
          <cell r="AE212">
            <v>-0.94863442249153196</v>
          </cell>
        </row>
        <row r="213">
          <cell r="AA213">
            <v>349.83069605807128</v>
          </cell>
          <cell r="AE213">
            <v>-0.98457941911636193</v>
          </cell>
        </row>
        <row r="214">
          <cell r="AA214">
            <v>351.53624208304586</v>
          </cell>
          <cell r="AE214">
            <v>-0.99164120820777701</v>
          </cell>
        </row>
        <row r="215">
          <cell r="AA215">
            <v>354.21350999416217</v>
          </cell>
          <cell r="AE215">
            <v>-1.060519344830644</v>
          </cell>
        </row>
        <row r="216">
          <cell r="AA216">
            <v>355.76521894570726</v>
          </cell>
          <cell r="AE216">
            <v>-1.0544704063065309</v>
          </cell>
        </row>
        <row r="217">
          <cell r="AA217">
            <v>357.65808628548643</v>
          </cell>
          <cell r="AE217">
            <v>-1.0792286426802631</v>
          </cell>
        </row>
        <row r="218">
          <cell r="AA218">
            <v>359.97183797753064</v>
          </cell>
          <cell r="AE218">
            <v>-1.0941977393032061</v>
          </cell>
        </row>
        <row r="219">
          <cell r="AA219">
            <v>362.29570528505809</v>
          </cell>
          <cell r="AE219">
            <v>-1.1205407718452709</v>
          </cell>
        </row>
        <row r="220">
          <cell r="AA220">
            <v>364.70633193411061</v>
          </cell>
          <cell r="AE220">
            <v>-1.140599312413777</v>
          </cell>
        </row>
        <row r="221">
          <cell r="AA221">
            <v>367.15794176673165</v>
          </cell>
          <cell r="AE221">
            <v>-1.1591441605879189</v>
          </cell>
        </row>
        <row r="222">
          <cell r="AA222">
            <v>371.26375917253347</v>
          </cell>
          <cell r="AE222">
            <v>-1.225812418537815</v>
          </cell>
        </row>
        <row r="223">
          <cell r="AA223">
            <v>374.0334857830411</v>
          </cell>
          <cell r="AE223">
            <v>-1.2356881479301509</v>
          </cell>
        </row>
        <row r="224">
          <cell r="AA224">
            <v>379.10035530755056</v>
          </cell>
          <cell r="AE224">
            <v>-1.304646481687836</v>
          </cell>
        </row>
        <row r="225">
          <cell r="AA225">
            <v>383.33066531999862</v>
          </cell>
          <cell r="AE225">
            <v>-1.3082640182389469</v>
          </cell>
        </row>
        <row r="226">
          <cell r="AA226">
            <v>385.7994197151146</v>
          </cell>
          <cell r="AE226">
            <v>-1.3004430478794771</v>
          </cell>
        </row>
        <row r="227">
          <cell r="AA227">
            <v>387.30995222674358</v>
          </cell>
          <cell r="AE227">
            <v>-1.2811367790343</v>
          </cell>
        </row>
        <row r="228">
          <cell r="AA228">
            <v>390.84123141564487</v>
          </cell>
          <cell r="AE228">
            <v>-1.348750873767506</v>
          </cell>
        </row>
        <row r="229">
          <cell r="AA229">
            <v>395.17725146908327</v>
          </cell>
          <cell r="AE229">
            <v>-1.3575387251693989</v>
          </cell>
        </row>
        <row r="230">
          <cell r="AA230">
            <v>399.52202163523964</v>
          </cell>
          <cell r="AE230">
            <v>-1.376404203904906</v>
          </cell>
        </row>
        <row r="231">
          <cell r="AA231">
            <v>403.6196418783141</v>
          </cell>
          <cell r="AE231">
            <v>-1.398792436713892</v>
          </cell>
        </row>
        <row r="232">
          <cell r="AA232">
            <v>407.61724174667853</v>
          </cell>
          <cell r="AE232">
            <v>-1.39392433943062</v>
          </cell>
        </row>
        <row r="233">
          <cell r="AA233">
            <v>410.33136419807391</v>
          </cell>
          <cell r="AE233">
            <v>-1.3544364940843341</v>
          </cell>
        </row>
        <row r="234">
          <cell r="AA234">
            <v>414.13796237749773</v>
          </cell>
          <cell r="AE234">
            <v>-1.3929827288441441</v>
          </cell>
        </row>
        <row r="235">
          <cell r="AA235">
            <v>416.20126337392054</v>
          </cell>
          <cell r="AE235">
            <v>-1.3100576362162559</v>
          </cell>
        </row>
        <row r="236">
          <cell r="AA236">
            <v>420.32840052800032</v>
          </cell>
          <cell r="AE236">
            <v>-1.337500507792033</v>
          </cell>
        </row>
        <row r="237">
          <cell r="AA237">
            <v>424.08753214676881</v>
          </cell>
          <cell r="AE237">
            <v>-1.350305153736771</v>
          </cell>
        </row>
        <row r="238">
          <cell r="AA238">
            <v>428.261029750131</v>
          </cell>
          <cell r="AE238">
            <v>-1.3520386179790691</v>
          </cell>
        </row>
        <row r="239">
          <cell r="AA239">
            <v>432.74879554129774</v>
          </cell>
          <cell r="AE239">
            <v>-1.3933681404040179</v>
          </cell>
        </row>
        <row r="240">
          <cell r="AA240">
            <v>438.45708023531921</v>
          </cell>
          <cell r="AE240">
            <v>-1.4007633204605949</v>
          </cell>
        </row>
        <row r="241">
          <cell r="AA241">
            <v>442.54918553537169</v>
          </cell>
          <cell r="AE241">
            <v>-1.3841313513878828</v>
          </cell>
        </row>
        <row r="242">
          <cell r="AA242">
            <v>446.03989840931564</v>
          </cell>
          <cell r="AE242">
            <v>-1.399406554003604</v>
          </cell>
        </row>
        <row r="243">
          <cell r="AA243">
            <v>452.02318325565517</v>
          </cell>
          <cell r="AE243">
            <v>-1.488891380945067</v>
          </cell>
        </row>
        <row r="244">
          <cell r="AA244">
            <v>451.44806693560332</v>
          </cell>
          <cell r="AE244">
            <v>-1.333023317632821</v>
          </cell>
        </row>
        <row r="245">
          <cell r="AA245">
            <v>453.81361413472285</v>
          </cell>
          <cell r="AE245">
            <v>-1.3406699729970182</v>
          </cell>
        </row>
        <row r="246">
          <cell r="AA246">
            <v>458.52618878166015</v>
          </cell>
          <cell r="AE246">
            <v>-1.397986705784201</v>
          </cell>
        </row>
        <row r="247">
          <cell r="AA247">
            <v>461.14860588717909</v>
          </cell>
          <cell r="AE247">
            <v>-1.327211560151653</v>
          </cell>
        </row>
        <row r="248">
          <cell r="AA248">
            <v>463.84246491627749</v>
          </cell>
          <cell r="AE248">
            <v>-1.2894381097211369</v>
          </cell>
        </row>
        <row r="249">
          <cell r="AA249">
            <v>469.84687572705957</v>
          </cell>
          <cell r="AE249">
            <v>-1.427269297626597</v>
          </cell>
        </row>
        <row r="250">
          <cell r="AA250">
            <v>473.58751227911722</v>
          </cell>
          <cell r="AE250">
            <v>-1.4063952154572241</v>
          </cell>
        </row>
        <row r="251">
          <cell r="AA251">
            <v>474.87862286726227</v>
          </cell>
          <cell r="AE251">
            <v>-1.266361784590152</v>
          </cell>
        </row>
        <row r="252">
          <cell r="AA252">
            <v>476.28731612005026</v>
          </cell>
          <cell r="AE252">
            <v>-1.2185728306065819</v>
          </cell>
        </row>
        <row r="253">
          <cell r="AA253">
            <v>479.13414090810284</v>
          </cell>
          <cell r="AE253">
            <v>-1.219097419821153</v>
          </cell>
        </row>
        <row r="254">
          <cell r="AA254">
            <v>483.77365134266751</v>
          </cell>
          <cell r="AE254">
            <v>-1.3026849226945019</v>
          </cell>
        </row>
        <row r="255">
          <cell r="AA255">
            <v>488.17484498285535</v>
          </cell>
          <cell r="AE255">
            <v>-1.3429950280265368</v>
          </cell>
        </row>
        <row r="256">
          <cell r="AA256">
            <v>492.20507204726249</v>
          </cell>
          <cell r="AE256">
            <v>-1.3455906312846668</v>
          </cell>
        </row>
        <row r="257">
          <cell r="AA257">
            <v>496.09742408768659</v>
          </cell>
          <cell r="AE257">
            <v>-1.3894978516574059</v>
          </cell>
        </row>
        <row r="258">
          <cell r="AA258">
            <v>500.10751794474987</v>
          </cell>
          <cell r="AE258">
            <v>-1.414187573323018</v>
          </cell>
        </row>
        <row r="259">
          <cell r="AA259">
            <v>504.01606944438277</v>
          </cell>
          <cell r="AE259">
            <v>-1.386606197387426</v>
          </cell>
        </row>
        <row r="260">
          <cell r="AA260">
            <v>506.9381477015927</v>
          </cell>
          <cell r="AE260">
            <v>-1.331247406330218</v>
          </cell>
        </row>
        <row r="261">
          <cell r="AA261">
            <v>508.43352468790721</v>
          </cell>
          <cell r="AE261">
            <v>-1.253298696242451</v>
          </cell>
        </row>
        <row r="262">
          <cell r="AA262">
            <v>513.93214541436362</v>
          </cell>
          <cell r="AE262">
            <v>-1.2697975434997579</v>
          </cell>
        </row>
        <row r="263">
          <cell r="AA263">
            <v>517.16328929144686</v>
          </cell>
          <cell r="AE263">
            <v>-1.2567855143097211</v>
          </cell>
        </row>
        <row r="264">
          <cell r="AA264">
            <v>521.43280974282084</v>
          </cell>
          <cell r="AE264">
            <v>-1.279149650917802</v>
          </cell>
        </row>
        <row r="265">
          <cell r="AA265">
            <v>524.77833136197432</v>
          </cell>
          <cell r="AE265">
            <v>-1.1998676410488021</v>
          </cell>
        </row>
        <row r="266">
          <cell r="AA266">
            <v>529.37379732994873</v>
          </cell>
          <cell r="AE266">
            <v>-1.2080958180737449</v>
          </cell>
        </row>
        <row r="267">
          <cell r="AA267">
            <v>534.49744952106346</v>
          </cell>
          <cell r="AE267">
            <v>-1.194250878953639</v>
          </cell>
        </row>
        <row r="268">
          <cell r="AA268">
            <v>538.31072170186565</v>
          </cell>
          <cell r="AE268">
            <v>-1.097099673679971</v>
          </cell>
        </row>
        <row r="269">
          <cell r="AA269">
            <v>542.53442835543467</v>
          </cell>
          <cell r="AE269">
            <v>-1.074346956838383</v>
          </cell>
        </row>
        <row r="270">
          <cell r="AA270">
            <v>546.61208740321592</v>
          </cell>
          <cell r="AE270">
            <v>-1.056092138155273</v>
          </cell>
        </row>
        <row r="271">
          <cell r="AA271">
            <v>552.76723176220753</v>
          </cell>
          <cell r="AE271">
            <v>-1.1129193230014369</v>
          </cell>
        </row>
        <row r="272">
          <cell r="AA272">
            <v>551.56355395835828</v>
          </cell>
          <cell r="AE272">
            <v>-0.95654845608752093</v>
          </cell>
        </row>
        <row r="273">
          <cell r="AA273">
            <v>558.2729031924265</v>
          </cell>
          <cell r="AE273">
            <v>-1.038740385007576</v>
          </cell>
        </row>
        <row r="274">
          <cell r="AA274">
            <v>562.44509570489083</v>
          </cell>
          <cell r="AE274">
            <v>-0.92565649901616498</v>
          </cell>
        </row>
        <row r="275">
          <cell r="AA275">
            <v>571.20265446718122</v>
          </cell>
          <cell r="AE275">
            <v>-1.1308421801144319</v>
          </cell>
        </row>
        <row r="276">
          <cell r="AA276">
            <v>577.30186033078667</v>
          </cell>
          <cell r="AE276">
            <v>-1.0662137729991141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ei.noaa.gov/data/total-solar-irradiance/access/yearly/" TargetMode="External"/><Relationship Id="rId2" Type="http://schemas.openxmlformats.org/officeDocument/2006/relationships/hyperlink" Target="https://data.giss.nasa.gov/modelforce/strataer/tau.line_2012.12.txt" TargetMode="External"/><Relationship Id="rId1" Type="http://schemas.openxmlformats.org/officeDocument/2006/relationships/hyperlink" Target="https://www.ncei.noaa.gov/data/oceans/ncei/archive/data/0164586/derived/heat_content_anomaly_0-2000_yearly.nc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ncei.noaa.gov/products/climate-data-records/global-ocean-heat-content" TargetMode="External"/><Relationship Id="rId4" Type="http://schemas.openxmlformats.org/officeDocument/2006/relationships/hyperlink" Target="https://asdc.larc.nasa.gov/project/GloSSAC/GloSSAC_2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E243"/>
  <sheetViews>
    <sheetView tabSelected="1" topLeftCell="A146" workbookViewId="0">
      <selection activeCell="AJ179" sqref="AJ179"/>
    </sheetView>
  </sheetViews>
  <sheetFormatPr baseColWidth="10" defaultRowHeight="16" x14ac:dyDescent="0.2"/>
  <cols>
    <col min="1" max="9" width="15" customWidth="1"/>
  </cols>
  <sheetData>
    <row r="1" spans="1:9" x14ac:dyDescent="0.2">
      <c r="A1" s="7">
        <v>1850</v>
      </c>
      <c r="B1">
        <v>-0.42648311999999999</v>
      </c>
      <c r="C1" s="1">
        <f>'[1]ERF_best_aggregates_1750-2024'!AA102</f>
        <v>288.23704313787636</v>
      </c>
      <c r="D1" s="1">
        <v>3.6</v>
      </c>
      <c r="E1">
        <v>8.6558442499999999E-2</v>
      </c>
      <c r="F1" s="1">
        <v>0</v>
      </c>
      <c r="G1" s="1">
        <f t="shared" ref="G1:G19" si="0">G$184</f>
        <v>50.219410949999997</v>
      </c>
      <c r="H1" s="8">
        <f>'[1]ERF_best_aggregates_1750-2024'!AE102</f>
        <v>-8.26226103124999E-2</v>
      </c>
      <c r="I1" s="1" cm="1">
        <f t="array" ref="I1:I177">TRANSPOSE(L42:GF42)/4</f>
        <v>340.44589250000001</v>
      </c>
    </row>
    <row r="2" spans="1:9" x14ac:dyDescent="0.2">
      <c r="A2" s="7">
        <v>1851</v>
      </c>
      <c r="B2">
        <v>-0.26351829999999998</v>
      </c>
      <c r="C2" s="1">
        <f>'[1]ERF_best_aggregates_1750-2024'!AA103</f>
        <v>288.21870004727595</v>
      </c>
      <c r="D2" s="1">
        <v>2.5083333329999999</v>
      </c>
      <c r="E2">
        <v>8.7122258750000001E-2</v>
      </c>
      <c r="F2" s="1">
        <v>0</v>
      </c>
      <c r="G2" s="1">
        <f t="shared" si="0"/>
        <v>50.219410949999997</v>
      </c>
      <c r="H2" s="8">
        <f>'[1]ERF_best_aggregates_1750-2024'!AE103</f>
        <v>-7.4346853759078999E-2</v>
      </c>
      <c r="I2" s="1">
        <v>340.43029749999999</v>
      </c>
    </row>
    <row r="3" spans="1:9" x14ac:dyDescent="0.2">
      <c r="A3" s="7">
        <v>1852</v>
      </c>
      <c r="B3">
        <v>-0.22405294000000001</v>
      </c>
      <c r="C3" s="1">
        <f>'[1]ERF_best_aggregates_1750-2024'!AA104</f>
        <v>288.29345735393321</v>
      </c>
      <c r="D3" s="1">
        <v>1.441666667</v>
      </c>
      <c r="E3">
        <v>8.2300038250000013E-2</v>
      </c>
      <c r="F3" s="1">
        <v>0</v>
      </c>
      <c r="G3" s="1">
        <f t="shared" si="0"/>
        <v>50.219410949999997</v>
      </c>
      <c r="H3" s="8">
        <f>'[1]ERF_best_aggregates_1750-2024'!AE104</f>
        <v>-7.1212116020470811E-2</v>
      </c>
      <c r="I3" s="1">
        <v>340.4190375</v>
      </c>
    </row>
    <row r="4" spans="1:9" x14ac:dyDescent="0.2">
      <c r="A4" s="7">
        <v>1853</v>
      </c>
      <c r="B4">
        <v>-0.26234877000000001</v>
      </c>
      <c r="C4" s="1">
        <f>'[1]ERF_best_aggregates_1750-2024'!AA105</f>
        <v>288.46589756085478</v>
      </c>
      <c r="D4" s="1">
        <v>0.61666666699999995</v>
      </c>
      <c r="E4">
        <v>7.9540538750000001E-2</v>
      </c>
      <c r="F4" s="1">
        <v>0</v>
      </c>
      <c r="G4" s="1">
        <f t="shared" si="0"/>
        <v>50.219410949999997</v>
      </c>
      <c r="H4" s="8">
        <f>'[1]ERF_best_aggregates_1750-2024'!AE105</f>
        <v>-7.5491193459268691E-2</v>
      </c>
      <c r="I4" s="1">
        <v>340.38433750000002</v>
      </c>
    </row>
    <row r="5" spans="1:9" x14ac:dyDescent="0.2">
      <c r="A5" s="7">
        <v>1854</v>
      </c>
      <c r="B5">
        <v>-0.29358404999999999</v>
      </c>
      <c r="C5" s="1">
        <f>'[1]ERF_best_aggregates_1750-2024'!AA106</f>
        <v>288.74847305757135</v>
      </c>
      <c r="D5" s="1">
        <v>0.28333333300000002</v>
      </c>
      <c r="E5">
        <v>6.8980705000000003E-2</v>
      </c>
      <c r="F5" s="1">
        <v>0</v>
      </c>
      <c r="G5" s="1">
        <f t="shared" si="0"/>
        <v>50.219410949999997</v>
      </c>
      <c r="H5" s="8">
        <f>'[1]ERF_best_aggregates_1750-2024'!AE106</f>
        <v>-9.1699698323694595E-2</v>
      </c>
      <c r="I5" s="1">
        <v>340.34075999999999</v>
      </c>
    </row>
    <row r="6" spans="1:9" x14ac:dyDescent="0.2">
      <c r="A6" s="7">
        <v>1855</v>
      </c>
      <c r="B6">
        <v>-0.29138646000000001</v>
      </c>
      <c r="C6" s="1">
        <f>'[1]ERF_best_aggregates_1750-2024'!AA107</f>
        <v>288.83009151157864</v>
      </c>
      <c r="D6" s="1">
        <v>2.0333333329999999</v>
      </c>
      <c r="E6">
        <v>6.7710674999999998E-2</v>
      </c>
      <c r="F6" s="1">
        <v>0</v>
      </c>
      <c r="G6" s="1">
        <f t="shared" si="0"/>
        <v>50.219410949999997</v>
      </c>
      <c r="H6" s="8">
        <f>'[1]ERF_best_aggregates_1750-2024'!AE107</f>
        <v>-8.6573275572353697E-2</v>
      </c>
      <c r="I6" s="1">
        <v>340.29763750000001</v>
      </c>
    </row>
    <row r="7" spans="1:9" x14ac:dyDescent="0.2">
      <c r="A7" s="7">
        <v>1856</v>
      </c>
      <c r="B7">
        <v>-0.32809033999999998</v>
      </c>
      <c r="C7" s="1">
        <f>'[1]ERF_best_aggregates_1750-2024'!AA108</f>
        <v>288.88936232844446</v>
      </c>
      <c r="D7" s="1">
        <v>38.658333329999998</v>
      </c>
      <c r="E7">
        <v>7.2110574999999996E-2</v>
      </c>
      <c r="F7" s="1">
        <v>0</v>
      </c>
      <c r="G7" s="1">
        <f t="shared" si="0"/>
        <v>50.219410949999997</v>
      </c>
      <c r="H7" s="8">
        <f>'[1]ERF_best_aggregates_1750-2024'!AE108</f>
        <v>-8.8479988498929713E-2</v>
      </c>
      <c r="I7" s="1">
        <v>340.28875749999997</v>
      </c>
    </row>
    <row r="8" spans="1:9" x14ac:dyDescent="0.2">
      <c r="A8" s="7">
        <v>1857</v>
      </c>
      <c r="B8">
        <v>-0.46585592999999997</v>
      </c>
      <c r="C8" s="1">
        <f>'[1]ERF_best_aggregates_1750-2024'!AA109</f>
        <v>289.23435868401322</v>
      </c>
      <c r="D8" s="1">
        <v>60.166666669999998</v>
      </c>
      <c r="E8">
        <v>7.5915982499999993E-2</v>
      </c>
      <c r="F8" s="1">
        <v>0</v>
      </c>
      <c r="G8" s="1">
        <f t="shared" si="0"/>
        <v>50.219410949999997</v>
      </c>
      <c r="H8" s="8">
        <f>'[1]ERF_best_aggregates_1750-2024'!AE109</f>
        <v>-9.5319325034582597E-2</v>
      </c>
      <c r="I8" s="1">
        <v>340.32848999999999</v>
      </c>
    </row>
    <row r="9" spans="1:9" x14ac:dyDescent="0.2">
      <c r="A9" s="7">
        <v>1858</v>
      </c>
      <c r="B9">
        <v>-0.3967561</v>
      </c>
      <c r="C9" s="1">
        <f>'[1]ERF_best_aggregates_1750-2024'!AA110</f>
        <v>289.49978908419115</v>
      </c>
      <c r="D9" s="1">
        <v>29</v>
      </c>
      <c r="E9">
        <v>7.5354932499999999E-2</v>
      </c>
      <c r="F9" s="1">
        <v>0</v>
      </c>
      <c r="G9" s="1">
        <f t="shared" si="0"/>
        <v>50.219410949999997</v>
      </c>
      <c r="H9" s="8">
        <f>'[1]ERF_best_aggregates_1750-2024'!AE110</f>
        <v>-9.9661230504816997E-2</v>
      </c>
      <c r="I9" s="1">
        <v>340.40457249999997</v>
      </c>
    </row>
    <row r="10" spans="1:9" x14ac:dyDescent="0.2">
      <c r="A10" s="7">
        <v>1859</v>
      </c>
      <c r="B10">
        <v>-0.29197731999999998</v>
      </c>
      <c r="C10" s="1">
        <f>'[1]ERF_best_aggregates_1750-2024'!AA111</f>
        <v>289.67401674054287</v>
      </c>
      <c r="D10" s="1">
        <v>11.18333333</v>
      </c>
      <c r="E10">
        <v>7.1113727500000001E-2</v>
      </c>
      <c r="F10" s="1">
        <v>0</v>
      </c>
      <c r="G10" s="1">
        <f t="shared" si="0"/>
        <v>50.219410949999997</v>
      </c>
      <c r="H10" s="8">
        <f>'[1]ERF_best_aggregates_1750-2024'!AE111</f>
        <v>-0.102228586991902</v>
      </c>
      <c r="I10" s="1">
        <v>340.47235000000001</v>
      </c>
    </row>
    <row r="11" spans="1:9" x14ac:dyDescent="0.2">
      <c r="A11" s="7">
        <v>1860</v>
      </c>
      <c r="B11">
        <v>-0.40712935</v>
      </c>
      <c r="C11" s="1">
        <f>'[1]ERF_best_aggregates_1750-2024'!AA112</f>
        <v>289.91823333869161</v>
      </c>
      <c r="D11" s="1">
        <v>4.5916666670000001</v>
      </c>
      <c r="E11">
        <v>7.5532524999999989E-2</v>
      </c>
      <c r="F11" s="1">
        <v>0</v>
      </c>
      <c r="G11" s="1">
        <f t="shared" si="0"/>
        <v>50.219410949999997</v>
      </c>
      <c r="H11" s="8">
        <f>'[1]ERF_best_aggregates_1750-2024'!AE112</f>
        <v>-0.10750808973946321</v>
      </c>
      <c r="I11" s="1">
        <v>340.49279749999999</v>
      </c>
    </row>
    <row r="12" spans="1:9" x14ac:dyDescent="0.2">
      <c r="A12" s="7">
        <v>1861</v>
      </c>
      <c r="B12">
        <v>-0.46369660000000001</v>
      </c>
      <c r="C12" s="1">
        <f>'[1]ERF_best_aggregates_1750-2024'!AA113</f>
        <v>290.26042377904059</v>
      </c>
      <c r="D12" s="1">
        <v>3.4083333329999999</v>
      </c>
      <c r="E12">
        <v>8.5273840000000004E-2</v>
      </c>
      <c r="F12" s="1">
        <v>0</v>
      </c>
      <c r="G12" s="1">
        <f t="shared" si="0"/>
        <v>50.219410949999997</v>
      </c>
      <c r="H12" s="8">
        <f>'[1]ERF_best_aggregates_1750-2024'!AE113</f>
        <v>-0.1083708851900326</v>
      </c>
      <c r="I12" s="1">
        <v>340.46645999999998</v>
      </c>
    </row>
    <row r="13" spans="1:9" x14ac:dyDescent="0.2">
      <c r="A13" s="7">
        <v>1862</v>
      </c>
      <c r="B13">
        <v>-0.55482540000000002</v>
      </c>
      <c r="C13" s="1">
        <f>'[1]ERF_best_aggregates_1750-2024'!AA114</f>
        <v>290.47888980921533</v>
      </c>
      <c r="D13" s="1">
        <v>13.65833333</v>
      </c>
      <c r="E13">
        <v>8.4488069999999998E-2</v>
      </c>
      <c r="F13" s="1">
        <v>0</v>
      </c>
      <c r="G13" s="1">
        <f t="shared" si="0"/>
        <v>50.219410949999997</v>
      </c>
      <c r="H13" s="8">
        <f>'[1]ERF_best_aggregates_1750-2024'!AE114</f>
        <v>-0.10850063442846709</v>
      </c>
      <c r="I13" s="1">
        <v>340.44412249999999</v>
      </c>
    </row>
    <row r="14" spans="1:9" x14ac:dyDescent="0.2">
      <c r="A14" s="7">
        <v>1863</v>
      </c>
      <c r="B14">
        <v>-0.38284649999999998</v>
      </c>
      <c r="C14" s="1">
        <f>'[1]ERF_best_aggregates_1750-2024'!AA115</f>
        <v>290.71009459402455</v>
      </c>
      <c r="D14" s="1">
        <v>10.016666669999999</v>
      </c>
      <c r="E14">
        <v>9.7560777500000001E-2</v>
      </c>
      <c r="F14" s="1">
        <v>0</v>
      </c>
      <c r="G14" s="1">
        <f t="shared" si="0"/>
        <v>50.219410949999997</v>
      </c>
      <c r="H14" s="8">
        <f>'[1]ERF_best_aggregates_1750-2024'!AE115</f>
        <v>-0.10643622614960199</v>
      </c>
      <c r="I14" s="1">
        <v>340.40283249999999</v>
      </c>
    </row>
    <row r="15" spans="1:9" x14ac:dyDescent="0.2">
      <c r="A15" s="7">
        <v>1864</v>
      </c>
      <c r="B15">
        <v>-0.49413699999999999</v>
      </c>
      <c r="C15" s="1">
        <f>'[1]ERF_best_aggregates_1750-2024'!AA116</f>
        <v>291.10969455477789</v>
      </c>
      <c r="D15" s="1">
        <v>4.6333333330000004</v>
      </c>
      <c r="E15">
        <v>9.3386605000000011E-2</v>
      </c>
      <c r="F15" s="1">
        <v>0</v>
      </c>
      <c r="G15" s="1">
        <f t="shared" si="0"/>
        <v>50.219410949999997</v>
      </c>
      <c r="H15" s="8">
        <f>'[1]ERF_best_aggregates_1750-2024'!AE116</f>
        <v>-0.1107377732235553</v>
      </c>
      <c r="I15" s="1">
        <v>340.38848999999999</v>
      </c>
    </row>
    <row r="16" spans="1:9" x14ac:dyDescent="0.2">
      <c r="A16" s="7">
        <v>1865</v>
      </c>
      <c r="B16">
        <v>-0.39224165999999999</v>
      </c>
      <c r="C16" s="1">
        <f>'[1]ERF_best_aggregates_1750-2024'!AA117</f>
        <v>291.53083561465706</v>
      </c>
      <c r="D16" s="1">
        <v>2</v>
      </c>
      <c r="E16">
        <v>9.9694870000000005E-2</v>
      </c>
      <c r="F16" s="1">
        <v>0</v>
      </c>
      <c r="G16" s="1">
        <f t="shared" si="0"/>
        <v>50.219410949999997</v>
      </c>
      <c r="H16" s="8">
        <f>'[1]ERF_best_aggregates_1750-2024'!AE117</f>
        <v>-0.1236881890503455</v>
      </c>
      <c r="I16" s="1">
        <v>340.35919250000001</v>
      </c>
    </row>
    <row r="17" spans="1:160" x14ac:dyDescent="0.2">
      <c r="A17" s="7">
        <v>1866</v>
      </c>
      <c r="B17">
        <v>-0.40016190000000001</v>
      </c>
      <c r="C17" s="1">
        <f>'[1]ERF_best_aggregates_1750-2024'!AA118</f>
        <v>291.82365263596171</v>
      </c>
      <c r="D17" s="1">
        <v>0.82499999999999996</v>
      </c>
      <c r="E17">
        <v>9.8062295000000022E-2</v>
      </c>
      <c r="F17" s="1">
        <v>0</v>
      </c>
      <c r="G17" s="1">
        <f t="shared" si="0"/>
        <v>50.219410949999997</v>
      </c>
      <c r="H17" s="8">
        <f>'[1]ERF_best_aggregates_1750-2024'!AE118</f>
        <v>-0.12179117889656629</v>
      </c>
      <c r="I17" s="1">
        <v>340.32668999999999</v>
      </c>
      <c r="EQ17">
        <f t="shared" ref="EQ17:EV17" si="1">ER17-1</f>
        <v>2005</v>
      </c>
      <c r="ER17">
        <f t="shared" si="1"/>
        <v>2006</v>
      </c>
      <c r="ES17">
        <f t="shared" si="1"/>
        <v>2007</v>
      </c>
      <c r="ET17">
        <f t="shared" si="1"/>
        <v>2008</v>
      </c>
      <c r="EU17">
        <f t="shared" si="1"/>
        <v>2009</v>
      </c>
      <c r="EV17">
        <f t="shared" si="1"/>
        <v>2010</v>
      </c>
      <c r="EW17">
        <f t="shared" ref="EW17:FB17" si="2">EX17-1</f>
        <v>2011</v>
      </c>
      <c r="EX17">
        <f t="shared" si="2"/>
        <v>2012</v>
      </c>
      <c r="EY17">
        <f t="shared" si="2"/>
        <v>2013</v>
      </c>
      <c r="EZ17">
        <f t="shared" si="2"/>
        <v>2014</v>
      </c>
      <c r="FA17">
        <f t="shared" si="2"/>
        <v>2015</v>
      </c>
      <c r="FB17">
        <f t="shared" si="2"/>
        <v>2016</v>
      </c>
      <c r="FC17">
        <f>FD17-1</f>
        <v>2017</v>
      </c>
      <c r="FD17">
        <v>2018</v>
      </c>
    </row>
    <row r="18" spans="1:160" x14ac:dyDescent="0.2">
      <c r="A18" s="7">
        <v>1867</v>
      </c>
      <c r="B18">
        <v>-0.39941457000000002</v>
      </c>
      <c r="C18" s="1">
        <f>'[1]ERF_best_aggregates_1750-2024'!AA119</f>
        <v>292.2611152814253</v>
      </c>
      <c r="D18" s="1">
        <v>0.366666667</v>
      </c>
      <c r="E18">
        <v>0.10093698749999999</v>
      </c>
      <c r="F18" s="1">
        <v>0</v>
      </c>
      <c r="G18" s="1">
        <f t="shared" si="0"/>
        <v>50.219410949999997</v>
      </c>
      <c r="H18" s="8">
        <f>'[1]ERF_best_aggregates_1750-2024'!AE119</f>
        <v>-0.13258649276465129</v>
      </c>
      <c r="I18" s="1">
        <v>340.30014</v>
      </c>
      <c r="K18" t="s">
        <v>0</v>
      </c>
      <c r="L18">
        <v>0</v>
      </c>
      <c r="M18">
        <v>1.152174</v>
      </c>
      <c r="N18">
        <v>3.0554480000000002</v>
      </c>
      <c r="O18">
        <v>1.7135260000000001</v>
      </c>
      <c r="P18">
        <v>1.624636</v>
      </c>
      <c r="Q18">
        <v>1.6767000000000001E-2</v>
      </c>
      <c r="R18">
        <v>3.4703580000000001</v>
      </c>
      <c r="S18">
        <v>9.0728749999999998</v>
      </c>
      <c r="T18">
        <v>13.960433</v>
      </c>
      <c r="U18">
        <v>17.407888</v>
      </c>
      <c r="V18">
        <v>21.636983000000001</v>
      </c>
      <c r="W18">
        <v>19.125768000000001</v>
      </c>
      <c r="X18">
        <v>16.527455</v>
      </c>
      <c r="Y18">
        <v>15.617732999999999</v>
      </c>
      <c r="Z18">
        <v>14.757101</v>
      </c>
      <c r="AA18">
        <v>14.922197000000001</v>
      </c>
      <c r="AB18">
        <v>16.212654000000001</v>
      </c>
      <c r="AC18">
        <v>17.683049</v>
      </c>
      <c r="AD18">
        <v>18.085829</v>
      </c>
      <c r="AE18">
        <v>17.171817999999998</v>
      </c>
      <c r="AF18">
        <v>16.535898</v>
      </c>
      <c r="AG18">
        <v>15.380051</v>
      </c>
      <c r="AH18">
        <v>13.848699999999999</v>
      </c>
      <c r="AI18">
        <v>12.512435999999999</v>
      </c>
      <c r="AJ18">
        <v>15.250814</v>
      </c>
      <c r="AK18">
        <v>19.174388</v>
      </c>
      <c r="AL18">
        <v>22.765411</v>
      </c>
      <c r="AM18">
        <v>25.369513000000001</v>
      </c>
      <c r="AN18">
        <v>30.661798000000001</v>
      </c>
      <c r="AO18">
        <v>32.826909000000001</v>
      </c>
      <c r="AP18">
        <v>29.906303000000001</v>
      </c>
      <c r="AQ18">
        <v>24.750119000000002</v>
      </c>
      <c r="AR18">
        <v>16.52974</v>
      </c>
      <c r="AS18">
        <v>6.202032</v>
      </c>
      <c r="AT18">
        <v>-2.9728089999999998</v>
      </c>
      <c r="AU18">
        <v>-10.435316</v>
      </c>
      <c r="AV18">
        <v>-17.455490000000001</v>
      </c>
      <c r="AW18">
        <v>-21.520154000000002</v>
      </c>
      <c r="AX18">
        <v>-26.003014</v>
      </c>
      <c r="AY18">
        <v>-32.254264999999997</v>
      </c>
      <c r="AZ18">
        <v>-37.908706000000002</v>
      </c>
      <c r="BA18">
        <v>-40.699373000000001</v>
      </c>
      <c r="BB18">
        <v>-42.468966999999999</v>
      </c>
      <c r="BC18">
        <v>-39.558380999999997</v>
      </c>
      <c r="BD18">
        <v>-33.405565000000003</v>
      </c>
      <c r="BE18">
        <v>-29.332003</v>
      </c>
      <c r="BF18">
        <v>-25.898116000000002</v>
      </c>
      <c r="BG18">
        <v>-23.093302999999999</v>
      </c>
      <c r="BH18">
        <v>-22.862689</v>
      </c>
      <c r="BI18">
        <v>-25.094346999999999</v>
      </c>
      <c r="BJ18">
        <v>-25.852485999999999</v>
      </c>
      <c r="BK18">
        <v>-28.246202</v>
      </c>
      <c r="BL18">
        <v>-29.848146</v>
      </c>
      <c r="BM18">
        <v>-32.924574</v>
      </c>
      <c r="BN18">
        <v>-32.588191999999999</v>
      </c>
      <c r="BO18">
        <v>-28.764911000000001</v>
      </c>
      <c r="BP18">
        <v>-23.708613</v>
      </c>
      <c r="BQ18">
        <v>-19.774636999999998</v>
      </c>
      <c r="BR18">
        <v>-15.226844</v>
      </c>
      <c r="BS18">
        <v>-11.349959999999999</v>
      </c>
      <c r="BT18">
        <v>-8.9577860000000005</v>
      </c>
      <c r="BU18">
        <v>-5.6613819999999997</v>
      </c>
      <c r="BV18">
        <v>-1.364168</v>
      </c>
      <c r="BW18">
        <v>2.7931849999999998</v>
      </c>
      <c r="BX18">
        <v>5.8693179999999998</v>
      </c>
      <c r="BY18">
        <v>11.234539</v>
      </c>
      <c r="BZ18">
        <v>19.853909000000002</v>
      </c>
      <c r="CA18">
        <v>30.033242999999999</v>
      </c>
      <c r="CB18">
        <v>39.926426999999997</v>
      </c>
      <c r="CC18">
        <v>49.824919000000001</v>
      </c>
      <c r="CD18">
        <v>59.743277999999997</v>
      </c>
      <c r="CE18">
        <v>67.517431000000002</v>
      </c>
      <c r="CF18">
        <v>77.938090000000003</v>
      </c>
      <c r="CG18">
        <v>92.961552999999995</v>
      </c>
      <c r="CH18">
        <v>105.09257599999999</v>
      </c>
      <c r="CI18">
        <v>107.77882200000001</v>
      </c>
      <c r="CJ18">
        <v>108.859725</v>
      </c>
      <c r="CK18">
        <v>107.21289400000001</v>
      </c>
      <c r="CL18">
        <v>101.696867</v>
      </c>
      <c r="CM18">
        <v>99.013981999999999</v>
      </c>
      <c r="CN18">
        <v>105.475943</v>
      </c>
      <c r="CO18">
        <v>115.275858</v>
      </c>
      <c r="CP18">
        <v>122.903325</v>
      </c>
      <c r="CQ18">
        <v>126.504701</v>
      </c>
      <c r="CR18">
        <v>128.335488</v>
      </c>
      <c r="CS18">
        <v>129.66936899999999</v>
      </c>
      <c r="CT18">
        <v>133.232091</v>
      </c>
      <c r="CU18">
        <v>138.870553</v>
      </c>
      <c r="CV18">
        <v>147.99471299999999</v>
      </c>
      <c r="CW18">
        <v>158.04931099999999</v>
      </c>
      <c r="CX18">
        <v>166.67938699999999</v>
      </c>
      <c r="CY18">
        <v>170.15124</v>
      </c>
      <c r="CZ18">
        <v>170.21561600000001</v>
      </c>
      <c r="DA18">
        <v>166.12663699999999</v>
      </c>
      <c r="DB18">
        <v>163.16832600000001</v>
      </c>
      <c r="DC18">
        <v>160.953045</v>
      </c>
      <c r="DD18">
        <v>159.307535</v>
      </c>
      <c r="DE18">
        <v>161.726911</v>
      </c>
      <c r="DF18">
        <v>170.265096</v>
      </c>
      <c r="DG18">
        <v>173.85687899999999</v>
      </c>
      <c r="DH18">
        <v>174.009648</v>
      </c>
      <c r="DI18">
        <v>176.929665</v>
      </c>
      <c r="DJ18">
        <v>177.009771</v>
      </c>
      <c r="DK18">
        <v>172.98574099999999</v>
      </c>
      <c r="DL18">
        <v>171.970731</v>
      </c>
      <c r="DM18">
        <v>175.808502</v>
      </c>
      <c r="DN18">
        <v>180.62355600000001</v>
      </c>
      <c r="DO18">
        <v>187.51975100000001</v>
      </c>
      <c r="DP18">
        <v>200.028919</v>
      </c>
      <c r="DQ18">
        <v>214.228228</v>
      </c>
      <c r="DR18">
        <v>224.420455</v>
      </c>
      <c r="DS18">
        <v>229.07345900000001</v>
      </c>
      <c r="DT18">
        <v>234.39847499999999</v>
      </c>
      <c r="DU18">
        <v>235.26142899999999</v>
      </c>
      <c r="DV18">
        <v>235.10500400000001</v>
      </c>
      <c r="DW18">
        <v>238.012641</v>
      </c>
      <c r="DX18">
        <v>246.14991000000001</v>
      </c>
      <c r="DY18">
        <v>252.45115200000001</v>
      </c>
      <c r="DZ18">
        <v>260.93967600000002</v>
      </c>
      <c r="EA18">
        <v>270.28614099999999</v>
      </c>
      <c r="EB18">
        <v>275.88284199999998</v>
      </c>
      <c r="EC18">
        <v>276.58821499999999</v>
      </c>
      <c r="ED18">
        <v>279.07423299999999</v>
      </c>
      <c r="EE18">
        <v>282.20069100000001</v>
      </c>
      <c r="EF18">
        <v>286.932726</v>
      </c>
      <c r="EG18">
        <v>296.39127000000002</v>
      </c>
      <c r="EH18">
        <v>312.10352399999999</v>
      </c>
      <c r="EI18">
        <v>325.80344100000002</v>
      </c>
      <c r="EJ18">
        <v>334.27249399999999</v>
      </c>
      <c r="EK18">
        <v>341.25048800000002</v>
      </c>
      <c r="EL18">
        <v>348.03345200000001</v>
      </c>
      <c r="EM18">
        <v>351.257723</v>
      </c>
      <c r="EN18">
        <v>357.03792900000002</v>
      </c>
      <c r="EO18">
        <v>367.89013499999999</v>
      </c>
      <c r="EP18">
        <v>378.32559400000002</v>
      </c>
      <c r="EQ18">
        <v>385.509615</v>
      </c>
      <c r="ER18">
        <v>389.38556799999998</v>
      </c>
      <c r="ES18">
        <v>391.97981600000003</v>
      </c>
      <c r="ET18">
        <v>395.58442400000001</v>
      </c>
      <c r="EU18">
        <v>399.40767099999999</v>
      </c>
      <c r="EV18">
        <v>403.10555199999999</v>
      </c>
      <c r="EW18">
        <v>409.976023</v>
      </c>
      <c r="EX18">
        <v>417.51569899999998</v>
      </c>
      <c r="EY18">
        <v>425.15174400000001</v>
      </c>
      <c r="EZ18">
        <v>433.95852500000001</v>
      </c>
      <c r="FA18">
        <v>444.16807799999998</v>
      </c>
      <c r="FB18">
        <v>453.15947499999999</v>
      </c>
      <c r="FC18">
        <v>460.30364900000001</v>
      </c>
      <c r="FD18">
        <v>463.99002999999999</v>
      </c>
    </row>
    <row r="19" spans="1:160" x14ac:dyDescent="0.2">
      <c r="A19" s="7">
        <v>1868</v>
      </c>
      <c r="B19">
        <v>-0.36312075999999999</v>
      </c>
      <c r="C19" s="1">
        <f>'[1]ERF_best_aggregates_1750-2024'!AA120</f>
        <v>292.69957467996625</v>
      </c>
      <c r="D19" s="1">
        <v>0.20833333300000001</v>
      </c>
      <c r="E19">
        <v>9.1737047500000002E-2</v>
      </c>
      <c r="F19" s="1">
        <v>0</v>
      </c>
      <c r="G19" s="1">
        <f t="shared" si="0"/>
        <v>50.219410949999997</v>
      </c>
      <c r="H19" s="8">
        <f>'[1]ERF_best_aggregates_1750-2024'!AE120</f>
        <v>-0.14384636402408318</v>
      </c>
      <c r="I19" s="1">
        <v>340.35177499999998</v>
      </c>
      <c r="K19" t="s">
        <v>1</v>
      </c>
      <c r="L19">
        <v>47.877713999999997</v>
      </c>
      <c r="M19">
        <v>47.296132</v>
      </c>
      <c r="N19">
        <v>49.162492999999998</v>
      </c>
      <c r="O19">
        <v>52.026752000000002</v>
      </c>
      <c r="P19">
        <v>52.084695000000004</v>
      </c>
      <c r="Q19">
        <v>56.097727999999996</v>
      </c>
      <c r="R19">
        <v>49.577995999999999</v>
      </c>
      <c r="S19">
        <v>49.734915000000001</v>
      </c>
      <c r="T19">
        <v>49.318905999999998</v>
      </c>
      <c r="U19">
        <v>50.905977999999998</v>
      </c>
      <c r="V19">
        <v>50.942965000000001</v>
      </c>
      <c r="W19">
        <v>48.384265999999997</v>
      </c>
      <c r="X19">
        <v>51.583947000000002</v>
      </c>
      <c r="Y19">
        <v>47.446891000000001</v>
      </c>
      <c r="Z19">
        <v>48.134172</v>
      </c>
      <c r="AA19">
        <v>50.271923000000001</v>
      </c>
      <c r="AB19">
        <v>53.832245999999998</v>
      </c>
      <c r="AC19">
        <v>49.341672000000003</v>
      </c>
      <c r="AD19">
        <v>50.638702000000002</v>
      </c>
      <c r="AE19">
        <v>49.728126000000003</v>
      </c>
      <c r="AF19">
        <v>51.957317000000003</v>
      </c>
      <c r="AG19">
        <v>50.066094</v>
      </c>
      <c r="AH19">
        <v>54.553120999999997</v>
      </c>
      <c r="AI19">
        <v>49.335889999999999</v>
      </c>
      <c r="AJ19">
        <v>51.153911000000001</v>
      </c>
      <c r="AK19">
        <v>48.515118000000001</v>
      </c>
      <c r="AL19">
        <v>58.411088999999997</v>
      </c>
      <c r="AM19">
        <v>51.211100999999999</v>
      </c>
      <c r="AN19">
        <v>48.897539000000002</v>
      </c>
      <c r="AO19">
        <v>47.410651000000001</v>
      </c>
      <c r="AP19">
        <v>55.610861</v>
      </c>
      <c r="AQ19">
        <v>50.779744999999998</v>
      </c>
      <c r="AR19">
        <v>48.623297000000001</v>
      </c>
      <c r="AS19">
        <v>50.851571999999997</v>
      </c>
      <c r="AT19">
        <v>53.647176999999999</v>
      </c>
      <c r="AU19">
        <v>46.205308000000002</v>
      </c>
      <c r="AV19">
        <v>54.434851000000002</v>
      </c>
      <c r="AW19">
        <v>47.731118000000002</v>
      </c>
      <c r="AX19">
        <v>52.426805999999999</v>
      </c>
      <c r="AY19">
        <v>51.183776000000002</v>
      </c>
      <c r="AZ19">
        <v>49.505870999999999</v>
      </c>
      <c r="BA19">
        <v>51.733893000000002</v>
      </c>
      <c r="BB19">
        <v>48.463394000000001</v>
      </c>
      <c r="BC19">
        <v>47.801648</v>
      </c>
      <c r="BD19">
        <v>53.261487000000002</v>
      </c>
      <c r="BE19">
        <v>51.317435000000003</v>
      </c>
      <c r="BF19">
        <v>49.731985000000002</v>
      </c>
      <c r="BG19">
        <v>50.709682000000001</v>
      </c>
      <c r="BH19">
        <v>50.593136000000001</v>
      </c>
      <c r="BI19">
        <v>49.813271</v>
      </c>
      <c r="BJ19">
        <v>48.289881999999999</v>
      </c>
      <c r="BK19">
        <v>38.332554999999999</v>
      </c>
      <c r="BL19">
        <v>36.775418999999999</v>
      </c>
      <c r="BM19">
        <v>35.377609</v>
      </c>
      <c r="BN19">
        <v>40.943997000000003</v>
      </c>
      <c r="BO19">
        <v>41.31503</v>
      </c>
      <c r="BP19">
        <v>38.726613999999998</v>
      </c>
      <c r="BQ19">
        <v>39.926903000000003</v>
      </c>
      <c r="BR19">
        <v>39.685720000000003</v>
      </c>
      <c r="BS19">
        <v>37.050845000000002</v>
      </c>
      <c r="BT19">
        <v>36.781007000000002</v>
      </c>
      <c r="BU19">
        <v>37.912699000000003</v>
      </c>
      <c r="BV19">
        <v>38.055422</v>
      </c>
      <c r="BW19">
        <v>37.68018</v>
      </c>
      <c r="BX19">
        <v>41.302841000000001</v>
      </c>
      <c r="BY19">
        <v>35.018914000000002</v>
      </c>
      <c r="BZ19">
        <v>38.775016000000001</v>
      </c>
      <c r="CA19">
        <v>35.837446</v>
      </c>
      <c r="CB19">
        <v>40.31908</v>
      </c>
      <c r="CC19">
        <v>38.963684999999998</v>
      </c>
      <c r="CD19">
        <v>36.418633</v>
      </c>
      <c r="CE19">
        <v>38.579852000000002</v>
      </c>
      <c r="CF19">
        <v>37.244672999999999</v>
      </c>
      <c r="CG19">
        <v>37.659891000000002</v>
      </c>
      <c r="CH19">
        <v>36.081150000000001</v>
      </c>
      <c r="CI19">
        <v>34.400258999999998</v>
      </c>
      <c r="CJ19">
        <v>40.178642000000004</v>
      </c>
      <c r="CK19">
        <v>37.147046000000003</v>
      </c>
      <c r="CL19">
        <v>37.950192000000001</v>
      </c>
      <c r="CM19">
        <v>36.549624999999999</v>
      </c>
      <c r="CN19">
        <v>37.305273999999997</v>
      </c>
      <c r="CO19">
        <v>37.817529</v>
      </c>
      <c r="CP19">
        <v>38.384177000000001</v>
      </c>
      <c r="CQ19">
        <v>40.473965</v>
      </c>
      <c r="CR19">
        <v>37.595399999999998</v>
      </c>
      <c r="CS19">
        <v>34.225225999999999</v>
      </c>
      <c r="CT19">
        <v>36.874388000000003</v>
      </c>
      <c r="CU19">
        <v>39.492299000000003</v>
      </c>
      <c r="CV19">
        <v>41.305689000000001</v>
      </c>
      <c r="CW19">
        <v>37.915106000000002</v>
      </c>
      <c r="CX19">
        <v>38.643113999999997</v>
      </c>
      <c r="CY19">
        <v>38.403931999999998</v>
      </c>
      <c r="CZ19">
        <v>38.867451000000003</v>
      </c>
      <c r="DA19">
        <v>39.016264</v>
      </c>
      <c r="DB19">
        <v>39.950173999999997</v>
      </c>
      <c r="DC19">
        <v>36.976562000000001</v>
      </c>
      <c r="DD19">
        <v>40.128588999999998</v>
      </c>
      <c r="DE19">
        <v>40.475253000000002</v>
      </c>
      <c r="DF19">
        <v>39.266278999999997</v>
      </c>
      <c r="DG19">
        <v>39.494076</v>
      </c>
      <c r="DH19">
        <v>25.001082</v>
      </c>
      <c r="DI19">
        <v>25.240618000000001</v>
      </c>
      <c r="DJ19">
        <v>25.880512</v>
      </c>
      <c r="DK19">
        <v>26.163758000000001</v>
      </c>
      <c r="DL19">
        <v>26.129287999999999</v>
      </c>
      <c r="DM19">
        <v>25.307863000000001</v>
      </c>
      <c r="DN19">
        <v>24.080273999999999</v>
      </c>
      <c r="DO19">
        <v>24.397352000000001</v>
      </c>
      <c r="DP19">
        <v>26.478677999999999</v>
      </c>
      <c r="DQ19">
        <v>24.964442999999999</v>
      </c>
      <c r="DR19">
        <v>26.393549</v>
      </c>
      <c r="DS19">
        <v>26.34393</v>
      </c>
      <c r="DT19">
        <v>26.269539000000002</v>
      </c>
      <c r="DU19">
        <v>25.639737</v>
      </c>
      <c r="DV19">
        <v>25.283626999999999</v>
      </c>
      <c r="DW19">
        <v>25.716422999999999</v>
      </c>
      <c r="DX19">
        <v>25.471305000000001</v>
      </c>
      <c r="DY19">
        <v>24.145945000000001</v>
      </c>
      <c r="DZ19">
        <v>24.556968000000001</v>
      </c>
      <c r="EA19">
        <v>26.405666</v>
      </c>
      <c r="EB19">
        <v>24.162634000000001</v>
      </c>
      <c r="EC19">
        <v>25.433071000000002</v>
      </c>
      <c r="ED19">
        <v>28.731781000000002</v>
      </c>
      <c r="EE19">
        <v>23.850376000000001</v>
      </c>
      <c r="EF19">
        <v>23.981631</v>
      </c>
      <c r="EG19">
        <v>25.697914999999998</v>
      </c>
      <c r="EH19">
        <v>25.636693000000001</v>
      </c>
      <c r="EI19">
        <v>25.646369</v>
      </c>
      <c r="EJ19">
        <v>26.810634</v>
      </c>
      <c r="EK19">
        <v>23.972168</v>
      </c>
      <c r="EL19">
        <v>25.699831</v>
      </c>
      <c r="EM19">
        <v>24.638421000000001</v>
      </c>
      <c r="EN19">
        <v>24.003786999999999</v>
      </c>
      <c r="EO19">
        <v>25.470210999999999</v>
      </c>
      <c r="EP19">
        <v>26.016722999999999</v>
      </c>
      <c r="EQ19">
        <v>25.435932999999999</v>
      </c>
      <c r="ER19">
        <v>25.604416000000001</v>
      </c>
      <c r="ES19">
        <v>23.583463999999999</v>
      </c>
      <c r="ET19">
        <v>26.338853</v>
      </c>
      <c r="EU19">
        <v>25.861284999999999</v>
      </c>
      <c r="EV19">
        <v>26.677226999999998</v>
      </c>
      <c r="EW19">
        <v>26.216131000000001</v>
      </c>
      <c r="EX19">
        <v>23.723237000000001</v>
      </c>
      <c r="EY19">
        <v>24.557424999999999</v>
      </c>
      <c r="EZ19">
        <v>26.02901</v>
      </c>
      <c r="FA19">
        <v>24.026637000000001</v>
      </c>
      <c r="FB19">
        <v>24.026688</v>
      </c>
      <c r="FC19">
        <v>26.532468999999999</v>
      </c>
      <c r="FD19">
        <v>24.110208</v>
      </c>
    </row>
    <row r="20" spans="1:160" x14ac:dyDescent="0.2">
      <c r="A20" s="7">
        <v>1869</v>
      </c>
      <c r="B20">
        <v>-0.31852213000000001</v>
      </c>
      <c r="C20" s="1">
        <f>'[1]ERF_best_aggregates_1750-2024'!AA121</f>
        <v>292.84071296185874</v>
      </c>
      <c r="D20" s="1">
        <v>0.6</v>
      </c>
      <c r="E20">
        <v>8.0809102500000007E-2</v>
      </c>
      <c r="F20" s="1">
        <v>0</v>
      </c>
      <c r="G20" s="1">
        <f>G$184</f>
        <v>50.219410949999997</v>
      </c>
      <c r="H20" s="8">
        <f>'[1]ERF_best_aggregates_1750-2024'!AE121</f>
        <v>-0.1418187174869143</v>
      </c>
      <c r="I20" s="1">
        <v>340.42279000000002</v>
      </c>
    </row>
    <row r="21" spans="1:160" x14ac:dyDescent="0.2">
      <c r="A21" s="7">
        <v>1870</v>
      </c>
      <c r="B21">
        <v>-0.32778122999999998</v>
      </c>
      <c r="C21" s="1">
        <f>'[1]ERF_best_aggregates_1750-2024'!AA122</f>
        <v>293.13105405097218</v>
      </c>
      <c r="D21" s="1">
        <v>0.60833333300000003</v>
      </c>
      <c r="E21">
        <v>7.3627264999999997E-2</v>
      </c>
      <c r="F21" s="1" cm="1">
        <f t="array" ref="F21:F169">TRANSPOSE(L18:FD18)</f>
        <v>0</v>
      </c>
      <c r="G21" s="1" cm="1">
        <f t="array" ref="G21:G169">TRANSPOSE(L19:FD19)</f>
        <v>47.877713999999997</v>
      </c>
      <c r="H21" s="8">
        <f>'[1]ERF_best_aggregates_1750-2024'!AE122</f>
        <v>-0.15037133014471799</v>
      </c>
      <c r="I21" s="1">
        <v>340.51199250000002</v>
      </c>
    </row>
    <row r="22" spans="1:160" x14ac:dyDescent="0.2">
      <c r="A22" s="7">
        <v>1871</v>
      </c>
      <c r="B22">
        <v>-0.37342322</v>
      </c>
      <c r="C22" s="1">
        <f>'[1]ERF_best_aggregates_1750-2024'!AA123</f>
        <v>293.20137570916006</v>
      </c>
      <c r="D22" s="1">
        <v>0.59166666700000003</v>
      </c>
      <c r="E22">
        <v>7.5082032499999993E-2</v>
      </c>
      <c r="F22" s="1">
        <v>1.152174</v>
      </c>
      <c r="G22" s="1">
        <v>47.296132</v>
      </c>
      <c r="H22" s="8">
        <f>'[1]ERF_best_aggregates_1750-2024'!AE123</f>
        <v>-0.1482451032994602</v>
      </c>
      <c r="I22" s="1">
        <v>340.50793499999997</v>
      </c>
    </row>
    <row r="23" spans="1:160" x14ac:dyDescent="0.2">
      <c r="A23" s="7">
        <v>1872</v>
      </c>
      <c r="B23">
        <v>-0.30945122000000003</v>
      </c>
      <c r="C23" s="1">
        <f>'[1]ERF_best_aggregates_1750-2024'!AA124</f>
        <v>293.29319064183943</v>
      </c>
      <c r="D23" s="1">
        <v>1.316666667</v>
      </c>
      <c r="E23">
        <v>6.8182329999999999E-2</v>
      </c>
      <c r="F23" s="1">
        <v>3.0554480000000002</v>
      </c>
      <c r="G23" s="1">
        <v>49.162492999999998</v>
      </c>
      <c r="H23" s="8">
        <f>'[1]ERF_best_aggregates_1750-2024'!AE124</f>
        <v>-0.15060727594339551</v>
      </c>
      <c r="I23" s="1">
        <v>340.49282749999998</v>
      </c>
      <c r="K23" t="s">
        <v>2</v>
      </c>
      <c r="L23" s="2" t="s">
        <v>3</v>
      </c>
      <c r="M23">
        <f>1955+606/12</f>
        <v>2005.5</v>
      </c>
      <c r="N23">
        <f>M23+1</f>
        <v>2006.5</v>
      </c>
      <c r="O23">
        <f t="shared" ref="O23:AE23" si="3">N23+1</f>
        <v>2007.5</v>
      </c>
      <c r="P23">
        <f t="shared" si="3"/>
        <v>2008.5</v>
      </c>
      <c r="Q23">
        <f t="shared" si="3"/>
        <v>2009.5</v>
      </c>
      <c r="R23">
        <f t="shared" si="3"/>
        <v>2010.5</v>
      </c>
      <c r="S23">
        <f t="shared" si="3"/>
        <v>2011.5</v>
      </c>
      <c r="T23">
        <f t="shared" si="3"/>
        <v>2012.5</v>
      </c>
      <c r="U23">
        <f t="shared" si="3"/>
        <v>2013.5</v>
      </c>
      <c r="V23">
        <f t="shared" si="3"/>
        <v>2014.5</v>
      </c>
      <c r="W23">
        <f t="shared" si="3"/>
        <v>2015.5</v>
      </c>
      <c r="X23">
        <f t="shared" si="3"/>
        <v>2016.5</v>
      </c>
      <c r="Y23">
        <f t="shared" si="3"/>
        <v>2017.5</v>
      </c>
      <c r="Z23">
        <f t="shared" si="3"/>
        <v>2018.5</v>
      </c>
      <c r="AA23">
        <f t="shared" si="3"/>
        <v>2019.5</v>
      </c>
      <c r="AB23">
        <f t="shared" si="3"/>
        <v>2020.5</v>
      </c>
      <c r="AC23">
        <f t="shared" si="3"/>
        <v>2021.5</v>
      </c>
      <c r="AD23">
        <f t="shared" si="3"/>
        <v>2022.5</v>
      </c>
      <c r="AE23">
        <f t="shared" si="3"/>
        <v>2023.5</v>
      </c>
    </row>
    <row r="24" spans="1:160" x14ac:dyDescent="0.2">
      <c r="A24" s="7">
        <v>1873</v>
      </c>
      <c r="B24">
        <v>-0.32117823000000001</v>
      </c>
      <c r="C24" s="1">
        <f>'[1]ERF_best_aggregates_1750-2024'!AA125</f>
        <v>293.61916512995271</v>
      </c>
      <c r="D24" s="1">
        <v>3.0083333329999999</v>
      </c>
      <c r="E24">
        <v>6.510574999999999E-2</v>
      </c>
      <c r="F24" s="1">
        <v>1.7135260000000001</v>
      </c>
      <c r="G24" s="1">
        <v>52.026752000000002</v>
      </c>
      <c r="H24" s="8">
        <f>'[1]ERF_best_aggregates_1750-2024'!AE125</f>
        <v>-0.1662987077473812</v>
      </c>
      <c r="I24" s="1">
        <v>340.45068250000003</v>
      </c>
      <c r="K24" t="s">
        <v>4</v>
      </c>
      <c r="L24" t="s">
        <v>5</v>
      </c>
      <c r="M24">
        <v>10.170999999999999</v>
      </c>
      <c r="N24">
        <v>12.638</v>
      </c>
      <c r="O24">
        <v>12.394</v>
      </c>
      <c r="P24">
        <v>13.257</v>
      </c>
      <c r="Q24">
        <v>13.430999999999999</v>
      </c>
      <c r="R24">
        <v>14.537000000000001</v>
      </c>
      <c r="S24">
        <v>15.394</v>
      </c>
      <c r="T24">
        <v>16.187000000000001</v>
      </c>
      <c r="U24">
        <v>18.649999999999999</v>
      </c>
      <c r="V24">
        <v>20.110001</v>
      </c>
      <c r="W24">
        <v>22.400998999999999</v>
      </c>
      <c r="X24">
        <v>20.798999999999999</v>
      </c>
      <c r="Y24">
        <v>23.589001</v>
      </c>
      <c r="Z24">
        <v>24.059000000000001</v>
      </c>
      <c r="AA24">
        <v>25.436001000000001</v>
      </c>
      <c r="AB24">
        <v>25.524999999999999</v>
      </c>
      <c r="AC24">
        <v>27.280000999999999</v>
      </c>
      <c r="AD24">
        <v>28.191998999999999</v>
      </c>
      <c r="AE24">
        <v>29.105</v>
      </c>
    </row>
    <row r="25" spans="1:160" x14ac:dyDescent="0.2">
      <c r="A25" s="7">
        <v>1874</v>
      </c>
      <c r="B25">
        <v>-0.36541121999999998</v>
      </c>
      <c r="C25" s="1">
        <f>'[1]ERF_best_aggregates_1750-2024'!AA126</f>
        <v>293.90688475549086</v>
      </c>
      <c r="D25" s="1">
        <v>1.9583333329999999</v>
      </c>
      <c r="E25">
        <v>6.6028365000000006E-2</v>
      </c>
      <c r="F25" s="1">
        <v>1.624636</v>
      </c>
      <c r="G25" s="1">
        <v>52.084695000000004</v>
      </c>
      <c r="H25" s="8">
        <f>'[1]ERF_best_aggregates_1750-2024'!AE126</f>
        <v>-0.17064407373562629</v>
      </c>
      <c r="I25" s="1">
        <v>340.39373749999999</v>
      </c>
      <c r="M25">
        <f>(N24-M24)*10</f>
        <v>24.670000000000005</v>
      </c>
      <c r="N25">
        <f t="shared" ref="N25:Y25" si="4">(O24-N24)*10</f>
        <v>-2.4399999999999977</v>
      </c>
      <c r="O25">
        <f t="shared" si="4"/>
        <v>8.6299999999999955</v>
      </c>
      <c r="P25">
        <f t="shared" si="4"/>
        <v>1.7399999999999949</v>
      </c>
      <c r="Q25">
        <f t="shared" si="4"/>
        <v>11.060000000000016</v>
      </c>
      <c r="R25">
        <f t="shared" si="4"/>
        <v>8.5699999999999932</v>
      </c>
      <c r="S25">
        <f t="shared" si="4"/>
        <v>7.9300000000000104</v>
      </c>
      <c r="T25">
        <f t="shared" si="4"/>
        <v>24.629999999999974</v>
      </c>
      <c r="U25">
        <f t="shared" si="4"/>
        <v>14.600010000000019</v>
      </c>
      <c r="V25">
        <f t="shared" si="4"/>
        <v>22.909979999999983</v>
      </c>
      <c r="W25">
        <f t="shared" si="4"/>
        <v>-16.019989999999993</v>
      </c>
      <c r="X25">
        <f t="shared" si="4"/>
        <v>27.900010000000002</v>
      </c>
      <c r="Y25">
        <f t="shared" si="4"/>
        <v>4.6999900000000139</v>
      </c>
      <c r="Z25">
        <f t="shared" ref="Z25" si="5">(AA24-Z24)*10</f>
        <v>13.770009999999999</v>
      </c>
      <c r="AA25">
        <f t="shared" ref="AA25" si="6">(AB24-AA24)*10</f>
        <v>0.88998999999997608</v>
      </c>
      <c r="AB25">
        <f t="shared" ref="AB25" si="7">(AC24-AB24)*10</f>
        <v>17.55001</v>
      </c>
      <c r="AC25">
        <f t="shared" ref="AC25" si="8">(AD24-AC24)*10</f>
        <v>9.1199800000000053</v>
      </c>
      <c r="AD25">
        <f t="shared" ref="AD25" si="9">(AE24-AD24)*10</f>
        <v>9.1300100000000128</v>
      </c>
    </row>
    <row r="26" spans="1:160" x14ac:dyDescent="0.2">
      <c r="A26" s="7">
        <v>1875</v>
      </c>
      <c r="B26">
        <v>-0.36674760000000001</v>
      </c>
      <c r="C26" s="1">
        <f>'[1]ERF_best_aggregates_1750-2024'!AA127</f>
        <v>294.05738931710533</v>
      </c>
      <c r="D26" s="1">
        <v>1.2916666670000001</v>
      </c>
      <c r="E26">
        <v>6.8345514999999996E-2</v>
      </c>
      <c r="F26" s="1">
        <v>1.6767000000000001E-2</v>
      </c>
      <c r="G26" s="1">
        <v>56.097727999999996</v>
      </c>
      <c r="H26" s="8">
        <f>'[1]ERF_best_aggregates_1750-2024'!AE127</f>
        <v>-0.16763622306218529</v>
      </c>
      <c r="I26" s="1">
        <v>340.33819499999998</v>
      </c>
    </row>
    <row r="27" spans="1:160" x14ac:dyDescent="0.2">
      <c r="A27" s="7">
        <v>1876</v>
      </c>
      <c r="B27">
        <v>-0.41084635000000003</v>
      </c>
      <c r="C27" s="1">
        <f>'[1]ERF_best_aggregates_1750-2024'!AA128</f>
        <v>294.2892220342639</v>
      </c>
      <c r="D27" s="1">
        <v>6.2</v>
      </c>
      <c r="E27">
        <v>6.9553074999999992E-2</v>
      </c>
      <c r="F27" s="1">
        <v>3.4703580000000001</v>
      </c>
      <c r="G27" s="1">
        <v>49.577995999999999</v>
      </c>
      <c r="H27" s="8">
        <f>'[1]ERF_best_aggregates_1750-2024'!AE128</f>
        <v>-0.1742931287953127</v>
      </c>
      <c r="I27" s="1">
        <v>340.32458500000001</v>
      </c>
      <c r="M27">
        <f>EQ17</f>
        <v>2005</v>
      </c>
      <c r="N27">
        <f t="shared" ref="N27:AE27" si="10">ER17</f>
        <v>2006</v>
      </c>
      <c r="O27">
        <f t="shared" si="10"/>
        <v>2007</v>
      </c>
      <c r="P27">
        <f t="shared" si="10"/>
        <v>2008</v>
      </c>
      <c r="Q27">
        <f t="shared" si="10"/>
        <v>2009</v>
      </c>
      <c r="R27">
        <f t="shared" si="10"/>
        <v>2010</v>
      </c>
      <c r="S27">
        <f t="shared" si="10"/>
        <v>2011</v>
      </c>
      <c r="T27">
        <f t="shared" si="10"/>
        <v>2012</v>
      </c>
      <c r="U27">
        <f t="shared" si="10"/>
        <v>2013</v>
      </c>
      <c r="V27">
        <f t="shared" si="10"/>
        <v>2014</v>
      </c>
      <c r="W27">
        <f t="shared" si="10"/>
        <v>2015</v>
      </c>
      <c r="X27">
        <f t="shared" si="10"/>
        <v>2016</v>
      </c>
      <c r="Y27">
        <f t="shared" si="10"/>
        <v>2017</v>
      </c>
      <c r="Z27">
        <f t="shared" si="10"/>
        <v>2018</v>
      </c>
      <c r="AA27">
        <f t="shared" si="10"/>
        <v>0</v>
      </c>
      <c r="AB27">
        <f t="shared" si="10"/>
        <v>0</v>
      </c>
      <c r="AC27">
        <f t="shared" si="10"/>
        <v>0</v>
      </c>
      <c r="AD27">
        <f t="shared" si="10"/>
        <v>0</v>
      </c>
      <c r="AE27">
        <f t="shared" si="10"/>
        <v>0</v>
      </c>
    </row>
    <row r="28" spans="1:160" x14ac:dyDescent="0.2">
      <c r="A28" s="7">
        <v>1877</v>
      </c>
      <c r="B28">
        <v>-8.2424335000000001E-2</v>
      </c>
      <c r="C28" s="1">
        <f>'[1]ERF_best_aggregates_1750-2024'!AA129</f>
        <v>294.61231377586154</v>
      </c>
      <c r="D28" s="1">
        <v>5.266666667</v>
      </c>
      <c r="E28">
        <v>6.3936372000000005E-2</v>
      </c>
      <c r="F28" s="1">
        <v>9.0728749999999998</v>
      </c>
      <c r="G28" s="1">
        <v>49.734915000000001</v>
      </c>
      <c r="H28" s="8">
        <f>'[1]ERF_best_aggregates_1750-2024'!AE129</f>
        <v>-0.17938792105650039</v>
      </c>
      <c r="I28" s="1">
        <v>340.32763749999998</v>
      </c>
      <c r="K28" t="s">
        <v>6</v>
      </c>
      <c r="M28">
        <f>EQ18</f>
        <v>385.509615</v>
      </c>
      <c r="N28">
        <f t="shared" ref="N28:Z28" si="11">ER18</f>
        <v>389.38556799999998</v>
      </c>
      <c r="O28">
        <f t="shared" si="11"/>
        <v>391.97981600000003</v>
      </c>
      <c r="P28">
        <f t="shared" si="11"/>
        <v>395.58442400000001</v>
      </c>
      <c r="Q28">
        <f t="shared" si="11"/>
        <v>399.40767099999999</v>
      </c>
      <c r="R28">
        <f t="shared" si="11"/>
        <v>403.10555199999999</v>
      </c>
      <c r="S28">
        <f t="shared" si="11"/>
        <v>409.976023</v>
      </c>
      <c r="T28">
        <f t="shared" si="11"/>
        <v>417.51569899999998</v>
      </c>
      <c r="U28">
        <f t="shared" si="11"/>
        <v>425.15174400000001</v>
      </c>
      <c r="V28">
        <f t="shared" si="11"/>
        <v>433.95852500000001</v>
      </c>
      <c r="W28">
        <f t="shared" si="11"/>
        <v>444.16807799999998</v>
      </c>
      <c r="X28">
        <f t="shared" si="11"/>
        <v>453.15947499999999</v>
      </c>
      <c r="Y28">
        <f t="shared" si="11"/>
        <v>460.30364900000001</v>
      </c>
      <c r="Z28">
        <f t="shared" si="11"/>
        <v>463.99002999999999</v>
      </c>
      <c r="AA28">
        <f>Z28+Z33</f>
        <v>477.76004</v>
      </c>
      <c r="AB28">
        <f t="shared" ref="AB28:AE28" si="12">AA28+AA33</f>
        <v>478.65002999999996</v>
      </c>
      <c r="AC28">
        <f t="shared" si="12"/>
        <v>496.20003999999994</v>
      </c>
      <c r="AD28">
        <f t="shared" si="12"/>
        <v>505.32001999999994</v>
      </c>
      <c r="AE28">
        <f t="shared" si="12"/>
        <v>514.45002999999997</v>
      </c>
    </row>
    <row r="29" spans="1:160" x14ac:dyDescent="0.2">
      <c r="A29" s="7">
        <v>1878</v>
      </c>
      <c r="B29">
        <v>1.0314008E-2</v>
      </c>
      <c r="C29" s="1">
        <f>'[1]ERF_best_aggregates_1750-2024'!AA130</f>
        <v>294.92872910794881</v>
      </c>
      <c r="D29" s="1">
        <v>3.1583333329999999</v>
      </c>
      <c r="E29">
        <v>6.1555739999999998E-2</v>
      </c>
      <c r="F29" s="1">
        <v>13.960433</v>
      </c>
      <c r="G29" s="1">
        <v>49.318905999999998</v>
      </c>
      <c r="H29" s="8">
        <f>'[1]ERF_best_aggregates_1750-2024'!AE130</f>
        <v>-0.18329610079250352</v>
      </c>
      <c r="I29" s="1">
        <v>340.29495250000002</v>
      </c>
      <c r="M29">
        <f t="shared" ref="M29:X29" si="13">N28-M28</f>
        <v>3.8759529999999813</v>
      </c>
      <c r="N29">
        <f t="shared" si="13"/>
        <v>2.5942480000000501</v>
      </c>
      <c r="O29">
        <f t="shared" si="13"/>
        <v>3.6046079999999847</v>
      </c>
      <c r="P29">
        <f t="shared" si="13"/>
        <v>3.8232469999999807</v>
      </c>
      <c r="Q29">
        <f t="shared" si="13"/>
        <v>3.6978809999999953</v>
      </c>
      <c r="R29">
        <f t="shared" si="13"/>
        <v>6.8704710000000091</v>
      </c>
      <c r="S29">
        <f t="shared" si="13"/>
        <v>7.5396759999999858</v>
      </c>
      <c r="T29">
        <f t="shared" si="13"/>
        <v>7.6360450000000242</v>
      </c>
      <c r="U29">
        <f t="shared" si="13"/>
        <v>8.8067810000000009</v>
      </c>
      <c r="V29">
        <f t="shared" si="13"/>
        <v>10.209552999999971</v>
      </c>
      <c r="W29">
        <f t="shared" si="13"/>
        <v>8.9913970000000063</v>
      </c>
      <c r="X29">
        <f t="shared" si="13"/>
        <v>7.1441740000000209</v>
      </c>
      <c r="Y29">
        <f>Z28-Y28</f>
        <v>3.686380999999983</v>
      </c>
    </row>
    <row r="30" spans="1:160" x14ac:dyDescent="0.2">
      <c r="A30" s="7">
        <v>1879</v>
      </c>
      <c r="B30">
        <v>-0.28873557</v>
      </c>
      <c r="C30" s="1">
        <f>'[1]ERF_best_aggregates_1750-2024'!AA131</f>
        <v>295.19922290222587</v>
      </c>
      <c r="D30" s="1">
        <v>2</v>
      </c>
      <c r="E30">
        <v>6.5920580000000006E-2</v>
      </c>
      <c r="F30" s="1">
        <v>17.407888</v>
      </c>
      <c r="G30" s="1">
        <v>50.905977999999998</v>
      </c>
      <c r="H30" s="8">
        <f>'[1]ERF_best_aggregates_1750-2024'!AE131</f>
        <v>-0.19487010940856739</v>
      </c>
      <c r="I30" s="1">
        <v>340.3061525</v>
      </c>
    </row>
    <row r="31" spans="1:160" x14ac:dyDescent="0.2">
      <c r="A31" s="7">
        <v>1880</v>
      </c>
      <c r="B31">
        <v>-0.30317359999999999</v>
      </c>
      <c r="C31" s="1">
        <f>'[1]ERF_best_aggregates_1750-2024'!AA132</f>
        <v>295.45640616230452</v>
      </c>
      <c r="D31" s="1">
        <v>1.141666667</v>
      </c>
      <c r="E31">
        <v>6.1261195000000004E-2</v>
      </c>
      <c r="F31" s="1">
        <v>21.636983000000001</v>
      </c>
      <c r="G31" s="1">
        <v>50.942965000000001</v>
      </c>
      <c r="H31" s="8">
        <f>'[1]ERF_best_aggregates_1750-2024'!AE132</f>
        <v>-0.2048028460642731</v>
      </c>
      <c r="I31" s="1">
        <v>340.37341249999997</v>
      </c>
    </row>
    <row r="32" spans="1:160" x14ac:dyDescent="0.2">
      <c r="A32" s="7">
        <v>1881</v>
      </c>
      <c r="B32">
        <v>-0.21301129999999999</v>
      </c>
      <c r="C32" s="1">
        <f>'[1]ERF_best_aggregates_1750-2024'!AA133</f>
        <v>295.87207033730652</v>
      </c>
      <c r="D32" s="1">
        <v>0.66666666699999999</v>
      </c>
      <c r="E32">
        <v>6.2508651499999998E-2</v>
      </c>
      <c r="F32" s="1">
        <v>19.125768000000001</v>
      </c>
      <c r="G32" s="1">
        <v>48.384265999999997</v>
      </c>
      <c r="H32" s="8">
        <f>'[1]ERF_best_aggregates_1750-2024'!AE133</f>
        <v>-0.21030737891642462</v>
      </c>
      <c r="I32" s="1">
        <v>340.43731750000001</v>
      </c>
    </row>
    <row r="33" spans="1:187" x14ac:dyDescent="0.2">
      <c r="A33" s="7">
        <v>1882</v>
      </c>
      <c r="B33">
        <v>-0.27210786999999997</v>
      </c>
      <c r="C33" s="1">
        <f>'[1]ERF_best_aggregates_1750-2024'!AA134</f>
        <v>296.13249608344614</v>
      </c>
      <c r="D33" s="1">
        <v>0.57499999999999996</v>
      </c>
      <c r="E33">
        <v>6.25953125E-2</v>
      </c>
      <c r="F33" s="1">
        <v>16.527455</v>
      </c>
      <c r="G33" s="1">
        <v>51.583947000000002</v>
      </c>
      <c r="H33" s="8">
        <f>'[1]ERF_best_aggregates_1750-2024'!AE134</f>
        <v>-0.21437935003845451</v>
      </c>
      <c r="I33" s="1">
        <v>340.42928999999998</v>
      </c>
      <c r="M33">
        <f>(Y24-M24)*10</f>
        <v>134.18001000000001</v>
      </c>
      <c r="N33" t="s">
        <v>7</v>
      </c>
      <c r="Z33">
        <f>Z25</f>
        <v>13.770009999999999</v>
      </c>
      <c r="AA33">
        <f t="shared" ref="AA33:AD33" si="14">AA25</f>
        <v>0.88998999999997608</v>
      </c>
      <c r="AB33">
        <f t="shared" si="14"/>
        <v>17.55001</v>
      </c>
      <c r="AC33">
        <f t="shared" si="14"/>
        <v>9.1199800000000053</v>
      </c>
      <c r="AD33">
        <f t="shared" si="14"/>
        <v>9.1300100000000128</v>
      </c>
    </row>
    <row r="34" spans="1:187" x14ac:dyDescent="0.2">
      <c r="A34" s="7">
        <v>1883</v>
      </c>
      <c r="B34">
        <v>-0.32755711999999998</v>
      </c>
      <c r="C34" s="1">
        <f>'[1]ERF_best_aggregates_1750-2024'!AA135</f>
        <v>296.35268045229162</v>
      </c>
      <c r="D34" s="1">
        <v>47.291666669999998</v>
      </c>
      <c r="E34">
        <v>5.5816837500000001E-2</v>
      </c>
      <c r="F34" s="1">
        <v>15.617732999999999</v>
      </c>
      <c r="G34" s="1">
        <v>47.446891000000001</v>
      </c>
      <c r="H34" s="8">
        <f>'[1]ERF_best_aggregates_1750-2024'!AE135</f>
        <v>-0.21511301351264142</v>
      </c>
      <c r="I34" s="1">
        <v>340.4181825</v>
      </c>
      <c r="M34">
        <f>Z28-M28</f>
        <v>78.480414999999994</v>
      </c>
      <c r="N34" t="s">
        <v>8</v>
      </c>
    </row>
    <row r="35" spans="1:187" x14ac:dyDescent="0.2">
      <c r="A35" s="7">
        <v>1884</v>
      </c>
      <c r="B35">
        <v>-0.47444913</v>
      </c>
      <c r="C35" s="1">
        <f>'[1]ERF_best_aggregates_1750-2024'!AA136</f>
        <v>296.80515020939043</v>
      </c>
      <c r="D35" s="1">
        <v>142.90833330000001</v>
      </c>
      <c r="E35">
        <v>5.4527167499999987E-2</v>
      </c>
      <c r="F35" s="1">
        <v>14.757101</v>
      </c>
      <c r="G35" s="1">
        <v>48.134172</v>
      </c>
      <c r="H35" s="8">
        <f>'[1]ERF_best_aggregates_1750-2024'!AE136</f>
        <v>-0.22299133445700772</v>
      </c>
      <c r="I35" s="1">
        <v>340.43396000000001</v>
      </c>
      <c r="Z35">
        <f>AA36-Z36</f>
        <v>14.374416300000007</v>
      </c>
      <c r="AA35">
        <f>AB36-AA36</f>
        <v>1.1049573999999893</v>
      </c>
      <c r="AB35">
        <f>AC36-AB36</f>
        <v>19.889233400000023</v>
      </c>
      <c r="AC35">
        <f>AD36-AC36</f>
        <v>9.9446166000000176</v>
      </c>
      <c r="AD35">
        <f>AE36-AD36</f>
        <v>-509.30325370000003</v>
      </c>
    </row>
    <row r="36" spans="1:187" x14ac:dyDescent="0.2">
      <c r="A36" s="7">
        <v>1885</v>
      </c>
      <c r="B36">
        <v>-0.45813232999999998</v>
      </c>
      <c r="C36" s="1">
        <f>'[1]ERF_best_aggregates_1750-2024'!AA137</f>
        <v>297.17879085858647</v>
      </c>
      <c r="D36" s="1">
        <v>63.491666670000001</v>
      </c>
      <c r="E36">
        <v>5.4673667499999995E-2</v>
      </c>
      <c r="F36" s="1">
        <v>14.922197000000001</v>
      </c>
      <c r="G36" s="1">
        <v>50.271923000000001</v>
      </c>
      <c r="H36" s="8">
        <f>'[1]ERF_best_aggregates_1750-2024'!AE137</f>
        <v>-0.22729413327425502</v>
      </c>
      <c r="I36" s="1">
        <v>340.40936249999999</v>
      </c>
      <c r="L36">
        <f>M33/M34</f>
        <v>1.7097260507605627</v>
      </c>
      <c r="Z36">
        <f>F169</f>
        <v>463.99002999999999</v>
      </c>
      <c r="AA36">
        <v>478.3644463</v>
      </c>
      <c r="AB36">
        <v>479.46940369999999</v>
      </c>
      <c r="AC36">
        <v>499.35863710000001</v>
      </c>
      <c r="AD36">
        <v>509.30325370000003</v>
      </c>
    </row>
    <row r="37" spans="1:187" x14ac:dyDescent="0.2">
      <c r="A37" s="7">
        <v>1886</v>
      </c>
      <c r="B37">
        <v>-0.40817369999999997</v>
      </c>
      <c r="C37" s="1">
        <f>'[1]ERF_best_aggregates_1750-2024'!AA138</f>
        <v>297.57712029683324</v>
      </c>
      <c r="D37" s="1">
        <v>36.433333330000004</v>
      </c>
      <c r="E37">
        <v>5.2311524999999984E-2</v>
      </c>
      <c r="F37" s="1">
        <v>16.212654000000001</v>
      </c>
      <c r="G37" s="1">
        <v>53.832245999999998</v>
      </c>
      <c r="H37" s="8">
        <f>'[1]ERF_best_aggregates_1750-2024'!AE138</f>
        <v>-0.22674831091480599</v>
      </c>
      <c r="I37" s="1">
        <v>340.34472749999998</v>
      </c>
    </row>
    <row r="38" spans="1:187" x14ac:dyDescent="0.2">
      <c r="A38" s="7">
        <v>1887</v>
      </c>
      <c r="B38">
        <v>-0.48834157</v>
      </c>
      <c r="C38" s="1">
        <f>'[1]ERF_best_aggregates_1750-2024'!AA139</f>
        <v>298.06830690081182</v>
      </c>
      <c r="D38" s="1">
        <v>37.108333330000001</v>
      </c>
      <c r="E38">
        <v>5.7341584999999987E-2</v>
      </c>
      <c r="F38" s="1">
        <v>17.683049</v>
      </c>
      <c r="G38" s="1">
        <v>49.341672000000003</v>
      </c>
      <c r="H38" s="8">
        <f>'[1]ERF_best_aggregates_1750-2024'!AE139</f>
        <v>-0.23731967729081951</v>
      </c>
      <c r="I38" s="1">
        <v>340.31680249999999</v>
      </c>
    </row>
    <row r="39" spans="1:187" x14ac:dyDescent="0.2">
      <c r="A39" s="7">
        <v>1888</v>
      </c>
      <c r="B39">
        <v>-0.37258717000000002</v>
      </c>
      <c r="C39" s="1">
        <f>'[1]ERF_best_aggregates_1750-2024'!AA140</f>
        <v>298.64463457739242</v>
      </c>
      <c r="D39" s="1">
        <v>21.858333330000001</v>
      </c>
      <c r="E39">
        <v>5.8746569999999998E-2</v>
      </c>
      <c r="F39" s="1">
        <v>18.085829</v>
      </c>
      <c r="G39" s="1">
        <v>50.638702000000002</v>
      </c>
      <c r="H39" s="8">
        <f>'[1]ERF_best_aggregates_1750-2024'!AE140</f>
        <v>-0.26036188052266512</v>
      </c>
      <c r="I39" s="1">
        <v>340.301605</v>
      </c>
    </row>
    <row r="40" spans="1:187" x14ac:dyDescent="0.2">
      <c r="A40" s="7">
        <v>1889</v>
      </c>
      <c r="B40">
        <v>-0.25040200000000001</v>
      </c>
      <c r="C40" s="1">
        <f>'[1]ERF_best_aggregates_1750-2024'!AA141</f>
        <v>299.05598656552394</v>
      </c>
      <c r="D40" s="1">
        <v>28.533333330000001</v>
      </c>
      <c r="E40">
        <v>6.1829255000000007E-2</v>
      </c>
      <c r="F40" s="1">
        <v>17.171817999999998</v>
      </c>
      <c r="G40" s="1">
        <v>49.728126000000003</v>
      </c>
      <c r="H40" s="8">
        <f>'[1]ERF_best_aggregates_1750-2024'!AE141</f>
        <v>-0.25676584847854267</v>
      </c>
      <c r="I40" s="1">
        <v>340.30023249999999</v>
      </c>
      <c r="L40">
        <v>1850</v>
      </c>
      <c r="M40">
        <f t="shared" ref="M40:AR40" si="15">L40+1</f>
        <v>1851</v>
      </c>
      <c r="N40">
        <f t="shared" si="15"/>
        <v>1852</v>
      </c>
      <c r="O40">
        <f t="shared" si="15"/>
        <v>1853</v>
      </c>
      <c r="P40">
        <f t="shared" si="15"/>
        <v>1854</v>
      </c>
      <c r="Q40">
        <f t="shared" si="15"/>
        <v>1855</v>
      </c>
      <c r="R40">
        <f t="shared" si="15"/>
        <v>1856</v>
      </c>
      <c r="S40">
        <f t="shared" si="15"/>
        <v>1857</v>
      </c>
      <c r="T40">
        <f t="shared" si="15"/>
        <v>1858</v>
      </c>
      <c r="U40">
        <f t="shared" si="15"/>
        <v>1859</v>
      </c>
      <c r="V40">
        <f t="shared" si="15"/>
        <v>1860</v>
      </c>
      <c r="W40">
        <f t="shared" si="15"/>
        <v>1861</v>
      </c>
      <c r="X40">
        <f t="shared" si="15"/>
        <v>1862</v>
      </c>
      <c r="Y40">
        <f t="shared" si="15"/>
        <v>1863</v>
      </c>
      <c r="Z40">
        <f t="shared" si="15"/>
        <v>1864</v>
      </c>
      <c r="AA40">
        <f t="shared" si="15"/>
        <v>1865</v>
      </c>
      <c r="AB40">
        <f t="shared" si="15"/>
        <v>1866</v>
      </c>
      <c r="AC40">
        <f t="shared" si="15"/>
        <v>1867</v>
      </c>
      <c r="AD40">
        <f t="shared" si="15"/>
        <v>1868</v>
      </c>
      <c r="AE40">
        <f t="shared" si="15"/>
        <v>1869</v>
      </c>
      <c r="AF40">
        <f t="shared" si="15"/>
        <v>1870</v>
      </c>
      <c r="AG40">
        <f t="shared" si="15"/>
        <v>1871</v>
      </c>
      <c r="AH40">
        <f t="shared" si="15"/>
        <v>1872</v>
      </c>
      <c r="AI40">
        <f t="shared" si="15"/>
        <v>1873</v>
      </c>
      <c r="AJ40">
        <f t="shared" si="15"/>
        <v>1874</v>
      </c>
      <c r="AK40">
        <f t="shared" si="15"/>
        <v>1875</v>
      </c>
      <c r="AL40">
        <f t="shared" si="15"/>
        <v>1876</v>
      </c>
      <c r="AM40">
        <f t="shared" si="15"/>
        <v>1877</v>
      </c>
      <c r="AN40">
        <f t="shared" si="15"/>
        <v>1878</v>
      </c>
      <c r="AO40">
        <f t="shared" si="15"/>
        <v>1879</v>
      </c>
      <c r="AP40">
        <f t="shared" si="15"/>
        <v>1880</v>
      </c>
      <c r="AQ40">
        <f t="shared" si="15"/>
        <v>1881</v>
      </c>
      <c r="AR40">
        <f t="shared" si="15"/>
        <v>1882</v>
      </c>
      <c r="AS40">
        <f t="shared" ref="AS40:BX40" si="16">AR40+1</f>
        <v>1883</v>
      </c>
      <c r="AT40">
        <f t="shared" si="16"/>
        <v>1884</v>
      </c>
      <c r="AU40">
        <f t="shared" si="16"/>
        <v>1885</v>
      </c>
      <c r="AV40">
        <f t="shared" si="16"/>
        <v>1886</v>
      </c>
      <c r="AW40">
        <f t="shared" si="16"/>
        <v>1887</v>
      </c>
      <c r="AX40">
        <f t="shared" si="16"/>
        <v>1888</v>
      </c>
      <c r="AY40">
        <f t="shared" si="16"/>
        <v>1889</v>
      </c>
      <c r="AZ40">
        <f t="shared" si="16"/>
        <v>1890</v>
      </c>
      <c r="BA40">
        <f t="shared" si="16"/>
        <v>1891</v>
      </c>
      <c r="BB40">
        <f t="shared" si="16"/>
        <v>1892</v>
      </c>
      <c r="BC40">
        <f t="shared" si="16"/>
        <v>1893</v>
      </c>
      <c r="BD40">
        <f t="shared" si="16"/>
        <v>1894</v>
      </c>
      <c r="BE40">
        <f t="shared" si="16"/>
        <v>1895</v>
      </c>
      <c r="BF40">
        <f t="shared" si="16"/>
        <v>1896</v>
      </c>
      <c r="BG40">
        <f t="shared" si="16"/>
        <v>1897</v>
      </c>
      <c r="BH40">
        <f t="shared" si="16"/>
        <v>1898</v>
      </c>
      <c r="BI40">
        <f t="shared" si="16"/>
        <v>1899</v>
      </c>
      <c r="BJ40">
        <f t="shared" si="16"/>
        <v>1900</v>
      </c>
      <c r="BK40">
        <f t="shared" si="16"/>
        <v>1901</v>
      </c>
      <c r="BL40">
        <f t="shared" si="16"/>
        <v>1902</v>
      </c>
      <c r="BM40">
        <f t="shared" si="16"/>
        <v>1903</v>
      </c>
      <c r="BN40">
        <f t="shared" si="16"/>
        <v>1904</v>
      </c>
      <c r="BO40">
        <f t="shared" si="16"/>
        <v>1905</v>
      </c>
      <c r="BP40">
        <f t="shared" si="16"/>
        <v>1906</v>
      </c>
      <c r="BQ40">
        <f t="shared" si="16"/>
        <v>1907</v>
      </c>
      <c r="BR40">
        <f t="shared" si="16"/>
        <v>1908</v>
      </c>
      <c r="BS40">
        <f t="shared" si="16"/>
        <v>1909</v>
      </c>
      <c r="BT40">
        <f t="shared" si="16"/>
        <v>1910</v>
      </c>
      <c r="BU40">
        <f t="shared" si="16"/>
        <v>1911</v>
      </c>
      <c r="BV40">
        <f t="shared" si="16"/>
        <v>1912</v>
      </c>
      <c r="BW40">
        <f t="shared" si="16"/>
        <v>1913</v>
      </c>
      <c r="BX40">
        <f t="shared" si="16"/>
        <v>1914</v>
      </c>
      <c r="BY40">
        <f t="shared" ref="BY40:DD40" si="17">BX40+1</f>
        <v>1915</v>
      </c>
      <c r="BZ40">
        <f t="shared" si="17"/>
        <v>1916</v>
      </c>
      <c r="CA40">
        <f t="shared" si="17"/>
        <v>1917</v>
      </c>
      <c r="CB40">
        <f t="shared" si="17"/>
        <v>1918</v>
      </c>
      <c r="CC40">
        <f t="shared" si="17"/>
        <v>1919</v>
      </c>
      <c r="CD40">
        <f t="shared" si="17"/>
        <v>1920</v>
      </c>
      <c r="CE40">
        <f t="shared" si="17"/>
        <v>1921</v>
      </c>
      <c r="CF40">
        <f t="shared" si="17"/>
        <v>1922</v>
      </c>
      <c r="CG40">
        <f t="shared" si="17"/>
        <v>1923</v>
      </c>
      <c r="CH40">
        <f t="shared" si="17"/>
        <v>1924</v>
      </c>
      <c r="CI40">
        <f t="shared" si="17"/>
        <v>1925</v>
      </c>
      <c r="CJ40">
        <f t="shared" si="17"/>
        <v>1926</v>
      </c>
      <c r="CK40">
        <f t="shared" si="17"/>
        <v>1927</v>
      </c>
      <c r="CL40">
        <f t="shared" si="17"/>
        <v>1928</v>
      </c>
      <c r="CM40">
        <f t="shared" si="17"/>
        <v>1929</v>
      </c>
      <c r="CN40">
        <f t="shared" si="17"/>
        <v>1930</v>
      </c>
      <c r="CO40">
        <f t="shared" si="17"/>
        <v>1931</v>
      </c>
      <c r="CP40">
        <f t="shared" si="17"/>
        <v>1932</v>
      </c>
      <c r="CQ40">
        <f t="shared" si="17"/>
        <v>1933</v>
      </c>
      <c r="CR40">
        <f t="shared" si="17"/>
        <v>1934</v>
      </c>
      <c r="CS40">
        <f t="shared" si="17"/>
        <v>1935</v>
      </c>
      <c r="CT40">
        <f t="shared" si="17"/>
        <v>1936</v>
      </c>
      <c r="CU40">
        <f t="shared" si="17"/>
        <v>1937</v>
      </c>
      <c r="CV40">
        <f t="shared" si="17"/>
        <v>1938</v>
      </c>
      <c r="CW40">
        <f t="shared" si="17"/>
        <v>1939</v>
      </c>
      <c r="CX40">
        <f t="shared" si="17"/>
        <v>1940</v>
      </c>
      <c r="CY40">
        <f t="shared" si="17"/>
        <v>1941</v>
      </c>
      <c r="CZ40">
        <f t="shared" si="17"/>
        <v>1942</v>
      </c>
      <c r="DA40">
        <f t="shared" si="17"/>
        <v>1943</v>
      </c>
      <c r="DB40">
        <f t="shared" si="17"/>
        <v>1944</v>
      </c>
      <c r="DC40">
        <f t="shared" si="17"/>
        <v>1945</v>
      </c>
      <c r="DD40">
        <f t="shared" si="17"/>
        <v>1946</v>
      </c>
      <c r="DE40">
        <f t="shared" ref="DE40:EJ40" si="18">DD40+1</f>
        <v>1947</v>
      </c>
      <c r="DF40">
        <f t="shared" si="18"/>
        <v>1948</v>
      </c>
      <c r="DG40">
        <f t="shared" si="18"/>
        <v>1949</v>
      </c>
      <c r="DH40">
        <f t="shared" si="18"/>
        <v>1950</v>
      </c>
      <c r="DI40">
        <f t="shared" si="18"/>
        <v>1951</v>
      </c>
      <c r="DJ40">
        <f t="shared" si="18"/>
        <v>1952</v>
      </c>
      <c r="DK40">
        <f t="shared" si="18"/>
        <v>1953</v>
      </c>
      <c r="DL40">
        <f t="shared" si="18"/>
        <v>1954</v>
      </c>
      <c r="DM40">
        <f t="shared" si="18"/>
        <v>1955</v>
      </c>
      <c r="DN40">
        <f t="shared" si="18"/>
        <v>1956</v>
      </c>
      <c r="DO40">
        <f t="shared" si="18"/>
        <v>1957</v>
      </c>
      <c r="DP40">
        <f t="shared" si="18"/>
        <v>1958</v>
      </c>
      <c r="DQ40">
        <f t="shared" si="18"/>
        <v>1959</v>
      </c>
      <c r="DR40">
        <f t="shared" si="18"/>
        <v>1960</v>
      </c>
      <c r="DS40">
        <f t="shared" si="18"/>
        <v>1961</v>
      </c>
      <c r="DT40">
        <f t="shared" si="18"/>
        <v>1962</v>
      </c>
      <c r="DU40">
        <f t="shared" si="18"/>
        <v>1963</v>
      </c>
      <c r="DV40">
        <f t="shared" si="18"/>
        <v>1964</v>
      </c>
      <c r="DW40">
        <f t="shared" si="18"/>
        <v>1965</v>
      </c>
      <c r="DX40">
        <f t="shared" si="18"/>
        <v>1966</v>
      </c>
      <c r="DY40">
        <f t="shared" si="18"/>
        <v>1967</v>
      </c>
      <c r="DZ40">
        <f t="shared" si="18"/>
        <v>1968</v>
      </c>
      <c r="EA40">
        <f t="shared" si="18"/>
        <v>1969</v>
      </c>
      <c r="EB40">
        <f t="shared" si="18"/>
        <v>1970</v>
      </c>
      <c r="EC40">
        <f t="shared" si="18"/>
        <v>1971</v>
      </c>
      <c r="ED40">
        <f t="shared" si="18"/>
        <v>1972</v>
      </c>
      <c r="EE40">
        <f t="shared" si="18"/>
        <v>1973</v>
      </c>
      <c r="EF40">
        <f t="shared" si="18"/>
        <v>1974</v>
      </c>
      <c r="EG40">
        <f t="shared" si="18"/>
        <v>1975</v>
      </c>
      <c r="EH40">
        <f t="shared" si="18"/>
        <v>1976</v>
      </c>
      <c r="EI40">
        <f t="shared" si="18"/>
        <v>1977</v>
      </c>
      <c r="EJ40">
        <f t="shared" si="18"/>
        <v>1978</v>
      </c>
      <c r="EK40">
        <f t="shared" ref="EK40:FP40" si="19">EJ40+1</f>
        <v>1979</v>
      </c>
      <c r="EL40">
        <f t="shared" si="19"/>
        <v>1980</v>
      </c>
      <c r="EM40">
        <f t="shared" si="19"/>
        <v>1981</v>
      </c>
      <c r="EN40">
        <f t="shared" si="19"/>
        <v>1982</v>
      </c>
      <c r="EO40">
        <f t="shared" si="19"/>
        <v>1983</v>
      </c>
      <c r="EP40">
        <f t="shared" si="19"/>
        <v>1984</v>
      </c>
      <c r="EQ40">
        <f t="shared" si="19"/>
        <v>1985</v>
      </c>
      <c r="ER40">
        <f t="shared" si="19"/>
        <v>1986</v>
      </c>
      <c r="ES40">
        <f t="shared" si="19"/>
        <v>1987</v>
      </c>
      <c r="ET40">
        <f t="shared" si="19"/>
        <v>1988</v>
      </c>
      <c r="EU40">
        <f t="shared" si="19"/>
        <v>1989</v>
      </c>
      <c r="EV40">
        <f t="shared" si="19"/>
        <v>1990</v>
      </c>
      <c r="EW40">
        <f t="shared" si="19"/>
        <v>1991</v>
      </c>
      <c r="EX40">
        <f t="shared" si="19"/>
        <v>1992</v>
      </c>
      <c r="EY40">
        <f t="shared" si="19"/>
        <v>1993</v>
      </c>
      <c r="EZ40">
        <f t="shared" si="19"/>
        <v>1994</v>
      </c>
      <c r="FA40">
        <f t="shared" si="19"/>
        <v>1995</v>
      </c>
      <c r="FB40">
        <f t="shared" si="19"/>
        <v>1996</v>
      </c>
      <c r="FC40">
        <f t="shared" si="19"/>
        <v>1997</v>
      </c>
      <c r="FD40">
        <f t="shared" si="19"/>
        <v>1998</v>
      </c>
      <c r="FE40">
        <f t="shared" si="19"/>
        <v>1999</v>
      </c>
      <c r="FF40">
        <f t="shared" si="19"/>
        <v>2000</v>
      </c>
      <c r="FG40">
        <f t="shared" si="19"/>
        <v>2001</v>
      </c>
      <c r="FH40">
        <f t="shared" si="19"/>
        <v>2002</v>
      </c>
      <c r="FI40">
        <f t="shared" si="19"/>
        <v>2003</v>
      </c>
      <c r="FJ40">
        <f t="shared" si="19"/>
        <v>2004</v>
      </c>
      <c r="FK40">
        <f t="shared" si="19"/>
        <v>2005</v>
      </c>
      <c r="FL40">
        <f t="shared" si="19"/>
        <v>2006</v>
      </c>
      <c r="FM40">
        <f t="shared" si="19"/>
        <v>2007</v>
      </c>
      <c r="FN40">
        <f t="shared" si="19"/>
        <v>2008</v>
      </c>
      <c r="FO40">
        <f t="shared" si="19"/>
        <v>2009</v>
      </c>
      <c r="FP40">
        <f t="shared" si="19"/>
        <v>2010</v>
      </c>
      <c r="FQ40">
        <f t="shared" ref="FQ40:GC40" si="20">FP40+1</f>
        <v>2011</v>
      </c>
      <c r="FR40">
        <f t="shared" si="20"/>
        <v>2012</v>
      </c>
      <c r="FS40">
        <f t="shared" si="20"/>
        <v>2013</v>
      </c>
      <c r="FT40">
        <f t="shared" si="20"/>
        <v>2014</v>
      </c>
      <c r="FU40">
        <f t="shared" si="20"/>
        <v>2015</v>
      </c>
      <c r="FV40">
        <f t="shared" si="20"/>
        <v>2016</v>
      </c>
      <c r="FW40">
        <f t="shared" si="20"/>
        <v>2017</v>
      </c>
      <c r="FX40">
        <f t="shared" si="20"/>
        <v>2018</v>
      </c>
      <c r="FY40">
        <f t="shared" si="20"/>
        <v>2019</v>
      </c>
      <c r="FZ40">
        <f t="shared" si="20"/>
        <v>2020</v>
      </c>
      <c r="GA40">
        <f t="shared" si="20"/>
        <v>2021</v>
      </c>
      <c r="GB40">
        <f t="shared" si="20"/>
        <v>2022</v>
      </c>
      <c r="GC40">
        <f t="shared" si="20"/>
        <v>2023</v>
      </c>
    </row>
    <row r="41" spans="1:187" x14ac:dyDescent="0.2">
      <c r="A41" s="7">
        <v>1890</v>
      </c>
      <c r="B41">
        <v>-0.50025010000000003</v>
      </c>
      <c r="C41" s="1">
        <f>'[1]ERF_best_aggregates_1750-2024'!AA142</f>
        <v>299.58899299555179</v>
      </c>
      <c r="D41" s="1">
        <v>39.125</v>
      </c>
      <c r="E41">
        <v>6.2296785000000007E-2</v>
      </c>
      <c r="F41" s="1">
        <v>16.535898</v>
      </c>
      <c r="G41" s="1">
        <v>51.957317000000003</v>
      </c>
      <c r="H41" s="8">
        <f>'[1]ERF_best_aggregates_1750-2024'!AE142</f>
        <v>-0.27440500543321139</v>
      </c>
      <c r="I41" s="1">
        <v>340.30221499999999</v>
      </c>
      <c r="L41">
        <v>1360.763794</v>
      </c>
      <c r="M41">
        <v>1360.7661129999999</v>
      </c>
      <c r="N41">
        <v>1360.7635499999999</v>
      </c>
      <c r="O41">
        <v>1360.667725</v>
      </c>
      <c r="P41">
        <v>1360.5201420000001</v>
      </c>
      <c r="Q41">
        <v>1360.4223629999999</v>
      </c>
      <c r="R41">
        <v>1360.3945309999999</v>
      </c>
      <c r="S41">
        <v>1360.4716800000001</v>
      </c>
      <c r="T41">
        <v>1360.6649170000001</v>
      </c>
      <c r="U41">
        <v>1360.8914789999999</v>
      </c>
      <c r="V41">
        <v>1360.9704589999999</v>
      </c>
      <c r="W41">
        <v>1360.8664550000001</v>
      </c>
      <c r="X41">
        <v>1360.747437</v>
      </c>
      <c r="Y41">
        <v>1360.6657709999999</v>
      </c>
      <c r="Z41">
        <v>1360.6585689999999</v>
      </c>
      <c r="AA41">
        <v>1360.5726320000001</v>
      </c>
      <c r="AB41">
        <v>1360.512939</v>
      </c>
      <c r="AC41">
        <v>1360.4227289999999</v>
      </c>
      <c r="AD41">
        <v>1360.571533</v>
      </c>
      <c r="AE41">
        <v>1360.814087</v>
      </c>
      <c r="AF41">
        <v>1361.0688479999999</v>
      </c>
      <c r="AG41">
        <v>1361.0036620000001</v>
      </c>
      <c r="AH41">
        <v>1360.9293210000001</v>
      </c>
      <c r="AI41">
        <v>1360.724731</v>
      </c>
      <c r="AJ41">
        <v>1360.588135</v>
      </c>
      <c r="AK41">
        <v>1360.444336</v>
      </c>
      <c r="AL41">
        <v>1360.4117429999999</v>
      </c>
      <c r="AM41">
        <v>1360.412231</v>
      </c>
      <c r="AN41">
        <v>1360.352905</v>
      </c>
      <c r="AO41">
        <v>1360.3328859999999</v>
      </c>
      <c r="AP41">
        <v>1360.4571530000001</v>
      </c>
      <c r="AQ41">
        <v>1360.5952150000001</v>
      </c>
      <c r="AR41">
        <v>1360.513428</v>
      </c>
      <c r="AS41">
        <v>1360.491577</v>
      </c>
      <c r="AT41">
        <v>1360.651611</v>
      </c>
      <c r="AU41">
        <v>1360.5322269999999</v>
      </c>
      <c r="AV41">
        <v>1360.366211</v>
      </c>
      <c r="AW41">
        <v>1360.309692</v>
      </c>
      <c r="AX41">
        <v>1360.263062</v>
      </c>
      <c r="AY41">
        <v>1360.2514650000001</v>
      </c>
      <c r="AZ41">
        <v>1360.281616</v>
      </c>
      <c r="BA41">
        <v>1360.5385739999999</v>
      </c>
      <c r="BB41">
        <v>1360.647827</v>
      </c>
      <c r="BC41">
        <v>1360.8161620000001</v>
      </c>
      <c r="BD41">
        <v>1360.9304199999999</v>
      </c>
      <c r="BE41">
        <v>1360.7867429999999</v>
      </c>
      <c r="BF41">
        <v>1360.579712</v>
      </c>
      <c r="BG41">
        <v>1360.442749</v>
      </c>
      <c r="BH41">
        <v>1360.4139399999999</v>
      </c>
      <c r="BI41">
        <v>1360.3432620000001</v>
      </c>
      <c r="BJ41">
        <v>1360.3201899999999</v>
      </c>
      <c r="BK41">
        <v>1360.2567140000001</v>
      </c>
      <c r="BL41">
        <v>1360.2841800000001</v>
      </c>
      <c r="BM41">
        <v>1360.4727780000001</v>
      </c>
      <c r="BN41">
        <v>1360.746216</v>
      </c>
      <c r="BO41">
        <v>1360.5733640000001</v>
      </c>
      <c r="BP41">
        <v>1360.767822</v>
      </c>
      <c r="BQ41">
        <v>1360.650879</v>
      </c>
      <c r="BR41">
        <v>1360.7116699999999</v>
      </c>
      <c r="BS41">
        <v>1360.5844729999999</v>
      </c>
      <c r="BT41">
        <v>1360.4544679999999</v>
      </c>
      <c r="BU41">
        <v>1360.3548579999999</v>
      </c>
      <c r="BV41">
        <v>1360.3066409999999</v>
      </c>
      <c r="BW41">
        <v>1360.307129</v>
      </c>
      <c r="BX41">
        <v>1360.411865</v>
      </c>
      <c r="BY41">
        <v>1360.7260739999999</v>
      </c>
      <c r="BZ41">
        <v>1360.9589840000001</v>
      </c>
      <c r="CA41">
        <v>1361.150879</v>
      </c>
      <c r="CB41">
        <v>1361.1010739999999</v>
      </c>
      <c r="CC41">
        <v>1360.8389890000001</v>
      </c>
      <c r="CD41">
        <v>1360.6461179999999</v>
      </c>
      <c r="CE41">
        <v>1360.541138</v>
      </c>
      <c r="CF41">
        <v>1360.441284</v>
      </c>
      <c r="CG41">
        <v>1360.4375</v>
      </c>
      <c r="CH41">
        <v>1360.5036620000001</v>
      </c>
      <c r="CI41">
        <v>1360.7192379999999</v>
      </c>
      <c r="CJ41">
        <v>1360.8359379999999</v>
      </c>
      <c r="CK41">
        <v>1361.0249020000001</v>
      </c>
      <c r="CL41">
        <v>1360.8992920000001</v>
      </c>
      <c r="CM41">
        <v>1360.845581</v>
      </c>
      <c r="CN41">
        <v>1360.810913</v>
      </c>
      <c r="CO41">
        <v>1360.681763</v>
      </c>
      <c r="CP41">
        <v>1360.56665</v>
      </c>
      <c r="CQ41">
        <v>1360.490601</v>
      </c>
      <c r="CR41">
        <v>1360.559814</v>
      </c>
      <c r="CS41">
        <v>1360.799561</v>
      </c>
      <c r="CT41">
        <v>1361.228638</v>
      </c>
      <c r="CU41">
        <v>1361.204956</v>
      </c>
      <c r="CV41">
        <v>1361.128418</v>
      </c>
      <c r="CW41">
        <v>1361.091553</v>
      </c>
      <c r="CX41">
        <v>1360.9985349999999</v>
      </c>
      <c r="CY41">
        <v>1360.9113769999999</v>
      </c>
      <c r="CZ41">
        <v>1360.7910159999999</v>
      </c>
      <c r="DA41">
        <v>1360.6260990000001</v>
      </c>
      <c r="DB41">
        <v>1360.6729740000001</v>
      </c>
      <c r="DC41">
        <v>1360.9411620000001</v>
      </c>
      <c r="DD41">
        <v>1361.088379</v>
      </c>
      <c r="DE41">
        <v>1361.3927000000001</v>
      </c>
      <c r="DF41">
        <v>1361.5063479999999</v>
      </c>
      <c r="DG41">
        <v>1361.408813</v>
      </c>
      <c r="DH41">
        <v>1361.1179199999999</v>
      </c>
      <c r="DI41">
        <v>1360.849731</v>
      </c>
      <c r="DJ41">
        <v>1360.822388</v>
      </c>
      <c r="DK41">
        <v>1360.6938479999999</v>
      </c>
      <c r="DL41">
        <v>1360.700928</v>
      </c>
      <c r="DM41">
        <v>1360.8811040000001</v>
      </c>
      <c r="DN41">
        <v>1361.4213870000001</v>
      </c>
      <c r="DO41">
        <v>1361.9398189999999</v>
      </c>
      <c r="DP41">
        <v>1361.860962</v>
      </c>
      <c r="DQ41">
        <v>1361.561279</v>
      </c>
      <c r="DR41">
        <v>1361.42749</v>
      </c>
      <c r="DS41">
        <v>1360.9957280000001</v>
      </c>
      <c r="DT41">
        <v>1360.798096</v>
      </c>
      <c r="DU41">
        <v>1360.732544</v>
      </c>
      <c r="DV41">
        <v>1360.7276609999999</v>
      </c>
      <c r="DW41">
        <v>1360.774048</v>
      </c>
      <c r="DX41">
        <v>1361.0020750000001</v>
      </c>
      <c r="DY41">
        <v>1361.2230219999999</v>
      </c>
      <c r="DZ41">
        <v>1361.303711</v>
      </c>
      <c r="EA41">
        <v>1361.3770750000001</v>
      </c>
      <c r="EB41">
        <v>1361.3758539999999</v>
      </c>
      <c r="EC41">
        <v>1361.040039</v>
      </c>
      <c r="ED41">
        <v>1361.10022</v>
      </c>
      <c r="EE41">
        <v>1360.864746</v>
      </c>
      <c r="EF41">
        <v>1360.770996</v>
      </c>
      <c r="EG41">
        <v>1360.7154539999999</v>
      </c>
      <c r="EH41">
        <v>1360.6945800000001</v>
      </c>
      <c r="EI41">
        <v>1360.8905030000001</v>
      </c>
      <c r="EJ41">
        <v>1361.216187</v>
      </c>
      <c r="EK41">
        <v>1361.6015629999999</v>
      </c>
      <c r="EL41">
        <v>1361.6397710000001</v>
      </c>
      <c r="EM41">
        <v>1361.68335</v>
      </c>
      <c r="EN41">
        <v>1361.2310789999999</v>
      </c>
      <c r="EO41">
        <v>1361.213745</v>
      </c>
      <c r="EP41">
        <v>1360.790405</v>
      </c>
      <c r="EQ41">
        <v>1360.633057</v>
      </c>
      <c r="ER41">
        <v>1360.6417240000001</v>
      </c>
      <c r="ES41">
        <v>1360.782837</v>
      </c>
      <c r="ET41">
        <v>1361.1195070000001</v>
      </c>
      <c r="EU41">
        <v>1361.643311</v>
      </c>
      <c r="EV41">
        <v>1361.552124</v>
      </c>
      <c r="EW41">
        <v>1361.517822</v>
      </c>
      <c r="EX41">
        <v>1361.3082280000001</v>
      </c>
      <c r="EY41">
        <v>1360.942749</v>
      </c>
      <c r="EZ41">
        <v>1360.741943</v>
      </c>
      <c r="FA41">
        <v>1360.731689</v>
      </c>
      <c r="FB41">
        <v>1360.6762699999999</v>
      </c>
      <c r="FC41">
        <v>1360.807251</v>
      </c>
      <c r="FD41">
        <v>1361.1759030000001</v>
      </c>
      <c r="FE41">
        <v>1361.4799800000001</v>
      </c>
      <c r="FF41">
        <v>1361.6602780000001</v>
      </c>
      <c r="FG41">
        <v>1361.5686040000001</v>
      </c>
      <c r="FH41">
        <v>1361.6331789999999</v>
      </c>
      <c r="FI41">
        <v>1361.1282960000001</v>
      </c>
      <c r="FJ41">
        <v>1360.9179690000001</v>
      </c>
      <c r="FK41">
        <v>1360.700439</v>
      </c>
      <c r="FL41">
        <v>1360.6795649999999</v>
      </c>
      <c r="FM41">
        <v>1360.6038820000001</v>
      </c>
      <c r="FN41">
        <v>1360.609741</v>
      </c>
      <c r="FO41">
        <v>1360.606567</v>
      </c>
      <c r="FP41">
        <v>1360.7854</v>
      </c>
      <c r="FQ41">
        <v>1361.06897</v>
      </c>
      <c r="FR41">
        <v>1361.1926269999999</v>
      </c>
      <c r="FS41">
        <v>1361.263062</v>
      </c>
      <c r="FT41">
        <v>1361.3862300000001</v>
      </c>
      <c r="FU41">
        <v>1361.4097899999999</v>
      </c>
      <c r="FV41">
        <v>1360.951904</v>
      </c>
      <c r="FW41">
        <v>1360.659668</v>
      </c>
      <c r="FX41">
        <v>1360.638672</v>
      </c>
      <c r="FY41">
        <v>1360.6491699999999</v>
      </c>
      <c r="FZ41">
        <v>1360.7491460000001</v>
      </c>
      <c r="GA41">
        <v>1360.9748540000001</v>
      </c>
      <c r="GB41">
        <v>1361.494385</v>
      </c>
      <c r="GC41">
        <f>FT44</f>
        <v>1361.8057455000001</v>
      </c>
    </row>
    <row r="42" spans="1:187" x14ac:dyDescent="0.2">
      <c r="A42" s="7">
        <v>1891</v>
      </c>
      <c r="B42">
        <v>-0.39753339999999998</v>
      </c>
      <c r="C42" s="1">
        <f>'[1]ERF_best_aggregates_1750-2024'!AA143</f>
        <v>299.95233254459362</v>
      </c>
      <c r="D42" s="1">
        <v>29.975000000000001</v>
      </c>
      <c r="E42">
        <v>6.8303450000000002E-2</v>
      </c>
      <c r="F42" s="1">
        <v>15.380051</v>
      </c>
      <c r="G42" s="1">
        <v>50.066094</v>
      </c>
      <c r="H42" s="8">
        <f>'[1]ERF_best_aggregates_1750-2024'!AE143</f>
        <v>-0.27317970026812366</v>
      </c>
      <c r="I42" s="1">
        <v>340.37671</v>
      </c>
      <c r="L42">
        <v>1361.7835700000001</v>
      </c>
      <c r="M42">
        <v>1361.72119</v>
      </c>
      <c r="N42">
        <v>1361.67615</v>
      </c>
      <c r="O42">
        <v>1361.5373500000001</v>
      </c>
      <c r="P42">
        <v>1361.36304</v>
      </c>
      <c r="Q42">
        <v>1361.19055</v>
      </c>
      <c r="R42">
        <v>1361.1550299999999</v>
      </c>
      <c r="S42">
        <v>1361.31396</v>
      </c>
      <c r="T42">
        <v>1361.6182899999999</v>
      </c>
      <c r="U42">
        <v>1361.8894</v>
      </c>
      <c r="V42">
        <v>1361.97119</v>
      </c>
      <c r="W42">
        <v>1361.8658399999999</v>
      </c>
      <c r="X42">
        <v>1361.77649</v>
      </c>
      <c r="Y42">
        <v>1361.61133</v>
      </c>
      <c r="Z42">
        <v>1361.55396</v>
      </c>
      <c r="AA42">
        <v>1361.43677</v>
      </c>
      <c r="AB42">
        <v>1361.3067599999999</v>
      </c>
      <c r="AC42">
        <v>1361.20056</v>
      </c>
      <c r="AD42">
        <v>1361.4070999999999</v>
      </c>
      <c r="AE42">
        <v>1361.6911600000001</v>
      </c>
      <c r="AF42">
        <v>1362.0479700000001</v>
      </c>
      <c r="AG42">
        <v>1362.0317399999999</v>
      </c>
      <c r="AH42">
        <v>1361.9713099999999</v>
      </c>
      <c r="AI42">
        <v>1361.8027300000001</v>
      </c>
      <c r="AJ42">
        <v>1361.5749499999999</v>
      </c>
      <c r="AK42">
        <v>1361.3527799999999</v>
      </c>
      <c r="AL42">
        <v>1361.2983400000001</v>
      </c>
      <c r="AM42">
        <v>1361.3105499999999</v>
      </c>
      <c r="AN42">
        <v>1361.1798100000001</v>
      </c>
      <c r="AO42">
        <v>1361.22461</v>
      </c>
      <c r="AP42">
        <v>1361.4936499999999</v>
      </c>
      <c r="AQ42">
        <v>1361.74927</v>
      </c>
      <c r="AR42">
        <v>1361.7171599999999</v>
      </c>
      <c r="AS42">
        <v>1361.67273</v>
      </c>
      <c r="AT42">
        <v>1361.7358400000001</v>
      </c>
      <c r="AU42">
        <v>1361.6374499999999</v>
      </c>
      <c r="AV42">
        <v>1361.3789099999999</v>
      </c>
      <c r="AW42">
        <v>1361.26721</v>
      </c>
      <c r="AX42">
        <v>1361.20642</v>
      </c>
      <c r="AY42">
        <v>1361.20093</v>
      </c>
      <c r="AZ42">
        <v>1361.20886</v>
      </c>
      <c r="BA42">
        <v>1361.50684</v>
      </c>
      <c r="BB42">
        <v>1361.8228799999999</v>
      </c>
      <c r="BC42">
        <v>1361.90039</v>
      </c>
      <c r="BD42">
        <v>1361.8906300000001</v>
      </c>
      <c r="BE42">
        <v>1361.75623</v>
      </c>
      <c r="BF42">
        <v>1361.59448</v>
      </c>
      <c r="BG42">
        <v>1361.33899</v>
      </c>
      <c r="BH42">
        <v>1361.3961200000001</v>
      </c>
      <c r="BI42">
        <v>1361.2694100000001</v>
      </c>
      <c r="BJ42">
        <v>1361.24854</v>
      </c>
      <c r="BK42">
        <v>1361.14978</v>
      </c>
      <c r="BL42">
        <v>1361.17822</v>
      </c>
      <c r="BM42">
        <v>1361.38464</v>
      </c>
      <c r="BN42">
        <v>1361.6415999999999</v>
      </c>
      <c r="BO42">
        <v>1361.6234099999999</v>
      </c>
      <c r="BP42">
        <v>1361.7117900000001</v>
      </c>
      <c r="BQ42">
        <v>1361.67444</v>
      </c>
      <c r="BR42">
        <v>1361.64832</v>
      </c>
      <c r="BS42">
        <v>1361.54773</v>
      </c>
      <c r="BT42">
        <v>1361.3435099999999</v>
      </c>
      <c r="BU42">
        <v>1361.1945800000001</v>
      </c>
      <c r="BV42">
        <v>1361.17651</v>
      </c>
      <c r="BW42">
        <v>1361.15625</v>
      </c>
      <c r="BX42">
        <v>1361.2394999999999</v>
      </c>
      <c r="BY42">
        <v>1361.64661</v>
      </c>
      <c r="BZ42">
        <v>1361.79126</v>
      </c>
      <c r="CA42">
        <v>1362.1728499999999</v>
      </c>
      <c r="CB42">
        <v>1362.0410199999999</v>
      </c>
      <c r="CC42">
        <v>1361.7353499999999</v>
      </c>
      <c r="CD42">
        <v>1361.4720500000001</v>
      </c>
      <c r="CE42">
        <v>1361.3773200000001</v>
      </c>
      <c r="CF42">
        <v>1361.2398700000001</v>
      </c>
      <c r="CG42">
        <v>1361.2076400000001</v>
      </c>
      <c r="CH42">
        <v>1361.2930899999999</v>
      </c>
      <c r="CI42">
        <v>1361.50476</v>
      </c>
      <c r="CJ42">
        <v>1361.69226</v>
      </c>
      <c r="CK42">
        <v>1361.8634</v>
      </c>
      <c r="CL42">
        <v>1361.83167</v>
      </c>
      <c r="CM42">
        <v>1361.6455100000001</v>
      </c>
      <c r="CN42">
        <v>1361.56738</v>
      </c>
      <c r="CO42">
        <v>1361.4018599999999</v>
      </c>
      <c r="CP42">
        <v>1361.2981</v>
      </c>
      <c r="CQ42">
        <v>1361.2360799999999</v>
      </c>
      <c r="CR42">
        <v>1361.2887000000001</v>
      </c>
      <c r="CS42">
        <v>1361.5372299999999</v>
      </c>
      <c r="CT42">
        <v>1362.05188</v>
      </c>
      <c r="CU42">
        <v>1362.2072800000001</v>
      </c>
      <c r="CV42">
        <v>1362.1182899999999</v>
      </c>
      <c r="CW42">
        <v>1361.9938999999999</v>
      </c>
      <c r="CX42">
        <v>1361.84546</v>
      </c>
      <c r="CY42">
        <v>1361.7233900000001</v>
      </c>
      <c r="CZ42">
        <v>1361.5128199999999</v>
      </c>
      <c r="DA42">
        <v>1361.3309300000001</v>
      </c>
      <c r="DB42">
        <v>1361.31799</v>
      </c>
      <c r="DC42">
        <v>1361.6186499999999</v>
      </c>
      <c r="DD42">
        <v>1361.93848</v>
      </c>
      <c r="DE42">
        <v>1362.1898200000001</v>
      </c>
      <c r="DF42">
        <v>1362.3061499999999</v>
      </c>
      <c r="DG42">
        <v>1362.16443</v>
      </c>
      <c r="DH42">
        <v>1361.8707300000001</v>
      </c>
      <c r="DI42">
        <v>1361.6533199999999</v>
      </c>
      <c r="DJ42">
        <v>1361.47144</v>
      </c>
      <c r="DK42">
        <v>1361.3472899999999</v>
      </c>
      <c r="DL42">
        <v>1361.2745399999999</v>
      </c>
      <c r="DM42">
        <v>1361.43372</v>
      </c>
      <c r="DN42">
        <v>1361.9768099999999</v>
      </c>
      <c r="DO42">
        <v>1362.4328599999999</v>
      </c>
      <c r="DP42">
        <v>1362.4039299999999</v>
      </c>
      <c r="DQ42">
        <v>1362.0960700000001</v>
      </c>
      <c r="DR42">
        <v>1361.9428700000001</v>
      </c>
      <c r="DS42">
        <v>1361.55701</v>
      </c>
      <c r="DT42">
        <v>1361.3754899999999</v>
      </c>
      <c r="DU42">
        <v>1361.3164099999999</v>
      </c>
      <c r="DV42">
        <v>1361.29675</v>
      </c>
      <c r="DW42">
        <v>1361.33142</v>
      </c>
      <c r="DX42">
        <v>1361.52673</v>
      </c>
      <c r="DY42">
        <v>1361.7354700000001</v>
      </c>
      <c r="DZ42">
        <v>1361.79053</v>
      </c>
      <c r="EA42">
        <v>1361.8584000000001</v>
      </c>
      <c r="EB42">
        <v>1361.8504600000001</v>
      </c>
      <c r="EC42">
        <v>1361.5585900000001</v>
      </c>
      <c r="ED42">
        <v>1361.6413600000001</v>
      </c>
      <c r="EE42">
        <v>1361.4154100000001</v>
      </c>
      <c r="EF42">
        <v>1361.3393599999999</v>
      </c>
      <c r="EG42">
        <v>1361.27808</v>
      </c>
      <c r="EH42">
        <v>1361.2561000000001</v>
      </c>
      <c r="EI42">
        <v>1361.4288300000001</v>
      </c>
      <c r="EJ42">
        <v>1361.8116500000001</v>
      </c>
      <c r="EK42">
        <v>1362.17517</v>
      </c>
      <c r="EL42">
        <v>1362.20117</v>
      </c>
      <c r="EM42">
        <v>1362.24854</v>
      </c>
      <c r="EN42">
        <v>1361.8068800000001</v>
      </c>
      <c r="EO42">
        <v>1361.8101799999999</v>
      </c>
      <c r="EP42">
        <v>1361.4021</v>
      </c>
      <c r="EQ42">
        <v>1361.2557400000001</v>
      </c>
      <c r="ER42">
        <v>1361.26172</v>
      </c>
      <c r="ES42">
        <v>1361.3964800000001</v>
      </c>
      <c r="ET42">
        <v>1361.7025100000001</v>
      </c>
      <c r="EU42">
        <v>1362.20117</v>
      </c>
      <c r="EV42">
        <v>1362.12</v>
      </c>
      <c r="EW42">
        <v>1362.0124499999999</v>
      </c>
      <c r="EX42">
        <v>1361.8813500000001</v>
      </c>
      <c r="EY42">
        <v>1361.61438</v>
      </c>
      <c r="EZ42">
        <v>1361.3957499999999</v>
      </c>
      <c r="FA42">
        <v>1361.3112799999999</v>
      </c>
      <c r="FB42">
        <v>1361.2351100000001</v>
      </c>
      <c r="FC42">
        <v>1361.35718</v>
      </c>
      <c r="FD42">
        <v>1361.7025100000001</v>
      </c>
      <c r="FE42">
        <v>1361.9731400000001</v>
      </c>
      <c r="FF42">
        <v>1362.2536600000001</v>
      </c>
      <c r="FG42">
        <v>1362.08142</v>
      </c>
      <c r="FH42">
        <v>1362.19055</v>
      </c>
      <c r="FI42">
        <v>1361.69067</v>
      </c>
      <c r="FJ42">
        <v>1361.4705799999999</v>
      </c>
      <c r="FK42">
        <v>1361.2624499999999</v>
      </c>
      <c r="FL42">
        <v>1361.2358400000001</v>
      </c>
      <c r="FM42">
        <v>1361.16858</v>
      </c>
      <c r="FN42">
        <v>1361.19678</v>
      </c>
      <c r="FO42">
        <v>1361.1910399999999</v>
      </c>
      <c r="FP42">
        <v>1361.3396</v>
      </c>
      <c r="FQ42">
        <v>1361.60645</v>
      </c>
      <c r="FR42">
        <v>1361.76819</v>
      </c>
      <c r="FS42">
        <v>1361.8129899999999</v>
      </c>
      <c r="FT42">
        <v>1361.88867</v>
      </c>
      <c r="FU42">
        <v>1361.9489699999999</v>
      </c>
      <c r="FV42">
        <v>1361.4648400000001</v>
      </c>
      <c r="FW42">
        <v>1361.2913799999999</v>
      </c>
      <c r="FX42">
        <v>1361.2624499999999</v>
      </c>
      <c r="FY42">
        <v>1361.25549</v>
      </c>
      <c r="FZ42">
        <v>1361.32275</v>
      </c>
      <c r="GA42">
        <v>1361.48938</v>
      </c>
      <c r="GB42">
        <v>1361.98108</v>
      </c>
      <c r="GC42">
        <v>1362.4476299999999</v>
      </c>
      <c r="GD42">
        <v>1362.5648200000001</v>
      </c>
      <c r="GE42">
        <v>1362.41589</v>
      </c>
    </row>
    <row r="43" spans="1:187" x14ac:dyDescent="0.2">
      <c r="A43" s="7">
        <v>1892</v>
      </c>
      <c r="B43">
        <v>-0.50656800000000002</v>
      </c>
      <c r="C43" s="1">
        <f>'[1]ERF_best_aggregates_1750-2024'!AA144</f>
        <v>300.38330941904513</v>
      </c>
      <c r="D43" s="1">
        <v>21.658333330000001</v>
      </c>
      <c r="E43">
        <v>6.9024450000000015E-2</v>
      </c>
      <c r="F43" s="1">
        <v>13.848699999999999</v>
      </c>
      <c r="G43" s="1">
        <v>54.553120999999997</v>
      </c>
      <c r="H43" s="8">
        <f>'[1]ERF_best_aggregates_1750-2024'!AE144</f>
        <v>-0.27249242327856349</v>
      </c>
      <c r="I43" s="1">
        <v>340.45571999999999</v>
      </c>
    </row>
    <row r="44" spans="1:187" x14ac:dyDescent="0.2">
      <c r="A44" s="7">
        <v>1893</v>
      </c>
      <c r="B44">
        <v>-0.49494614999999997</v>
      </c>
      <c r="C44" s="1">
        <f>'[1]ERF_best_aggregates_1750-2024'!AA145</f>
        <v>300.85807337979236</v>
      </c>
      <c r="D44" s="1">
        <v>9.4416666669999998</v>
      </c>
      <c r="E44">
        <v>6.7505502500000009E-2</v>
      </c>
      <c r="F44" s="1">
        <v>12.512435999999999</v>
      </c>
      <c r="G44" s="1">
        <v>49.335889999999999</v>
      </c>
      <c r="H44" s="8">
        <f>'[1]ERF_best_aggregates_1750-2024'!AE145</f>
        <v>-0.27501676257001251</v>
      </c>
      <c r="I44" s="1">
        <v>340.4750975</v>
      </c>
      <c r="FG44">
        <v>2022</v>
      </c>
      <c r="FH44">
        <f>AVERAGE(FG46:FR46)</f>
        <v>1361.4943948333334</v>
      </c>
      <c r="FS44">
        <v>2023</v>
      </c>
      <c r="FT44">
        <f>SUM(FS46:GA46,FG46:FI46)/12</f>
        <v>1361.8057455000001</v>
      </c>
    </row>
    <row r="45" spans="1:187" x14ac:dyDescent="0.2">
      <c r="A45" s="7">
        <v>1894</v>
      </c>
      <c r="B45">
        <v>-0.47874618000000002</v>
      </c>
      <c r="C45" s="1">
        <f>'[1]ERF_best_aggregates_1750-2024'!AA146</f>
        <v>301.4567789806211</v>
      </c>
      <c r="D45" s="1">
        <v>3.5333333329999999</v>
      </c>
      <c r="E45">
        <v>7.169632749999999E-2</v>
      </c>
      <c r="F45" s="1">
        <v>15.250814</v>
      </c>
      <c r="G45" s="1">
        <v>51.153911000000001</v>
      </c>
      <c r="H45" s="8">
        <f>'[1]ERF_best_aggregates_1750-2024'!AE146</f>
        <v>-0.29329918104934122</v>
      </c>
      <c r="I45" s="1">
        <v>340.47265750000003</v>
      </c>
    </row>
    <row r="46" spans="1:187" x14ac:dyDescent="0.2">
      <c r="A46" s="7">
        <v>1895</v>
      </c>
      <c r="B46">
        <v>-0.44183642000000001</v>
      </c>
      <c r="C46" s="1">
        <f>'[1]ERF_best_aggregates_1750-2024'!AA147</f>
        <v>301.84122727663237</v>
      </c>
      <c r="D46" s="1">
        <v>1.3666666670000001</v>
      </c>
      <c r="E46">
        <v>6.9528025000000007E-2</v>
      </c>
      <c r="F46" s="1">
        <v>19.174388</v>
      </c>
      <c r="G46" s="1">
        <v>48.515118000000001</v>
      </c>
      <c r="H46" s="8">
        <f>'[1]ERF_best_aggregates_1750-2024'!AE147</f>
        <v>-0.29982717340214721</v>
      </c>
      <c r="I46" s="1">
        <v>340.43905749999999</v>
      </c>
      <c r="FG46">
        <v>1361.1994629999999</v>
      </c>
      <c r="FH46">
        <v>1361.3514399999999</v>
      </c>
      <c r="FI46">
        <v>1361.2739260000001</v>
      </c>
      <c r="FJ46">
        <v>1361.3820800000001</v>
      </c>
      <c r="FK46">
        <v>1361.6176760000001</v>
      </c>
      <c r="FL46">
        <v>1361.653564</v>
      </c>
      <c r="FM46">
        <v>1361.3831789999999</v>
      </c>
      <c r="FN46">
        <v>1361.4204099999999</v>
      </c>
      <c r="FO46">
        <v>1361.6767580000001</v>
      </c>
      <c r="FP46">
        <v>1361.7836910000001</v>
      </c>
      <c r="FQ46">
        <v>1361.6949460000001</v>
      </c>
      <c r="FR46">
        <v>1361.4956050000001</v>
      </c>
      <c r="FS46">
        <v>1361.8084719999999</v>
      </c>
      <c r="FT46">
        <v>1362.0031739999999</v>
      </c>
      <c r="FU46">
        <v>1362.1990969999999</v>
      </c>
      <c r="FV46">
        <v>1362.0405270000001</v>
      </c>
      <c r="FW46">
        <v>1361.6741939999999</v>
      </c>
      <c r="FX46">
        <v>1362.0344239999999</v>
      </c>
      <c r="FY46">
        <v>1361.650879</v>
      </c>
      <c r="FZ46">
        <v>1362.2404790000001</v>
      </c>
      <c r="GA46">
        <v>1362.192871</v>
      </c>
    </row>
    <row r="47" spans="1:187" x14ac:dyDescent="0.2">
      <c r="A47" s="7">
        <v>1896</v>
      </c>
      <c r="B47">
        <v>-0.27859443</v>
      </c>
      <c r="C47" s="1">
        <f>'[1]ERF_best_aggregates_1750-2024'!AA148</f>
        <v>302.00342174825806</v>
      </c>
      <c r="D47" s="1">
        <v>18.283333330000001</v>
      </c>
      <c r="E47">
        <v>6.59040075E-2</v>
      </c>
      <c r="F47" s="1">
        <v>22.765411</v>
      </c>
      <c r="G47" s="1">
        <v>58.411088999999997</v>
      </c>
      <c r="H47" s="8">
        <f>'[1]ERF_best_aggregates_1750-2024'!AE148</f>
        <v>-0.30061554066488666</v>
      </c>
      <c r="I47" s="1">
        <v>340.39861999999999</v>
      </c>
    </row>
    <row r="48" spans="1:187" x14ac:dyDescent="0.2">
      <c r="A48" s="7">
        <v>1897</v>
      </c>
      <c r="B48">
        <v>-0.25465064999999998</v>
      </c>
      <c r="C48" s="1">
        <f>'[1]ERF_best_aggregates_1750-2024'!AA149</f>
        <v>302.53224016895132</v>
      </c>
      <c r="D48" s="1">
        <v>16.858333330000001</v>
      </c>
      <c r="E48">
        <v>6.9010200000000008E-2</v>
      </c>
      <c r="F48" s="1">
        <v>25.369513000000001</v>
      </c>
      <c r="G48" s="1">
        <v>51.211100999999999</v>
      </c>
      <c r="H48" s="8">
        <f>'[1]ERF_best_aggregates_1750-2024'!AE149</f>
        <v>-0.31843977600359241</v>
      </c>
      <c r="I48" s="1">
        <v>340.33474749999999</v>
      </c>
    </row>
    <row r="49" spans="1:9" x14ac:dyDescent="0.2">
      <c r="A49" s="7">
        <v>1898</v>
      </c>
      <c r="B49">
        <v>-0.47404160000000001</v>
      </c>
      <c r="C49" s="1">
        <f>'[1]ERF_best_aggregates_1750-2024'!AA150</f>
        <v>302.96242787352622</v>
      </c>
      <c r="D49" s="1">
        <v>12.116666670000001</v>
      </c>
      <c r="E49">
        <v>6.768207250000001E-2</v>
      </c>
      <c r="F49" s="1">
        <v>30.661798000000001</v>
      </c>
      <c r="G49" s="1">
        <v>48.897539000000002</v>
      </c>
      <c r="H49" s="8">
        <f>'[1]ERF_best_aggregates_1750-2024'!AE150</f>
        <v>-0.32942573365651318</v>
      </c>
      <c r="I49" s="1">
        <v>340.34903000000003</v>
      </c>
    </row>
    <row r="50" spans="1:9" x14ac:dyDescent="0.2">
      <c r="A50" s="7">
        <v>1899</v>
      </c>
      <c r="B50">
        <v>-0.34430692000000002</v>
      </c>
      <c r="C50" s="1">
        <f>'[1]ERF_best_aggregates_1750-2024'!AA151</f>
        <v>303.48696397921771</v>
      </c>
      <c r="D50" s="1">
        <v>4.5583333330000002</v>
      </c>
      <c r="E50">
        <v>6.51865425E-2</v>
      </c>
      <c r="F50" s="1">
        <v>32.826909000000001</v>
      </c>
      <c r="G50" s="1">
        <v>47.410651000000001</v>
      </c>
      <c r="H50" s="8">
        <f>'[1]ERF_best_aggregates_1750-2024'!AE151</f>
        <v>-0.35606617883603642</v>
      </c>
      <c r="I50" s="1">
        <v>340.31735250000003</v>
      </c>
    </row>
    <row r="51" spans="1:9" x14ac:dyDescent="0.2">
      <c r="A51" s="7">
        <v>1900</v>
      </c>
      <c r="B51">
        <v>-0.23016049999999999</v>
      </c>
      <c r="C51" s="1">
        <f>'[1]ERF_best_aggregates_1750-2024'!AA152</f>
        <v>303.95015648075787</v>
      </c>
      <c r="D51" s="1">
        <v>1.7583333329999999</v>
      </c>
      <c r="E51">
        <v>6.6774427499999997E-2</v>
      </c>
      <c r="F51" s="1">
        <v>29.906303000000001</v>
      </c>
      <c r="G51" s="1">
        <v>55.610861</v>
      </c>
      <c r="H51" s="8">
        <f>'[1]ERF_best_aggregates_1750-2024'!AE152</f>
        <v>-0.36637708982954564</v>
      </c>
      <c r="I51" s="1">
        <v>340.31213500000001</v>
      </c>
    </row>
    <row r="52" spans="1:9" x14ac:dyDescent="0.2">
      <c r="A52" s="7">
        <v>1901</v>
      </c>
      <c r="B52">
        <v>-0.28715286000000001</v>
      </c>
      <c r="C52" s="1">
        <f>'[1]ERF_best_aggregates_1750-2024'!AA153</f>
        <v>304.41616736184443</v>
      </c>
      <c r="D52" s="1">
        <v>0.74166666699999995</v>
      </c>
      <c r="E52">
        <v>6.6201619999999989E-2</v>
      </c>
      <c r="F52" s="1">
        <v>24.750119000000002</v>
      </c>
      <c r="G52" s="1">
        <v>50.779744999999998</v>
      </c>
      <c r="H52" s="8">
        <f>'[1]ERF_best_aggregates_1750-2024'!AE153</f>
        <v>-0.37226926737588611</v>
      </c>
      <c r="I52" s="1">
        <v>340.28744499999999</v>
      </c>
    </row>
    <row r="53" spans="1:9" x14ac:dyDescent="0.2">
      <c r="A53" s="7">
        <v>1902</v>
      </c>
      <c r="B53">
        <v>-0.43739371999999999</v>
      </c>
      <c r="C53" s="1">
        <f>'[1]ERF_best_aggregates_1750-2024'!AA154</f>
        <v>304.84964710941239</v>
      </c>
      <c r="D53" s="1">
        <v>20.2</v>
      </c>
      <c r="E53">
        <v>6.5893322500000004E-2</v>
      </c>
      <c r="F53" s="1">
        <v>16.52974</v>
      </c>
      <c r="G53" s="1">
        <v>48.623297000000001</v>
      </c>
      <c r="H53" s="8">
        <f>'[1]ERF_best_aggregates_1750-2024'!AE154</f>
        <v>-0.37729048222577177</v>
      </c>
      <c r="I53" s="1">
        <v>340.294555</v>
      </c>
    </row>
    <row r="54" spans="1:9" x14ac:dyDescent="0.2">
      <c r="A54" s="7">
        <v>1903</v>
      </c>
      <c r="B54">
        <v>-0.53521233999999995</v>
      </c>
      <c r="C54" s="1">
        <f>'[1]ERF_best_aggregates_1750-2024'!AA155</f>
        <v>305.32463831001974</v>
      </c>
      <c r="D54" s="1">
        <v>71.516666670000006</v>
      </c>
      <c r="E54">
        <v>6.1378365000000004E-2</v>
      </c>
      <c r="F54" s="1">
        <v>6.202032</v>
      </c>
      <c r="G54" s="1">
        <v>50.851571999999997</v>
      </c>
      <c r="H54" s="8">
        <f>'[1]ERF_best_aggregates_1750-2024'!AE155</f>
        <v>-0.39337624545616212</v>
      </c>
      <c r="I54" s="1">
        <v>340.34616</v>
      </c>
    </row>
    <row r="55" spans="1:9" x14ac:dyDescent="0.2">
      <c r="A55" s="7">
        <v>1904</v>
      </c>
      <c r="B55">
        <v>-0.5970666</v>
      </c>
      <c r="C55" s="1">
        <f>'[1]ERF_best_aggregates_1750-2024'!AA156</f>
        <v>306.02581559459782</v>
      </c>
      <c r="D55" s="1">
        <v>31.791666670000001</v>
      </c>
      <c r="E55">
        <v>6.3606920000000011E-2</v>
      </c>
      <c r="F55" s="1">
        <v>-2.9728089999999998</v>
      </c>
      <c r="G55" s="1">
        <v>53.647176999999999</v>
      </c>
      <c r="H55" s="8">
        <f>'[1]ERF_best_aggregates_1750-2024'!AE156</f>
        <v>-0.41026947431324912</v>
      </c>
      <c r="I55" s="1">
        <v>340.41039999999998</v>
      </c>
    </row>
    <row r="56" spans="1:9" x14ac:dyDescent="0.2">
      <c r="A56" s="7">
        <v>1905</v>
      </c>
      <c r="B56">
        <v>-0.40594429999999998</v>
      </c>
      <c r="C56" s="1">
        <f>'[1]ERF_best_aggregates_1750-2024'!AA157</f>
        <v>306.69852515979613</v>
      </c>
      <c r="D56" s="1">
        <v>12.574999999999999</v>
      </c>
      <c r="E56">
        <v>5.9401744999999992E-2</v>
      </c>
      <c r="F56" s="1">
        <v>-10.435316</v>
      </c>
      <c r="G56" s="1">
        <v>46.205308000000002</v>
      </c>
      <c r="H56" s="8">
        <f>'[1]ERF_best_aggregates_1750-2024'!AE157</f>
        <v>-0.43037102996140875</v>
      </c>
      <c r="I56" s="1">
        <v>340.40585249999998</v>
      </c>
    </row>
    <row r="57" spans="1:9" x14ac:dyDescent="0.2">
      <c r="A57" s="7">
        <v>1906</v>
      </c>
      <c r="B57">
        <v>-0.3153704</v>
      </c>
      <c r="C57" s="1">
        <f>'[1]ERF_best_aggregates_1750-2024'!AA158</f>
        <v>307.33970458727913</v>
      </c>
      <c r="D57" s="1">
        <v>7.25</v>
      </c>
      <c r="E57">
        <v>6.0745280000000006E-2</v>
      </c>
      <c r="F57" s="1">
        <v>-17.455490000000001</v>
      </c>
      <c r="G57" s="1">
        <v>54.434851000000002</v>
      </c>
      <c r="H57" s="8">
        <f>'[1]ERF_best_aggregates_1750-2024'!AE158</f>
        <v>-0.44677644929050703</v>
      </c>
      <c r="I57" s="1">
        <v>340.42794750000002</v>
      </c>
    </row>
    <row r="58" spans="1:9" x14ac:dyDescent="0.2">
      <c r="A58" s="7">
        <v>1907</v>
      </c>
      <c r="B58">
        <v>-0.49948095999999997</v>
      </c>
      <c r="C58" s="1">
        <f>'[1]ERF_best_aggregates_1750-2024'!AA159</f>
        <v>308.30162665485403</v>
      </c>
      <c r="D58" s="1">
        <v>9.1999999999999993</v>
      </c>
      <c r="E58">
        <v>5.9244210000000005E-2</v>
      </c>
      <c r="F58" s="1">
        <v>-21.520154000000002</v>
      </c>
      <c r="G58" s="1">
        <v>47.731118000000002</v>
      </c>
      <c r="H58" s="8">
        <f>'[1]ERF_best_aggregates_1750-2024'!AE159</f>
        <v>-0.48977805104557948</v>
      </c>
      <c r="I58" s="1">
        <v>340.41861</v>
      </c>
    </row>
    <row r="59" spans="1:9" x14ac:dyDescent="0.2">
      <c r="A59" s="7">
        <v>1908</v>
      </c>
      <c r="B59">
        <v>-0.50655300000000003</v>
      </c>
      <c r="C59" s="1">
        <f>'[1]ERF_best_aggregates_1750-2024'!AA160</f>
        <v>308.96974768594055</v>
      </c>
      <c r="D59" s="1">
        <v>10.275</v>
      </c>
      <c r="E59">
        <v>5.9046205000000004E-2</v>
      </c>
      <c r="F59" s="1">
        <v>-26.003014</v>
      </c>
      <c r="G59" s="1">
        <v>52.426805999999999</v>
      </c>
      <c r="H59" s="8">
        <f>'[1]ERF_best_aggregates_1750-2024'!AE160</f>
        <v>-0.47919060375387157</v>
      </c>
      <c r="I59" s="1">
        <v>340.41208</v>
      </c>
    </row>
    <row r="60" spans="1:9" x14ac:dyDescent="0.2">
      <c r="A60" s="7">
        <v>1909</v>
      </c>
      <c r="B60">
        <v>-0.53290320000000002</v>
      </c>
      <c r="C60" s="1">
        <f>'[1]ERF_best_aggregates_1750-2024'!AA161</f>
        <v>309.64187067667751</v>
      </c>
      <c r="D60" s="1">
        <v>4.0083333330000004</v>
      </c>
      <c r="E60">
        <v>5.5627400000000007E-2</v>
      </c>
      <c r="F60" s="1">
        <v>-32.254264999999997</v>
      </c>
      <c r="G60" s="1">
        <v>51.183776000000002</v>
      </c>
      <c r="H60" s="8">
        <f>'[1]ERF_best_aggregates_1750-2024'!AE161</f>
        <v>-0.49184942620875732</v>
      </c>
      <c r="I60" s="1">
        <v>340.3869325</v>
      </c>
    </row>
    <row r="61" spans="1:9" x14ac:dyDescent="0.2">
      <c r="A61" s="7">
        <v>1910</v>
      </c>
      <c r="B61">
        <v>-0.52208275000000004</v>
      </c>
      <c r="C61" s="1">
        <f>'[1]ERF_best_aggregates_1750-2024'!AA162</f>
        <v>310.53799619976132</v>
      </c>
      <c r="D61" s="1">
        <v>3.125</v>
      </c>
      <c r="E61">
        <v>5.6732750000000012E-2</v>
      </c>
      <c r="F61" s="1">
        <v>-37.908706000000002</v>
      </c>
      <c r="G61" s="1">
        <v>49.505870999999999</v>
      </c>
      <c r="H61" s="8">
        <f>'[1]ERF_best_aggregates_1750-2024'!AE162</f>
        <v>-0.51729839639340669</v>
      </c>
      <c r="I61" s="1">
        <v>340.33587749999998</v>
      </c>
    </row>
    <row r="62" spans="1:9" x14ac:dyDescent="0.2">
      <c r="A62" s="7">
        <v>1911</v>
      </c>
      <c r="B62">
        <v>-0.53979619999999995</v>
      </c>
      <c r="C62" s="1">
        <f>'[1]ERF_best_aggregates_1750-2024'!AA163</f>
        <v>311.21243364636575</v>
      </c>
      <c r="D62" s="1">
        <v>1.675</v>
      </c>
      <c r="E62">
        <v>5.4957574999999995E-2</v>
      </c>
      <c r="F62" s="1">
        <v>-40.699373000000001</v>
      </c>
      <c r="G62" s="1">
        <v>51.733893000000002</v>
      </c>
      <c r="H62" s="8">
        <f>'[1]ERF_best_aggregates_1750-2024'!AE163</f>
        <v>-0.50988937030339287</v>
      </c>
      <c r="I62" s="1">
        <v>340.29864500000002</v>
      </c>
    </row>
    <row r="63" spans="1:9" x14ac:dyDescent="0.2">
      <c r="A63" s="7">
        <v>1912</v>
      </c>
      <c r="B63">
        <v>-0.47614592</v>
      </c>
      <c r="C63" s="1">
        <f>'[1]ERF_best_aggregates_1750-2024'!AA164</f>
        <v>311.96359484118932</v>
      </c>
      <c r="D63" s="1">
        <v>19.3</v>
      </c>
      <c r="E63">
        <v>5.0722724999999996E-2</v>
      </c>
      <c r="F63" s="1">
        <v>-42.468966999999999</v>
      </c>
      <c r="G63" s="1">
        <v>48.463394000000001</v>
      </c>
      <c r="H63" s="8">
        <f>'[1]ERF_best_aggregates_1750-2024'!AE164</f>
        <v>-0.51697145901201003</v>
      </c>
      <c r="I63" s="1">
        <v>340.2941275</v>
      </c>
    </row>
    <row r="64" spans="1:9" x14ac:dyDescent="0.2">
      <c r="A64" s="7">
        <v>1913</v>
      </c>
      <c r="B64">
        <v>-0.46351784000000001</v>
      </c>
      <c r="C64" s="1">
        <f>'[1]ERF_best_aggregates_1750-2024'!AA165</f>
        <v>312.89233941128936</v>
      </c>
      <c r="D64" s="1">
        <v>24.083333329999999</v>
      </c>
      <c r="E64">
        <v>5.4694067500000013E-2</v>
      </c>
      <c r="F64" s="1">
        <v>-39.558380999999997</v>
      </c>
      <c r="G64" s="1">
        <v>47.801648</v>
      </c>
      <c r="H64" s="8">
        <f>'[1]ERF_best_aggregates_1750-2024'!AE165</f>
        <v>-0.53961569953406863</v>
      </c>
      <c r="I64" s="1">
        <v>340.2890625</v>
      </c>
    </row>
    <row r="65" spans="1:9" x14ac:dyDescent="0.2">
      <c r="A65" s="7">
        <v>1914</v>
      </c>
      <c r="B65">
        <v>-0.25945394999999999</v>
      </c>
      <c r="C65" s="1">
        <f>'[1]ERF_best_aggregates_1750-2024'!AA166</f>
        <v>313.60353435759686</v>
      </c>
      <c r="D65" s="1">
        <v>9.9166666669999994</v>
      </c>
      <c r="E65">
        <v>5.3900917499999992E-2</v>
      </c>
      <c r="F65" s="1">
        <v>-33.405565000000003</v>
      </c>
      <c r="G65" s="1">
        <v>53.261487000000002</v>
      </c>
      <c r="H65" s="8">
        <f>'[1]ERF_best_aggregates_1750-2024'!AE166</f>
        <v>-0.51659334257348066</v>
      </c>
      <c r="I65" s="1">
        <v>340.30987499999998</v>
      </c>
    </row>
    <row r="66" spans="1:9" x14ac:dyDescent="0.2">
      <c r="A66" s="7">
        <v>1915</v>
      </c>
      <c r="B66">
        <v>-0.19058554</v>
      </c>
      <c r="C66" s="1">
        <f>'[1]ERF_best_aggregates_1750-2024'!AA167</f>
        <v>314.2431414835529</v>
      </c>
      <c r="D66" s="1">
        <v>3.9416666669999998</v>
      </c>
      <c r="E66">
        <v>5.8756657499999997E-2</v>
      </c>
      <c r="F66" s="1">
        <v>-29.332003</v>
      </c>
      <c r="G66" s="1">
        <v>51.317435000000003</v>
      </c>
      <c r="H66" s="8">
        <f>'[1]ERF_best_aggregates_1750-2024'!AE167</f>
        <v>-0.50578391752030494</v>
      </c>
      <c r="I66" s="1">
        <v>340.4116525</v>
      </c>
    </row>
    <row r="67" spans="1:9" x14ac:dyDescent="0.2">
      <c r="A67" s="7">
        <v>1916</v>
      </c>
      <c r="B67">
        <v>-0.42022340000000002</v>
      </c>
      <c r="C67" s="1">
        <f>'[1]ERF_best_aggregates_1750-2024'!AA168</f>
        <v>315.22225843728285</v>
      </c>
      <c r="D67" s="1">
        <v>2.7416666670000001</v>
      </c>
      <c r="E67">
        <v>6.0195899999999997E-2</v>
      </c>
      <c r="F67" s="1">
        <v>-25.898116000000002</v>
      </c>
      <c r="G67" s="1">
        <v>49.731985000000002</v>
      </c>
      <c r="H67" s="8">
        <f>'[1]ERF_best_aggregates_1750-2024'!AE168</f>
        <v>-0.53433331345735546</v>
      </c>
      <c r="I67" s="1">
        <v>340.44781499999999</v>
      </c>
    </row>
    <row r="68" spans="1:9" x14ac:dyDescent="0.2">
      <c r="A68" s="7">
        <v>1917</v>
      </c>
      <c r="B68">
        <v>-0.54389346000000005</v>
      </c>
      <c r="C68" s="1">
        <f>'[1]ERF_best_aggregates_1750-2024'!AA169</f>
        <v>316.30573038166864</v>
      </c>
      <c r="D68" s="1">
        <v>2.2250000000000001</v>
      </c>
      <c r="E68">
        <v>6.4740720000000002E-2</v>
      </c>
      <c r="F68" s="1">
        <v>-23.093302999999999</v>
      </c>
      <c r="G68" s="1">
        <v>50.709682000000001</v>
      </c>
      <c r="H68" s="8">
        <f>'[1]ERF_best_aggregates_1750-2024'!AE169</f>
        <v>-0.55653037464573873</v>
      </c>
      <c r="I68" s="1">
        <v>340.54321249999998</v>
      </c>
    </row>
    <row r="69" spans="1:9" x14ac:dyDescent="0.2">
      <c r="A69" s="7">
        <v>1918</v>
      </c>
      <c r="B69">
        <v>-0.42603204</v>
      </c>
      <c r="C69" s="1">
        <f>'[1]ERF_best_aggregates_1750-2024'!AA170</f>
        <v>317.13303067623787</v>
      </c>
      <c r="D69" s="1">
        <v>1.95</v>
      </c>
      <c r="E69">
        <v>6.9351070000000001E-2</v>
      </c>
      <c r="F69" s="1">
        <v>-22.862689</v>
      </c>
      <c r="G69" s="1">
        <v>50.593136000000001</v>
      </c>
      <c r="H69" s="8">
        <f>'[1]ERF_best_aggregates_1750-2024'!AE170</f>
        <v>-0.55564413552018033</v>
      </c>
      <c r="I69" s="1">
        <v>340.51025499999997</v>
      </c>
    </row>
    <row r="70" spans="1:9" x14ac:dyDescent="0.2">
      <c r="A70" s="7">
        <v>1919</v>
      </c>
      <c r="B70">
        <v>-0.33239284000000002</v>
      </c>
      <c r="C70" s="1">
        <f>'[1]ERF_best_aggregates_1750-2024'!AA171</f>
        <v>317.62033324892485</v>
      </c>
      <c r="D70" s="1">
        <v>2.0083333329999999</v>
      </c>
      <c r="E70">
        <v>6.8432115000000002E-2</v>
      </c>
      <c r="F70" s="1">
        <v>-25.094346999999999</v>
      </c>
      <c r="G70" s="1">
        <v>49.813271</v>
      </c>
      <c r="H70" s="8">
        <f>'[1]ERF_best_aggregates_1750-2024'!AE171</f>
        <v>-0.49458309960828289</v>
      </c>
      <c r="I70" s="1">
        <v>340.43383749999998</v>
      </c>
    </row>
    <row r="71" spans="1:9" x14ac:dyDescent="0.2">
      <c r="A71" s="7">
        <v>1920</v>
      </c>
      <c r="B71">
        <v>-0.30439319999999997</v>
      </c>
      <c r="C71" s="1">
        <f>'[1]ERF_best_aggregates_1750-2024'!AA172</f>
        <v>318.63294306104171</v>
      </c>
      <c r="D71" s="1">
        <v>9.3583333329999991</v>
      </c>
      <c r="E71">
        <v>6.4889777499999995E-2</v>
      </c>
      <c r="F71" s="1">
        <v>-25.852485999999999</v>
      </c>
      <c r="G71" s="1">
        <v>48.289881999999999</v>
      </c>
      <c r="H71" s="8">
        <f>'[1]ERF_best_aggregates_1750-2024'!AE172</f>
        <v>-0.53528352081090058</v>
      </c>
      <c r="I71" s="1">
        <v>340.36801250000002</v>
      </c>
    </row>
    <row r="72" spans="1:9" x14ac:dyDescent="0.2">
      <c r="A72" s="7">
        <v>1921</v>
      </c>
      <c r="B72">
        <v>-0.24139357</v>
      </c>
      <c r="C72" s="1">
        <f>'[1]ERF_best_aggregates_1750-2024'!AA173</f>
        <v>319.06734185325371</v>
      </c>
      <c r="D72" s="1">
        <v>7.6583333329999999</v>
      </c>
      <c r="E72">
        <v>5.8747009999999995E-2</v>
      </c>
      <c r="F72" s="1">
        <v>-28.246202</v>
      </c>
      <c r="G72" s="1">
        <v>38.332554999999999</v>
      </c>
      <c r="H72" s="8">
        <f>'[1]ERF_best_aggregates_1750-2024'!AE173</f>
        <v>-0.4683056564951617</v>
      </c>
      <c r="I72" s="1">
        <v>340.34433000000001</v>
      </c>
    </row>
    <row r="73" spans="1:9" x14ac:dyDescent="0.2">
      <c r="A73" s="7">
        <v>1922</v>
      </c>
      <c r="B73">
        <v>-0.33813047000000002</v>
      </c>
      <c r="C73" s="1">
        <f>'[1]ERF_best_aggregates_1750-2024'!AA174</f>
        <v>319.716815490741</v>
      </c>
      <c r="D73" s="1">
        <v>2.891666667</v>
      </c>
      <c r="E73">
        <v>5.3823742499999994E-2</v>
      </c>
      <c r="F73" s="1">
        <v>-29.848146</v>
      </c>
      <c r="G73" s="1">
        <v>36.775418999999999</v>
      </c>
      <c r="H73" s="8">
        <f>'[1]ERF_best_aggregates_1750-2024'!AE174</f>
        <v>-0.47721655189493811</v>
      </c>
      <c r="I73" s="1">
        <v>340.30996750000003</v>
      </c>
    </row>
    <row r="74" spans="1:9" x14ac:dyDescent="0.2">
      <c r="A74" s="7">
        <v>1923</v>
      </c>
      <c r="B74">
        <v>-0.31455242999999999</v>
      </c>
      <c r="C74" s="1">
        <f>'[1]ERF_best_aggregates_1750-2024'!AA175</f>
        <v>320.95835645330226</v>
      </c>
      <c r="D74" s="1">
        <v>1.1166666670000001</v>
      </c>
      <c r="E74">
        <v>5.2845402500000006E-2</v>
      </c>
      <c r="F74" s="1">
        <v>-32.924574</v>
      </c>
      <c r="G74" s="1">
        <v>35.377609</v>
      </c>
      <c r="H74" s="8">
        <f>'[1]ERF_best_aggregates_1750-2024'!AE175</f>
        <v>-0.53259841771949834</v>
      </c>
      <c r="I74" s="1">
        <v>340.30191000000002</v>
      </c>
    </row>
    <row r="75" spans="1:9" x14ac:dyDescent="0.2">
      <c r="A75" s="7">
        <v>1924</v>
      </c>
      <c r="B75">
        <v>-0.30850246999999997</v>
      </c>
      <c r="C75" s="1">
        <f>'[1]ERF_best_aggregates_1750-2024'!AA176</f>
        <v>321.26323002310795</v>
      </c>
      <c r="D75" s="1">
        <v>3.4083333329999999</v>
      </c>
      <c r="E75">
        <v>5.2762054999999995E-2</v>
      </c>
      <c r="F75" s="1">
        <v>-32.588191999999999</v>
      </c>
      <c r="G75" s="1">
        <v>40.943997000000003</v>
      </c>
      <c r="H75" s="8">
        <f>'[1]ERF_best_aggregates_1750-2024'!AE176</f>
        <v>-0.52094350176340598</v>
      </c>
      <c r="I75" s="1">
        <v>340.32327249999997</v>
      </c>
    </row>
    <row r="76" spans="1:9" x14ac:dyDescent="0.2">
      <c r="A76" s="7">
        <v>1925</v>
      </c>
      <c r="B76">
        <v>-0.27959844</v>
      </c>
      <c r="C76" s="1">
        <f>'[1]ERF_best_aggregates_1750-2024'!AA177</f>
        <v>321.62687730155295</v>
      </c>
      <c r="D76" s="1">
        <v>2.858333333</v>
      </c>
      <c r="E76">
        <v>5.386179E-2</v>
      </c>
      <c r="F76" s="1">
        <v>-28.764911000000001</v>
      </c>
      <c r="G76" s="1">
        <v>41.31503</v>
      </c>
      <c r="H76" s="8">
        <f>'[1]ERF_best_aggregates_1750-2024'!AE177</f>
        <v>-0.52483842551222426</v>
      </c>
      <c r="I76" s="1">
        <v>340.37619000000001</v>
      </c>
    </row>
    <row r="77" spans="1:9" x14ac:dyDescent="0.2">
      <c r="A77" s="7">
        <v>1926</v>
      </c>
      <c r="B77">
        <v>-0.12212841000000001</v>
      </c>
      <c r="C77" s="1">
        <f>'[1]ERF_best_aggregates_1750-2024'!AA178</f>
        <v>321.75381525142978</v>
      </c>
      <c r="D77" s="1">
        <v>2.3416666670000001</v>
      </c>
      <c r="E77">
        <v>5.4493026E-2</v>
      </c>
      <c r="F77" s="1">
        <v>-23.708613</v>
      </c>
      <c r="G77" s="1">
        <v>38.726613999999998</v>
      </c>
      <c r="H77" s="8">
        <f>'[1]ERF_best_aggregates_1750-2024'!AE178</f>
        <v>-0.53188922968210128</v>
      </c>
      <c r="I77" s="1">
        <v>340.42306500000001</v>
      </c>
    </row>
    <row r="78" spans="1:9" x14ac:dyDescent="0.2">
      <c r="A78" s="7">
        <v>1927</v>
      </c>
      <c r="B78">
        <v>-0.22583558000000001</v>
      </c>
      <c r="C78" s="1">
        <f>'[1]ERF_best_aggregates_1750-2024'!AA179</f>
        <v>322.28376520743274</v>
      </c>
      <c r="D78" s="1">
        <v>1.5083333329999999</v>
      </c>
      <c r="E78">
        <v>5.1657265000000001E-2</v>
      </c>
      <c r="F78" s="1">
        <v>-19.774636999999998</v>
      </c>
      <c r="G78" s="1">
        <v>39.926903000000003</v>
      </c>
      <c r="H78" s="8">
        <f>'[1]ERF_best_aggregates_1750-2024'!AE179</f>
        <v>-0.55942924835417096</v>
      </c>
      <c r="I78" s="1">
        <v>340.46584999999999</v>
      </c>
    </row>
    <row r="79" spans="1:9" x14ac:dyDescent="0.2">
      <c r="A79" s="7">
        <v>1928</v>
      </c>
      <c r="B79">
        <v>-0.20841403</v>
      </c>
      <c r="C79" s="1">
        <f>'[1]ERF_best_aggregates_1750-2024'!AA180</f>
        <v>322.60348929514191</v>
      </c>
      <c r="D79" s="1">
        <v>5.25</v>
      </c>
      <c r="E79">
        <v>5.4574214999999995E-2</v>
      </c>
      <c r="F79" s="1">
        <v>-15.226844</v>
      </c>
      <c r="G79" s="1">
        <v>39.685720000000003</v>
      </c>
      <c r="H79" s="8">
        <f>'[1]ERF_best_aggregates_1750-2024'!AE180</f>
        <v>-0.56089936133342344</v>
      </c>
      <c r="I79" s="1">
        <v>340.45791750000001</v>
      </c>
    </row>
    <row r="80" spans="1:9" x14ac:dyDescent="0.2">
      <c r="A80" s="7">
        <v>1929</v>
      </c>
      <c r="B80">
        <v>-0.39031282</v>
      </c>
      <c r="C80" s="1">
        <f>'[1]ERF_best_aggregates_1750-2024'!AA181</f>
        <v>323.19032645170375</v>
      </c>
      <c r="D80" s="1">
        <v>9.8249999999999993</v>
      </c>
      <c r="E80">
        <v>5.3866332500000003E-2</v>
      </c>
      <c r="F80" s="1">
        <v>-11.349959999999999</v>
      </c>
      <c r="G80" s="1">
        <v>37.050845000000002</v>
      </c>
      <c r="H80" s="8">
        <f>'[1]ERF_best_aggregates_1750-2024'!AE181</f>
        <v>-0.59487940514953597</v>
      </c>
      <c r="I80" s="1">
        <v>340.41137750000001</v>
      </c>
    </row>
    <row r="81" spans="1:9" x14ac:dyDescent="0.2">
      <c r="A81" s="7">
        <v>1930</v>
      </c>
      <c r="B81">
        <v>-0.16988263000000001</v>
      </c>
      <c r="C81" s="1">
        <f>'[1]ERF_best_aggregates_1750-2024'!AA182</f>
        <v>323.532424608094</v>
      </c>
      <c r="D81" s="1">
        <v>6.2083333329999997</v>
      </c>
      <c r="E81">
        <v>5.3374137500000002E-2</v>
      </c>
      <c r="F81" s="1">
        <v>-8.9577860000000005</v>
      </c>
      <c r="G81" s="1">
        <v>36.781007000000002</v>
      </c>
      <c r="H81" s="8">
        <f>'[1]ERF_best_aggregates_1750-2024'!AE182</f>
        <v>-0.57295812333472396</v>
      </c>
      <c r="I81" s="1">
        <v>340.39184499999999</v>
      </c>
    </row>
    <row r="82" spans="1:9" x14ac:dyDescent="0.2">
      <c r="A82" s="7">
        <v>1931</v>
      </c>
      <c r="B82">
        <v>-0.1058187</v>
      </c>
      <c r="C82" s="1">
        <f>'[1]ERF_best_aggregates_1750-2024'!AA183</f>
        <v>323.40926072135318</v>
      </c>
      <c r="D82" s="1">
        <v>4.7</v>
      </c>
      <c r="E82">
        <v>5.2810137847500001E-2</v>
      </c>
      <c r="F82" s="1">
        <v>-5.6613819999999997</v>
      </c>
      <c r="G82" s="1">
        <v>37.912699000000003</v>
      </c>
      <c r="H82" s="8">
        <f>'[1]ERF_best_aggregates_1750-2024'!AE183</f>
        <v>-0.50240444198715384</v>
      </c>
      <c r="I82" s="1">
        <v>340.35046499999999</v>
      </c>
    </row>
    <row r="83" spans="1:9" x14ac:dyDescent="0.2">
      <c r="A83" s="7">
        <v>1932</v>
      </c>
      <c r="B83">
        <v>-0.14998207999999999</v>
      </c>
      <c r="C83" s="1">
        <f>'[1]ERF_best_aggregates_1750-2024'!AA184</f>
        <v>323.87077682695514</v>
      </c>
      <c r="D83" s="1">
        <v>8.2416666670000005</v>
      </c>
      <c r="E83">
        <v>4.9629290499999999E-2</v>
      </c>
      <c r="F83" s="1">
        <v>-1.364168</v>
      </c>
      <c r="G83" s="1">
        <v>38.055422</v>
      </c>
      <c r="H83" s="8">
        <f>'[1]ERF_best_aggregates_1750-2024'!AE184</f>
        <v>-0.46747273506750486</v>
      </c>
      <c r="I83" s="1">
        <v>340.32452499999999</v>
      </c>
    </row>
    <row r="84" spans="1:9" x14ac:dyDescent="0.2">
      <c r="A84" s="7">
        <v>1933</v>
      </c>
      <c r="B84">
        <v>-0.32830995000000002</v>
      </c>
      <c r="C84" s="1">
        <f>'[1]ERF_best_aggregates_1750-2024'!AA185</f>
        <v>324.33813289348188</v>
      </c>
      <c r="D84" s="1">
        <v>6.6749999999999998</v>
      </c>
      <c r="E84">
        <v>4.7671352500000007E-2</v>
      </c>
      <c r="F84" s="1">
        <v>2.7931849999999998</v>
      </c>
      <c r="G84" s="1">
        <v>37.68018</v>
      </c>
      <c r="H84" s="8">
        <f>'[1]ERF_best_aggregates_1750-2024'!AE185</f>
        <v>-0.4833367830185239</v>
      </c>
      <c r="I84" s="1">
        <v>340.30901999999998</v>
      </c>
    </row>
    <row r="85" spans="1:9" x14ac:dyDescent="0.2">
      <c r="A85" s="7">
        <v>1934</v>
      </c>
      <c r="B85">
        <v>-0.17704633</v>
      </c>
      <c r="C85" s="1">
        <f>'[1]ERF_best_aggregates_1750-2024'!AA186</f>
        <v>325.31932467559585</v>
      </c>
      <c r="D85" s="1">
        <v>3.8</v>
      </c>
      <c r="E85">
        <v>4.774655500000001E-2</v>
      </c>
      <c r="F85" s="1">
        <v>5.8693179999999998</v>
      </c>
      <c r="G85" s="1">
        <v>41.302841000000001</v>
      </c>
      <c r="H85" s="8">
        <f>'[1]ERF_best_aggregates_1750-2024'!AE186</f>
        <v>-0.53194020041595036</v>
      </c>
      <c r="I85" s="1">
        <v>340.32217500000002</v>
      </c>
    </row>
    <row r="86" spans="1:9" x14ac:dyDescent="0.2">
      <c r="A86" s="7">
        <v>1935</v>
      </c>
      <c r="B86">
        <v>-0.21286960999999999</v>
      </c>
      <c r="C86" s="1">
        <f>'[1]ERF_best_aggregates_1750-2024'!AA187</f>
        <v>326.06599145865874</v>
      </c>
      <c r="D86" s="1">
        <v>4.233333333</v>
      </c>
      <c r="E86">
        <v>4.6151442500000001E-2</v>
      </c>
      <c r="F86" s="1">
        <v>11.234539</v>
      </c>
      <c r="G86" s="1">
        <v>35.018914000000002</v>
      </c>
      <c r="H86" s="8">
        <f>'[1]ERF_best_aggregates_1750-2024'!AE187</f>
        <v>-0.55812072664409895</v>
      </c>
      <c r="I86" s="1">
        <v>340.38430749999998</v>
      </c>
    </row>
    <row r="87" spans="1:9" x14ac:dyDescent="0.2">
      <c r="A87" s="7">
        <v>1936</v>
      </c>
      <c r="B87">
        <v>-0.17097212000000001</v>
      </c>
      <c r="C87" s="1">
        <f>'[1]ERF_best_aggregates_1750-2024'!AA188</f>
        <v>327.49684119834779</v>
      </c>
      <c r="D87" s="1">
        <v>3.2583333329999999</v>
      </c>
      <c r="E87">
        <v>4.7664359999999996E-2</v>
      </c>
      <c r="F87" s="1">
        <v>19.853909000000002</v>
      </c>
      <c r="G87" s="1">
        <v>38.775016000000001</v>
      </c>
      <c r="H87" s="8">
        <f>'[1]ERF_best_aggregates_1750-2024'!AE188</f>
        <v>-0.59904124901760603</v>
      </c>
      <c r="I87" s="1">
        <v>340.51297</v>
      </c>
    </row>
    <row r="88" spans="1:9" x14ac:dyDescent="0.2">
      <c r="A88" s="7">
        <v>1937</v>
      </c>
      <c r="B88">
        <v>-1.6047624999999999E-2</v>
      </c>
      <c r="C88" s="1">
        <f>'[1]ERF_best_aggregates_1750-2024'!AA189</f>
        <v>328.55096901819405</v>
      </c>
      <c r="D88" s="1">
        <v>2.8166666669999998</v>
      </c>
      <c r="E88">
        <v>4.6781542499999995E-2</v>
      </c>
      <c r="F88" s="1">
        <v>30.033242999999999</v>
      </c>
      <c r="G88" s="1">
        <v>35.837446</v>
      </c>
      <c r="H88" s="8">
        <f>'[1]ERF_best_aggregates_1750-2024'!AE189</f>
        <v>-0.62423201781219706</v>
      </c>
      <c r="I88" s="1">
        <v>340.55182000000002</v>
      </c>
    </row>
    <row r="89" spans="1:9" x14ac:dyDescent="0.2">
      <c r="A89" s="7">
        <v>1938</v>
      </c>
      <c r="B89">
        <v>-1.2892605999999999E-2</v>
      </c>
      <c r="C89" s="1">
        <f>'[1]ERF_best_aggregates_1750-2024'!AA190</f>
        <v>328.98656686184069</v>
      </c>
      <c r="D89" s="1">
        <v>4.9083333329999999</v>
      </c>
      <c r="E89">
        <v>4.7137278500000004E-2</v>
      </c>
      <c r="F89" s="1">
        <v>39.926426999999997</v>
      </c>
      <c r="G89" s="1">
        <v>40.31908</v>
      </c>
      <c r="H89" s="8">
        <f>'[1]ERF_best_aggregates_1750-2024'!AE190</f>
        <v>-0.58068512307880993</v>
      </c>
      <c r="I89" s="1">
        <v>340.52957249999997</v>
      </c>
    </row>
    <row r="90" spans="1:9" x14ac:dyDescent="0.2">
      <c r="A90" s="7">
        <v>1939</v>
      </c>
      <c r="B90">
        <v>-4.1802097000000003E-2</v>
      </c>
      <c r="C90" s="1">
        <f>'[1]ERF_best_aggregates_1750-2024'!AA191</f>
        <v>330.21424825106158</v>
      </c>
      <c r="D90" s="1">
        <v>4.0999999999999996</v>
      </c>
      <c r="E90">
        <v>4.7293132499999994E-2</v>
      </c>
      <c r="F90" s="1">
        <v>49.824919000000001</v>
      </c>
      <c r="G90" s="1">
        <v>38.963684999999998</v>
      </c>
      <c r="H90" s="8">
        <f>'[1]ERF_best_aggregates_1750-2024'!AE191</f>
        <v>-0.62299645982940999</v>
      </c>
      <c r="I90" s="1">
        <v>340.49847499999998</v>
      </c>
    </row>
    <row r="91" spans="1:9" x14ac:dyDescent="0.2">
      <c r="A91" s="7">
        <v>1940</v>
      </c>
      <c r="B91">
        <v>7.3825379999999996E-2</v>
      </c>
      <c r="C91" s="1">
        <f>'[1]ERF_best_aggregates_1750-2024'!AA192</f>
        <v>331.0204748731237</v>
      </c>
      <c r="D91" s="1">
        <v>3.1916666669999998</v>
      </c>
      <c r="E91">
        <v>5.8915820000000001E-2</v>
      </c>
      <c r="F91" s="1">
        <v>59.743277999999997</v>
      </c>
      <c r="G91" s="1">
        <v>36.418633</v>
      </c>
      <c r="H91" s="8">
        <f>'[1]ERF_best_aggregates_1750-2024'!AE192</f>
        <v>-0.65769114160305797</v>
      </c>
      <c r="I91" s="1">
        <v>340.461365</v>
      </c>
    </row>
    <row r="92" spans="1:9" x14ac:dyDescent="0.2">
      <c r="A92" s="7">
        <v>1941</v>
      </c>
      <c r="B92">
        <v>3.4352899999999999E-2</v>
      </c>
      <c r="C92" s="1">
        <f>'[1]ERF_best_aggregates_1750-2024'!AA193</f>
        <v>331.84743269096907</v>
      </c>
      <c r="D92" s="1">
        <v>1.941666667</v>
      </c>
      <c r="E92">
        <v>0.103222095</v>
      </c>
      <c r="F92" s="1">
        <v>67.517431000000002</v>
      </c>
      <c r="G92" s="1">
        <v>38.579852000000002</v>
      </c>
      <c r="H92" s="8">
        <f>'[1]ERF_best_aggregates_1750-2024'!AE193</f>
        <v>-0.67380797183464103</v>
      </c>
      <c r="I92" s="1">
        <v>340.43084750000003</v>
      </c>
    </row>
    <row r="93" spans="1:9" x14ac:dyDescent="0.2">
      <c r="A93" s="7">
        <v>1942</v>
      </c>
      <c r="B93">
        <v>-5.1121490000000005E-4</v>
      </c>
      <c r="C93" s="1">
        <f>'[1]ERF_best_aggregates_1750-2024'!AA194</f>
        <v>332.71262227633349</v>
      </c>
      <c r="D93" s="1">
        <v>4.2</v>
      </c>
      <c r="E93">
        <v>0.1043671525</v>
      </c>
      <c r="F93" s="1">
        <v>77.938090000000003</v>
      </c>
      <c r="G93" s="1">
        <v>37.244672999999999</v>
      </c>
      <c r="H93" s="8">
        <f>'[1]ERF_best_aggregates_1750-2024'!AE194</f>
        <v>-0.69584667588867199</v>
      </c>
      <c r="I93" s="1">
        <v>340.37820499999998</v>
      </c>
    </row>
    <row r="94" spans="1:9" x14ac:dyDescent="0.2">
      <c r="A94" s="7">
        <v>1943</v>
      </c>
      <c r="B94">
        <v>6.3595637000000002E-3</v>
      </c>
      <c r="C94" s="1">
        <f>'[1]ERF_best_aggregates_1750-2024'!AA195</f>
        <v>333.47638663362244</v>
      </c>
      <c r="D94" s="1">
        <v>4.375</v>
      </c>
      <c r="E94">
        <v>0.10157941500000001</v>
      </c>
      <c r="F94" s="1">
        <v>92.961552999999995</v>
      </c>
      <c r="G94" s="1">
        <v>37.659891000000002</v>
      </c>
      <c r="H94" s="8">
        <f>'[1]ERF_best_aggregates_1750-2024'!AE195</f>
        <v>-0.69963566232170793</v>
      </c>
      <c r="I94" s="1">
        <v>340.33273250000002</v>
      </c>
    </row>
    <row r="95" spans="1:9" x14ac:dyDescent="0.2">
      <c r="A95" s="7">
        <v>1944</v>
      </c>
      <c r="B95">
        <v>0.14462823999999999</v>
      </c>
      <c r="C95" s="1">
        <f>'[1]ERF_best_aggregates_1750-2024'!AA196</f>
        <v>333.90079065065981</v>
      </c>
      <c r="D95" s="1">
        <v>2.35</v>
      </c>
      <c r="E95">
        <v>0.10248756199999999</v>
      </c>
      <c r="F95" s="1">
        <v>105.09257599999999</v>
      </c>
      <c r="G95" s="1">
        <v>36.081150000000001</v>
      </c>
      <c r="H95" s="8">
        <f>'[1]ERF_best_aggregates_1750-2024'!AE196</f>
        <v>-0.68927576279160796</v>
      </c>
      <c r="I95" s="1">
        <v>340.3294975</v>
      </c>
    </row>
    <row r="96" spans="1:9" x14ac:dyDescent="0.2">
      <c r="A96" s="7">
        <v>1945</v>
      </c>
      <c r="B96">
        <v>4.2905577E-2</v>
      </c>
      <c r="C96" s="1">
        <f>'[1]ERF_best_aggregates_1750-2024'!AA197</f>
        <v>333.81786340079913</v>
      </c>
      <c r="D96" s="1">
        <v>2.2166666670000001</v>
      </c>
      <c r="E96">
        <v>0.10038816</v>
      </c>
      <c r="F96" s="1">
        <v>107.77882200000001</v>
      </c>
      <c r="G96" s="1">
        <v>34.400258999999998</v>
      </c>
      <c r="H96" s="8">
        <f>'[1]ERF_best_aggregates_1750-2024'!AE197</f>
        <v>-0.61458457789035104</v>
      </c>
      <c r="I96" s="1">
        <v>340.40466249999997</v>
      </c>
    </row>
    <row r="97" spans="1:36" x14ac:dyDescent="0.2">
      <c r="A97" s="7">
        <v>1946</v>
      </c>
      <c r="B97">
        <v>-0.12273554</v>
      </c>
      <c r="C97" s="1">
        <f>'[1]ERF_best_aggregates_1750-2024'!AA198</f>
        <v>334.03104571095679</v>
      </c>
      <c r="D97" s="1">
        <v>1.816666667</v>
      </c>
      <c r="E97">
        <v>7.0993586499999997E-2</v>
      </c>
      <c r="F97" s="1">
        <v>108.859725</v>
      </c>
      <c r="G97" s="1">
        <v>40.178642000000004</v>
      </c>
      <c r="H97" s="8">
        <f>'[1]ERF_best_aggregates_1750-2024'!AE198</f>
        <v>-0.59727986764829599</v>
      </c>
      <c r="I97" s="1">
        <v>340.48462000000001</v>
      </c>
    </row>
    <row r="98" spans="1:36" x14ac:dyDescent="0.2">
      <c r="A98" s="7">
        <v>1947</v>
      </c>
      <c r="B98">
        <v>-9.599444E-2</v>
      </c>
      <c r="C98" s="1">
        <f>'[1]ERF_best_aggregates_1750-2024'!AA199</f>
        <v>334.72552701226618</v>
      </c>
      <c r="D98" s="1">
        <v>2.2833333329999999</v>
      </c>
      <c r="E98">
        <v>6.736292599999999E-2</v>
      </c>
      <c r="F98" s="1">
        <v>107.21289400000001</v>
      </c>
      <c r="G98" s="1">
        <v>37.147046000000003</v>
      </c>
      <c r="H98" s="8">
        <f>'[1]ERF_best_aggregates_1750-2024'!AE199</f>
        <v>-0.63885704358112405</v>
      </c>
      <c r="I98" s="1">
        <v>340.54745500000001</v>
      </c>
    </row>
    <row r="99" spans="1:36" x14ac:dyDescent="0.2">
      <c r="A99" s="7">
        <v>1948</v>
      </c>
      <c r="B99">
        <v>-0.12916892999999999</v>
      </c>
      <c r="C99" s="1">
        <f>'[1]ERF_best_aggregates_1750-2024'!AA200</f>
        <v>335.52213272341129</v>
      </c>
      <c r="D99" s="1">
        <v>1.7083333329999999</v>
      </c>
      <c r="E99">
        <v>6.261241775000001E-2</v>
      </c>
      <c r="F99" s="1">
        <v>101.696867</v>
      </c>
      <c r="G99" s="1">
        <v>37.950192000000001</v>
      </c>
      <c r="H99" s="8">
        <f>'[1]ERF_best_aggregates_1750-2024'!AE200</f>
        <v>-0.66719954264223902</v>
      </c>
      <c r="I99" s="1">
        <v>340.57653749999997</v>
      </c>
    </row>
    <row r="100" spans="1:36" x14ac:dyDescent="0.2">
      <c r="A100" s="7">
        <v>1949</v>
      </c>
      <c r="B100">
        <v>-0.15387155</v>
      </c>
      <c r="C100" s="1">
        <f>'[1]ERF_best_aggregates_1750-2024'!AA201</f>
        <v>335.75664382734175</v>
      </c>
      <c r="D100" s="1">
        <v>3.266666667</v>
      </c>
      <c r="E100">
        <v>5.6948573500000009E-2</v>
      </c>
      <c r="F100" s="1">
        <v>99.013981999999999</v>
      </c>
      <c r="G100" s="1">
        <v>36.549624999999999</v>
      </c>
      <c r="H100" s="8">
        <f>'[1]ERF_best_aggregates_1750-2024'!AE201</f>
        <v>-0.66198495169623206</v>
      </c>
      <c r="I100" s="1">
        <v>340.54110750000001</v>
      </c>
    </row>
    <row r="101" spans="1:36" x14ac:dyDescent="0.2">
      <c r="A101" s="7">
        <v>1950</v>
      </c>
      <c r="B101">
        <v>-0.23965623999999999</v>
      </c>
      <c r="C101" s="1">
        <f>'[1]ERF_best_aggregates_1750-2024'!AA202</f>
        <v>336.7816776047639</v>
      </c>
      <c r="D101" s="1">
        <v>2.8666666670000001</v>
      </c>
      <c r="E101">
        <v>5.0750017499999994E-2</v>
      </c>
      <c r="F101" s="1">
        <v>105.475943</v>
      </c>
      <c r="G101" s="1">
        <v>37.305273999999997</v>
      </c>
      <c r="H101" s="8">
        <f>'[1]ERF_best_aggregates_1750-2024'!AE202</f>
        <v>-0.71409861138450492</v>
      </c>
      <c r="I101" s="1">
        <v>340.46768250000002</v>
      </c>
    </row>
    <row r="102" spans="1:36" x14ac:dyDescent="0.2">
      <c r="A102" s="7">
        <v>1951</v>
      </c>
      <c r="B102">
        <v>-7.1880794999999997E-2</v>
      </c>
      <c r="C102" s="1">
        <f>'[1]ERF_best_aggregates_1750-2024'!AA203</f>
        <v>336.86249048045528</v>
      </c>
      <c r="D102" s="1">
        <v>1.9750000000000001</v>
      </c>
      <c r="E102">
        <v>4.596352225E-2</v>
      </c>
      <c r="F102" s="1">
        <v>115.275858</v>
      </c>
      <c r="G102" s="1">
        <v>37.817529</v>
      </c>
      <c r="H102" s="8">
        <f>'[1]ERF_best_aggregates_1750-2024'!AE203</f>
        <v>-0.70817507028081894</v>
      </c>
      <c r="I102" s="1">
        <v>340.41332999999997</v>
      </c>
    </row>
    <row r="103" spans="1:36" x14ac:dyDescent="0.2">
      <c r="A103" s="7">
        <v>1952</v>
      </c>
      <c r="B103">
        <v>1.0809038E-2</v>
      </c>
      <c r="C103" s="1">
        <f>'[1]ERF_best_aggregates_1750-2024'!AA204</f>
        <v>337.6585368500098</v>
      </c>
      <c r="D103" s="1">
        <v>3.6749999999999998</v>
      </c>
      <c r="E103">
        <v>4.9993856000000003E-2</v>
      </c>
      <c r="F103" s="1">
        <v>122.903325</v>
      </c>
      <c r="G103" s="1">
        <v>38.384177000000001</v>
      </c>
      <c r="H103" s="8">
        <f>'[1]ERF_best_aggregates_1750-2024'!AE204</f>
        <v>-0.729376141138534</v>
      </c>
      <c r="I103" s="1">
        <v>340.36786000000001</v>
      </c>
    </row>
    <row r="104" spans="1:36" x14ac:dyDescent="0.2">
      <c r="A104" s="7">
        <v>1953</v>
      </c>
      <c r="B104">
        <v>7.6973155000000001E-2</v>
      </c>
      <c r="C104" s="1">
        <f>'[1]ERF_best_aggregates_1750-2024'!AA205</f>
        <v>338.83975996126065</v>
      </c>
      <c r="D104" s="1">
        <v>3.391666667</v>
      </c>
      <c r="E104">
        <v>4.9558155749999999E-2</v>
      </c>
      <c r="F104" s="1">
        <v>126.504701</v>
      </c>
      <c r="G104" s="1">
        <v>40.473965</v>
      </c>
      <c r="H104" s="8">
        <f>'[1]ERF_best_aggregates_1750-2024'!AE205</f>
        <v>-0.75270511865592493</v>
      </c>
      <c r="I104" s="1">
        <v>340.33682249999998</v>
      </c>
    </row>
    <row r="105" spans="1:36" x14ac:dyDescent="0.2">
      <c r="A105" s="7">
        <v>1954</v>
      </c>
      <c r="B105">
        <v>-0.11753129</v>
      </c>
      <c r="C105" s="1">
        <f>'[1]ERF_best_aggregates_1750-2024'!AA206</f>
        <v>339.92550204028277</v>
      </c>
      <c r="D105" s="1">
        <v>3.608333333</v>
      </c>
      <c r="E105">
        <v>4.4672405499999998E-2</v>
      </c>
      <c r="F105" s="1">
        <v>128.335488</v>
      </c>
      <c r="G105" s="1">
        <v>37.595399999999998</v>
      </c>
      <c r="H105" s="8">
        <f>'[1]ERF_best_aggregates_1750-2024'!AE206</f>
        <v>-0.76700950809170998</v>
      </c>
      <c r="I105" s="1">
        <v>340.31863499999997</v>
      </c>
    </row>
    <row r="106" spans="1:36" x14ac:dyDescent="0.2">
      <c r="A106" s="7">
        <v>1955</v>
      </c>
      <c r="B106">
        <v>-0.19868241</v>
      </c>
      <c r="C106" s="1">
        <f>'[1]ERF_best_aggregates_1750-2024'!AA207</f>
        <v>341.26282987885401</v>
      </c>
      <c r="D106" s="1">
        <v>1.8</v>
      </c>
      <c r="E106">
        <v>4.5058057499999998E-2</v>
      </c>
      <c r="F106" s="1">
        <v>129.66936899999999</v>
      </c>
      <c r="G106" s="1">
        <v>34.225225999999999</v>
      </c>
      <c r="H106" s="8">
        <f>'[1]ERF_best_aggregates_1750-2024'!AE207</f>
        <v>-0.81070480231183606</v>
      </c>
      <c r="I106" s="1">
        <v>340.35843</v>
      </c>
    </row>
    <row r="107" spans="1:36" x14ac:dyDescent="0.2">
      <c r="A107" s="7">
        <v>1956</v>
      </c>
      <c r="B107">
        <v>-0.26496819999999999</v>
      </c>
      <c r="C107" s="1">
        <f>'[1]ERF_best_aggregates_1750-2024'!AA208</f>
        <v>342.95041609438931</v>
      </c>
      <c r="D107" s="1">
        <v>1.1333333329999999</v>
      </c>
      <c r="E107">
        <v>3.8264092499999999E-2</v>
      </c>
      <c r="F107" s="1">
        <v>133.232091</v>
      </c>
      <c r="G107" s="1">
        <v>36.874388000000003</v>
      </c>
      <c r="H107" s="8">
        <f>'[1]ERF_best_aggregates_1750-2024'!AE208</f>
        <v>-0.87026018611940503</v>
      </c>
      <c r="I107" s="1">
        <v>340.49420249999997</v>
      </c>
    </row>
    <row r="108" spans="1:36" x14ac:dyDescent="0.2">
      <c r="A108" s="7">
        <v>1957</v>
      </c>
      <c r="B108">
        <v>-3.4916759999999998E-2</v>
      </c>
      <c r="C108" s="1">
        <f>'[1]ERF_best_aggregates_1750-2024'!AA209</f>
        <v>344.51991081293352</v>
      </c>
      <c r="D108" s="1">
        <v>0.51666666699999997</v>
      </c>
      <c r="E108">
        <v>3.3541781499999999E-2</v>
      </c>
      <c r="F108" s="1">
        <v>138.870553</v>
      </c>
      <c r="G108" s="1">
        <v>39.492299000000003</v>
      </c>
      <c r="H108" s="8">
        <f>'[1]ERF_best_aggregates_1750-2024'!AE209</f>
        <v>-0.90482353023954309</v>
      </c>
      <c r="I108" s="1">
        <v>340.60821499999997</v>
      </c>
    </row>
    <row r="109" spans="1:36" x14ac:dyDescent="0.2">
      <c r="A109" s="7">
        <v>1958</v>
      </c>
      <c r="B109">
        <v>-1.647502E-2</v>
      </c>
      <c r="C109" s="1">
        <f>'[1]ERF_best_aggregates_1750-2024'!AA210</f>
        <v>345.21389113524714</v>
      </c>
      <c r="D109" s="1">
        <v>0.25</v>
      </c>
      <c r="E109">
        <v>3.2122699249999997E-2</v>
      </c>
      <c r="F109" s="1">
        <v>147.99471299999999</v>
      </c>
      <c r="G109" s="1">
        <v>41.305689000000001</v>
      </c>
      <c r="H109" s="8">
        <f>'[1]ERF_best_aggregates_1750-2024'!AE210</f>
        <v>-0.88722565624126903</v>
      </c>
      <c r="I109" s="1">
        <v>340.60098249999999</v>
      </c>
    </row>
    <row r="110" spans="1:36" x14ac:dyDescent="0.2">
      <c r="A110" s="7">
        <v>1959</v>
      </c>
      <c r="B110">
        <v>-4.6526893999999999E-2</v>
      </c>
      <c r="C110" s="1">
        <f>'[1]ERF_best_aggregates_1750-2024'!AA211</f>
        <v>346.47614218081804</v>
      </c>
      <c r="D110" s="1">
        <v>0.2</v>
      </c>
      <c r="E110">
        <v>3.2763927999999998E-2</v>
      </c>
      <c r="F110" s="1">
        <v>158.04931099999999</v>
      </c>
      <c r="G110" s="1">
        <v>37.915106000000002</v>
      </c>
      <c r="H110" s="8">
        <f>'[1]ERF_best_aggregates_1750-2024'!AE211</f>
        <v>-0.91216967738601895</v>
      </c>
      <c r="I110" s="1">
        <v>340.52401750000001</v>
      </c>
      <c r="L110" s="7">
        <v>1959</v>
      </c>
      <c r="M110" s="12">
        <v>315.98</v>
      </c>
      <c r="N110">
        <v>0.12</v>
      </c>
    </row>
    <row r="111" spans="1:36" x14ac:dyDescent="0.2">
      <c r="A111" s="7">
        <v>1960</v>
      </c>
      <c r="B111">
        <v>-0.11337057</v>
      </c>
      <c r="C111" s="1">
        <f>'[1]ERF_best_aggregates_1750-2024'!AA212</f>
        <v>348.21520674180499</v>
      </c>
      <c r="D111" s="1">
        <v>4.6166666669999996</v>
      </c>
      <c r="E111">
        <v>2.774339E-2</v>
      </c>
      <c r="F111" s="1">
        <v>166.67938699999999</v>
      </c>
      <c r="G111" s="1">
        <v>38.643113999999997</v>
      </c>
      <c r="H111" s="8">
        <f>'[1]ERF_best_aggregates_1750-2024'!AE212</f>
        <v>-0.94863442249153196</v>
      </c>
      <c r="I111" s="1">
        <v>340.48571750000002</v>
      </c>
      <c r="L111" s="7">
        <v>1960</v>
      </c>
      <c r="M111">
        <v>316.91000000000003</v>
      </c>
      <c r="N111">
        <v>0.12</v>
      </c>
      <c r="AI111">
        <v>0</v>
      </c>
      <c r="AJ111">
        <v>22.214909309999999</v>
      </c>
    </row>
    <row r="112" spans="1:36" x14ac:dyDescent="0.2">
      <c r="A112" s="7">
        <v>1961</v>
      </c>
      <c r="B112">
        <v>-1.4400931E-2</v>
      </c>
      <c r="C112" s="1">
        <f>'[1]ERF_best_aggregates_1750-2024'!AA213</f>
        <v>349.83069605807128</v>
      </c>
      <c r="D112" s="1">
        <v>10.775</v>
      </c>
      <c r="E112">
        <v>2.5186208749999998E-2</v>
      </c>
      <c r="F112" s="1">
        <v>170.15124</v>
      </c>
      <c r="G112" s="1">
        <v>38.403931999999998</v>
      </c>
      <c r="H112" s="8">
        <f>'[1]ERF_best_aggregates_1750-2024'!AE213</f>
        <v>-0.98457941911636193</v>
      </c>
      <c r="I112" s="1">
        <v>340.3892525</v>
      </c>
      <c r="L112">
        <v>1961</v>
      </c>
      <c r="M112">
        <v>317.64</v>
      </c>
      <c r="N112">
        <v>0.12</v>
      </c>
      <c r="AI112">
        <v>15.7341175</v>
      </c>
      <c r="AJ112">
        <v>21.842026870000002</v>
      </c>
    </row>
    <row r="113" spans="1:36" x14ac:dyDescent="0.2">
      <c r="A113" s="7">
        <v>1962</v>
      </c>
      <c r="B113">
        <v>-5.8836039999999999E-2</v>
      </c>
      <c r="C113" s="1">
        <f>'[1]ERF_best_aggregates_1750-2024'!AA214</f>
        <v>351.53624208304586</v>
      </c>
      <c r="D113" s="1">
        <v>13.25</v>
      </c>
      <c r="E113">
        <v>2.6867504174999998E-2</v>
      </c>
      <c r="F113" s="1">
        <v>170.21561600000001</v>
      </c>
      <c r="G113" s="1">
        <v>38.867451000000003</v>
      </c>
      <c r="H113" s="8">
        <f>'[1]ERF_best_aggregates_1750-2024'!AE214</f>
        <v>-0.99164120820777701</v>
      </c>
      <c r="I113" s="1">
        <v>340.34387249999997</v>
      </c>
      <c r="L113">
        <v>1962</v>
      </c>
      <c r="M113">
        <v>318.45</v>
      </c>
      <c r="N113">
        <v>0.12</v>
      </c>
      <c r="AI113">
        <v>28.681605999999999</v>
      </c>
      <c r="AJ113">
        <v>17.583782710000001</v>
      </c>
    </row>
    <row r="114" spans="1:36" x14ac:dyDescent="0.2">
      <c r="A114" s="7">
        <v>1963</v>
      </c>
      <c r="B114">
        <v>-3.1402844999999999E-2</v>
      </c>
      <c r="C114" s="1">
        <f>'[1]ERF_best_aggregates_1750-2024'!AA215</f>
        <v>354.21350999416217</v>
      </c>
      <c r="D114" s="1">
        <v>45.966666670000002</v>
      </c>
      <c r="E114">
        <v>2.6330818499999999E-2</v>
      </c>
      <c r="F114" s="1">
        <v>166.12663699999999</v>
      </c>
      <c r="G114" s="1">
        <v>39.016264</v>
      </c>
      <c r="H114" s="8">
        <f>'[1]ERF_best_aggregates_1750-2024'!AE215</f>
        <v>-1.060519344830644</v>
      </c>
      <c r="I114" s="1">
        <v>340.32910249999998</v>
      </c>
      <c r="L114">
        <v>1963</v>
      </c>
      <c r="M114">
        <v>318.99</v>
      </c>
      <c r="N114">
        <v>0.12</v>
      </c>
      <c r="AI114">
        <v>21.137104000000001</v>
      </c>
      <c r="AJ114">
        <v>15.711540899999999</v>
      </c>
    </row>
    <row r="115" spans="1:36" x14ac:dyDescent="0.2">
      <c r="A115" s="7">
        <v>1964</v>
      </c>
      <c r="B115">
        <v>-0.30211916999999999</v>
      </c>
      <c r="C115" s="1">
        <f>'[1]ERF_best_aggregates_1750-2024'!AA216</f>
        <v>355.76521894570726</v>
      </c>
      <c r="D115" s="1">
        <v>71.691666670000004</v>
      </c>
      <c r="E115">
        <v>2.3590497499999988E-2</v>
      </c>
      <c r="F115" s="1">
        <v>163.16832600000001</v>
      </c>
      <c r="G115" s="1">
        <v>39.950173999999997</v>
      </c>
      <c r="H115" s="8">
        <f>'[1]ERF_best_aggregates_1750-2024'!AE216</f>
        <v>-1.0544704063065309</v>
      </c>
      <c r="I115" s="1">
        <v>340.32418749999999</v>
      </c>
      <c r="L115">
        <v>1964</v>
      </c>
      <c r="M115">
        <v>319.62</v>
      </c>
      <c r="N115">
        <v>0.12</v>
      </c>
      <c r="AI115">
        <v>9.8030749999999998</v>
      </c>
      <c r="AJ115">
        <v>23.46866619</v>
      </c>
    </row>
    <row r="116" spans="1:36" x14ac:dyDescent="0.2">
      <c r="A116" s="7">
        <v>1965</v>
      </c>
      <c r="B116">
        <v>-0.20229820000000001</v>
      </c>
      <c r="C116" s="1">
        <f>'[1]ERF_best_aggregates_1750-2024'!AA217</f>
        <v>357.65808628548643</v>
      </c>
      <c r="D116" s="1">
        <v>43.183333330000004</v>
      </c>
      <c r="E116">
        <v>2.59639625E-2</v>
      </c>
      <c r="F116" s="1">
        <v>160.953045</v>
      </c>
      <c r="G116" s="1">
        <v>36.976562000000001</v>
      </c>
      <c r="H116" s="8">
        <f>'[1]ERF_best_aggregates_1750-2024'!AE217</f>
        <v>-1.0792286426802631</v>
      </c>
      <c r="I116" s="1">
        <v>340.332855</v>
      </c>
      <c r="L116">
        <v>1965</v>
      </c>
      <c r="M116">
        <v>320.04000000000002</v>
      </c>
      <c r="N116">
        <v>0.12</v>
      </c>
      <c r="AI116">
        <v>-0.31271191999999998</v>
      </c>
      <c r="AJ116">
        <v>1.8352138760000001</v>
      </c>
    </row>
    <row r="117" spans="1:36" x14ac:dyDescent="0.2">
      <c r="A117" s="7">
        <v>1966</v>
      </c>
      <c r="B117">
        <v>-0.14536367</v>
      </c>
      <c r="C117" s="1">
        <f>'[1]ERF_best_aggregates_1750-2024'!AA218</f>
        <v>359.97183797753064</v>
      </c>
      <c r="D117" s="1">
        <v>23.233333330000001</v>
      </c>
      <c r="E117">
        <v>2.4799857500000001E-2</v>
      </c>
      <c r="F117" s="1">
        <v>159.307535</v>
      </c>
      <c r="G117" s="1">
        <v>40.128588999999998</v>
      </c>
      <c r="H117" s="8">
        <f>'[1]ERF_best_aggregates_1750-2024'!AE218</f>
        <v>-1.0941977393032061</v>
      </c>
      <c r="I117" s="1">
        <v>340.38168250000001</v>
      </c>
      <c r="L117">
        <v>1966</v>
      </c>
      <c r="M117">
        <v>321.37</v>
      </c>
      <c r="N117">
        <v>0.12</v>
      </c>
      <c r="AI117">
        <v>14.841215999999999</v>
      </c>
      <c r="AJ117">
        <v>5.7206474500000004</v>
      </c>
    </row>
    <row r="118" spans="1:36" x14ac:dyDescent="0.2">
      <c r="A118" s="7">
        <v>1967</v>
      </c>
      <c r="B118">
        <v>-0.11570757</v>
      </c>
      <c r="C118" s="1">
        <f>'[1]ERF_best_aggregates_1750-2024'!AA219</f>
        <v>362.29570528505809</v>
      </c>
      <c r="D118" s="1">
        <v>14.5</v>
      </c>
      <c r="E118">
        <v>2.2387319999999995E-2</v>
      </c>
      <c r="F118" s="1">
        <v>161.726911</v>
      </c>
      <c r="G118" s="1">
        <v>40.475253000000002</v>
      </c>
      <c r="H118" s="8">
        <f>'[1]ERF_best_aggregates_1750-2024'!AE219</f>
        <v>-1.1205407718452709</v>
      </c>
      <c r="I118" s="1">
        <v>340.43386750000002</v>
      </c>
      <c r="L118">
        <v>1967</v>
      </c>
      <c r="M118">
        <v>322.18</v>
      </c>
      <c r="N118">
        <v>0.12</v>
      </c>
      <c r="AI118">
        <v>2.6593575</v>
      </c>
      <c r="AJ118">
        <v>16.29650054</v>
      </c>
    </row>
    <row r="119" spans="1:36" x14ac:dyDescent="0.2">
      <c r="A119" s="7">
        <v>1968</v>
      </c>
      <c r="B119">
        <v>-0.16396338999999999</v>
      </c>
      <c r="C119" s="1">
        <f>'[1]ERF_best_aggregates_1750-2024'!AA220</f>
        <v>364.70633193411061</v>
      </c>
      <c r="D119" s="1">
        <v>27.408333330000001</v>
      </c>
      <c r="E119">
        <v>2.3177322500000003E-2</v>
      </c>
      <c r="F119" s="1">
        <v>170.265096</v>
      </c>
      <c r="G119" s="1">
        <v>39.266278999999997</v>
      </c>
      <c r="H119" s="8">
        <f>'[1]ERF_best_aggregates_1750-2024'!AE220</f>
        <v>-1.140599312413777</v>
      </c>
      <c r="I119" s="1">
        <v>340.4476325</v>
      </c>
      <c r="L119">
        <v>1968</v>
      </c>
      <c r="M119">
        <v>323.05</v>
      </c>
      <c r="N119">
        <v>0.12</v>
      </c>
      <c r="AI119">
        <v>-18.206935999999999</v>
      </c>
      <c r="AJ119">
        <v>14.748739909999999</v>
      </c>
    </row>
    <row r="120" spans="1:36" x14ac:dyDescent="0.2">
      <c r="A120" s="7">
        <v>1969</v>
      </c>
      <c r="B120">
        <v>-2.7795328000000001E-2</v>
      </c>
      <c r="C120" s="1">
        <f>'[1]ERF_best_aggregates_1750-2024'!AA221</f>
        <v>367.15794176673165</v>
      </c>
      <c r="D120" s="1">
        <v>34.4</v>
      </c>
      <c r="E120">
        <v>2.0196911250000001E-2</v>
      </c>
      <c r="F120" s="1">
        <v>173.85687899999999</v>
      </c>
      <c r="G120" s="1">
        <v>39.494076</v>
      </c>
      <c r="H120" s="8">
        <f>'[1]ERF_best_aggregates_1750-2024'!AE221</f>
        <v>-1.1591441605879189</v>
      </c>
      <c r="I120" s="1">
        <v>340.46460000000002</v>
      </c>
      <c r="L120">
        <v>1969</v>
      </c>
      <c r="M120">
        <v>324.62</v>
      </c>
      <c r="N120">
        <v>0.12</v>
      </c>
      <c r="AI120">
        <v>-6.6342524999999997</v>
      </c>
      <c r="AJ120">
        <v>18.177933459999998</v>
      </c>
    </row>
    <row r="121" spans="1:36" x14ac:dyDescent="0.2">
      <c r="A121" s="7">
        <v>1970</v>
      </c>
      <c r="B121">
        <v>-8.4015599999999996E-2</v>
      </c>
      <c r="C121" s="1">
        <f>'[1]ERF_best_aggregates_1750-2024'!AA222</f>
        <v>371.26375917253347</v>
      </c>
      <c r="D121" s="1">
        <v>16.56666667</v>
      </c>
      <c r="E121">
        <v>1.9164750500000001E-2</v>
      </c>
      <c r="F121" s="1">
        <v>174.009648</v>
      </c>
      <c r="G121" s="1">
        <v>25.001082</v>
      </c>
      <c r="H121" s="8">
        <f>'[1]ERF_best_aggregates_1750-2024'!AE222</f>
        <v>-1.225812418537815</v>
      </c>
      <c r="I121" s="1">
        <v>340.46261500000003</v>
      </c>
      <c r="L121">
        <v>1970</v>
      </c>
      <c r="M121">
        <v>325.68</v>
      </c>
      <c r="N121">
        <v>0.12</v>
      </c>
      <c r="R121">
        <v>-103.0830004</v>
      </c>
      <c r="T121">
        <v>26.357310720000001</v>
      </c>
      <c r="AH121">
        <f>AVERAGE(F$111:F$120)-AVERAGE(AI$111:AI$120)+AI121</f>
        <v>149.892212642</v>
      </c>
      <c r="AI121">
        <v>-9.5825969999999998</v>
      </c>
      <c r="AJ121">
        <v>11.22043968</v>
      </c>
    </row>
    <row r="122" spans="1:36" x14ac:dyDescent="0.2">
      <c r="A122" s="7">
        <v>1971</v>
      </c>
      <c r="B122">
        <v>-0.20408149</v>
      </c>
      <c r="C122" s="1">
        <f>'[1]ERF_best_aggregates_1750-2024'!AA223</f>
        <v>374.0334857830411</v>
      </c>
      <c r="D122" s="1">
        <v>6.483333333</v>
      </c>
      <c r="E122">
        <v>1.9112114999999999E-2</v>
      </c>
      <c r="F122" s="1">
        <v>176.929665</v>
      </c>
      <c r="G122" s="1">
        <v>25.240618000000001</v>
      </c>
      <c r="H122" s="8">
        <f>'[1]ERF_best_aggregates_1750-2024'!AE223</f>
        <v>-1.2356881479301509</v>
      </c>
      <c r="I122" s="1">
        <v>340.38964750000002</v>
      </c>
      <c r="L122">
        <v>1971</v>
      </c>
      <c r="M122">
        <v>326.32</v>
      </c>
      <c r="N122">
        <v>0.12</v>
      </c>
      <c r="R122">
        <v>-52.056915179999997</v>
      </c>
      <c r="T122">
        <v>23.230506800000001</v>
      </c>
      <c r="AH122">
        <f t="shared" ref="AH122:AH174" si="21">AVERAGE(F$111:F$120)-AVERAGE(AI$111:AI$120)+AI122</f>
        <v>168.90033914200001</v>
      </c>
      <c r="AI122">
        <v>9.4255294999999997</v>
      </c>
      <c r="AJ122">
        <v>7.6633051520000004</v>
      </c>
    </row>
    <row r="123" spans="1:36" x14ac:dyDescent="0.2">
      <c r="A123" s="7">
        <v>1972</v>
      </c>
      <c r="B123">
        <v>-9.0178590000000003E-2</v>
      </c>
      <c r="C123" s="1">
        <f>'[1]ERF_best_aggregates_1750-2024'!AA224</f>
        <v>379.10035530755056</v>
      </c>
      <c r="D123" s="1">
        <v>3.9249999999999998</v>
      </c>
      <c r="E123">
        <v>1.8438670000000004E-2</v>
      </c>
      <c r="F123" s="1">
        <v>177.009771</v>
      </c>
      <c r="G123" s="1">
        <v>25.880512</v>
      </c>
      <c r="H123" s="8">
        <f>'[1]ERF_best_aggregates_1750-2024'!AE224</f>
        <v>-1.304646481687836</v>
      </c>
      <c r="I123" s="1">
        <v>340.41034000000002</v>
      </c>
      <c r="L123">
        <v>1972</v>
      </c>
      <c r="M123">
        <v>327.45999999999998</v>
      </c>
      <c r="N123">
        <v>0.12</v>
      </c>
      <c r="R123">
        <v>-70.611855239999997</v>
      </c>
      <c r="T123">
        <v>23.430040699999999</v>
      </c>
      <c r="AH123">
        <f t="shared" si="21"/>
        <v>168.86857964199999</v>
      </c>
      <c r="AI123">
        <v>9.39377</v>
      </c>
      <c r="AJ123">
        <v>11.512724670000001</v>
      </c>
    </row>
    <row r="124" spans="1:36" x14ac:dyDescent="0.2">
      <c r="A124" s="7">
        <v>1973</v>
      </c>
      <c r="B124">
        <v>5.2476740000000001E-2</v>
      </c>
      <c r="C124" s="1">
        <f>'[1]ERF_best_aggregates_1750-2024'!AA225</f>
        <v>383.33066531999862</v>
      </c>
      <c r="D124" s="1">
        <v>7.7916666670000003</v>
      </c>
      <c r="E124">
        <v>1.9014436249999999E-2</v>
      </c>
      <c r="F124" s="1">
        <v>172.98574099999999</v>
      </c>
      <c r="G124" s="1">
        <v>26.163758000000001</v>
      </c>
      <c r="H124" s="8">
        <f>'[1]ERF_best_aggregates_1750-2024'!AE225</f>
        <v>-1.3082640182389469</v>
      </c>
      <c r="I124" s="1">
        <v>340.35385250000002</v>
      </c>
      <c r="L124">
        <v>1973</v>
      </c>
      <c r="M124">
        <v>329.68</v>
      </c>
      <c r="N124">
        <v>0.12</v>
      </c>
      <c r="R124">
        <v>-86.074305300000006</v>
      </c>
      <c r="T124">
        <v>23.932762289999999</v>
      </c>
      <c r="AH124">
        <f t="shared" si="21"/>
        <v>174.41267264199999</v>
      </c>
      <c r="AI124">
        <v>14.937863</v>
      </c>
      <c r="AJ124">
        <v>14.86444056</v>
      </c>
    </row>
    <row r="125" spans="1:36" x14ac:dyDescent="0.2">
      <c r="A125" s="7">
        <v>1974</v>
      </c>
      <c r="B125">
        <v>-0.16868283000000001</v>
      </c>
      <c r="C125" s="1">
        <f>'[1]ERF_best_aggregates_1750-2024'!AA226</f>
        <v>385.7994197151146</v>
      </c>
      <c r="D125" s="1">
        <v>12.70833333</v>
      </c>
      <c r="E125">
        <v>1.9099612500000002E-2</v>
      </c>
      <c r="F125" s="1">
        <v>171.970731</v>
      </c>
      <c r="G125" s="1">
        <v>26.129287999999999</v>
      </c>
      <c r="H125" s="8">
        <f>'[1]ERF_best_aggregates_1750-2024'!AE226</f>
        <v>-1.3004430478794771</v>
      </c>
      <c r="I125" s="1">
        <v>340.33483999999999</v>
      </c>
      <c r="L125">
        <v>1974</v>
      </c>
      <c r="M125">
        <v>330.19</v>
      </c>
      <c r="N125">
        <v>0.12</v>
      </c>
      <c r="R125">
        <v>-66.488535229999997</v>
      </c>
      <c r="S125">
        <f>AVERAGE(R121:R130)</f>
        <v>-56.077152197999986</v>
      </c>
      <c r="T125">
        <v>25.75202458</v>
      </c>
      <c r="AH125">
        <f t="shared" si="21"/>
        <v>186.25611264200001</v>
      </c>
      <c r="AI125">
        <v>26.781303000000001</v>
      </c>
      <c r="AJ125">
        <v>20.899742759999999</v>
      </c>
    </row>
    <row r="126" spans="1:36" x14ac:dyDescent="0.2">
      <c r="A126" s="7">
        <v>1975</v>
      </c>
      <c r="B126">
        <v>-0.105973646</v>
      </c>
      <c r="C126" s="1">
        <f>'[1]ERF_best_aggregates_1750-2024'!AA227</f>
        <v>387.30995222674358</v>
      </c>
      <c r="D126" s="1">
        <v>30.125</v>
      </c>
      <c r="E126">
        <v>1.8759545000000002E-2</v>
      </c>
      <c r="F126" s="1">
        <v>175.808502</v>
      </c>
      <c r="G126" s="1">
        <v>25.307863000000001</v>
      </c>
      <c r="H126" s="8">
        <f>'[1]ERF_best_aggregates_1750-2024'!AE227</f>
        <v>-1.2811367790343</v>
      </c>
      <c r="I126" s="1">
        <v>340.31952000000001</v>
      </c>
      <c r="L126">
        <v>1975</v>
      </c>
      <c r="M126">
        <v>331.13</v>
      </c>
      <c r="N126">
        <v>0.12</v>
      </c>
      <c r="R126">
        <v>-36.594465130000003</v>
      </c>
      <c r="T126">
        <v>27.613358250000001</v>
      </c>
      <c r="AH126">
        <f t="shared" si="21"/>
        <v>199.99864764199998</v>
      </c>
      <c r="AI126">
        <v>40.523837999999998</v>
      </c>
      <c r="AJ126">
        <v>15.44209043</v>
      </c>
    </row>
    <row r="127" spans="1:36" x14ac:dyDescent="0.2">
      <c r="A127" s="7">
        <v>1976</v>
      </c>
      <c r="B127">
        <v>-0.21080547999999999</v>
      </c>
      <c r="C127" s="1">
        <f>'[1]ERF_best_aggregates_1750-2024'!AA228</f>
        <v>390.84123141564487</v>
      </c>
      <c r="D127" s="1">
        <v>13.625</v>
      </c>
      <c r="E127">
        <v>2.0603552499999997E-2</v>
      </c>
      <c r="F127" s="1">
        <v>180.62355600000001</v>
      </c>
      <c r="G127" s="1">
        <v>24.080273999999999</v>
      </c>
      <c r="H127" s="8">
        <f>'[1]ERF_best_aggregates_1750-2024'!AE228</f>
        <v>-1.348750873767506</v>
      </c>
      <c r="I127" s="1">
        <v>340.31402500000002</v>
      </c>
      <c r="L127">
        <v>1976</v>
      </c>
      <c r="M127">
        <v>332.03</v>
      </c>
      <c r="N127">
        <v>0.12</v>
      </c>
      <c r="R127">
        <v>-27.316995089999999</v>
      </c>
      <c r="T127">
        <v>27.129831200000002</v>
      </c>
      <c r="AH127">
        <f t="shared" si="21"/>
        <v>190.81501564199999</v>
      </c>
      <c r="AI127">
        <v>31.340205999999998</v>
      </c>
      <c r="AJ127">
        <v>17.157077739999998</v>
      </c>
    </row>
    <row r="128" spans="1:36" x14ac:dyDescent="0.2">
      <c r="A128" s="7">
        <v>1977</v>
      </c>
      <c r="B128">
        <v>0.105095536</v>
      </c>
      <c r="C128" s="1">
        <f>'[1]ERF_best_aggregates_1750-2024'!AA229</f>
        <v>395.17725146908327</v>
      </c>
      <c r="D128" s="1">
        <v>5.0916666670000001</v>
      </c>
      <c r="E128">
        <v>2.1061668750000002E-2</v>
      </c>
      <c r="F128" s="1">
        <v>187.51975100000001</v>
      </c>
      <c r="G128" s="1">
        <v>24.397352000000001</v>
      </c>
      <c r="H128" s="8">
        <f>'[1]ERF_best_aggregates_1750-2024'!AE229</f>
        <v>-1.3575387251693989</v>
      </c>
      <c r="I128" s="1">
        <v>340.35720750000002</v>
      </c>
      <c r="L128">
        <v>1977</v>
      </c>
      <c r="M128">
        <v>333.84</v>
      </c>
      <c r="N128">
        <v>0.12</v>
      </c>
      <c r="R128">
        <v>-30.924900109999999</v>
      </c>
      <c r="T128">
        <v>25.929495580000001</v>
      </c>
      <c r="Z128" t="s">
        <v>9</v>
      </c>
      <c r="AH128">
        <f t="shared" si="21"/>
        <v>205.35726764200001</v>
      </c>
      <c r="AI128">
        <v>45.882458</v>
      </c>
      <c r="AJ128">
        <v>28.893605319999999</v>
      </c>
    </row>
    <row r="129" spans="1:36" x14ac:dyDescent="0.2">
      <c r="A129" s="7">
        <v>1978</v>
      </c>
      <c r="B129">
        <v>5.5047739999999996E-3</v>
      </c>
      <c r="C129" s="1">
        <f>'[1]ERF_best_aggregates_1750-2024'!AA230</f>
        <v>399.52202163523964</v>
      </c>
      <c r="D129" s="1">
        <v>7.5416666670000003</v>
      </c>
      <c r="E129">
        <v>1.9832049499999997E-2</v>
      </c>
      <c r="F129" s="1">
        <v>200.028919</v>
      </c>
      <c r="G129" s="1">
        <v>26.478677999999999</v>
      </c>
      <c r="H129" s="8">
        <f>'[1]ERF_best_aggregates_1750-2024'!AE230</f>
        <v>-1.376404203904906</v>
      </c>
      <c r="I129" s="1">
        <v>340.45291250000002</v>
      </c>
      <c r="L129">
        <v>1978</v>
      </c>
      <c r="M129">
        <v>335.41</v>
      </c>
      <c r="N129">
        <v>0.12</v>
      </c>
      <c r="R129">
        <v>-42.779445150000001</v>
      </c>
      <c r="T129">
        <v>24.075235429999999</v>
      </c>
      <c r="AH129">
        <f t="shared" si="21"/>
        <v>216.82854664199999</v>
      </c>
      <c r="AI129">
        <v>57.353737000000002</v>
      </c>
      <c r="AJ129">
        <v>34.695500469999999</v>
      </c>
    </row>
    <row r="130" spans="1:36" x14ac:dyDescent="0.2">
      <c r="A130" s="7">
        <v>1979</v>
      </c>
      <c r="B130">
        <v>8.8103899999999999E-2</v>
      </c>
      <c r="C130" s="1">
        <f>'[1]ERF_best_aggregates_1750-2024'!AA231</f>
        <v>403.6196418783141</v>
      </c>
      <c r="D130" s="1">
        <f>Z130*0.897</f>
        <v>4.909281</v>
      </c>
      <c r="E130">
        <v>1.442663175E-2</v>
      </c>
      <c r="F130" s="1">
        <v>214.228228</v>
      </c>
      <c r="G130" s="1">
        <v>24.964442999999999</v>
      </c>
      <c r="H130" s="8">
        <f>'[1]ERF_best_aggregates_1750-2024'!AE231</f>
        <v>-1.398792436713892</v>
      </c>
      <c r="I130" s="1">
        <v>340.5437925</v>
      </c>
      <c r="L130">
        <v>1979</v>
      </c>
      <c r="M130">
        <v>336.84</v>
      </c>
      <c r="N130">
        <v>0.12</v>
      </c>
      <c r="R130">
        <v>-44.841105149999997</v>
      </c>
      <c r="T130">
        <v>22.528790409999999</v>
      </c>
      <c r="Z130">
        <v>5.4729999999999999</v>
      </c>
      <c r="AH130">
        <f t="shared" si="21"/>
        <v>202.382745642</v>
      </c>
      <c r="AI130">
        <v>42.907935999999999</v>
      </c>
      <c r="AJ130">
        <v>22.65444866</v>
      </c>
    </row>
    <row r="131" spans="1:36" x14ac:dyDescent="0.2">
      <c r="A131" s="7">
        <v>1980</v>
      </c>
      <c r="B131">
        <v>0.19152240000000001</v>
      </c>
      <c r="C131" s="1">
        <f>'[1]ERF_best_aggregates_1750-2024'!AA232</f>
        <v>407.61724174667853</v>
      </c>
      <c r="D131" s="1">
        <f t="shared" ref="D131:D174" si="22">Z131*0.897</f>
        <v>6.851286</v>
      </c>
      <c r="E131">
        <v>1.6284182500000001E-2</v>
      </c>
      <c r="F131" s="1">
        <v>224.420455</v>
      </c>
      <c r="G131" s="1">
        <v>26.393549</v>
      </c>
      <c r="H131" s="8">
        <f>'[1]ERF_best_aggregates_1750-2024'!AE232</f>
        <v>-1.39392433943062</v>
      </c>
      <c r="I131" s="1">
        <v>340.55029250000001</v>
      </c>
      <c r="L131">
        <v>1980</v>
      </c>
      <c r="M131">
        <v>338.76</v>
      </c>
      <c r="N131">
        <v>0.12</v>
      </c>
      <c r="Q131">
        <f>AVERAGE(F$121:F$130)-AVERAGE(R$121:R$130)+R131</f>
        <v>254.651053448</v>
      </c>
      <c r="R131">
        <v>15.462450049999999</v>
      </c>
      <c r="T131">
        <v>21.81246007</v>
      </c>
      <c r="V131">
        <f>SQRT(T131^2+G131^2/4)</f>
        <v>25.493886943916472</v>
      </c>
      <c r="Z131">
        <v>7.6379999999999999</v>
      </c>
      <c r="AH131">
        <f t="shared" si="21"/>
        <v>227.23468964199998</v>
      </c>
      <c r="AI131">
        <v>67.759879999999995</v>
      </c>
      <c r="AJ131">
        <v>30.259973250000002</v>
      </c>
    </row>
    <row r="132" spans="1:36" x14ac:dyDescent="0.2">
      <c r="A132" s="7">
        <v>1981</v>
      </c>
      <c r="B132">
        <v>0.24696657</v>
      </c>
      <c r="C132" s="1">
        <f>'[1]ERF_best_aggregates_1750-2024'!AA233</f>
        <v>410.33136419807391</v>
      </c>
      <c r="D132" s="1">
        <f t="shared" si="22"/>
        <v>8.4192419999999988</v>
      </c>
      <c r="E132">
        <v>1.5620054999999994E-2</v>
      </c>
      <c r="F132" s="1">
        <v>229.07345900000001</v>
      </c>
      <c r="G132" s="1">
        <v>26.34393</v>
      </c>
      <c r="H132" s="8">
        <f>'[1]ERF_best_aggregates_1750-2024'!AE233</f>
        <v>-1.3544364940843341</v>
      </c>
      <c r="I132" s="1">
        <v>340.56213500000001</v>
      </c>
      <c r="L132">
        <v>1981</v>
      </c>
      <c r="M132">
        <v>340.12</v>
      </c>
      <c r="N132">
        <v>0.12</v>
      </c>
      <c r="Q132">
        <f t="shared" ref="Q132:Q173" si="23">AVERAGE(F$121:F$130)-AVERAGE(R$121:R$130)+R132</f>
        <v>220.63366333799999</v>
      </c>
      <c r="R132">
        <v>-18.55494006</v>
      </c>
      <c r="T132">
        <v>22.64118015</v>
      </c>
      <c r="V132">
        <f t="shared" ref="V132:V174" si="24">SQRT(T132^2+G132^2/4)</f>
        <v>26.193963055367909</v>
      </c>
      <c r="Z132">
        <v>9.3859999999999992</v>
      </c>
      <c r="AH132">
        <f t="shared" si="21"/>
        <v>223.42372664199999</v>
      </c>
      <c r="AI132">
        <v>63.948917000000002</v>
      </c>
      <c r="AJ132">
        <v>20.593822670000002</v>
      </c>
    </row>
    <row r="133" spans="1:36" x14ac:dyDescent="0.2">
      <c r="A133" s="7">
        <v>1982</v>
      </c>
      <c r="B133">
        <v>3.0967088E-2</v>
      </c>
      <c r="C133" s="1">
        <f>'[1]ERF_best_aggregates_1750-2024'!AA234</f>
        <v>414.13796237749773</v>
      </c>
      <c r="D133" s="1">
        <f t="shared" si="22"/>
        <v>25.977120000000003</v>
      </c>
      <c r="E133">
        <v>2.0248185250000002E-2</v>
      </c>
      <c r="F133" s="1">
        <v>234.39847499999999</v>
      </c>
      <c r="G133" s="1">
        <v>26.269539000000002</v>
      </c>
      <c r="H133" s="8">
        <f>'[1]ERF_best_aggregates_1750-2024'!AE234</f>
        <v>-1.3929827288441441</v>
      </c>
      <c r="I133" s="1">
        <v>340.45172000000002</v>
      </c>
      <c r="L133">
        <v>1982</v>
      </c>
      <c r="M133">
        <v>341.48</v>
      </c>
      <c r="N133">
        <v>0.12</v>
      </c>
      <c r="Q133">
        <f t="shared" si="23"/>
        <v>201.56330826800001</v>
      </c>
      <c r="R133">
        <v>-37.625295129999998</v>
      </c>
      <c r="T133">
        <v>20.78180322</v>
      </c>
      <c r="V133">
        <f t="shared" si="24"/>
        <v>24.584660154106924</v>
      </c>
      <c r="Z133">
        <v>28.96</v>
      </c>
      <c r="AH133">
        <f t="shared" si="21"/>
        <v>203.56681664199999</v>
      </c>
      <c r="AI133">
        <v>44.092007000000002</v>
      </c>
      <c r="AJ133">
        <v>9.473809653</v>
      </c>
    </row>
    <row r="134" spans="1:36" x14ac:dyDescent="0.2">
      <c r="A134" s="7">
        <v>1983</v>
      </c>
      <c r="B134">
        <v>0.22084606000000001</v>
      </c>
      <c r="C134" s="1">
        <f>'[1]ERF_best_aggregates_1750-2024'!AA235</f>
        <v>416.20126337392054</v>
      </c>
      <c r="D134" s="1">
        <f t="shared" si="22"/>
        <v>43.255134000000005</v>
      </c>
      <c r="E134">
        <v>1.7762304999999992E-2</v>
      </c>
      <c r="F134" s="1">
        <v>235.26142899999999</v>
      </c>
      <c r="G134" s="1">
        <v>25.639737</v>
      </c>
      <c r="H134" s="8">
        <f>'[1]ERF_best_aggregates_1750-2024'!AE235</f>
        <v>-1.3100576362162559</v>
      </c>
      <c r="I134" s="1">
        <v>340.45254499999999</v>
      </c>
      <c r="L134">
        <v>1983</v>
      </c>
      <c r="M134">
        <v>343.15</v>
      </c>
      <c r="N134">
        <v>0.12</v>
      </c>
      <c r="Q134">
        <f t="shared" si="23"/>
        <v>168.57674815799999</v>
      </c>
      <c r="R134">
        <v>-70.611855239999997</v>
      </c>
      <c r="T134">
        <v>19.856876759999999</v>
      </c>
      <c r="V134">
        <f t="shared" si="24"/>
        <v>23.6356633716746</v>
      </c>
      <c r="Z134">
        <v>48.222000000000001</v>
      </c>
      <c r="AH134">
        <f t="shared" si="21"/>
        <v>196.16604964199999</v>
      </c>
      <c r="AI134">
        <v>36.691240000000001</v>
      </c>
      <c r="AJ134">
        <v>14.205246000000001</v>
      </c>
    </row>
    <row r="135" spans="1:36" x14ac:dyDescent="0.2">
      <c r="A135" s="7">
        <v>1984</v>
      </c>
      <c r="B135">
        <v>4.6037830000000002E-2</v>
      </c>
      <c r="C135" s="1">
        <f>'[1]ERF_best_aggregates_1750-2024'!AA236</f>
        <v>420.32840052800032</v>
      </c>
      <c r="D135" s="1">
        <f t="shared" si="22"/>
        <v>25.451477999999998</v>
      </c>
      <c r="E135">
        <v>1.6992838E-2</v>
      </c>
      <c r="F135" s="1">
        <v>235.10500400000001</v>
      </c>
      <c r="G135" s="1">
        <v>25.283626999999999</v>
      </c>
      <c r="H135" s="8">
        <f>'[1]ERF_best_aggregates_1750-2024'!AE236</f>
        <v>-1.337500507792033</v>
      </c>
      <c r="I135" s="1">
        <v>340.350525</v>
      </c>
      <c r="L135">
        <v>1984</v>
      </c>
      <c r="M135">
        <v>344.87</v>
      </c>
      <c r="N135">
        <v>0.12</v>
      </c>
      <c r="Q135">
        <f t="shared" si="23"/>
        <v>187.64710321799998</v>
      </c>
      <c r="R135">
        <v>-51.54150018</v>
      </c>
      <c r="T135">
        <v>21.267560660000001</v>
      </c>
      <c r="V135">
        <f t="shared" si="24"/>
        <v>24.741151650550989</v>
      </c>
      <c r="Z135">
        <v>28.373999999999999</v>
      </c>
      <c r="AH135">
        <f t="shared" si="21"/>
        <v>210.22691964199998</v>
      </c>
      <c r="AI135">
        <v>50.752110000000002</v>
      </c>
      <c r="AJ135">
        <v>32.294300389999997</v>
      </c>
    </row>
    <row r="136" spans="1:36" x14ac:dyDescent="0.2">
      <c r="A136" s="7">
        <v>1985</v>
      </c>
      <c r="B136">
        <v>4.5988216999999998E-2</v>
      </c>
      <c r="C136" s="1">
        <f>'[1]ERF_best_aggregates_1750-2024'!AA237</f>
        <v>424.08753214676881</v>
      </c>
      <c r="D136" s="1">
        <f t="shared" si="22"/>
        <v>12.705107999999999</v>
      </c>
      <c r="E136">
        <v>1.6537193499999998E-2</v>
      </c>
      <c r="F136" s="1">
        <v>238.012641</v>
      </c>
      <c r="G136" s="1">
        <v>25.716422999999999</v>
      </c>
      <c r="H136" s="8">
        <f>'[1]ERF_best_aggregates_1750-2024'!AE237</f>
        <v>-1.350305153736771</v>
      </c>
      <c r="I136" s="1">
        <v>340.31393500000001</v>
      </c>
      <c r="L136">
        <v>1985</v>
      </c>
      <c r="M136">
        <v>346.35</v>
      </c>
      <c r="N136">
        <v>0.12</v>
      </c>
      <c r="Q136">
        <f t="shared" si="23"/>
        <v>224.75698334800001</v>
      </c>
      <c r="R136">
        <v>-14.431620049999999</v>
      </c>
      <c r="T136">
        <v>19.972459539999999</v>
      </c>
      <c r="V136">
        <f t="shared" si="24"/>
        <v>23.753583793938741</v>
      </c>
      <c r="Z136">
        <v>14.164</v>
      </c>
      <c r="AH136">
        <f t="shared" si="21"/>
        <v>220.14607964199999</v>
      </c>
      <c r="AI136">
        <v>60.67127</v>
      </c>
      <c r="AJ136">
        <v>26.224787160000002</v>
      </c>
    </row>
    <row r="137" spans="1:36" x14ac:dyDescent="0.2">
      <c r="A137" s="7">
        <v>1986</v>
      </c>
      <c r="B137">
        <v>9.2321009999999995E-2</v>
      </c>
      <c r="C137" s="1">
        <f>'[1]ERF_best_aggregates_1750-2024'!AA238</f>
        <v>428.261029750131</v>
      </c>
      <c r="D137" s="1">
        <f t="shared" si="22"/>
        <v>14.297283</v>
      </c>
      <c r="E137">
        <v>1.6175331250000001E-2</v>
      </c>
      <c r="F137" s="1">
        <v>246.14991000000001</v>
      </c>
      <c r="G137" s="1">
        <v>25.471305000000001</v>
      </c>
      <c r="H137" s="8">
        <f>'[1]ERF_best_aggregates_1750-2024'!AE238</f>
        <v>-1.3520386179790691</v>
      </c>
      <c r="I137" s="1">
        <v>340.31542999999999</v>
      </c>
      <c r="L137">
        <v>1986</v>
      </c>
      <c r="M137">
        <v>347.61</v>
      </c>
      <c r="N137">
        <v>0.12</v>
      </c>
      <c r="Q137">
        <f t="shared" si="23"/>
        <v>193.31666823800001</v>
      </c>
      <c r="R137">
        <v>-45.87193516</v>
      </c>
      <c r="T137">
        <v>19.670890839999998</v>
      </c>
      <c r="V137">
        <f t="shared" si="24"/>
        <v>23.433753242704253</v>
      </c>
      <c r="Z137">
        <v>15.939</v>
      </c>
      <c r="AH137">
        <f t="shared" si="21"/>
        <v>230.80403964199999</v>
      </c>
      <c r="AI137">
        <v>71.329229999999995</v>
      </c>
      <c r="AJ137">
        <v>13.811029680000001</v>
      </c>
    </row>
    <row r="138" spans="1:36" x14ac:dyDescent="0.2">
      <c r="A138" s="7">
        <v>1987</v>
      </c>
      <c r="B138">
        <v>0.23820166000000001</v>
      </c>
      <c r="C138" s="1">
        <f>'[1]ERF_best_aggregates_1750-2024'!AA239</f>
        <v>432.74879554129774</v>
      </c>
      <c r="D138" s="1">
        <f t="shared" si="22"/>
        <v>9.7019520000000004</v>
      </c>
      <c r="E138">
        <v>1.5366890000000008E-2</v>
      </c>
      <c r="F138" s="1">
        <v>252.45115200000001</v>
      </c>
      <c r="G138" s="1">
        <v>24.145945000000001</v>
      </c>
      <c r="H138" s="8">
        <f>'[1]ERF_best_aggregates_1750-2024'!AE239</f>
        <v>-1.3933681404040179</v>
      </c>
      <c r="I138" s="1">
        <v>340.34912000000003</v>
      </c>
      <c r="L138">
        <v>1987</v>
      </c>
      <c r="M138">
        <v>349.31</v>
      </c>
      <c r="N138">
        <v>0.12</v>
      </c>
      <c r="Q138">
        <f t="shared" si="23"/>
        <v>159.299278128</v>
      </c>
      <c r="R138">
        <v>-79.889325270000001</v>
      </c>
      <c r="T138">
        <v>16.996485459999999</v>
      </c>
      <c r="V138">
        <f t="shared" si="24"/>
        <v>20.847953927849794</v>
      </c>
      <c r="Z138">
        <v>10.816000000000001</v>
      </c>
      <c r="AH138">
        <f t="shared" si="21"/>
        <v>220.880956642</v>
      </c>
      <c r="AI138">
        <v>61.406146999999997</v>
      </c>
      <c r="AJ138">
        <v>15.746564579999999</v>
      </c>
    </row>
    <row r="139" spans="1:36" x14ac:dyDescent="0.2">
      <c r="A139" s="7">
        <v>1988</v>
      </c>
      <c r="B139">
        <v>0.27761187999999998</v>
      </c>
      <c r="C139" s="1">
        <f>'[1]ERF_best_aggregates_1750-2024'!AA240</f>
        <v>438.45708023531921</v>
      </c>
      <c r="D139" s="1">
        <f t="shared" si="22"/>
        <v>7.1096219999999999</v>
      </c>
      <c r="E139">
        <v>1.7482004999999995E-2</v>
      </c>
      <c r="F139" s="1">
        <v>260.93967600000002</v>
      </c>
      <c r="G139" s="1">
        <v>24.556968000000001</v>
      </c>
      <c r="H139" s="8">
        <f>'[1]ERF_best_aggregates_1750-2024'!AE240</f>
        <v>-1.4007633204605949</v>
      </c>
      <c r="I139" s="1">
        <v>340.42562750000002</v>
      </c>
      <c r="L139">
        <v>1988</v>
      </c>
      <c r="M139">
        <v>351.69</v>
      </c>
      <c r="N139">
        <v>0.12</v>
      </c>
      <c r="Q139">
        <f t="shared" si="23"/>
        <v>183.523783208</v>
      </c>
      <c r="R139">
        <v>-55.66482019</v>
      </c>
      <c r="T139">
        <v>18.93379118</v>
      </c>
      <c r="V139">
        <f t="shared" si="24"/>
        <v>22.56655972420479</v>
      </c>
      <c r="Z139">
        <v>7.9260000000000002</v>
      </c>
      <c r="AH139">
        <f t="shared" si="21"/>
        <v>226.98277464199998</v>
      </c>
      <c r="AI139">
        <v>67.507964999999999</v>
      </c>
      <c r="AJ139">
        <v>16.130304420000002</v>
      </c>
    </row>
    <row r="140" spans="1:36" x14ac:dyDescent="0.2">
      <c r="A140" s="7">
        <v>1989</v>
      </c>
      <c r="B140">
        <v>0.17489623000000001</v>
      </c>
      <c r="C140" s="1">
        <f>'[1]ERF_best_aggregates_1750-2024'!AA241</f>
        <v>442.54918553537169</v>
      </c>
      <c r="D140" s="1">
        <f t="shared" si="22"/>
        <v>5.383794</v>
      </c>
      <c r="E140">
        <v>1.7683965000000003E-2</v>
      </c>
      <c r="F140" s="1">
        <v>270.28614099999999</v>
      </c>
      <c r="G140" s="1">
        <v>26.405666</v>
      </c>
      <c r="H140" s="8">
        <f>'[1]ERF_best_aggregates_1750-2024'!AE241</f>
        <v>-1.3841313513878828</v>
      </c>
      <c r="I140" s="1">
        <v>340.55029250000001</v>
      </c>
      <c r="L140">
        <v>1989</v>
      </c>
      <c r="M140">
        <v>353.2</v>
      </c>
      <c r="N140">
        <v>0.12</v>
      </c>
      <c r="Q140">
        <f t="shared" si="23"/>
        <v>190.224178228</v>
      </c>
      <c r="R140">
        <v>-48.964425169999998</v>
      </c>
      <c r="T140">
        <v>20.23412132</v>
      </c>
      <c r="V140">
        <f t="shared" si="24"/>
        <v>24.160597360544866</v>
      </c>
      <c r="Z140">
        <v>6.0019999999999998</v>
      </c>
      <c r="AH140">
        <f t="shared" si="21"/>
        <v>224.23901964200002</v>
      </c>
      <c r="AI140">
        <v>64.764210000000006</v>
      </c>
      <c r="AJ140">
        <v>18.036156299999998</v>
      </c>
    </row>
    <row r="141" spans="1:36" x14ac:dyDescent="0.2">
      <c r="A141" s="7">
        <v>1990</v>
      </c>
      <c r="B141">
        <v>0.35504322999999999</v>
      </c>
      <c r="C141" s="1">
        <f>'[1]ERF_best_aggregates_1750-2024'!AA242</f>
        <v>446.03989840931564</v>
      </c>
      <c r="D141" s="1">
        <f t="shared" si="22"/>
        <v>5.7013319999999998</v>
      </c>
      <c r="E141">
        <v>1.7601674999999997E-2</v>
      </c>
      <c r="F141" s="1">
        <v>275.88284199999998</v>
      </c>
      <c r="G141" s="1">
        <v>24.162634000000001</v>
      </c>
      <c r="H141" s="8">
        <f>'[1]ERF_best_aggregates_1750-2024'!AE242</f>
        <v>-1.399406554003604</v>
      </c>
      <c r="I141" s="1">
        <v>340.53</v>
      </c>
      <c r="L141">
        <v>1990</v>
      </c>
      <c r="M141">
        <v>354.45</v>
      </c>
      <c r="N141">
        <v>0.12</v>
      </c>
      <c r="Q141">
        <f t="shared" si="23"/>
        <v>174.24631317799998</v>
      </c>
      <c r="R141">
        <v>-64.942290220000004</v>
      </c>
      <c r="T141">
        <v>18.705286900000001</v>
      </c>
      <c r="V141">
        <f t="shared" si="24"/>
        <v>22.267599297315385</v>
      </c>
      <c r="Z141">
        <v>6.3559999999999999</v>
      </c>
      <c r="AH141">
        <f t="shared" si="21"/>
        <v>221.607621642</v>
      </c>
      <c r="AI141">
        <v>62.132812000000001</v>
      </c>
      <c r="AJ141">
        <v>18.856047440000001</v>
      </c>
    </row>
    <row r="142" spans="1:36" x14ac:dyDescent="0.2">
      <c r="A142" s="7">
        <v>1991</v>
      </c>
      <c r="B142">
        <v>0.33380959999999998</v>
      </c>
      <c r="C142" s="1">
        <f>'[1]ERF_best_aggregates_1750-2024'!AA243</f>
        <v>452.02318325565517</v>
      </c>
      <c r="D142" s="1">
        <f t="shared" si="22"/>
        <v>44.859867000000001</v>
      </c>
      <c r="E142">
        <v>1.7801807499999989E-2</v>
      </c>
      <c r="F142" s="1">
        <v>276.58821499999999</v>
      </c>
      <c r="G142" s="1">
        <v>25.433071000000002</v>
      </c>
      <c r="H142" s="8">
        <f>'[1]ERF_best_aggregates_1750-2024'!AE243</f>
        <v>-1.488891380945067</v>
      </c>
      <c r="I142" s="1">
        <v>340.50311249999999</v>
      </c>
      <c r="L142">
        <v>1991</v>
      </c>
      <c r="M142">
        <v>355.7</v>
      </c>
      <c r="N142">
        <v>0.12</v>
      </c>
      <c r="Q142">
        <f t="shared" si="23"/>
        <v>209.80994829799999</v>
      </c>
      <c r="R142">
        <v>-29.3786551</v>
      </c>
      <c r="T142">
        <v>19.648979279999999</v>
      </c>
      <c r="V142">
        <f t="shared" si="24"/>
        <v>23.40497087946553</v>
      </c>
      <c r="Z142">
        <v>50.011000000000003</v>
      </c>
      <c r="AH142">
        <f t="shared" si="21"/>
        <v>245.13570964199999</v>
      </c>
      <c r="AI142">
        <v>85.660899999999998</v>
      </c>
      <c r="AJ142">
        <v>16.490279409999999</v>
      </c>
    </row>
    <row r="143" spans="1:36" x14ac:dyDescent="0.2">
      <c r="A143" s="7">
        <v>1992</v>
      </c>
      <c r="B143">
        <v>0.12002607999999999</v>
      </c>
      <c r="C143" s="1">
        <f>'[1]ERF_best_aggregates_1750-2024'!AA244</f>
        <v>451.44806693560332</v>
      </c>
      <c r="D143" s="1">
        <f t="shared" si="22"/>
        <v>100.847019</v>
      </c>
      <c r="E143">
        <v>1.6781300000000002E-2</v>
      </c>
      <c r="F143" s="1">
        <v>279.07423299999999</v>
      </c>
      <c r="G143" s="1">
        <v>28.731781000000002</v>
      </c>
      <c r="H143" s="8">
        <f>'[1]ERF_best_aggregates_1750-2024'!AE244</f>
        <v>-1.333023317632821</v>
      </c>
      <c r="I143" s="1">
        <v>340.47033750000003</v>
      </c>
      <c r="L143">
        <v>1992</v>
      </c>
      <c r="M143">
        <v>356.54</v>
      </c>
      <c r="N143">
        <v>0.12</v>
      </c>
      <c r="Q143">
        <f t="shared" si="23"/>
        <v>198.47081825800001</v>
      </c>
      <c r="R143">
        <v>-40.717785139999997</v>
      </c>
      <c r="T143">
        <v>18.832030759999999</v>
      </c>
      <c r="V143">
        <f t="shared" si="24"/>
        <v>23.685949261188085</v>
      </c>
      <c r="Z143">
        <v>112.42700000000001</v>
      </c>
      <c r="AD143">
        <v>-200.625</v>
      </c>
      <c r="AE143">
        <v>16.95485017</v>
      </c>
      <c r="AH143">
        <f t="shared" si="21"/>
        <v>244.34034964199998</v>
      </c>
      <c r="AI143">
        <v>84.865539999999996</v>
      </c>
      <c r="AJ143">
        <v>8.9916839789999994</v>
      </c>
    </row>
    <row r="144" spans="1:36" x14ac:dyDescent="0.2">
      <c r="A144" s="7">
        <v>1993</v>
      </c>
      <c r="B144">
        <v>0.16109135999999999</v>
      </c>
      <c r="C144" s="1">
        <f>'[1]ERF_best_aggregates_1750-2024'!AA245</f>
        <v>453.81361413472285</v>
      </c>
      <c r="D144" s="1">
        <f t="shared" si="22"/>
        <v>50.434722000000001</v>
      </c>
      <c r="E144">
        <v>1.9168385000000003E-2</v>
      </c>
      <c r="F144" s="1">
        <v>282.20069100000001</v>
      </c>
      <c r="G144" s="1">
        <v>23.850376000000001</v>
      </c>
      <c r="H144" s="8">
        <f>'[1]ERF_best_aggregates_1750-2024'!AE245</f>
        <v>-1.3406699729970182</v>
      </c>
      <c r="I144" s="1">
        <v>340.403595</v>
      </c>
      <c r="L144">
        <v>1993</v>
      </c>
      <c r="M144">
        <v>357.21</v>
      </c>
      <c r="N144">
        <v>0.12</v>
      </c>
      <c r="Q144">
        <f t="shared" si="23"/>
        <v>201.047893268</v>
      </c>
      <c r="R144">
        <v>-38.140710130000002</v>
      </c>
      <c r="T144">
        <v>16.53970533</v>
      </c>
      <c r="V144">
        <f t="shared" si="24"/>
        <v>20.390487027988677</v>
      </c>
      <c r="Z144">
        <v>56.225999999999999</v>
      </c>
      <c r="AD144">
        <v>-205.97499999999999</v>
      </c>
      <c r="AE144">
        <v>14.9689911</v>
      </c>
      <c r="AH144">
        <f t="shared" si="21"/>
        <v>258.94570364200001</v>
      </c>
      <c r="AI144">
        <v>99.470894000000001</v>
      </c>
      <c r="AJ144">
        <v>12.26503016</v>
      </c>
    </row>
    <row r="145" spans="1:36" x14ac:dyDescent="0.2">
      <c r="A145" s="7">
        <v>1994</v>
      </c>
      <c r="B145">
        <v>0.22744027</v>
      </c>
      <c r="C145" s="1">
        <f>'[1]ERF_best_aggregates_1750-2024'!AA246</f>
        <v>458.52618878166015</v>
      </c>
      <c r="D145" s="1">
        <f t="shared" si="22"/>
        <v>16.094871000000001</v>
      </c>
      <c r="E145">
        <v>1.8191189999999996E-2</v>
      </c>
      <c r="F145" s="1">
        <v>286.932726</v>
      </c>
      <c r="G145" s="1">
        <v>23.981631</v>
      </c>
      <c r="H145" s="8">
        <f>'[1]ERF_best_aggregates_1750-2024'!AE246</f>
        <v>-1.397986705784201</v>
      </c>
      <c r="I145" s="1">
        <v>340.34893749999998</v>
      </c>
      <c r="L145">
        <v>1994</v>
      </c>
      <c r="M145">
        <v>358.96</v>
      </c>
      <c r="N145">
        <v>0.12</v>
      </c>
      <c r="Q145">
        <f t="shared" si="23"/>
        <v>199.50164825799999</v>
      </c>
      <c r="R145">
        <v>-39.686955140000002</v>
      </c>
      <c r="T145">
        <v>16.676448149999999</v>
      </c>
      <c r="V145">
        <f t="shared" si="24"/>
        <v>20.539804752107035</v>
      </c>
      <c r="Z145">
        <v>17.943000000000001</v>
      </c>
      <c r="AD145">
        <v>-180.94166670000001</v>
      </c>
      <c r="AE145">
        <v>14.16111166</v>
      </c>
      <c r="AH145">
        <f t="shared" si="21"/>
        <v>265.77335464200002</v>
      </c>
      <c r="AI145">
        <v>106.298545</v>
      </c>
      <c r="AJ145">
        <v>10.59186087</v>
      </c>
    </row>
    <row r="146" spans="1:36" x14ac:dyDescent="0.2">
      <c r="A146" s="7">
        <v>1995</v>
      </c>
      <c r="B146">
        <v>0.37113267</v>
      </c>
      <c r="C146" s="1">
        <f>'[1]ERF_best_aggregates_1750-2024'!AA247</f>
        <v>461.14860588717909</v>
      </c>
      <c r="D146" s="1">
        <f t="shared" si="22"/>
        <v>7.8308100000000005</v>
      </c>
      <c r="E146">
        <v>1.6589597500000011E-2</v>
      </c>
      <c r="F146" s="1">
        <v>296.39127000000002</v>
      </c>
      <c r="G146" s="1">
        <v>25.697914999999998</v>
      </c>
      <c r="H146" s="8">
        <f>'[1]ERF_best_aggregates_1750-2024'!AE247</f>
        <v>-1.327211560151653</v>
      </c>
      <c r="I146" s="1">
        <v>340.32781999999997</v>
      </c>
      <c r="L146">
        <v>1995</v>
      </c>
      <c r="M146">
        <v>360.97</v>
      </c>
      <c r="N146">
        <v>0.12</v>
      </c>
      <c r="Q146">
        <f t="shared" si="23"/>
        <v>168.061333158</v>
      </c>
      <c r="R146">
        <v>-71.127270240000001</v>
      </c>
      <c r="T146">
        <v>16.02333329</v>
      </c>
      <c r="V146">
        <f t="shared" si="24"/>
        <v>20.538814925872146</v>
      </c>
      <c r="Z146">
        <v>8.73</v>
      </c>
      <c r="AD146">
        <v>-178.8583333</v>
      </c>
      <c r="AE146">
        <v>13.839845349999999</v>
      </c>
      <c r="AH146">
        <f t="shared" si="21"/>
        <v>250.518959642</v>
      </c>
      <c r="AI146">
        <v>91.044150000000002</v>
      </c>
      <c r="AJ146">
        <v>15.09878468</v>
      </c>
    </row>
    <row r="147" spans="1:36" x14ac:dyDescent="0.2">
      <c r="A147" s="7">
        <v>1996</v>
      </c>
      <c r="B147">
        <v>0.27083950000000001</v>
      </c>
      <c r="C147" s="1">
        <f>'[1]ERF_best_aggregates_1750-2024'!AA248</f>
        <v>463.84246491627749</v>
      </c>
      <c r="D147" s="1">
        <f t="shared" si="22"/>
        <v>5.0079510000000003</v>
      </c>
      <c r="E147">
        <v>1.6127012500000003E-2</v>
      </c>
      <c r="F147" s="1">
        <v>312.10352399999999</v>
      </c>
      <c r="G147" s="1">
        <v>25.636693000000001</v>
      </c>
      <c r="H147" s="8">
        <f>'[1]ERF_best_aggregates_1750-2024'!AE248</f>
        <v>-1.2894381097211369</v>
      </c>
      <c r="I147" s="1">
        <v>340.30877750000002</v>
      </c>
      <c r="L147">
        <v>1996</v>
      </c>
      <c r="M147">
        <v>362.74</v>
      </c>
      <c r="N147">
        <v>0.12</v>
      </c>
      <c r="Q147">
        <f t="shared" si="23"/>
        <v>214.44868331800001</v>
      </c>
      <c r="R147">
        <v>-24.739920080000001</v>
      </c>
      <c r="T147">
        <v>17.065556019999999</v>
      </c>
      <c r="V147">
        <f t="shared" si="24"/>
        <v>21.343458231172857</v>
      </c>
      <c r="Z147">
        <v>5.5830000000000002</v>
      </c>
      <c r="AD147">
        <v>-155.02500000000001</v>
      </c>
      <c r="AE147">
        <v>14.45696439</v>
      </c>
      <c r="AH147">
        <f t="shared" si="21"/>
        <v>279.46238964200001</v>
      </c>
      <c r="AI147">
        <v>119.98757999999999</v>
      </c>
      <c r="AJ147">
        <v>13.267318830000001</v>
      </c>
    </row>
    <row r="148" spans="1:36" x14ac:dyDescent="0.2">
      <c r="A148" s="7">
        <v>1997</v>
      </c>
      <c r="B148">
        <v>0.41507134000000001</v>
      </c>
      <c r="C148" s="1">
        <f>'[1]ERF_best_aggregates_1750-2024'!AA249</f>
        <v>469.84687572705957</v>
      </c>
      <c r="D148" s="1">
        <f t="shared" si="22"/>
        <v>4.0634100000000002</v>
      </c>
      <c r="E148">
        <v>1.6238032499999999E-2</v>
      </c>
      <c r="F148" s="1">
        <v>325.80344100000002</v>
      </c>
      <c r="G148" s="1">
        <v>25.646369</v>
      </c>
      <c r="H148" s="8">
        <f>'[1]ERF_best_aggregates_1750-2024'!AE249</f>
        <v>-1.427269297626597</v>
      </c>
      <c r="I148" s="1">
        <v>340.33929499999999</v>
      </c>
      <c r="L148">
        <v>1997</v>
      </c>
      <c r="M148">
        <v>363.88</v>
      </c>
      <c r="N148">
        <v>0.12</v>
      </c>
      <c r="Q148">
        <f t="shared" si="23"/>
        <v>205.17121327799998</v>
      </c>
      <c r="R148">
        <v>-34.017390120000002</v>
      </c>
      <c r="T148">
        <v>16.533776029999999</v>
      </c>
      <c r="V148">
        <f t="shared" si="24"/>
        <v>20.923666278433203</v>
      </c>
      <c r="Z148">
        <v>4.53</v>
      </c>
      <c r="AC148">
        <f>AVERAGE(F$143:F$147)-AVERAGE(AD$143:AD$147)+AD148</f>
        <v>310.60048879999999</v>
      </c>
      <c r="AD148">
        <v>-165.02500000000001</v>
      </c>
      <c r="AE148">
        <v>14.642048470000001</v>
      </c>
      <c r="AH148">
        <f t="shared" si="21"/>
        <v>276.00174964199999</v>
      </c>
      <c r="AI148">
        <v>116.52694</v>
      </c>
      <c r="AJ148">
        <v>1.139890997</v>
      </c>
    </row>
    <row r="149" spans="1:36" x14ac:dyDescent="0.2">
      <c r="A149" s="7">
        <v>1998</v>
      </c>
      <c r="B149">
        <v>0.57196100000000005</v>
      </c>
      <c r="C149" s="1">
        <f>'[1]ERF_best_aggregates_1750-2024'!AA250</f>
        <v>473.58751227911722</v>
      </c>
      <c r="D149" s="1">
        <f t="shared" si="22"/>
        <v>3.9674309999999999</v>
      </c>
      <c r="E149">
        <v>1.6523115000000005E-2</v>
      </c>
      <c r="F149" s="1">
        <v>334.27249399999999</v>
      </c>
      <c r="G149" s="1">
        <v>26.810634</v>
      </c>
      <c r="H149" s="8">
        <f>'[1]ERF_best_aggregates_1750-2024'!AE250</f>
        <v>-1.4063952154572241</v>
      </c>
      <c r="I149" s="1">
        <v>340.42562750000002</v>
      </c>
      <c r="L149">
        <v>1998</v>
      </c>
      <c r="M149">
        <v>366.84</v>
      </c>
      <c r="N149">
        <v>0.12</v>
      </c>
      <c r="Q149">
        <f t="shared" si="23"/>
        <v>242.79650841099999</v>
      </c>
      <c r="R149">
        <v>3.6079050129999999</v>
      </c>
      <c r="T149">
        <v>16.519291370000001</v>
      </c>
      <c r="V149">
        <f t="shared" si="24"/>
        <v>21.27415124599441</v>
      </c>
      <c r="Z149">
        <v>4.423</v>
      </c>
      <c r="AC149">
        <f t="shared" ref="AC149:AC174" si="25">AVERAGE(F$143:F$147)-AVERAGE(AD$143:AD$147)+AD149</f>
        <v>328.09215549999999</v>
      </c>
      <c r="AD149">
        <v>-147.53333330000001</v>
      </c>
      <c r="AE149">
        <v>13.828460489999999</v>
      </c>
      <c r="AH149">
        <f t="shared" si="21"/>
        <v>276.81549464199998</v>
      </c>
      <c r="AI149">
        <v>117.34068499999999</v>
      </c>
      <c r="AJ149">
        <v>13.38367227</v>
      </c>
    </row>
    <row r="150" spans="1:36" x14ac:dyDescent="0.2">
      <c r="A150" s="7">
        <v>1999</v>
      </c>
      <c r="B150">
        <v>0.31803779999999998</v>
      </c>
      <c r="C150" s="1">
        <f>'[1]ERF_best_aggregates_1750-2024'!AA251</f>
        <v>474.87862286726227</v>
      </c>
      <c r="D150" s="1">
        <f t="shared" si="22"/>
        <v>3.8122500000000001</v>
      </c>
      <c r="E150">
        <v>1.6307562499999997E-2</v>
      </c>
      <c r="F150" s="1">
        <v>341.25048800000002</v>
      </c>
      <c r="G150" s="1">
        <v>23.972168</v>
      </c>
      <c r="H150" s="8">
        <f>'[1]ERF_best_aggregates_1750-2024'!AE251</f>
        <v>-1.266361784590152</v>
      </c>
      <c r="I150" s="1">
        <v>340.49328500000001</v>
      </c>
      <c r="L150">
        <v>1999</v>
      </c>
      <c r="M150">
        <v>368.54</v>
      </c>
      <c r="N150">
        <v>0.12</v>
      </c>
      <c r="Q150">
        <f t="shared" si="23"/>
        <v>257.22812845800001</v>
      </c>
      <c r="R150">
        <v>18.039525059999999</v>
      </c>
      <c r="T150">
        <v>17.527894839999998</v>
      </c>
      <c r="V150">
        <f t="shared" si="24"/>
        <v>21.234248448606667</v>
      </c>
      <c r="Z150">
        <v>4.25</v>
      </c>
      <c r="AC150">
        <f t="shared" si="25"/>
        <v>349.08382210000002</v>
      </c>
      <c r="AD150">
        <v>-126.54166669999999</v>
      </c>
      <c r="AE150">
        <v>14.391235399999999</v>
      </c>
      <c r="AH150">
        <f t="shared" si="21"/>
        <v>294.79282964200002</v>
      </c>
      <c r="AI150">
        <v>135.31801999999999</v>
      </c>
      <c r="AJ150">
        <v>5.0071676199999997</v>
      </c>
    </row>
    <row r="151" spans="1:36" ht="17" x14ac:dyDescent="0.25">
      <c r="A151" s="7">
        <v>2000</v>
      </c>
      <c r="B151">
        <v>0.32550883000000003</v>
      </c>
      <c r="C151" s="1">
        <f>'[1]ERF_best_aggregates_1750-2024'!AA252</f>
        <v>476.28731612005026</v>
      </c>
      <c r="D151" s="1">
        <f t="shared" si="22"/>
        <v>3.8032800000000004</v>
      </c>
      <c r="E151">
        <v>1.6370007500000006E-2</v>
      </c>
      <c r="F151" s="1">
        <v>348.03345200000001</v>
      </c>
      <c r="G151" s="1">
        <v>25.699831</v>
      </c>
      <c r="H151" s="8">
        <f>'[1]ERF_best_aggregates_1750-2024'!AE252</f>
        <v>-1.2185728306065819</v>
      </c>
      <c r="I151" s="1">
        <v>340.56341500000002</v>
      </c>
      <c r="K151" s="4">
        <f>C151/M151</f>
        <v>1.2882727438263781</v>
      </c>
      <c r="L151">
        <v>2000</v>
      </c>
      <c r="M151">
        <v>369.71</v>
      </c>
      <c r="N151">
        <v>0.12</v>
      </c>
      <c r="P151">
        <f>AVERAGE(F$141:F$150)-AVERAGE(R$141:R$150)+R151</f>
        <v>338.31449702769999</v>
      </c>
      <c r="Q151">
        <f t="shared" si="23"/>
        <v>244.34275341599999</v>
      </c>
      <c r="R151">
        <v>5.1541500180000002</v>
      </c>
      <c r="T151">
        <v>18.661094510000002</v>
      </c>
      <c r="V151">
        <f t="shared" si="24"/>
        <v>22.657377974255812</v>
      </c>
      <c r="Z151">
        <v>4.24</v>
      </c>
      <c r="AC151">
        <f t="shared" si="25"/>
        <v>348.09215550000005</v>
      </c>
      <c r="AD151">
        <v>-127.5333333</v>
      </c>
      <c r="AE151">
        <v>13.958592660000001</v>
      </c>
      <c r="AH151">
        <f t="shared" si="21"/>
        <v>289.16194964199997</v>
      </c>
      <c r="AI151">
        <v>129.68714</v>
      </c>
      <c r="AJ151">
        <v>10.76895873</v>
      </c>
    </row>
    <row r="152" spans="1:36" ht="17" x14ac:dyDescent="0.25">
      <c r="A152" s="7">
        <v>2001</v>
      </c>
      <c r="B152">
        <v>0.48345043999999998</v>
      </c>
      <c r="C152" s="1">
        <f>'[1]ERF_best_aggregates_1750-2024'!AA253</f>
        <v>479.13414090810284</v>
      </c>
      <c r="D152" s="1">
        <f t="shared" si="22"/>
        <v>3.9459029999999999</v>
      </c>
      <c r="E152">
        <v>1.6896537499999989E-2</v>
      </c>
      <c r="F152" s="1">
        <v>351.257723</v>
      </c>
      <c r="G152" s="1">
        <v>24.638421000000001</v>
      </c>
      <c r="H152" s="8">
        <f>'[1]ERF_best_aggregates_1750-2024'!AE253</f>
        <v>-1.219097419821153</v>
      </c>
      <c r="I152" s="1">
        <v>340.520355</v>
      </c>
      <c r="K152" s="4">
        <f t="shared" ref="K152:K176" si="26">C152/M152</f>
        <v>1.2903537135303857</v>
      </c>
      <c r="L152">
        <v>2001</v>
      </c>
      <c r="M152">
        <v>371.32</v>
      </c>
      <c r="N152">
        <v>0.12</v>
      </c>
      <c r="P152">
        <f t="shared" ref="P152:P174" si="27">AVERAGE(F$141:F$150)-AVERAGE(R$141:R$150)+R152</f>
        <v>317.1824819597</v>
      </c>
      <c r="Q152">
        <f t="shared" si="23"/>
        <v>223.21073834800001</v>
      </c>
      <c r="R152">
        <v>-15.97786505</v>
      </c>
      <c r="T152">
        <v>20.20225654</v>
      </c>
      <c r="V152">
        <f t="shared" si="24"/>
        <v>23.662081832570927</v>
      </c>
      <c r="Z152">
        <v>4.399</v>
      </c>
      <c r="AC152">
        <f t="shared" si="25"/>
        <v>352.81715550000001</v>
      </c>
      <c r="AD152">
        <v>-122.8083333</v>
      </c>
      <c r="AE152">
        <v>13.13606478</v>
      </c>
      <c r="AH152">
        <f t="shared" si="21"/>
        <v>292.83292964200001</v>
      </c>
      <c r="AI152">
        <v>133.35812000000001</v>
      </c>
      <c r="AJ152">
        <v>4.5425842010000004</v>
      </c>
    </row>
    <row r="153" spans="1:36" ht="17" x14ac:dyDescent="0.25">
      <c r="A153" s="7">
        <v>2002</v>
      </c>
      <c r="B153">
        <v>0.53715889999999999</v>
      </c>
      <c r="C153" s="1">
        <f>'[1]ERF_best_aggregates_1750-2024'!AA254</f>
        <v>483.77365134266751</v>
      </c>
      <c r="D153" s="1">
        <f t="shared" si="22"/>
        <v>3.7467690000000005</v>
      </c>
      <c r="E153">
        <v>1.5111949999999985E-2</v>
      </c>
      <c r="F153" s="1">
        <v>357.03792900000002</v>
      </c>
      <c r="G153" s="1">
        <v>24.003786999999999</v>
      </c>
      <c r="H153" s="8">
        <f>'[1]ERF_best_aggregates_1750-2024'!AE254</f>
        <v>-1.3026849226945019</v>
      </c>
      <c r="I153" s="1">
        <v>340.54763750000001</v>
      </c>
      <c r="K153" s="4">
        <f t="shared" si="26"/>
        <v>1.2954174624251373</v>
      </c>
      <c r="L153">
        <v>2002</v>
      </c>
      <c r="M153">
        <v>373.45</v>
      </c>
      <c r="N153">
        <v>0.12</v>
      </c>
      <c r="P153">
        <f t="shared" si="27"/>
        <v>333.67576201169999</v>
      </c>
      <c r="Q153">
        <f t="shared" si="23"/>
        <v>239.7040184</v>
      </c>
      <c r="R153">
        <v>0.51541500200000001</v>
      </c>
      <c r="T153">
        <v>19.964940429999999</v>
      </c>
      <c r="V153">
        <f t="shared" si="24"/>
        <v>23.294726741449249</v>
      </c>
      <c r="Z153">
        <v>4.1770000000000005</v>
      </c>
      <c r="AC153">
        <f t="shared" si="25"/>
        <v>384.45048880000002</v>
      </c>
      <c r="AD153">
        <v>-91.174999999999997</v>
      </c>
      <c r="AE153">
        <v>12.04758217</v>
      </c>
      <c r="AH153">
        <f t="shared" si="21"/>
        <v>325.02395964200002</v>
      </c>
      <c r="AI153">
        <v>165.54915</v>
      </c>
      <c r="AJ153">
        <v>2.9457492919999999</v>
      </c>
    </row>
    <row r="154" spans="1:36" ht="17" x14ac:dyDescent="0.25">
      <c r="A154" s="7">
        <v>2003</v>
      </c>
      <c r="B154">
        <v>0.53827950000000002</v>
      </c>
      <c r="C154" s="1">
        <f>'[1]ERF_best_aggregates_1750-2024'!AA255</f>
        <v>488.17484498285535</v>
      </c>
      <c r="D154" s="1">
        <f t="shared" si="22"/>
        <v>4.4473259999999994</v>
      </c>
      <c r="E154">
        <v>1.6733572500000016E-2</v>
      </c>
      <c r="F154" s="1">
        <v>367.89013499999999</v>
      </c>
      <c r="G154" s="1">
        <v>25.470210999999999</v>
      </c>
      <c r="H154" s="8">
        <f>'[1]ERF_best_aggregates_1750-2024'!AE255</f>
        <v>-1.3429950280265368</v>
      </c>
      <c r="I154" s="1">
        <v>340.42266749999999</v>
      </c>
      <c r="K154" s="4">
        <f t="shared" si="26"/>
        <v>1.2984064178489689</v>
      </c>
      <c r="L154">
        <v>2003</v>
      </c>
      <c r="M154">
        <v>375.98</v>
      </c>
      <c r="N154">
        <v>0.12</v>
      </c>
      <c r="P154">
        <f t="shared" si="27"/>
        <v>390.3714122097</v>
      </c>
      <c r="Q154">
        <f t="shared" si="23"/>
        <v>296.39966859800001</v>
      </c>
      <c r="R154">
        <v>57.2110652</v>
      </c>
      <c r="T154">
        <v>14.70267327</v>
      </c>
      <c r="V154">
        <f t="shared" si="24"/>
        <v>19.451259943265956</v>
      </c>
      <c r="Z154">
        <v>4.9579999999999993</v>
      </c>
      <c r="AC154">
        <f t="shared" si="25"/>
        <v>415.80048880000004</v>
      </c>
      <c r="AD154">
        <v>-59.825000000000003</v>
      </c>
      <c r="AE154">
        <v>10.555893729999999</v>
      </c>
      <c r="AH154">
        <f t="shared" si="21"/>
        <v>352.76191964200001</v>
      </c>
      <c r="AI154">
        <v>193.28711000000001</v>
      </c>
      <c r="AJ154">
        <v>6.1500139779999996</v>
      </c>
    </row>
    <row r="155" spans="1:36" ht="17" x14ac:dyDescent="0.25">
      <c r="A155" s="7">
        <v>2004</v>
      </c>
      <c r="B155">
        <v>0.46242514000000001</v>
      </c>
      <c r="C155" s="1">
        <f>'[1]ERF_best_aggregates_1750-2024'!AA256</f>
        <v>492.20507204726249</v>
      </c>
      <c r="D155" s="1">
        <f t="shared" si="22"/>
        <v>3.9781949999999999</v>
      </c>
      <c r="E155">
        <v>1.518427E-2</v>
      </c>
      <c r="F155" s="1">
        <v>378.32559400000002</v>
      </c>
      <c r="G155" s="1">
        <v>26.016722999999999</v>
      </c>
      <c r="H155" s="8">
        <f>'[1]ERF_best_aggregates_1750-2024'!AE256</f>
        <v>-1.3455906312846668</v>
      </c>
      <c r="I155" s="1">
        <v>340.36764499999998</v>
      </c>
      <c r="K155" s="4">
        <f t="shared" si="26"/>
        <v>1.3031640774351667</v>
      </c>
      <c r="L155">
        <v>2004</v>
      </c>
      <c r="M155">
        <v>377.7</v>
      </c>
      <c r="N155">
        <v>0.12</v>
      </c>
      <c r="P155">
        <f t="shared" si="27"/>
        <v>418.20382229969999</v>
      </c>
      <c r="Q155">
        <f t="shared" si="23"/>
        <v>324.232078688</v>
      </c>
      <c r="R155">
        <v>85.043475290000003</v>
      </c>
      <c r="T155">
        <v>9.8804069220000006</v>
      </c>
      <c r="V155">
        <f t="shared" si="24"/>
        <v>16.335235225088979</v>
      </c>
      <c r="Z155">
        <v>4.4349999999999996</v>
      </c>
      <c r="AC155">
        <f t="shared" si="25"/>
        <v>412.80882213000001</v>
      </c>
      <c r="AD155">
        <v>-62.816666669999996</v>
      </c>
      <c r="AE155">
        <v>8.1851618800000008</v>
      </c>
      <c r="AH155">
        <f t="shared" si="21"/>
        <v>352.595069642</v>
      </c>
      <c r="AI155">
        <v>193.12026</v>
      </c>
      <c r="AJ155">
        <v>6.064072983</v>
      </c>
    </row>
    <row r="156" spans="1:36" ht="17" x14ac:dyDescent="0.25">
      <c r="A156" s="7">
        <v>2005</v>
      </c>
      <c r="B156">
        <v>0.60230726000000001</v>
      </c>
      <c r="C156" s="1">
        <f>'[1]ERF_best_aggregates_1750-2024'!AA257</f>
        <v>496.09742408768659</v>
      </c>
      <c r="D156" s="1">
        <f t="shared" si="22"/>
        <v>5.4923310000000001</v>
      </c>
      <c r="E156">
        <v>1.5619224999999987E-2</v>
      </c>
      <c r="F156" s="1">
        <v>385.509615</v>
      </c>
      <c r="G156" s="1">
        <v>25.435932999999999</v>
      </c>
      <c r="H156" s="8">
        <f>'[1]ERF_best_aggregates_1750-2024'!AE257</f>
        <v>-1.3894978516574059</v>
      </c>
      <c r="I156" s="1">
        <v>340.31561249999999</v>
      </c>
      <c r="K156" s="4">
        <f t="shared" si="26"/>
        <v>1.3055882522440301</v>
      </c>
      <c r="L156">
        <v>2005</v>
      </c>
      <c r="M156">
        <v>379.98</v>
      </c>
      <c r="N156">
        <v>0.12</v>
      </c>
      <c r="P156">
        <f t="shared" si="27"/>
        <v>416.65757729969999</v>
      </c>
      <c r="Q156">
        <f t="shared" si="23"/>
        <v>322.685833688</v>
      </c>
      <c r="R156">
        <v>83.497230290000005</v>
      </c>
      <c r="T156">
        <v>6.7722654740000001</v>
      </c>
      <c r="V156">
        <f t="shared" si="24"/>
        <v>14.408686669695287</v>
      </c>
      <c r="Z156">
        <v>6.1230000000000002</v>
      </c>
      <c r="AC156">
        <f t="shared" si="25"/>
        <v>417.22548880000005</v>
      </c>
      <c r="AD156">
        <v>-58.4</v>
      </c>
      <c r="AE156">
        <v>6.612393666</v>
      </c>
      <c r="AH156">
        <f t="shared" si="21"/>
        <v>352.85905964200003</v>
      </c>
      <c r="AI156">
        <v>193.38425000000001</v>
      </c>
      <c r="AJ156">
        <v>12.91313523</v>
      </c>
    </row>
    <row r="157" spans="1:36" ht="17" x14ac:dyDescent="0.25">
      <c r="A157" s="7">
        <v>2006</v>
      </c>
      <c r="B157">
        <v>0.56632439999999995</v>
      </c>
      <c r="C157" s="1">
        <f>'[1]ERF_best_aggregates_1750-2024'!AA258</f>
        <v>500.10751794474987</v>
      </c>
      <c r="D157" s="1">
        <f t="shared" si="22"/>
        <v>6.549894000000001</v>
      </c>
      <c r="E157">
        <v>1.5654622499999993E-2</v>
      </c>
      <c r="F157" s="1">
        <v>389.38556799999998</v>
      </c>
      <c r="G157" s="1">
        <v>25.604416000000001</v>
      </c>
      <c r="H157" s="8">
        <f>'[1]ERF_best_aggregates_1750-2024'!AE258</f>
        <v>-1.414187573323018</v>
      </c>
      <c r="I157" s="1">
        <v>340.30896000000001</v>
      </c>
      <c r="K157" s="4">
        <f t="shared" si="26"/>
        <v>1.3088736107847625</v>
      </c>
      <c r="L157">
        <v>2006</v>
      </c>
      <c r="M157">
        <v>382.09</v>
      </c>
      <c r="N157">
        <v>0.12</v>
      </c>
      <c r="P157">
        <f t="shared" si="27"/>
        <v>441.39749740970001</v>
      </c>
      <c r="Q157">
        <f t="shared" si="23"/>
        <v>347.42575379800002</v>
      </c>
      <c r="R157">
        <v>108.2371504</v>
      </c>
      <c r="T157">
        <v>5.362326028</v>
      </c>
      <c r="V157">
        <f t="shared" si="24"/>
        <v>13.879880046521667</v>
      </c>
      <c r="Z157">
        <v>7.3020000000000005</v>
      </c>
      <c r="AC157">
        <f t="shared" si="25"/>
        <v>437.68382213000001</v>
      </c>
      <c r="AD157">
        <v>-37.941666669999996</v>
      </c>
      <c r="AE157">
        <v>6.8631159909999999</v>
      </c>
      <c r="AH157">
        <f t="shared" si="21"/>
        <v>364.44105964200003</v>
      </c>
      <c r="AI157">
        <v>204.96625</v>
      </c>
      <c r="AJ157">
        <v>10.656393899999999</v>
      </c>
    </row>
    <row r="158" spans="1:36" ht="17" x14ac:dyDescent="0.25">
      <c r="A158" s="7">
        <v>2007</v>
      </c>
      <c r="B158">
        <v>0.58551410000000004</v>
      </c>
      <c r="C158" s="1">
        <f>'[1]ERF_best_aggregates_1750-2024'!AA259</f>
        <v>504.01606944438277</v>
      </c>
      <c r="D158" s="1">
        <f t="shared" si="22"/>
        <v>7.0450379999999999</v>
      </c>
      <c r="E158">
        <v>1.5970814999999999E-2</v>
      </c>
      <c r="F158" s="1">
        <v>391.97981600000003</v>
      </c>
      <c r="G158" s="1">
        <v>23.583463999999999</v>
      </c>
      <c r="H158" s="8">
        <f>'[1]ERF_best_aggregates_1750-2024'!AE259</f>
        <v>-1.386606197387426</v>
      </c>
      <c r="I158" s="1">
        <v>340.292145</v>
      </c>
      <c r="K158" s="4">
        <f t="shared" si="26"/>
        <v>1.3124734895171679</v>
      </c>
      <c r="L158">
        <v>2007</v>
      </c>
      <c r="M158">
        <v>384.02</v>
      </c>
      <c r="N158">
        <v>0.12</v>
      </c>
      <c r="P158">
        <f t="shared" si="27"/>
        <v>426.96587732969999</v>
      </c>
      <c r="Q158">
        <f t="shared" si="23"/>
        <v>332.994133718</v>
      </c>
      <c r="R158">
        <v>93.805530320000003</v>
      </c>
      <c r="T158">
        <v>4.5942890240000001</v>
      </c>
      <c r="V158">
        <f t="shared" si="24"/>
        <v>12.655134736377596</v>
      </c>
      <c r="Z158">
        <v>7.8540000000000001</v>
      </c>
      <c r="AC158">
        <f t="shared" si="25"/>
        <v>430.60048880000005</v>
      </c>
      <c r="AD158">
        <v>-45.024999999999999</v>
      </c>
      <c r="AE158">
        <v>5.6842130309999996</v>
      </c>
      <c r="AH158">
        <f t="shared" si="21"/>
        <v>363.06484964200001</v>
      </c>
      <c r="AI158">
        <v>203.59003999999999</v>
      </c>
      <c r="AJ158">
        <v>7.9951068200000002</v>
      </c>
    </row>
    <row r="159" spans="1:36" ht="17" x14ac:dyDescent="0.25">
      <c r="A159" s="7">
        <v>2008</v>
      </c>
      <c r="B159">
        <v>0.45918967999999999</v>
      </c>
      <c r="C159" s="1">
        <f>'[1]ERF_best_aggregates_1750-2024'!AA260</f>
        <v>506.9381477015927</v>
      </c>
      <c r="D159" s="1">
        <f t="shared" si="22"/>
        <v>6.0520590000000007</v>
      </c>
      <c r="E159">
        <v>1.6234189999999996E-2</v>
      </c>
      <c r="F159" s="1">
        <v>395.58442400000001</v>
      </c>
      <c r="G159" s="1">
        <v>26.338853</v>
      </c>
      <c r="H159" s="8">
        <f>'[1]ERF_best_aggregates_1750-2024'!AE260</f>
        <v>-1.331247406330218</v>
      </c>
      <c r="I159" s="1">
        <v>340.299195</v>
      </c>
      <c r="K159" s="4">
        <f t="shared" si="26"/>
        <v>1.3138899196578615</v>
      </c>
      <c r="L159">
        <v>2008</v>
      </c>
      <c r="M159">
        <v>385.83</v>
      </c>
      <c r="N159">
        <v>0.12</v>
      </c>
      <c r="P159">
        <f t="shared" si="27"/>
        <v>435.72793240969997</v>
      </c>
      <c r="Q159">
        <f t="shared" si="23"/>
        <v>341.75618879799998</v>
      </c>
      <c r="R159">
        <v>102.5675854</v>
      </c>
      <c r="T159">
        <v>4.1637643009999996</v>
      </c>
      <c r="V159">
        <f t="shared" si="24"/>
        <v>13.81197768218528</v>
      </c>
      <c r="Z159">
        <v>6.7470000000000008</v>
      </c>
      <c r="AC159">
        <f t="shared" si="25"/>
        <v>450.08382213000004</v>
      </c>
      <c r="AD159">
        <v>-25.541666670000001</v>
      </c>
      <c r="AE159">
        <v>4.9112965019999999</v>
      </c>
      <c r="AH159">
        <f t="shared" si="21"/>
        <v>377.12247964200003</v>
      </c>
      <c r="AI159">
        <v>217.64767000000001</v>
      </c>
      <c r="AJ159">
        <v>7.7225743409999996</v>
      </c>
    </row>
    <row r="160" spans="1:36" ht="17" x14ac:dyDescent="0.25">
      <c r="A160" s="7">
        <v>2009</v>
      </c>
      <c r="B160">
        <v>0.59000766000000004</v>
      </c>
      <c r="C160" s="1">
        <f>'[1]ERF_best_aggregates_1750-2024'!AA261</f>
        <v>508.43352468790721</v>
      </c>
      <c r="D160" s="1">
        <f t="shared" si="22"/>
        <v>7.2791550000000003</v>
      </c>
      <c r="E160">
        <v>1.543288750000002E-2</v>
      </c>
      <c r="F160" s="1">
        <v>399.40767099999999</v>
      </c>
      <c r="G160" s="1">
        <v>25.861284999999999</v>
      </c>
      <c r="H160" s="8">
        <f>'[1]ERF_best_aggregates_1750-2024'!AE261</f>
        <v>-1.253298696242451</v>
      </c>
      <c r="I160" s="1">
        <v>340.29775999999998</v>
      </c>
      <c r="K160" s="4">
        <f t="shared" si="26"/>
        <v>1.3116126423689691</v>
      </c>
      <c r="L160">
        <v>2009</v>
      </c>
      <c r="M160">
        <v>387.64</v>
      </c>
      <c r="N160">
        <v>0.12</v>
      </c>
      <c r="P160">
        <f t="shared" si="27"/>
        <v>442.42832740969999</v>
      </c>
      <c r="Q160">
        <f t="shared" si="23"/>
        <v>348.456583798</v>
      </c>
      <c r="R160">
        <v>109.2679804</v>
      </c>
      <c r="T160">
        <v>3.8002227849999999</v>
      </c>
      <c r="V160">
        <f t="shared" si="24"/>
        <v>13.477507509863958</v>
      </c>
      <c r="Z160">
        <v>8.1150000000000002</v>
      </c>
      <c r="AC160">
        <f t="shared" si="25"/>
        <v>456.83382213000004</v>
      </c>
      <c r="AD160">
        <v>-18.791666670000001</v>
      </c>
      <c r="AE160">
        <v>4.3323416330000004</v>
      </c>
      <c r="AH160">
        <f t="shared" si="21"/>
        <v>388.31403964200001</v>
      </c>
      <c r="AI160">
        <v>228.83922999999999</v>
      </c>
      <c r="AJ160">
        <v>4.6484783189999996</v>
      </c>
    </row>
    <row r="161" spans="1:36" ht="17" x14ac:dyDescent="0.25">
      <c r="A161" s="7">
        <v>2010</v>
      </c>
      <c r="B161">
        <v>0.67364745999999998</v>
      </c>
      <c r="C161" s="1">
        <f>'[1]ERF_best_aggregates_1750-2024'!AA262</f>
        <v>513.93214541436362</v>
      </c>
      <c r="D161" s="1">
        <f t="shared" si="22"/>
        <v>5.8601009999999993</v>
      </c>
      <c r="E161">
        <v>1.5316107499999981E-2</v>
      </c>
      <c r="F161" s="1">
        <v>403.10555199999999</v>
      </c>
      <c r="G161" s="1">
        <v>26.677226999999998</v>
      </c>
      <c r="H161" s="8">
        <f>'[1]ERF_best_aggregates_1750-2024'!AE262</f>
        <v>-1.2697975434997579</v>
      </c>
      <c r="I161" s="1">
        <v>340.3349</v>
      </c>
      <c r="K161" s="4">
        <f t="shared" si="26"/>
        <v>1.3174369274913191</v>
      </c>
      <c r="L161">
        <v>2010</v>
      </c>
      <c r="M161">
        <v>390.1</v>
      </c>
      <c r="N161">
        <v>0.12</v>
      </c>
      <c r="P161">
        <f t="shared" si="27"/>
        <v>455.82911740969996</v>
      </c>
      <c r="Q161">
        <f t="shared" si="23"/>
        <v>361.85737379800003</v>
      </c>
      <c r="R161">
        <v>122.6687704</v>
      </c>
      <c r="T161">
        <v>3.860682653</v>
      </c>
      <c r="V161">
        <f t="shared" si="24"/>
        <v>13.886089465704782</v>
      </c>
      <c r="Z161">
        <v>6.5329999999999995</v>
      </c>
      <c r="AC161">
        <f t="shared" si="25"/>
        <v>457.97548880000005</v>
      </c>
      <c r="AD161">
        <v>-17.649999999999999</v>
      </c>
      <c r="AE161">
        <v>3.37411511</v>
      </c>
      <c r="AH161">
        <f t="shared" si="21"/>
        <v>387.169049642</v>
      </c>
      <c r="AI161">
        <v>227.69424000000001</v>
      </c>
      <c r="AJ161">
        <v>5.640024264</v>
      </c>
    </row>
    <row r="162" spans="1:36" ht="17" x14ac:dyDescent="0.25">
      <c r="A162" s="7">
        <v>2011</v>
      </c>
      <c r="B162">
        <v>0.53261703000000005</v>
      </c>
      <c r="C162" s="1">
        <f>'[1]ERF_best_aggregates_1750-2024'!AA263</f>
        <v>517.16328929144686</v>
      </c>
      <c r="D162" s="1">
        <f t="shared" si="22"/>
        <v>7.7626379999999999</v>
      </c>
      <c r="E162">
        <v>1.5460147499999993E-2</v>
      </c>
      <c r="F162" s="1">
        <v>409.976023</v>
      </c>
      <c r="G162" s="1">
        <v>26.216131000000001</v>
      </c>
      <c r="H162" s="8">
        <f>'[1]ERF_best_aggregates_1750-2024'!AE263</f>
        <v>-1.2567855143097211</v>
      </c>
      <c r="I162" s="1">
        <v>340.4016125</v>
      </c>
      <c r="K162" s="4">
        <f t="shared" si="26"/>
        <v>1.3197991305128156</v>
      </c>
      <c r="L162">
        <v>2011</v>
      </c>
      <c r="M162">
        <v>391.85</v>
      </c>
      <c r="N162">
        <v>0.12</v>
      </c>
      <c r="P162">
        <f t="shared" si="27"/>
        <v>469.22990750969996</v>
      </c>
      <c r="Q162">
        <f t="shared" si="23"/>
        <v>375.25816389800002</v>
      </c>
      <c r="R162">
        <v>136.06956049999999</v>
      </c>
      <c r="T162">
        <v>3.856497289</v>
      </c>
      <c r="V162">
        <f t="shared" si="24"/>
        <v>13.663599543764249</v>
      </c>
      <c r="Z162">
        <v>8.6539999999999999</v>
      </c>
      <c r="AC162">
        <f t="shared" si="25"/>
        <v>476.46715546700005</v>
      </c>
      <c r="AD162">
        <v>0.84166666700000003</v>
      </c>
      <c r="AE162">
        <v>2.5074195459999999</v>
      </c>
      <c r="AH162">
        <f t="shared" si="21"/>
        <v>396.99643964199998</v>
      </c>
      <c r="AI162">
        <v>237.52162999999999</v>
      </c>
      <c r="AJ162">
        <v>4.8976616829999999</v>
      </c>
    </row>
    <row r="163" spans="1:36" ht="17" x14ac:dyDescent="0.25">
      <c r="A163" s="7">
        <v>2012</v>
      </c>
      <c r="B163">
        <v>0.57151169999999996</v>
      </c>
      <c r="C163" s="1">
        <f>'[1]ERF_best_aggregates_1750-2024'!AA264</f>
        <v>521.43280974282084</v>
      </c>
      <c r="D163" s="1">
        <f t="shared" si="22"/>
        <v>5.9650499999999997</v>
      </c>
      <c r="E163">
        <v>1.5849427500000013E-2</v>
      </c>
      <c r="F163" s="1">
        <v>417.51569899999998</v>
      </c>
      <c r="G163" s="1">
        <v>23.723237000000001</v>
      </c>
      <c r="H163" s="8">
        <f>'[1]ERF_best_aggregates_1750-2024'!AE264</f>
        <v>-1.279149650917802</v>
      </c>
      <c r="I163" s="1">
        <v>340.4420475</v>
      </c>
      <c r="K163" s="4">
        <f t="shared" si="26"/>
        <v>1.3232320198518521</v>
      </c>
      <c r="L163">
        <v>2012</v>
      </c>
      <c r="M163">
        <v>394.06</v>
      </c>
      <c r="N163">
        <v>0.12</v>
      </c>
      <c r="P163">
        <f t="shared" si="27"/>
        <v>476.44571750969999</v>
      </c>
      <c r="Q163">
        <f t="shared" si="23"/>
        <v>382.473973898</v>
      </c>
      <c r="R163">
        <v>143.2853705</v>
      </c>
      <c r="T163">
        <v>3.591267164</v>
      </c>
      <c r="V163">
        <f t="shared" si="24"/>
        <v>12.393352786182069</v>
      </c>
      <c r="Z163">
        <v>6.6499999999999995</v>
      </c>
      <c r="AC163">
        <f t="shared" si="25"/>
        <v>490.84215547000002</v>
      </c>
      <c r="AD163">
        <v>15.21666667</v>
      </c>
      <c r="AE163">
        <v>2.0066080070000001</v>
      </c>
      <c r="AH163">
        <f t="shared" si="21"/>
        <v>405.42650964199998</v>
      </c>
      <c r="AI163">
        <v>245.95169999999999</v>
      </c>
      <c r="AJ163">
        <v>5.5475901849999998</v>
      </c>
    </row>
    <row r="164" spans="1:36" ht="17" x14ac:dyDescent="0.25">
      <c r="A164" s="7">
        <v>2013</v>
      </c>
      <c r="B164">
        <v>0.61864330000000001</v>
      </c>
      <c r="C164" s="1">
        <f>'[1]ERF_best_aggregates_1750-2024'!AA265</f>
        <v>524.77833136197432</v>
      </c>
      <c r="D164" s="1">
        <f t="shared" si="22"/>
        <v>4.8267570000000006</v>
      </c>
      <c r="E164">
        <v>1.7741740000000006E-2</v>
      </c>
      <c r="F164" s="1">
        <v>425.15174400000001</v>
      </c>
      <c r="G164" s="1">
        <v>24.557424999999999</v>
      </c>
      <c r="H164" s="8">
        <f>'[1]ERF_best_aggregates_1750-2024'!AE265</f>
        <v>-1.1998676410488021</v>
      </c>
      <c r="I164" s="1">
        <v>340.45324749999997</v>
      </c>
      <c r="K164" s="4">
        <f t="shared" si="26"/>
        <v>1.322726045677205</v>
      </c>
      <c r="L164">
        <v>2013</v>
      </c>
      <c r="M164">
        <v>396.74</v>
      </c>
      <c r="N164">
        <v>0.12</v>
      </c>
      <c r="P164">
        <f t="shared" si="27"/>
        <v>505.30895760969997</v>
      </c>
      <c r="Q164">
        <f t="shared" si="23"/>
        <v>411.33721399800004</v>
      </c>
      <c r="R164">
        <v>172.14861060000001</v>
      </c>
      <c r="T164">
        <v>3.2408642620000001</v>
      </c>
      <c r="V164">
        <f t="shared" si="24"/>
        <v>12.69921185831487</v>
      </c>
      <c r="Z164">
        <v>5.3810000000000002</v>
      </c>
      <c r="AC164">
        <f t="shared" si="25"/>
        <v>503.82548880000002</v>
      </c>
      <c r="AD164">
        <v>28.2</v>
      </c>
      <c r="AE164">
        <v>1.9123365939999999</v>
      </c>
      <c r="AH164">
        <f t="shared" si="21"/>
        <v>428.98097964199997</v>
      </c>
      <c r="AI164">
        <v>269.50617</v>
      </c>
      <c r="AJ164">
        <v>3.6450849129999998</v>
      </c>
    </row>
    <row r="165" spans="1:36" ht="17" x14ac:dyDescent="0.25">
      <c r="A165" s="7">
        <v>2014</v>
      </c>
      <c r="B165">
        <v>0.66785910000000004</v>
      </c>
      <c r="C165" s="1">
        <f>'[1]ERF_best_aggregates_1750-2024'!AA266</f>
        <v>529.37379732994873</v>
      </c>
      <c r="D165" s="1">
        <f t="shared" si="22"/>
        <v>5.9462130000000002</v>
      </c>
      <c r="E165">
        <v>1.6245812500000012E-2</v>
      </c>
      <c r="F165" s="1">
        <v>433.95852500000001</v>
      </c>
      <c r="G165" s="1">
        <v>26.02901</v>
      </c>
      <c r="H165" s="8">
        <f>'[1]ERF_best_aggregates_1750-2024'!AE266</f>
        <v>-1.2080958180737449</v>
      </c>
      <c r="I165" s="1">
        <v>340.47216750000001</v>
      </c>
      <c r="K165" s="4">
        <f t="shared" si="26"/>
        <v>1.3273834591157412</v>
      </c>
      <c r="L165">
        <v>2014</v>
      </c>
      <c r="M165">
        <v>398.81</v>
      </c>
      <c r="N165">
        <v>0.12</v>
      </c>
      <c r="P165">
        <f t="shared" si="27"/>
        <v>511.49393760969997</v>
      </c>
      <c r="Q165">
        <f t="shared" si="23"/>
        <v>417.52219399800003</v>
      </c>
      <c r="R165">
        <v>178.33359060000001</v>
      </c>
      <c r="T165">
        <v>3.2416948290000001</v>
      </c>
      <c r="V165">
        <f t="shared" si="24"/>
        <v>13.412155895283588</v>
      </c>
      <c r="Z165">
        <v>6.6290000000000004</v>
      </c>
      <c r="AC165">
        <f t="shared" si="25"/>
        <v>515.73382213000002</v>
      </c>
      <c r="AD165">
        <v>40.108333330000001</v>
      </c>
      <c r="AE165">
        <v>2.8416911040000001</v>
      </c>
      <c r="AH165">
        <f t="shared" si="21"/>
        <v>440.66365964199997</v>
      </c>
      <c r="AI165">
        <v>281.18885</v>
      </c>
      <c r="AJ165">
        <v>5.2610943419999998</v>
      </c>
    </row>
    <row r="166" spans="1:36" ht="17" x14ac:dyDescent="0.25">
      <c r="A166" s="7">
        <v>2015</v>
      </c>
      <c r="B166">
        <v>0.81795050000000002</v>
      </c>
      <c r="C166" s="1">
        <f>'[1]ERF_best_aggregates_1750-2024'!AA267</f>
        <v>534.49744952106346</v>
      </c>
      <c r="D166" s="1">
        <f t="shared" si="22"/>
        <v>7.3177259999999995</v>
      </c>
      <c r="E166">
        <v>1.6828675000000015E-2</v>
      </c>
      <c r="F166" s="1">
        <v>444.16807799999998</v>
      </c>
      <c r="G166" s="1">
        <v>24.026637000000001</v>
      </c>
      <c r="H166" s="8">
        <f>'[1]ERF_best_aggregates_1750-2024'!AE267</f>
        <v>-1.194250878953639</v>
      </c>
      <c r="I166" s="1">
        <v>340.48724249999998</v>
      </c>
      <c r="K166" s="4">
        <f t="shared" si="26"/>
        <v>1.3328781065835353</v>
      </c>
      <c r="L166">
        <v>2015</v>
      </c>
      <c r="M166">
        <v>401.01</v>
      </c>
      <c r="N166">
        <v>0.12</v>
      </c>
      <c r="P166">
        <f t="shared" si="27"/>
        <v>534.68761270970003</v>
      </c>
      <c r="Q166">
        <f t="shared" si="23"/>
        <v>440.71586909799998</v>
      </c>
      <c r="R166">
        <v>201.52726569999999</v>
      </c>
      <c r="T166">
        <v>2.8938401370000002</v>
      </c>
      <c r="V166">
        <f t="shared" si="24"/>
        <v>12.356946715145876</v>
      </c>
      <c r="Z166">
        <v>8.1579999999999995</v>
      </c>
      <c r="AC166">
        <f t="shared" si="25"/>
        <v>535.97548879999999</v>
      </c>
      <c r="AD166">
        <v>60.35</v>
      </c>
      <c r="AE166">
        <v>2.4123812579999999</v>
      </c>
      <c r="AH166">
        <f t="shared" si="21"/>
        <v>459.04325964199995</v>
      </c>
      <c r="AI166">
        <v>299.56844999999998</v>
      </c>
      <c r="AJ166">
        <v>6.4026917839999999</v>
      </c>
    </row>
    <row r="167" spans="1:36" ht="17" x14ac:dyDescent="0.25">
      <c r="A167" s="7">
        <v>2016</v>
      </c>
      <c r="B167">
        <v>0.92481922999999999</v>
      </c>
      <c r="C167" s="1">
        <f>'[1]ERF_best_aggregates_1750-2024'!AA268</f>
        <v>538.31072170186565</v>
      </c>
      <c r="D167" s="1">
        <f t="shared" si="22"/>
        <v>6.2915580000000002</v>
      </c>
      <c r="E167">
        <v>1.5637399999999996E-2</v>
      </c>
      <c r="F167" s="1">
        <v>453.15947499999999</v>
      </c>
      <c r="G167" s="1">
        <v>24.026688</v>
      </c>
      <c r="H167" s="8">
        <f>'[1]ERF_best_aggregates_1750-2024'!AE268</f>
        <v>-1.097099673679971</v>
      </c>
      <c r="I167" s="1">
        <v>340.36621000000002</v>
      </c>
      <c r="K167" s="4">
        <f t="shared" si="26"/>
        <v>1.3311014111962256</v>
      </c>
      <c r="L167">
        <v>2016</v>
      </c>
      <c r="M167">
        <v>404.41</v>
      </c>
      <c r="N167">
        <v>0.12</v>
      </c>
      <c r="P167">
        <f t="shared" si="27"/>
        <v>525.41014270970004</v>
      </c>
      <c r="Q167">
        <f t="shared" si="23"/>
        <v>431.43839909799999</v>
      </c>
      <c r="R167">
        <v>192.24979569999999</v>
      </c>
      <c r="T167">
        <v>2.8613594359999999</v>
      </c>
      <c r="V167">
        <f t="shared" si="24"/>
        <v>12.34940532512891</v>
      </c>
      <c r="Z167">
        <v>7.0140000000000002</v>
      </c>
      <c r="AC167">
        <f t="shared" si="25"/>
        <v>534.73382213000002</v>
      </c>
      <c r="AD167">
        <v>59.108333330000001</v>
      </c>
      <c r="AE167">
        <v>2.3654229419999999</v>
      </c>
      <c r="AH167">
        <f t="shared" si="21"/>
        <v>450.56504964199996</v>
      </c>
      <c r="AI167">
        <v>291.09023999999999</v>
      </c>
      <c r="AJ167">
        <v>6.8973503369999998</v>
      </c>
    </row>
    <row r="168" spans="1:36" ht="17" x14ac:dyDescent="0.25">
      <c r="A168" s="7">
        <v>2017</v>
      </c>
      <c r="B168">
        <v>0.8364568</v>
      </c>
      <c r="C168" s="1">
        <f>'[1]ERF_best_aggregates_1750-2024'!AA269</f>
        <v>542.53442835543467</v>
      </c>
      <c r="D168" s="1">
        <f t="shared" si="22"/>
        <v>5.0877840000000001</v>
      </c>
      <c r="E168">
        <v>1.6015615000000011E-2</v>
      </c>
      <c r="F168" s="1">
        <v>460.30364900000001</v>
      </c>
      <c r="G168" s="1">
        <v>26.532468999999999</v>
      </c>
      <c r="H168" s="8">
        <f>'[1]ERF_best_aggregates_1750-2024'!AE269</f>
        <v>-1.074346956838383</v>
      </c>
      <c r="I168" s="1">
        <v>340.32284499999997</v>
      </c>
      <c r="K168" s="4">
        <f t="shared" si="26"/>
        <v>1.3337949364623727</v>
      </c>
      <c r="L168">
        <v>2017</v>
      </c>
      <c r="M168">
        <v>406.76</v>
      </c>
      <c r="N168">
        <v>0.12</v>
      </c>
      <c r="P168">
        <f t="shared" si="27"/>
        <v>558.39670280969995</v>
      </c>
      <c r="Q168">
        <f t="shared" si="23"/>
        <v>464.42495919800001</v>
      </c>
      <c r="R168">
        <v>225.23635580000001</v>
      </c>
      <c r="T168">
        <v>2.68795487</v>
      </c>
      <c r="V168">
        <f t="shared" si="24"/>
        <v>13.535807297392608</v>
      </c>
      <c r="Z168">
        <v>5.6719999999999997</v>
      </c>
      <c r="AC168">
        <f t="shared" si="25"/>
        <v>564.35048879999999</v>
      </c>
      <c r="AD168">
        <v>88.724999999999994</v>
      </c>
      <c r="AE168">
        <v>2.3142823460000002</v>
      </c>
      <c r="AH168">
        <f t="shared" si="21"/>
        <v>473.09860964200004</v>
      </c>
      <c r="AI168">
        <v>313.62380000000002</v>
      </c>
      <c r="AJ168">
        <v>6.1516981270000004</v>
      </c>
    </row>
    <row r="169" spans="1:36" ht="17" x14ac:dyDescent="0.25">
      <c r="A169" s="7">
        <v>2018</v>
      </c>
      <c r="B169">
        <v>0.75319855999999996</v>
      </c>
      <c r="C169" s="1">
        <f>'[1]ERF_best_aggregates_1750-2024'!AA270</f>
        <v>546.61208740321592</v>
      </c>
      <c r="D169" s="1">
        <f t="shared" si="22"/>
        <v>6.1964760000000005</v>
      </c>
      <c r="E169">
        <v>1.5726574999999993E-2</v>
      </c>
      <c r="F169" s="1">
        <v>463.99002999999999</v>
      </c>
      <c r="G169" s="1">
        <v>24.110208</v>
      </c>
      <c r="H169" s="8">
        <f>'[1]ERF_best_aggregates_1750-2024'!AE270</f>
        <v>-1.056092138155273</v>
      </c>
      <c r="I169" s="1">
        <v>340.31561249999999</v>
      </c>
      <c r="K169" s="4">
        <f t="shared" si="26"/>
        <v>1.3373754340458404</v>
      </c>
      <c r="L169">
        <v>2018</v>
      </c>
      <c r="M169">
        <v>408.72</v>
      </c>
      <c r="N169">
        <v>0.12</v>
      </c>
      <c r="P169">
        <f t="shared" si="27"/>
        <v>564.06626780969998</v>
      </c>
      <c r="Q169">
        <f t="shared" si="23"/>
        <v>470.09452419799999</v>
      </c>
      <c r="R169">
        <v>230.90592079999999</v>
      </c>
      <c r="T169">
        <v>2.6562319570000001</v>
      </c>
      <c r="V169">
        <f t="shared" si="24"/>
        <v>12.344274002962024</v>
      </c>
      <c r="Z169">
        <v>6.9080000000000004</v>
      </c>
      <c r="AC169">
        <f t="shared" si="25"/>
        <v>568.10048879999999</v>
      </c>
      <c r="AD169">
        <v>92.474999999999994</v>
      </c>
      <c r="AE169">
        <v>2.4324663119999999</v>
      </c>
      <c r="AH169">
        <f t="shared" si="21"/>
        <v>483.99970964199997</v>
      </c>
      <c r="AI169">
        <v>324.5249</v>
      </c>
      <c r="AJ169">
        <v>8.1723644659999994</v>
      </c>
    </row>
    <row r="170" spans="1:36" ht="17" x14ac:dyDescent="0.25">
      <c r="A170" s="7">
        <v>2019</v>
      </c>
      <c r="B170">
        <v>0.8873432</v>
      </c>
      <c r="C170" s="1">
        <f>'[1]ERF_best_aggregates_1750-2024'!AA271</f>
        <v>552.76723176220753</v>
      </c>
      <c r="D170" s="1">
        <f t="shared" si="22"/>
        <v>9.5970030000000008</v>
      </c>
      <c r="E170">
        <v>1.6651750000000021E-2</v>
      </c>
      <c r="F170" s="1">
        <f t="array" ref="F170:F174">AC170</f>
        <v>591.15882210000007</v>
      </c>
      <c r="G170" s="1">
        <f>AE170</f>
        <v>2.431809597</v>
      </c>
      <c r="H170" s="8">
        <f>'[1]ERF_best_aggregates_1750-2024'!AE271</f>
        <v>-1.1129193230014369</v>
      </c>
      <c r="I170" s="1">
        <v>340.3138725</v>
      </c>
      <c r="K170" s="4">
        <f t="shared" si="26"/>
        <v>1.3428087738666525</v>
      </c>
      <c r="L170">
        <v>2019</v>
      </c>
      <c r="M170">
        <v>411.65</v>
      </c>
      <c r="N170">
        <v>0.12</v>
      </c>
      <c r="P170">
        <f t="shared" si="27"/>
        <v>577.46705780970001</v>
      </c>
      <c r="Q170">
        <f t="shared" si="23"/>
        <v>483.49531419799996</v>
      </c>
      <c r="R170">
        <v>244.30671079999999</v>
      </c>
      <c r="T170">
        <v>2.914354146</v>
      </c>
      <c r="V170">
        <f t="shared" si="24"/>
        <v>3.1578290908981623</v>
      </c>
      <c r="Z170">
        <v>10.699</v>
      </c>
      <c r="AC170">
        <f t="shared" si="25"/>
        <v>591.15882210000007</v>
      </c>
      <c r="AD170">
        <v>115.5333333</v>
      </c>
      <c r="AE170">
        <v>2.431809597</v>
      </c>
      <c r="AH170">
        <f t="shared" si="21"/>
        <v>500.45917964199998</v>
      </c>
      <c r="AI170">
        <v>340.98437000000001</v>
      </c>
      <c r="AJ170">
        <v>8.5760802460000001</v>
      </c>
    </row>
    <row r="171" spans="1:36" ht="17" x14ac:dyDescent="0.25">
      <c r="A171" s="7">
        <v>2020</v>
      </c>
      <c r="B171">
        <v>0.91624384999999997</v>
      </c>
      <c r="C171" s="1">
        <f>'[1]ERF_best_aggregates_1750-2024'!AA272</f>
        <v>551.56355395835828</v>
      </c>
      <c r="D171" s="1">
        <f t="shared" si="22"/>
        <v>11.077053000000001</v>
      </c>
      <c r="E171">
        <v>1.7094264999999997E-2</v>
      </c>
      <c r="F171" s="1">
        <v>591.15882210000007</v>
      </c>
      <c r="G171" s="1">
        <f t="shared" ref="G171:G174" si="28">AE171</f>
        <v>1.889614342</v>
      </c>
      <c r="H171" s="8">
        <f>'[1]ERF_best_aggregates_1750-2024'!AE272</f>
        <v>-0.95654845608752093</v>
      </c>
      <c r="I171" s="1">
        <v>340.33068750000001</v>
      </c>
      <c r="K171" s="4">
        <f t="shared" si="26"/>
        <v>1.3316036647071734</v>
      </c>
      <c r="L171">
        <v>2020</v>
      </c>
      <c r="M171">
        <v>414.21</v>
      </c>
      <c r="N171">
        <v>0.12</v>
      </c>
      <c r="P171">
        <f t="shared" si="27"/>
        <v>591.89867790969993</v>
      </c>
      <c r="Q171">
        <f t="shared" si="23"/>
        <v>497.92693429799999</v>
      </c>
      <c r="R171">
        <v>258.73833089999999</v>
      </c>
      <c r="T171">
        <v>3.0893101180000002</v>
      </c>
      <c r="V171">
        <f t="shared" si="24"/>
        <v>3.2305568553347266</v>
      </c>
      <c r="Z171">
        <v>12.349</v>
      </c>
      <c r="AC171">
        <f t="shared" si="25"/>
        <v>603.32548880000002</v>
      </c>
      <c r="AD171">
        <v>127.7</v>
      </c>
      <c r="AE171">
        <v>1.889614342</v>
      </c>
      <c r="AH171">
        <f t="shared" si="21"/>
        <v>504.19315964199996</v>
      </c>
      <c r="AI171">
        <v>344.71834999999999</v>
      </c>
      <c r="AJ171">
        <v>8.4388022859999996</v>
      </c>
    </row>
    <row r="172" spans="1:36" ht="17" x14ac:dyDescent="0.25">
      <c r="A172" s="7">
        <v>2021</v>
      </c>
      <c r="B172">
        <v>0.76731269999999996</v>
      </c>
      <c r="C172" s="1">
        <f>'[1]ERF_best_aggregates_1750-2024'!AA273</f>
        <v>558.2729031924265</v>
      </c>
      <c r="D172" s="1">
        <f t="shared" si="22"/>
        <v>8.5116329999999998</v>
      </c>
      <c r="E172">
        <v>1.7463982500000003E-2</v>
      </c>
      <c r="F172" s="1">
        <v>591.15882210000007</v>
      </c>
      <c r="G172" s="1">
        <f t="shared" si="28"/>
        <v>1.863469174</v>
      </c>
      <c r="H172" s="8">
        <f>'[1]ERF_best_aggregates_1750-2024'!AE273</f>
        <v>-1.038740385007576</v>
      </c>
      <c r="I172" s="1">
        <v>340.372345</v>
      </c>
      <c r="K172" s="4">
        <f t="shared" si="26"/>
        <v>1.3406808270512871</v>
      </c>
      <c r="L172">
        <v>2021</v>
      </c>
      <c r="M172">
        <v>416.41</v>
      </c>
      <c r="N172">
        <v>0.12</v>
      </c>
      <c r="P172">
        <f t="shared" si="27"/>
        <v>611.48444800969992</v>
      </c>
      <c r="Q172">
        <f t="shared" si="23"/>
        <v>517.51270439799998</v>
      </c>
      <c r="R172">
        <v>278.32410099999998</v>
      </c>
      <c r="T172">
        <v>3.8638558440000002</v>
      </c>
      <c r="V172">
        <f t="shared" si="24"/>
        <v>3.9746083233225655</v>
      </c>
      <c r="Z172">
        <v>9.488999999999999</v>
      </c>
      <c r="AC172">
        <f t="shared" si="25"/>
        <v>620.80882210000004</v>
      </c>
      <c r="AD172">
        <v>145.18333329999999</v>
      </c>
      <c r="AE172">
        <v>1.863469174</v>
      </c>
      <c r="AH172">
        <f t="shared" si="21"/>
        <v>521.67649294199998</v>
      </c>
      <c r="AI172" s="5">
        <f>AD172-AD$171+AI$171</f>
        <v>362.20168329999996</v>
      </c>
      <c r="AJ172" s="5">
        <f>AJ171</f>
        <v>8.4388022859999996</v>
      </c>
    </row>
    <row r="173" spans="1:36" ht="17" x14ac:dyDescent="0.25">
      <c r="A173" s="7">
        <v>2022</v>
      </c>
      <c r="B173">
        <v>0.80184334999999995</v>
      </c>
      <c r="C173" s="1">
        <f>'[1]ERF_best_aggregates_1750-2024'!AA274</f>
        <v>562.44509570489083</v>
      </c>
      <c r="D173" s="1">
        <f t="shared" si="22"/>
        <v>14.672229</v>
      </c>
      <c r="E173">
        <v>1.8522812499999985E-2</v>
      </c>
      <c r="F173" s="1">
        <v>591.15882210000007</v>
      </c>
      <c r="G173" s="1">
        <f t="shared" si="28"/>
        <v>2.1528606610000001</v>
      </c>
      <c r="H173" s="8">
        <f>'[1]ERF_best_aggregates_1750-2024'!AE274</f>
        <v>-0.92565649901616498</v>
      </c>
      <c r="I173" s="1">
        <v>340.49527</v>
      </c>
      <c r="K173" s="4">
        <f t="shared" si="26"/>
        <v>1.3438584945043148</v>
      </c>
      <c r="L173">
        <v>2022</v>
      </c>
      <c r="M173">
        <v>418.53</v>
      </c>
      <c r="N173">
        <v>0.12</v>
      </c>
      <c r="P173">
        <f t="shared" si="27"/>
        <v>630.55480300969998</v>
      </c>
      <c r="Q173">
        <f t="shared" si="23"/>
        <v>536.58305939799993</v>
      </c>
      <c r="R173">
        <v>297.39445599999999</v>
      </c>
      <c r="T173">
        <v>3.687612713</v>
      </c>
      <c r="V173">
        <f t="shared" si="24"/>
        <v>3.8415087891998323</v>
      </c>
      <c r="Z173">
        <v>16.356999999999999</v>
      </c>
      <c r="AC173">
        <f t="shared" si="25"/>
        <v>641.2338221</v>
      </c>
      <c r="AD173">
        <v>165.6083333</v>
      </c>
      <c r="AE173">
        <v>2.1528606610000001</v>
      </c>
      <c r="AH173">
        <f t="shared" si="21"/>
        <v>542.10149294199994</v>
      </c>
      <c r="AI173" s="5">
        <f t="shared" ref="AI173:AI174" si="29">AD173-AD$171+AI$171</f>
        <v>382.62668329999997</v>
      </c>
      <c r="AJ173" s="5">
        <f t="shared" ref="AJ173:AJ174" si="30">AJ172</f>
        <v>8.4388022859999996</v>
      </c>
    </row>
    <row r="174" spans="1:36" ht="17" x14ac:dyDescent="0.25">
      <c r="A174" s="7">
        <v>2023</v>
      </c>
      <c r="B174">
        <v>1.1098045000000001</v>
      </c>
      <c r="C174" s="1">
        <f>'[1]ERF_best_aggregates_1750-2024'!AA275</f>
        <v>571.20265446718122</v>
      </c>
      <c r="D174" s="1">
        <f t="shared" si="22"/>
        <v>11.176620000000002</v>
      </c>
      <c r="E174">
        <v>1.8480124999999958E-2</v>
      </c>
      <c r="F174" s="1">
        <v>591.15882210000007</v>
      </c>
      <c r="G174" s="1">
        <f t="shared" si="28"/>
        <v>2.7190429279999999</v>
      </c>
      <c r="H174" s="8">
        <f>'[1]ERF_best_aggregates_1750-2024'!AE275</f>
        <v>-1.1308421801144319</v>
      </c>
      <c r="I174" s="1">
        <v>340.61190749999997</v>
      </c>
      <c r="K174" s="4">
        <f t="shared" si="26"/>
        <v>1.3565181306810612</v>
      </c>
      <c r="L174">
        <v>2023</v>
      </c>
      <c r="M174">
        <v>421.08</v>
      </c>
      <c r="N174">
        <v>0.12</v>
      </c>
      <c r="P174">
        <f t="shared" si="27"/>
        <v>645.50183810969997</v>
      </c>
      <c r="Q174">
        <f>AVERAGE(F$121:F$130)-AVERAGE(R$121:R$130)+R174</f>
        <v>551.53009449799993</v>
      </c>
      <c r="R174">
        <v>312.34149109999998</v>
      </c>
      <c r="T174">
        <v>3.7583664040000002</v>
      </c>
      <c r="V174">
        <f t="shared" si="24"/>
        <v>3.9967007190672406</v>
      </c>
      <c r="Z174">
        <v>12.46</v>
      </c>
      <c r="AC174">
        <f t="shared" si="25"/>
        <v>658.65048880000006</v>
      </c>
      <c r="AD174">
        <v>183.02500000000001</v>
      </c>
      <c r="AE174">
        <v>2.7190429279999999</v>
      </c>
      <c r="AH174">
        <f t="shared" si="21"/>
        <v>559.518159642</v>
      </c>
      <c r="AI174" s="5">
        <f t="shared" si="29"/>
        <v>400.04334999999998</v>
      </c>
      <c r="AJ174" s="5">
        <f t="shared" si="30"/>
        <v>8.4388022859999996</v>
      </c>
    </row>
    <row r="175" spans="1:36" ht="17" x14ac:dyDescent="0.25">
      <c r="A175" s="7">
        <v>2024</v>
      </c>
      <c r="B175">
        <v>1.1690052</v>
      </c>
      <c r="C175" s="1">
        <f>'[1]ERF_best_aggregates_1750-2024'!AA276</f>
        <v>577.30186033078667</v>
      </c>
      <c r="D175" s="1">
        <f>Z175*0.897</f>
        <v>11.019645000000001</v>
      </c>
      <c r="E175">
        <v>1.9584975000000004E-2</v>
      </c>
      <c r="F175" s="1">
        <f>AC175</f>
        <v>671.47548879999999</v>
      </c>
      <c r="G175" s="1">
        <f>AE175</f>
        <v>2.679176387</v>
      </c>
      <c r="H175" s="8">
        <f>'[1]ERF_best_aggregates_1750-2024'!AE276</f>
        <v>-1.0662137729991141</v>
      </c>
      <c r="I175" s="1">
        <v>340.64120500000001</v>
      </c>
      <c r="K175" s="4">
        <f t="shared" si="26"/>
        <v>1.3596049559143371</v>
      </c>
      <c r="L175">
        <v>2024</v>
      </c>
      <c r="M175">
        <v>424.61</v>
      </c>
      <c r="N175">
        <v>0.12</v>
      </c>
      <c r="R175">
        <v>325.2268661</v>
      </c>
      <c r="T175">
        <v>3.8373290299999998</v>
      </c>
      <c r="Z175">
        <f>'Extension inputs'!G176</f>
        <v>12.285</v>
      </c>
      <c r="AC175">
        <f>AVERAGE(F$143:F$147)-AVERAGE(AD$143:AD$147)+AD175</f>
        <v>671.47548879999999</v>
      </c>
      <c r="AD175">
        <v>195.85</v>
      </c>
      <c r="AE175">
        <v>2.679176387</v>
      </c>
    </row>
    <row r="176" spans="1:36" ht="17" x14ac:dyDescent="0.25">
      <c r="A176" s="7">
        <v>2025</v>
      </c>
      <c r="B176">
        <v>1.0480304</v>
      </c>
      <c r="C176" s="1">
        <f>K176*M176</f>
        <v>579.33803000995977</v>
      </c>
      <c r="D176" s="1">
        <f>Z176*0.897</f>
        <v>10.581011999999999</v>
      </c>
      <c r="E176">
        <v>1.9697524999999994E-2</v>
      </c>
      <c r="F176" s="1">
        <f>AC176</f>
        <v>695.12548880000008</v>
      </c>
      <c r="G176" s="1">
        <f>AE176</f>
        <v>3.2274242609999999</v>
      </c>
      <c r="H176" s="8">
        <f>SLOPE(H166:H175,A166:A175)*A176+INTERCEPT(H166:H175,A166:A175)</f>
        <v>-1.0030038655847626</v>
      </c>
      <c r="I176" s="1">
        <v>340.6039725</v>
      </c>
      <c r="K176" s="4">
        <f>L176*K$182+L$182</f>
        <v>1.3556523458756518</v>
      </c>
      <c r="L176">
        <v>2025</v>
      </c>
      <c r="M176">
        <v>427.35</v>
      </c>
      <c r="N176">
        <v>0.12</v>
      </c>
      <c r="R176">
        <v>330.38101610000001</v>
      </c>
      <c r="T176">
        <v>7.2251390210000004</v>
      </c>
      <c r="Z176">
        <f>'Extension inputs'!G177</f>
        <v>11.795999999999999</v>
      </c>
      <c r="AC176">
        <f>AVERAGE(F$143:F$147)-AVERAGE(AD$143:AD$147)+AD176</f>
        <v>695.12548880000008</v>
      </c>
      <c r="AD176">
        <v>219.5</v>
      </c>
      <c r="AE176">
        <v>3.2274242609999999</v>
      </c>
    </row>
    <row r="177" spans="2:35" x14ac:dyDescent="0.2">
      <c r="D177" s="3"/>
      <c r="I177">
        <v>0</v>
      </c>
    </row>
    <row r="178" spans="2:35" ht="42.75" customHeight="1" x14ac:dyDescent="0.25">
      <c r="B178" s="6" t="s">
        <v>43</v>
      </c>
      <c r="C178" s="6" t="s">
        <v>44</v>
      </c>
      <c r="D178" s="6" t="s">
        <v>45</v>
      </c>
      <c r="E178" s="6" t="s">
        <v>46</v>
      </c>
      <c r="F178" s="6" t="s">
        <v>47</v>
      </c>
      <c r="G178" s="6" t="s">
        <v>48</v>
      </c>
      <c r="H178" s="6" t="s">
        <v>49</v>
      </c>
      <c r="I178" s="6" t="s">
        <v>50</v>
      </c>
      <c r="K178" s="4">
        <f>L174*K182+L181</f>
        <v>5.243952126683137</v>
      </c>
      <c r="R178" t="s">
        <v>10</v>
      </c>
      <c r="AC178" t="s">
        <v>11</v>
      </c>
      <c r="AI178" t="s">
        <v>12</v>
      </c>
    </row>
    <row r="179" spans="2:35" ht="42.75" customHeight="1" x14ac:dyDescent="0.2">
      <c r="B179" s="6" t="s">
        <v>51</v>
      </c>
      <c r="C179" s="6" t="s">
        <v>52</v>
      </c>
      <c r="D179" s="9" t="s">
        <v>53</v>
      </c>
      <c r="E179" s="6" t="s">
        <v>51</v>
      </c>
      <c r="F179" s="6" t="s">
        <v>54</v>
      </c>
      <c r="G179" s="6" t="s">
        <v>54</v>
      </c>
      <c r="H179" s="6" t="s">
        <v>52</v>
      </c>
      <c r="I179" s="6" t="s">
        <v>55</v>
      </c>
      <c r="Q179" t="s">
        <v>13</v>
      </c>
      <c r="AB179" t="s">
        <v>14</v>
      </c>
    </row>
    <row r="180" spans="2:35" x14ac:dyDescent="0.2">
      <c r="B180" t="s">
        <v>15</v>
      </c>
      <c r="C180" t="s">
        <v>16</v>
      </c>
      <c r="D180" s="2" t="s">
        <v>17</v>
      </c>
      <c r="F180" t="s">
        <v>1</v>
      </c>
      <c r="G180" t="s">
        <v>18</v>
      </c>
      <c r="I180" s="2" t="s">
        <v>19</v>
      </c>
      <c r="R180">
        <f>R171-R148</f>
        <v>292.75572102000001</v>
      </c>
      <c r="AC180">
        <f>AD171-AD148</f>
        <v>292.72500000000002</v>
      </c>
      <c r="AI180">
        <f>AI171-AI148</f>
        <v>228.19140999999999</v>
      </c>
    </row>
    <row r="181" spans="2:35" x14ac:dyDescent="0.2">
      <c r="C181" t="s">
        <v>98</v>
      </c>
      <c r="D181" s="3" t="s">
        <v>20</v>
      </c>
    </row>
    <row r="182" spans="2:35" x14ac:dyDescent="0.2">
      <c r="C182" t="s">
        <v>21</v>
      </c>
      <c r="D182" s="3"/>
      <c r="E182" t="s">
        <v>22</v>
      </c>
      <c r="F182" t="s">
        <v>23</v>
      </c>
      <c r="G182" t="s">
        <v>23</v>
      </c>
      <c r="H182" cm="1">
        <v>2023</v>
      </c>
      <c r="K182" cm="1">
        <f t="array" ref="K182:L182">LINEST(K151:K175,L151:L175)</f>
        <v>2.5921661525868203E-3</v>
      </c>
      <c r="L182">
        <v>-3.8934841131126596</v>
      </c>
    </row>
    <row r="183" spans="2:35" x14ac:dyDescent="0.2">
      <c r="C183">
        <v>2023</v>
      </c>
      <c r="D183" s="3" t="s">
        <v>24</v>
      </c>
      <c r="E183" t="s">
        <v>25</v>
      </c>
      <c r="F183">
        <v>0</v>
      </c>
      <c r="G183" t="s">
        <v>26</v>
      </c>
      <c r="H183" t="s">
        <v>27</v>
      </c>
    </row>
    <row r="184" spans="2:35" x14ac:dyDescent="0.2">
      <c r="C184" t="s">
        <v>28</v>
      </c>
      <c r="D184" s="3" t="s">
        <v>29</v>
      </c>
      <c r="E184">
        <v>0.83735300000000001</v>
      </c>
      <c r="G184">
        <f>AVERAGE(G21:G40)</f>
        <v>50.219410949999997</v>
      </c>
      <c r="H184" cm="1">
        <f t="array" ref="H184:I188">LINEST(H158:H175,A158:A175,TRUE,TRUE)</f>
        <v>2.098735607642474E-2</v>
      </c>
      <c r="I184">
        <v>-43.45765832379314</v>
      </c>
    </row>
    <row r="185" spans="2:35" x14ac:dyDescent="0.2">
      <c r="C185" t="s">
        <v>30</v>
      </c>
      <c r="D185" s="2" t="s">
        <v>31</v>
      </c>
      <c r="E185">
        <v>0.76525765999999995</v>
      </c>
      <c r="F185" t="s">
        <v>32</v>
      </c>
      <c r="G185" t="s">
        <v>32</v>
      </c>
      <c r="H185">
        <v>2.8174217773769064E-3</v>
      </c>
      <c r="I185">
        <v>5.6785324053711816</v>
      </c>
    </row>
    <row r="186" spans="2:35" x14ac:dyDescent="0.2">
      <c r="D186" s="3" t="s">
        <v>33</v>
      </c>
      <c r="E186">
        <f>E184-E185</f>
        <v>7.2095340000000063E-2</v>
      </c>
      <c r="F186" t="s">
        <v>34</v>
      </c>
      <c r="G186" t="s">
        <v>35</v>
      </c>
      <c r="H186">
        <v>0.77619127554326051</v>
      </c>
      <c r="I186">
        <v>6.2015286994485809E-2</v>
      </c>
    </row>
    <row r="187" spans="2:35" x14ac:dyDescent="0.2">
      <c r="D187" s="3" t="s">
        <v>36</v>
      </c>
      <c r="E187">
        <f>E186/4</f>
        <v>1.8023835000000016E-2</v>
      </c>
      <c r="F187" s="2" t="s">
        <v>4</v>
      </c>
      <c r="G187">
        <f>AVERAGE(G160:G169)</f>
        <v>25.176031699999999</v>
      </c>
      <c r="H187">
        <v>55.489617032747418</v>
      </c>
      <c r="I187">
        <v>16</v>
      </c>
    </row>
    <row r="188" spans="2:35" x14ac:dyDescent="0.2">
      <c r="D188" s="3" t="s">
        <v>37</v>
      </c>
      <c r="H188">
        <v>0.21340728625560212</v>
      </c>
      <c r="I188">
        <v>6.1534333136135058E-2</v>
      </c>
    </row>
    <row r="189" spans="2:35" x14ac:dyDescent="0.2">
      <c r="D189" s="3" t="s">
        <v>38</v>
      </c>
    </row>
    <row r="191" spans="2:35" x14ac:dyDescent="0.2">
      <c r="D191" s="3" t="s">
        <v>39</v>
      </c>
    </row>
    <row r="195" spans="1:9" x14ac:dyDescent="0.2">
      <c r="C195">
        <f>MIN(C2:C174)</f>
        <v>288.21870004727595</v>
      </c>
      <c r="D195">
        <f>MIN(D2:D174)</f>
        <v>0.2</v>
      </c>
      <c r="H195">
        <f>MIN(H2:H174)</f>
        <v>-1.488891380945067</v>
      </c>
      <c r="I195">
        <f>MIN(I2:I174)</f>
        <v>340.28744499999999</v>
      </c>
    </row>
    <row r="196" spans="1:9" x14ac:dyDescent="0.2">
      <c r="C196">
        <f>MAX(C2:C174)</f>
        <v>571.20265446718122</v>
      </c>
      <c r="D196">
        <f>MAX(D2:D174)</f>
        <v>142.90833330000001</v>
      </c>
      <c r="H196">
        <f>MAX(H2:H174)</f>
        <v>-7.1212116020470811E-2</v>
      </c>
      <c r="I196">
        <f>MAX(I2:I174)</f>
        <v>340.61190749999997</v>
      </c>
    </row>
    <row r="200" spans="1:9" x14ac:dyDescent="0.2">
      <c r="A200" t="s">
        <v>40</v>
      </c>
      <c r="B200">
        <f>AVERAGE(B102:B141)</f>
        <v>-1.326528502499999E-2</v>
      </c>
    </row>
    <row r="201" spans="1:9" x14ac:dyDescent="0.2">
      <c r="A201" t="s">
        <v>41</v>
      </c>
      <c r="B201">
        <f>AVERAGE(B112:B141)</f>
        <v>8.1986114999999752E-3</v>
      </c>
    </row>
    <row r="202" spans="1:9" x14ac:dyDescent="0.2">
      <c r="A202" t="s">
        <v>42</v>
      </c>
      <c r="B202">
        <f>AVERAGE(B132:B161)</f>
        <v>0.34473675883333327</v>
      </c>
    </row>
    <row r="206" spans="1:9" x14ac:dyDescent="0.2">
      <c r="B206">
        <f>-B201+13.7</f>
        <v>13.6918013885</v>
      </c>
    </row>
    <row r="207" spans="1:9" x14ac:dyDescent="0.2">
      <c r="B207">
        <f>-B201+14</f>
        <v>13.991801388500001</v>
      </c>
    </row>
    <row r="209" spans="1:9" x14ac:dyDescent="0.2">
      <c r="B209">
        <f>-B202+13.9</f>
        <v>13.555263241166667</v>
      </c>
    </row>
    <row r="210" spans="1:9" x14ac:dyDescent="0.2">
      <c r="B210">
        <f>-B202+14.2</f>
        <v>13.855263241166666</v>
      </c>
    </row>
    <row r="213" spans="1:9" x14ac:dyDescent="0.2">
      <c r="B213">
        <f>14-B200</f>
        <v>14.013265285025</v>
      </c>
    </row>
    <row r="218" spans="1:9" x14ac:dyDescent="0.2">
      <c r="E218">
        <v>289.43026900000001</v>
      </c>
    </row>
    <row r="219" spans="1:9" x14ac:dyDescent="0.2">
      <c r="B219">
        <f>B209+B161</f>
        <v>14.228910701166667</v>
      </c>
      <c r="E219">
        <v>285.78379139999998</v>
      </c>
      <c r="F219">
        <f>AVERAGE(E218:E219)-273.15</f>
        <v>14.45703020000002</v>
      </c>
    </row>
    <row r="220" spans="1:9" x14ac:dyDescent="0.2">
      <c r="B220">
        <f>B213+B161</f>
        <v>14.686912745024999</v>
      </c>
      <c r="E220">
        <v>287.65199999999999</v>
      </c>
      <c r="F220">
        <f>E220-273.15</f>
        <v>14.50200000000001</v>
      </c>
    </row>
    <row r="224" spans="1:9" ht="28" customHeight="1" x14ac:dyDescent="0.2">
      <c r="A224" s="11" t="s">
        <v>56</v>
      </c>
      <c r="B224" s="11"/>
      <c r="C224" s="11"/>
      <c r="D224" s="11"/>
      <c r="E224" s="11"/>
      <c r="F224" s="11"/>
      <c r="G224" s="11"/>
      <c r="H224" s="11"/>
      <c r="I224" s="11"/>
    </row>
    <row r="225" spans="1:9" ht="28" customHeight="1" x14ac:dyDescent="0.2">
      <c r="A225" s="11"/>
      <c r="B225" s="11"/>
      <c r="C225" s="11"/>
      <c r="D225" s="11"/>
      <c r="E225" s="11"/>
      <c r="F225" s="11"/>
      <c r="G225" s="11"/>
      <c r="H225" s="11"/>
      <c r="I225" s="11"/>
    </row>
    <row r="226" spans="1:9" ht="28" customHeight="1" x14ac:dyDescent="0.2">
      <c r="A226" s="11" t="s">
        <v>57</v>
      </c>
      <c r="B226" s="11"/>
      <c r="C226" s="11"/>
      <c r="D226" s="11"/>
      <c r="E226" s="11"/>
      <c r="F226" s="11"/>
      <c r="G226" s="11"/>
      <c r="H226" s="11"/>
      <c r="I226" s="11"/>
    </row>
    <row r="227" spans="1:9" ht="28" customHeight="1" x14ac:dyDescent="0.2">
      <c r="A227" s="11"/>
      <c r="B227" s="11"/>
      <c r="C227" s="11"/>
      <c r="D227" s="11"/>
      <c r="E227" s="11"/>
      <c r="F227" s="11"/>
      <c r="G227" s="11"/>
      <c r="H227" s="11"/>
      <c r="I227" s="11"/>
    </row>
    <row r="228" spans="1:9" ht="28" customHeight="1" x14ac:dyDescent="0.2">
      <c r="A228" s="11" t="s">
        <v>58</v>
      </c>
      <c r="B228" s="11"/>
      <c r="C228" s="11"/>
      <c r="D228" s="11"/>
      <c r="E228" s="11"/>
      <c r="F228" s="11"/>
      <c r="G228" s="11"/>
      <c r="H228" s="11"/>
      <c r="I228" s="11"/>
    </row>
    <row r="229" spans="1:9" ht="28" customHeight="1" x14ac:dyDescent="0.2">
      <c r="A229" s="11"/>
      <c r="B229" s="11"/>
      <c r="C229" s="11"/>
      <c r="D229" s="11"/>
      <c r="E229" s="11"/>
      <c r="F229" s="11"/>
      <c r="G229" s="11"/>
      <c r="H229" s="11"/>
      <c r="I229" s="11"/>
    </row>
    <row r="230" spans="1:9" ht="28" customHeight="1" x14ac:dyDescent="0.2">
      <c r="A230" s="11" t="s">
        <v>59</v>
      </c>
      <c r="B230" s="11"/>
      <c r="C230" s="11"/>
      <c r="D230" s="11"/>
      <c r="E230" s="11"/>
      <c r="F230" s="11"/>
      <c r="G230" s="11"/>
      <c r="H230" s="11"/>
      <c r="I230" s="11"/>
    </row>
    <row r="231" spans="1:9" ht="28" customHeight="1" x14ac:dyDescent="0.2">
      <c r="A231" s="11"/>
      <c r="B231" s="11"/>
      <c r="C231" s="11"/>
      <c r="D231" s="11"/>
      <c r="E231" s="11"/>
      <c r="F231" s="11"/>
      <c r="G231" s="11"/>
      <c r="H231" s="11"/>
      <c r="I231" s="11"/>
    </row>
    <row r="232" spans="1:9" ht="28" customHeight="1" x14ac:dyDescent="0.2">
      <c r="A232" s="11" t="s">
        <v>60</v>
      </c>
      <c r="B232" s="11"/>
      <c r="C232" s="11"/>
      <c r="D232" s="11"/>
      <c r="E232" s="11"/>
      <c r="F232" s="11"/>
      <c r="G232" s="11"/>
      <c r="H232" s="11"/>
      <c r="I232" s="11"/>
    </row>
    <row r="233" spans="1:9" ht="28" customHeight="1" x14ac:dyDescent="0.2">
      <c r="A233" s="11"/>
      <c r="B233" s="11"/>
      <c r="C233" s="11"/>
      <c r="D233" s="11"/>
      <c r="E233" s="11"/>
      <c r="F233" s="11"/>
      <c r="G233" s="11"/>
      <c r="H233" s="11"/>
      <c r="I233" s="11"/>
    </row>
    <row r="234" spans="1:9" ht="28" customHeight="1" x14ac:dyDescent="0.2">
      <c r="A234" s="11" t="s">
        <v>61</v>
      </c>
      <c r="B234" s="11"/>
      <c r="C234" s="11"/>
      <c r="D234" s="11"/>
      <c r="E234" s="11"/>
      <c r="F234" s="11"/>
      <c r="G234" s="11"/>
      <c r="H234" s="11"/>
      <c r="I234" s="11"/>
    </row>
    <row r="235" spans="1:9" ht="28" customHeight="1" x14ac:dyDescent="0.2">
      <c r="A235" s="11"/>
      <c r="B235" s="11"/>
      <c r="C235" s="11"/>
      <c r="D235" s="11"/>
      <c r="E235" s="11"/>
      <c r="F235" s="11"/>
      <c r="G235" s="11"/>
      <c r="H235" s="11"/>
      <c r="I235" s="11"/>
    </row>
    <row r="236" spans="1:9" ht="28" customHeight="1" x14ac:dyDescent="0.2">
      <c r="A236" s="11" t="s">
        <v>62</v>
      </c>
      <c r="B236" s="11"/>
      <c r="C236" s="11"/>
      <c r="D236" s="11"/>
      <c r="E236" s="11"/>
      <c r="F236" s="11"/>
      <c r="G236" s="11"/>
      <c r="H236" s="11"/>
      <c r="I236" s="11"/>
    </row>
    <row r="237" spans="1:9" ht="28" customHeight="1" x14ac:dyDescent="0.2">
      <c r="A237" s="11"/>
      <c r="B237" s="11"/>
      <c r="C237" s="11"/>
      <c r="D237" s="11"/>
      <c r="E237" s="11"/>
      <c r="F237" s="11"/>
      <c r="G237" s="11"/>
      <c r="H237" s="11"/>
      <c r="I237" s="11"/>
    </row>
    <row r="238" spans="1:9" ht="28" customHeight="1" x14ac:dyDescent="0.2">
      <c r="A238" s="11" t="s">
        <v>63</v>
      </c>
      <c r="B238" s="11"/>
      <c r="C238" s="11"/>
      <c r="D238" s="11"/>
      <c r="E238" s="11"/>
      <c r="F238" s="11"/>
      <c r="G238" s="11"/>
      <c r="H238" s="11"/>
      <c r="I238" s="11"/>
    </row>
    <row r="239" spans="1:9" ht="28" customHeight="1" x14ac:dyDescent="0.2">
      <c r="A239" s="11"/>
      <c r="B239" s="11"/>
      <c r="C239" s="11"/>
      <c r="D239" s="11"/>
      <c r="E239" s="11"/>
      <c r="F239" s="11"/>
      <c r="G239" s="11"/>
      <c r="H239" s="11"/>
      <c r="I239" s="11"/>
    </row>
    <row r="240" spans="1:9" ht="28" customHeight="1" x14ac:dyDescent="0.2">
      <c r="A240" s="11" t="s">
        <v>64</v>
      </c>
      <c r="B240" s="11"/>
      <c r="C240" s="11"/>
      <c r="D240" s="11"/>
      <c r="E240" s="11"/>
      <c r="F240" s="11"/>
      <c r="G240" s="11"/>
      <c r="H240" s="11"/>
      <c r="I240" s="11"/>
    </row>
    <row r="241" spans="1:9" ht="28" customHeight="1" x14ac:dyDescent="0.2">
      <c r="A241" s="11"/>
      <c r="B241" s="11"/>
      <c r="C241" s="11"/>
      <c r="D241" s="11"/>
      <c r="E241" s="11"/>
      <c r="F241" s="11"/>
      <c r="G241" s="11"/>
      <c r="H241" s="11"/>
      <c r="I241" s="11"/>
    </row>
    <row r="242" spans="1:9" ht="28" customHeight="1" x14ac:dyDescent="0.2">
      <c r="A242" s="11" t="s">
        <v>65</v>
      </c>
      <c r="B242" s="11"/>
      <c r="C242" s="11"/>
      <c r="D242" s="11"/>
      <c r="E242" s="11"/>
      <c r="F242" s="11"/>
      <c r="G242" s="11"/>
      <c r="H242" s="11"/>
      <c r="I242" s="11"/>
    </row>
    <row r="243" spans="1:9" ht="28" customHeight="1" x14ac:dyDescent="0.2">
      <c r="A243" s="11"/>
      <c r="B243" s="11"/>
      <c r="C243" s="11"/>
      <c r="D243" s="11"/>
      <c r="E243" s="11"/>
      <c r="F243" s="11"/>
      <c r="G243" s="11"/>
      <c r="H243" s="11"/>
      <c r="I243" s="11"/>
    </row>
  </sheetData>
  <mergeCells count="10">
    <mergeCell ref="A234:I235"/>
    <mergeCell ref="A236:I237"/>
    <mergeCell ref="A238:I239"/>
    <mergeCell ref="A240:I241"/>
    <mergeCell ref="A242:I243"/>
    <mergeCell ref="A224:I225"/>
    <mergeCell ref="A226:I227"/>
    <mergeCell ref="A228:I229"/>
    <mergeCell ref="A230:I231"/>
    <mergeCell ref="A232:I233"/>
  </mergeCells>
  <hyperlinks>
    <hyperlink ref="L23" r:id="rId1" xr:uid="{00000000-0004-0000-0000-000000000000}"/>
    <hyperlink ref="D180" r:id="rId2" xr:uid="{00000000-0004-0000-0000-000001000000}"/>
    <hyperlink ref="I180" r:id="rId3" xr:uid="{00000000-0004-0000-0000-000002000000}"/>
    <hyperlink ref="D185" r:id="rId4" xr:uid="{00000000-0004-0000-0000-000003000000}"/>
    <hyperlink ref="F187" r:id="rId5" xr:uid="{00000000-0004-0000-0000-000004000000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80"/>
  <sheetViews>
    <sheetView workbookViewId="0"/>
  </sheetViews>
  <sheetFormatPr baseColWidth="10" defaultColWidth="8.83203125" defaultRowHeight="16" x14ac:dyDescent="0.2"/>
  <cols>
    <col min="1" max="34" width="16" customWidth="1"/>
  </cols>
  <sheetData>
    <row r="1" spans="1:34" x14ac:dyDescent="0.2"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Z1" t="s">
        <v>84</v>
      </c>
      <c r="AA1" t="s">
        <v>85</v>
      </c>
      <c r="AE1" t="s">
        <v>86</v>
      </c>
    </row>
    <row r="2" spans="1:34" x14ac:dyDescent="0.2">
      <c r="A2">
        <v>1750.5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9.7590261992889601E-2</v>
      </c>
      <c r="M2" s="1">
        <v>0.20367976721648001</v>
      </c>
      <c r="N2" s="1">
        <v>0</v>
      </c>
      <c r="O2" s="1">
        <v>0</v>
      </c>
      <c r="P2" s="1">
        <v>0</v>
      </c>
      <c r="Q2" s="1">
        <v>0</v>
      </c>
      <c r="R2" s="1">
        <v>0.30127002920937002</v>
      </c>
      <c r="S2" s="1">
        <v>0</v>
      </c>
      <c r="T2" s="1"/>
      <c r="U2" s="1"/>
      <c r="V2" s="1"/>
      <c r="W2" s="1"/>
      <c r="X2" s="1"/>
      <c r="Y2" s="1"/>
      <c r="Z2" s="1">
        <f t="shared" ref="Z2:Z65" si="0">K2+J2+I2+H2+G2+D2+C2+B2+P2</f>
        <v>0</v>
      </c>
      <c r="AA2" s="1">
        <f t="shared" ref="AA2:AA65" si="1">10^((Z2+$V$100)/$V$99)</f>
        <v>278.19849219191417</v>
      </c>
      <c r="AB2" s="1"/>
      <c r="AC2" s="1"/>
      <c r="AD2" s="1"/>
      <c r="AE2" s="1">
        <f t="shared" ref="AE2:AE65" si="2">F2+E2</f>
        <v>0</v>
      </c>
      <c r="AF2" s="1"/>
      <c r="AG2" s="1"/>
      <c r="AH2" s="1"/>
    </row>
    <row r="3" spans="1:34" x14ac:dyDescent="0.2">
      <c r="A3">
        <v>1751.5</v>
      </c>
      <c r="B3" s="1">
        <v>1.4172921112884001E-3</v>
      </c>
      <c r="C3" s="1">
        <v>5.0833036095129997E-4</v>
      </c>
      <c r="D3" s="1">
        <v>7.4479984372878894E-5</v>
      </c>
      <c r="E3" s="1">
        <v>6.308845061278E-4</v>
      </c>
      <c r="F3" s="1">
        <v>3.830106252043E-3</v>
      </c>
      <c r="G3" s="1">
        <v>-4.4156550308180001E-4</v>
      </c>
      <c r="H3" s="1">
        <v>0</v>
      </c>
      <c r="I3" s="1">
        <v>-1.13617374201E-4</v>
      </c>
      <c r="J3" s="1">
        <v>-3.7354791741860003E-4</v>
      </c>
      <c r="K3" s="1">
        <v>3.4468962545778701E-5</v>
      </c>
      <c r="L3" s="1">
        <v>7.9243972930389595E-2</v>
      </c>
      <c r="M3" s="1">
        <v>0.237324056655005</v>
      </c>
      <c r="N3" s="1">
        <v>4.4609907581708002E-3</v>
      </c>
      <c r="O3" s="1">
        <v>5.8281114112513797E-4</v>
      </c>
      <c r="P3" s="1">
        <v>7.9580095944530201E-10</v>
      </c>
      <c r="Q3" s="1">
        <v>5.56683217842871E-3</v>
      </c>
      <c r="R3" s="1">
        <v>0.322134861763823</v>
      </c>
      <c r="S3" s="1">
        <v>-4.5269632907382103E-4</v>
      </c>
      <c r="T3" s="1"/>
      <c r="U3" s="1"/>
      <c r="V3" s="1"/>
      <c r="W3" s="1"/>
      <c r="X3" s="1"/>
      <c r="Y3" s="1"/>
      <c r="Z3" s="1">
        <f t="shared" si="0"/>
        <v>1.1058414202579172E-3</v>
      </c>
      <c r="AA3" s="1">
        <f t="shared" si="1"/>
        <v>278.25408565330599</v>
      </c>
      <c r="AB3" s="1"/>
      <c r="AC3" s="1"/>
      <c r="AD3" s="1"/>
      <c r="AE3" s="1">
        <f t="shared" si="2"/>
        <v>4.4609907581708002E-3</v>
      </c>
      <c r="AF3" s="1"/>
      <c r="AG3" s="1"/>
      <c r="AH3" s="1"/>
    </row>
    <row r="4" spans="1:34" x14ac:dyDescent="0.2">
      <c r="A4">
        <v>1752.5</v>
      </c>
      <c r="B4" s="1">
        <v>2.8342465443867001E-3</v>
      </c>
      <c r="C4" s="1">
        <v>1.0163534983992999E-3</v>
      </c>
      <c r="D4" s="1">
        <v>1.4895162727269999E-4</v>
      </c>
      <c r="E4" s="1">
        <v>1.1555409039767E-3</v>
      </c>
      <c r="F4" s="1">
        <v>5.5754332059953001E-3</v>
      </c>
      <c r="G4" s="1">
        <v>-4.0980111262009999E-4</v>
      </c>
      <c r="H4" s="1">
        <v>0</v>
      </c>
      <c r="I4" s="1">
        <v>-2.3001731555759999E-4</v>
      </c>
      <c r="J4" s="1">
        <v>-4.9819633092319999E-4</v>
      </c>
      <c r="K4" s="1">
        <v>6.8937925091557402E-5</v>
      </c>
      <c r="L4" s="1">
        <v>4.9166043242889597E-2</v>
      </c>
      <c r="M4" s="1">
        <v>0.240069526314582</v>
      </c>
      <c r="N4" s="1">
        <v>6.7309741099720001E-3</v>
      </c>
      <c r="O4" s="1">
        <v>1.16530671727391E-3</v>
      </c>
      <c r="P4" s="1">
        <v>1.5916019188634901E-9</v>
      </c>
      <c r="Q4" s="1">
        <v>9.6614505376232708E-3</v>
      </c>
      <c r="R4" s="1">
        <v>0.298897020095095</v>
      </c>
      <c r="S4" s="1">
        <v>-6.5927572138924204E-4</v>
      </c>
      <c r="T4" s="1"/>
      <c r="U4" s="1"/>
      <c r="V4" s="1"/>
      <c r="W4" s="1"/>
      <c r="X4" s="1"/>
      <c r="Y4" s="1"/>
      <c r="Z4" s="1">
        <f t="shared" si="0"/>
        <v>2.9304764276512764E-3</v>
      </c>
      <c r="AA4" s="1">
        <f t="shared" si="1"/>
        <v>278.345838985912</v>
      </c>
      <c r="AB4" s="1"/>
      <c r="AC4" s="1"/>
      <c r="AD4" s="1"/>
      <c r="AE4" s="1">
        <f t="shared" si="2"/>
        <v>6.7309741099720001E-3</v>
      </c>
      <c r="AF4" s="1"/>
      <c r="AG4" s="1"/>
      <c r="AH4" s="1"/>
    </row>
    <row r="5" spans="1:34" x14ac:dyDescent="0.2">
      <c r="A5">
        <v>1753.5</v>
      </c>
      <c r="B5" s="1">
        <v>4.2508634756801998E-3</v>
      </c>
      <c r="C5" s="1">
        <v>1.5240699051992E-3</v>
      </c>
      <c r="D5" s="1">
        <v>2.234149335544E-4</v>
      </c>
      <c r="E5" s="1">
        <v>6.3743664499129997E-4</v>
      </c>
      <c r="F5" s="1">
        <v>3.8590068802683E-3</v>
      </c>
      <c r="G5" s="1">
        <v>-1.4890973871279999E-4</v>
      </c>
      <c r="H5" s="1">
        <v>0</v>
      </c>
      <c r="I5" s="1">
        <v>-3.4910087688109999E-4</v>
      </c>
      <c r="J5" s="1">
        <v>-3.7360606150260001E-4</v>
      </c>
      <c r="K5" s="1">
        <v>1.034068876373E-4</v>
      </c>
      <c r="L5" s="1">
        <v>1.29882844538271E-2</v>
      </c>
      <c r="M5" s="1">
        <v>9.1163617813051406E-2</v>
      </c>
      <c r="N5" s="1">
        <v>4.4964435252595998E-3</v>
      </c>
      <c r="O5" s="1">
        <v>1.7474872261564699E-3</v>
      </c>
      <c r="P5" s="1">
        <v>2.3874028783358998E-9</v>
      </c>
      <c r="Q5" s="1">
        <v>9.7265844376370706E-3</v>
      </c>
      <c r="R5" s="1">
        <v>0.113878486704515</v>
      </c>
      <c r="S5" s="1">
        <v>-6.1930005074639996E-4</v>
      </c>
      <c r="T5" s="1"/>
      <c r="U5" s="1"/>
      <c r="V5" s="1"/>
      <c r="W5" s="1"/>
      <c r="X5" s="1"/>
      <c r="Y5" s="1"/>
      <c r="Z5" s="1">
        <f t="shared" si="0"/>
        <v>5.2301409123774786E-3</v>
      </c>
      <c r="AA5" s="1">
        <f t="shared" si="1"/>
        <v>278.46152267926732</v>
      </c>
      <c r="AB5" s="1"/>
      <c r="AC5" s="1"/>
      <c r="AD5" s="1"/>
      <c r="AE5" s="1">
        <f t="shared" si="2"/>
        <v>4.4964435252595998E-3</v>
      </c>
      <c r="AF5" s="1"/>
      <c r="AG5" s="1"/>
      <c r="AH5" s="1"/>
    </row>
    <row r="6" spans="1:34" x14ac:dyDescent="0.2">
      <c r="A6">
        <v>1754.5</v>
      </c>
      <c r="B6" s="1">
        <v>5.6671430814174001E-3</v>
      </c>
      <c r="C6" s="1">
        <v>2.0314800728867999E-3</v>
      </c>
      <c r="D6" s="1">
        <v>2.9786990806470002E-4</v>
      </c>
      <c r="E6" s="1">
        <v>-5.3103924945659998E-4</v>
      </c>
      <c r="F6" s="1">
        <v>-9.7612657886520003E-4</v>
      </c>
      <c r="G6" s="1">
        <v>7.4659102722109995E-4</v>
      </c>
      <c r="H6" s="1">
        <v>0</v>
      </c>
      <c r="I6" s="1">
        <v>-4.7081885488859998E-4</v>
      </c>
      <c r="J6" s="1">
        <v>5.40142873723563E-5</v>
      </c>
      <c r="K6" s="1">
        <v>1.378758501831E-4</v>
      </c>
      <c r="L6" s="1">
        <v>-2.1426608124297801E-2</v>
      </c>
      <c r="M6" s="1">
        <v>-7.1972964103411294E-2</v>
      </c>
      <c r="N6" s="1">
        <v>-1.5071658283218E-3</v>
      </c>
      <c r="O6" s="1">
        <v>2.3293531641553301E-3</v>
      </c>
      <c r="P6" s="1">
        <v>3.1832038377812002E-9</v>
      </c>
      <c r="Q6" s="1">
        <v>6.9569927271388903E-3</v>
      </c>
      <c r="R6" s="1">
        <v>-8.6442579500570202E-2</v>
      </c>
      <c r="S6" s="1">
        <v>-2.7892871733314298E-4</v>
      </c>
      <c r="T6" s="1"/>
      <c r="U6" s="1"/>
      <c r="V6" s="1"/>
      <c r="W6" s="1"/>
      <c r="X6" s="1"/>
      <c r="Y6" s="1"/>
      <c r="Z6" s="1">
        <f t="shared" si="0"/>
        <v>8.4641585554606942E-3</v>
      </c>
      <c r="AA6" s="1">
        <f t="shared" si="1"/>
        <v>278.62428998549649</v>
      </c>
      <c r="AB6" s="1"/>
      <c r="AC6" s="1"/>
      <c r="AD6" s="1"/>
      <c r="AE6" s="1">
        <f t="shared" si="2"/>
        <v>-1.5071658283218E-3</v>
      </c>
      <c r="AF6" s="1"/>
      <c r="AG6" s="1"/>
      <c r="AH6" s="1"/>
    </row>
    <row r="7" spans="1:34" x14ac:dyDescent="0.2">
      <c r="A7">
        <v>1755.5</v>
      </c>
      <c r="B7" s="1">
        <v>7.0830855377010003E-3</v>
      </c>
      <c r="C7" s="1">
        <v>2.5385844916841001E-3</v>
      </c>
      <c r="D7" s="1">
        <v>3.7231655563919999E-4</v>
      </c>
      <c r="E7" s="1">
        <v>4.7903358173400002E-4</v>
      </c>
      <c r="F7" s="1">
        <v>1.5622248208640001E-4</v>
      </c>
      <c r="G7" s="1">
        <v>1.0370261064625E-3</v>
      </c>
      <c r="H7" s="1">
        <v>0</v>
      </c>
      <c r="I7" s="1">
        <v>-5.9519151170689996E-4</v>
      </c>
      <c r="J7" s="1">
        <v>5.8738608325775101E-5</v>
      </c>
      <c r="K7" s="1">
        <v>1.7234481272880001E-4</v>
      </c>
      <c r="L7" s="1">
        <v>-4.5903927460235298E-2</v>
      </c>
      <c r="M7" s="1">
        <v>8.6290159171195105E-2</v>
      </c>
      <c r="N7" s="1">
        <v>6.3525606382039998E-4</v>
      </c>
      <c r="O7" s="1">
        <v>2.91090502632809E-3</v>
      </c>
      <c r="P7" s="1">
        <v>3.9790047971994E-9</v>
      </c>
      <c r="Q7" s="1">
        <v>1.13021646436596E-2</v>
      </c>
      <c r="R7" s="1">
        <v>5.1688396354619401E-2</v>
      </c>
      <c r="S7" s="1">
        <v>-3.64108090652324E-4</v>
      </c>
      <c r="T7" s="1"/>
      <c r="U7" s="1"/>
      <c r="V7" s="1"/>
      <c r="W7" s="1"/>
      <c r="X7" s="1"/>
      <c r="Y7" s="1"/>
      <c r="Z7" s="1">
        <f t="shared" si="0"/>
        <v>1.0666908579839273E-2</v>
      </c>
      <c r="AA7" s="1">
        <f t="shared" si="1"/>
        <v>278.73520831513162</v>
      </c>
      <c r="AB7" s="1"/>
      <c r="AC7" s="1"/>
      <c r="AD7" s="1"/>
      <c r="AE7" s="1">
        <f t="shared" si="2"/>
        <v>6.3525606382039998E-4</v>
      </c>
      <c r="AF7" s="1"/>
      <c r="AG7" s="1"/>
      <c r="AH7" s="1"/>
    </row>
    <row r="8" spans="1:34" x14ac:dyDescent="0.2">
      <c r="A8">
        <v>1756.5</v>
      </c>
      <c r="B8" s="1">
        <v>8.4986910205032008E-3</v>
      </c>
      <c r="C8" s="1">
        <v>3.0453836505031999E-3</v>
      </c>
      <c r="D8" s="1">
        <v>4.4675488110559999E-4</v>
      </c>
      <c r="E8" s="1">
        <v>4.8227066790209998E-4</v>
      </c>
      <c r="F8" s="1">
        <v>3.7957511364190002E-3</v>
      </c>
      <c r="G8" s="1">
        <v>2.0777780110639999E-4</v>
      </c>
      <c r="H8" s="1">
        <v>0</v>
      </c>
      <c r="I8" s="1">
        <v>-7.2213677877199997E-4</v>
      </c>
      <c r="J8" s="1">
        <v>-3.9829679010579998E-4</v>
      </c>
      <c r="K8" s="1">
        <v>2.068137752746E-4</v>
      </c>
      <c r="L8" s="1">
        <v>-5.3485812225860303E-2</v>
      </c>
      <c r="M8" s="1">
        <v>-3.5536597144705202E-2</v>
      </c>
      <c r="N8" s="1">
        <v>4.2780218043211001E-3</v>
      </c>
      <c r="O8" s="1">
        <v>3.4921433064145501E-3</v>
      </c>
      <c r="P8" s="1">
        <v>4.7748057566718104E-9</v>
      </c>
      <c r="Q8" s="1">
        <v>1.5563014138742001E-2</v>
      </c>
      <c r="R8" s="1">
        <v>-7.3459395231823404E-2</v>
      </c>
      <c r="S8" s="1">
        <v>-9.1361979360320004E-4</v>
      </c>
      <c r="T8" s="1"/>
      <c r="U8" s="1"/>
      <c r="V8" s="1"/>
      <c r="W8" s="1"/>
      <c r="X8" s="1"/>
      <c r="Y8" s="1"/>
      <c r="Z8" s="1">
        <f t="shared" si="0"/>
        <v>1.1284992334420959E-2</v>
      </c>
      <c r="AA8" s="1">
        <f t="shared" si="1"/>
        <v>278.76633953302292</v>
      </c>
      <c r="AB8" s="1"/>
      <c r="AC8" s="1"/>
      <c r="AD8" s="1"/>
      <c r="AE8" s="1">
        <f t="shared" si="2"/>
        <v>4.2780218043211001E-3</v>
      </c>
      <c r="AF8" s="1"/>
      <c r="AG8" s="1"/>
      <c r="AH8" s="1"/>
    </row>
    <row r="9" spans="1:34" x14ac:dyDescent="0.2">
      <c r="A9">
        <v>1757.5</v>
      </c>
      <c r="B9" s="1">
        <v>9.9139597056566997E-3</v>
      </c>
      <c r="C9" s="1">
        <v>3.5518780369525002E-3</v>
      </c>
      <c r="D9" s="1">
        <v>5.2118488928100002E-4</v>
      </c>
      <c r="E9" s="1">
        <v>2.71969712889436E-5</v>
      </c>
      <c r="F9" s="1">
        <v>-5.4374543961566999E-3</v>
      </c>
      <c r="G9" s="1">
        <v>2.7551041449275001E-3</v>
      </c>
      <c r="H9" s="1">
        <v>0</v>
      </c>
      <c r="I9" s="1">
        <v>-8.5167259923010004E-4</v>
      </c>
      <c r="J9" s="1">
        <v>8.2075632150799998E-4</v>
      </c>
      <c r="K9" s="1">
        <v>2.4128273782039999E-4</v>
      </c>
      <c r="L9" s="1">
        <v>-3.4343893280547801E-2</v>
      </c>
      <c r="M9" s="1">
        <v>0.19284791182622599</v>
      </c>
      <c r="N9" s="1">
        <v>-5.4102574248677503E-3</v>
      </c>
      <c r="O9" s="1">
        <v>4.0730684968402096E-3</v>
      </c>
      <c r="P9" s="1">
        <v>5.57060671614421E-9</v>
      </c>
      <c r="Q9" s="1">
        <v>1.1542241382654901E-2</v>
      </c>
      <c r="R9" s="1">
        <v>0.170046259928333</v>
      </c>
      <c r="S9" s="1">
        <v>2.10366460098299E-4</v>
      </c>
      <c r="T9" s="1"/>
      <c r="U9" s="1"/>
      <c r="V9" s="1"/>
      <c r="W9" s="1"/>
      <c r="X9" s="1"/>
      <c r="Y9" s="1"/>
      <c r="Z9" s="1">
        <f t="shared" si="0"/>
        <v>1.6952498807522715E-2</v>
      </c>
      <c r="AA9" s="1">
        <f t="shared" si="1"/>
        <v>279.05195876596946</v>
      </c>
      <c r="AB9" s="1"/>
      <c r="AC9" s="1"/>
      <c r="AD9" s="1"/>
      <c r="AE9" s="1">
        <f t="shared" si="2"/>
        <v>-5.4102574248677563E-3</v>
      </c>
      <c r="AF9" s="1"/>
      <c r="AG9" s="1"/>
      <c r="AH9" s="1"/>
    </row>
    <row r="10" spans="1:34" x14ac:dyDescent="0.2">
      <c r="A10">
        <v>1758.5</v>
      </c>
      <c r="B10" s="1">
        <v>1.13288917688531E-2</v>
      </c>
      <c r="C10" s="1">
        <v>4.0580681373404001E-3</v>
      </c>
      <c r="D10" s="1">
        <v>5.9560658497520005E-4</v>
      </c>
      <c r="E10" s="1">
        <v>2.3281520833100001E-4</v>
      </c>
      <c r="F10" s="1">
        <v>-2.0102046761775998E-3</v>
      </c>
      <c r="G10" s="1">
        <v>2.3343907426115998E-3</v>
      </c>
      <c r="H10" s="1">
        <v>0</v>
      </c>
      <c r="I10" s="1">
        <v>-9.8378121463709996E-4</v>
      </c>
      <c r="J10" s="1">
        <v>4.0932260293309998E-4</v>
      </c>
      <c r="K10" s="1">
        <v>2.7575170036620001E-4</v>
      </c>
      <c r="L10" s="1">
        <v>1.7013235625702099E-2</v>
      </c>
      <c r="M10" s="1">
        <v>0.237671158294566</v>
      </c>
      <c r="N10" s="1">
        <v>-1.7773894678465899E-3</v>
      </c>
      <c r="O10" s="1">
        <v>4.6536810887232698E-3</v>
      </c>
      <c r="P10" s="1">
        <v>6.3664076755624103E-9</v>
      </c>
      <c r="Q10" s="1">
        <v>1.6240867221003499E-2</v>
      </c>
      <c r="R10" s="1">
        <v>0.27092526114127202</v>
      </c>
      <c r="S10" s="1">
        <v>-2.9870691133779899E-4</v>
      </c>
      <c r="T10" s="1"/>
      <c r="U10" s="1"/>
      <c r="V10" s="1"/>
      <c r="W10" s="1"/>
      <c r="X10" s="1"/>
      <c r="Y10" s="1"/>
      <c r="Z10" s="1">
        <f t="shared" si="0"/>
        <v>1.8018256688850175E-2</v>
      </c>
      <c r="AA10" s="1">
        <f t="shared" si="1"/>
        <v>279.10570130073472</v>
      </c>
      <c r="AB10" s="1"/>
      <c r="AC10" s="1"/>
      <c r="AD10" s="1"/>
      <c r="AE10" s="1">
        <f t="shared" si="2"/>
        <v>-1.7773894678465999E-3</v>
      </c>
      <c r="AF10" s="1"/>
      <c r="AG10" s="1"/>
      <c r="AH10" s="1"/>
    </row>
    <row r="11" spans="1:34" x14ac:dyDescent="0.2">
      <c r="A11">
        <v>1759.5</v>
      </c>
      <c r="B11" s="1">
        <v>1.27434873856498E-2</v>
      </c>
      <c r="C11" s="1">
        <v>4.5639544366805002E-3</v>
      </c>
      <c r="D11" s="1">
        <v>6.7001997298619996E-4</v>
      </c>
      <c r="E11" s="1">
        <v>-1.038879249303E-4</v>
      </c>
      <c r="F11" s="1">
        <v>-2.647808901279E-3</v>
      </c>
      <c r="G11" s="1">
        <v>2.1023220909595999E-3</v>
      </c>
      <c r="H11" s="1">
        <v>0</v>
      </c>
      <c r="I11" s="1">
        <v>-1.1183880056046E-3</v>
      </c>
      <c r="J11" s="1">
        <v>3.6544875319110003E-4</v>
      </c>
      <c r="K11" s="1">
        <v>3.1022066291199997E-4</v>
      </c>
      <c r="L11" s="1">
        <v>6.7512332305389597E-2</v>
      </c>
      <c r="M11" s="1">
        <v>0.23192872592155001</v>
      </c>
      <c r="N11" s="1">
        <v>-2.7516968262092999E-3</v>
      </c>
      <c r="O11" s="1">
        <v>5.2339815718753296E-3</v>
      </c>
      <c r="P11" s="1">
        <v>7.1622086350077098E-9</v>
      </c>
      <c r="Q11" s="1">
        <v>1.68853756327739E-2</v>
      </c>
      <c r="R11" s="1">
        <v>0.31632643385971398</v>
      </c>
      <c r="S11" s="1">
        <v>-4.4271858950150001E-4</v>
      </c>
      <c r="T11" s="1"/>
      <c r="U11" s="1"/>
      <c r="V11" s="1"/>
      <c r="W11" s="1"/>
      <c r="X11" s="1"/>
      <c r="Y11" s="1"/>
      <c r="Z11" s="1">
        <f t="shared" si="0"/>
        <v>1.9637072458983235E-2</v>
      </c>
      <c r="AA11" s="1">
        <f t="shared" si="1"/>
        <v>279.18735245960102</v>
      </c>
      <c r="AB11" s="1"/>
      <c r="AC11" s="1"/>
      <c r="AD11" s="1"/>
      <c r="AE11" s="1">
        <f t="shared" si="2"/>
        <v>-2.7516968262092999E-3</v>
      </c>
      <c r="AF11" s="1"/>
      <c r="AG11" s="1"/>
      <c r="AH11" s="1"/>
    </row>
    <row r="12" spans="1:34" x14ac:dyDescent="0.2">
      <c r="A12">
        <v>1760.5</v>
      </c>
      <c r="B12" s="1">
        <v>1.4157746731468201E-2</v>
      </c>
      <c r="C12" s="1">
        <v>5.0695374186969996E-3</v>
      </c>
      <c r="D12" s="1">
        <v>7.4442505810410004E-4</v>
      </c>
      <c r="E12" s="1">
        <v>-1.0371094827283001E-3</v>
      </c>
      <c r="F12" s="1">
        <v>-5.5869597917864999E-3</v>
      </c>
      <c r="G12" s="1">
        <v>2.4766180356435002E-3</v>
      </c>
      <c r="H12" s="1">
        <v>0</v>
      </c>
      <c r="I12" s="1">
        <v>-1.2627865734778001E-3</v>
      </c>
      <c r="J12" s="1">
        <v>5.3443817850490002E-4</v>
      </c>
      <c r="K12" s="1">
        <v>3.4468962545769997E-4</v>
      </c>
      <c r="L12" s="1">
        <v>9.2395266875702098E-2</v>
      </c>
      <c r="M12" s="1">
        <v>5.0240461888834499E-2</v>
      </c>
      <c r="N12" s="1">
        <v>-6.6240692745147996E-3</v>
      </c>
      <c r="O12" s="1">
        <v>5.81397043481069E-3</v>
      </c>
      <c r="P12" s="1">
        <v>7.9580095944530201E-9</v>
      </c>
      <c r="Q12" s="1">
        <v>1.54406071578923E-2</v>
      </c>
      <c r="R12" s="1">
        <v>0.15807633592242801</v>
      </c>
      <c r="S12" s="1">
        <v>-3.8365876951519998E-4</v>
      </c>
      <c r="T12" s="1"/>
      <c r="U12" s="1"/>
      <c r="V12" s="1"/>
      <c r="W12" s="1"/>
      <c r="X12" s="1"/>
      <c r="Y12" s="1"/>
      <c r="Z12" s="1">
        <f t="shared" si="0"/>
        <v>2.2064676432407195E-2</v>
      </c>
      <c r="AA12" s="1">
        <f t="shared" si="1"/>
        <v>279.30984271332403</v>
      </c>
      <c r="AB12" s="1"/>
      <c r="AC12" s="1"/>
      <c r="AD12" s="1"/>
      <c r="AE12" s="1">
        <f t="shared" si="2"/>
        <v>-6.6240692745147996E-3</v>
      </c>
      <c r="AF12" s="1"/>
      <c r="AG12" s="1"/>
      <c r="AH12" s="1"/>
    </row>
    <row r="13" spans="1:34" x14ac:dyDescent="0.2">
      <c r="A13">
        <v>1761.5</v>
      </c>
      <c r="B13" s="1">
        <v>1.5571669981584799E-2</v>
      </c>
      <c r="C13" s="1">
        <v>5.5748175658286003E-3</v>
      </c>
      <c r="D13" s="1">
        <v>8.1882184511049999E-4</v>
      </c>
      <c r="E13" s="1">
        <v>-1.916841574064E-4</v>
      </c>
      <c r="F13" s="1">
        <v>-5.1028097149441003E-3</v>
      </c>
      <c r="G13" s="1">
        <v>3.1603429979356001E-3</v>
      </c>
      <c r="H13" s="1">
        <v>0</v>
      </c>
      <c r="I13" s="1">
        <v>-1.4169399549558001E-3</v>
      </c>
      <c r="J13" s="1">
        <v>6.9548802177740005E-4</v>
      </c>
      <c r="K13" s="1">
        <v>3.7915858800349999E-4</v>
      </c>
      <c r="L13" s="1">
        <v>8.6248636016327096E-2</v>
      </c>
      <c r="M13" s="1">
        <v>-1.25623957045057</v>
      </c>
      <c r="N13" s="1">
        <v>-5.2944938723504999E-3</v>
      </c>
      <c r="O13" s="1">
        <v>6.3936481647496497E-3</v>
      </c>
      <c r="P13" s="1">
        <v>8.7538105538712104E-9</v>
      </c>
      <c r="Q13" s="1">
        <v>1.9488873926744602E-2</v>
      </c>
      <c r="R13" s="1">
        <v>-1.15050206050749</v>
      </c>
      <c r="S13" s="1">
        <v>-3.4229334517490003E-4</v>
      </c>
      <c r="T13" s="1"/>
      <c r="U13" s="1"/>
      <c r="V13" s="1"/>
      <c r="W13" s="1"/>
      <c r="X13" s="1"/>
      <c r="Y13" s="1"/>
      <c r="Z13" s="1">
        <f t="shared" si="0"/>
        <v>2.4783367799095155E-2</v>
      </c>
      <c r="AA13" s="1">
        <f t="shared" si="1"/>
        <v>279.4470842349881</v>
      </c>
      <c r="AB13" s="1"/>
      <c r="AC13" s="1"/>
      <c r="AD13" s="1"/>
      <c r="AE13" s="1">
        <f t="shared" si="2"/>
        <v>-5.2944938723504999E-3</v>
      </c>
      <c r="AF13" s="1"/>
      <c r="AG13" s="1"/>
      <c r="AH13" s="1"/>
    </row>
    <row r="14" spans="1:34" x14ac:dyDescent="0.2">
      <c r="A14">
        <v>1762.5</v>
      </c>
      <c r="B14" s="1">
        <v>1.6985257311146199E-2</v>
      </c>
      <c r="C14" s="1">
        <v>6.079795359234E-3</v>
      </c>
      <c r="D14" s="1">
        <v>8.9321033877659995E-4</v>
      </c>
      <c r="E14" s="1">
        <v>-2.8116432003699997E-4</v>
      </c>
      <c r="F14" s="1">
        <v>-1.5134416684854999E-3</v>
      </c>
      <c r="G14" s="1">
        <v>2.0686692402085999E-3</v>
      </c>
      <c r="H14" s="1">
        <v>0</v>
      </c>
      <c r="I14" s="1">
        <v>-1.5735497323629E-3</v>
      </c>
      <c r="J14" s="1">
        <v>1.5234069706489999E-4</v>
      </c>
      <c r="K14" s="1">
        <v>4.1362755054930001E-4</v>
      </c>
      <c r="L14" s="1">
        <v>6.41582063288271E-2</v>
      </c>
      <c r="M14" s="1">
        <v>-0.59186976339046105</v>
      </c>
      <c r="N14" s="1">
        <v>-1.7946059885224901E-3</v>
      </c>
      <c r="O14" s="1">
        <v>6.9730152476221103E-3</v>
      </c>
      <c r="P14" s="1">
        <v>9.5496115133436208E-9</v>
      </c>
      <c r="Q14" s="1">
        <v>2.3224754325705699E-2</v>
      </c>
      <c r="R14" s="1">
        <v>-0.50448680273592805</v>
      </c>
      <c r="S14" s="1">
        <v>-1.0075814847487E-3</v>
      </c>
      <c r="T14" s="1"/>
      <c r="U14" s="1"/>
      <c r="V14" s="1"/>
      <c r="W14" s="1"/>
      <c r="X14" s="1"/>
      <c r="Y14" s="1"/>
      <c r="Z14" s="1">
        <f t="shared" si="0"/>
        <v>2.5019360314228214E-2</v>
      </c>
      <c r="AA14" s="1">
        <f t="shared" si="1"/>
        <v>279.45900048953354</v>
      </c>
      <c r="AB14" s="1"/>
      <c r="AC14" s="1"/>
      <c r="AD14" s="1"/>
      <c r="AE14" s="1">
        <f t="shared" si="2"/>
        <v>-1.7946059885224999E-3</v>
      </c>
      <c r="AF14" s="1"/>
      <c r="AG14" s="1"/>
      <c r="AH14" s="1"/>
    </row>
    <row r="15" spans="1:34" x14ac:dyDescent="0.2">
      <c r="A15">
        <v>1763.5</v>
      </c>
      <c r="B15" s="1">
        <v>1.8398508895160801E-2</v>
      </c>
      <c r="C15" s="1">
        <v>6.5844712787963E-3</v>
      </c>
      <c r="D15" s="1">
        <v>9.6759054386480004E-4</v>
      </c>
      <c r="E15" s="1">
        <v>-1.749426686361E-4</v>
      </c>
      <c r="F15" s="1">
        <v>-1.9388005809664001E-3</v>
      </c>
      <c r="G15" s="1">
        <v>2.5807868115232E-3</v>
      </c>
      <c r="H15" s="1">
        <v>0</v>
      </c>
      <c r="I15" s="1">
        <v>-1.7325542530021E-3</v>
      </c>
      <c r="J15" s="1">
        <v>2.42396387451E-4</v>
      </c>
      <c r="K15" s="1">
        <v>4.4809651309509998E-4</v>
      </c>
      <c r="L15" s="1">
        <v>3.08197541803896E-2</v>
      </c>
      <c r="M15" s="1">
        <v>-3.0711403692253801E-2</v>
      </c>
      <c r="N15" s="1">
        <v>-2.1137432496025001E-3</v>
      </c>
      <c r="O15" s="1">
        <v>7.5520721680735698E-3</v>
      </c>
      <c r="P15" s="1">
        <v>1.03454124727889E-8</v>
      </c>
      <c r="Q15" s="1">
        <v>2.5375563272698999E-2</v>
      </c>
      <c r="R15" s="1">
        <v>2.5483913760834798E-2</v>
      </c>
      <c r="S15" s="1">
        <v>-1.0420613524560001E-3</v>
      </c>
      <c r="T15" s="1"/>
      <c r="U15" s="1"/>
      <c r="V15" s="1"/>
      <c r="W15" s="1"/>
      <c r="X15" s="1"/>
      <c r="Y15" s="1"/>
      <c r="Z15" s="1">
        <f t="shared" si="0"/>
        <v>2.7489306522301572E-2</v>
      </c>
      <c r="AA15" s="1">
        <f t="shared" si="1"/>
        <v>279.5837489550413</v>
      </c>
      <c r="AB15" s="1"/>
      <c r="AC15" s="1"/>
      <c r="AD15" s="1"/>
      <c r="AE15" s="1">
        <f t="shared" si="2"/>
        <v>-2.1137432496025001E-3</v>
      </c>
      <c r="AF15" s="1"/>
      <c r="AG15" s="1"/>
      <c r="AH15" s="1"/>
    </row>
    <row r="16" spans="1:34" x14ac:dyDescent="0.2">
      <c r="A16">
        <v>1764.5</v>
      </c>
      <c r="B16" s="1">
        <v>1.9811424908496501E-2</v>
      </c>
      <c r="C16" s="1">
        <v>7.0888458031276996E-3</v>
      </c>
      <c r="D16" s="1">
        <v>1.0419624651284E-3</v>
      </c>
      <c r="E16" s="1">
        <v>1.7094621618924E-3</v>
      </c>
      <c r="F16" s="1">
        <v>4.4775559399964004E-3</v>
      </c>
      <c r="G16" s="1">
        <v>2.0090531810703998E-3</v>
      </c>
      <c r="H16" s="1">
        <v>0</v>
      </c>
      <c r="I16" s="1">
        <v>-1.8939447480380001E-3</v>
      </c>
      <c r="J16" s="1">
        <v>-2.9266577755950003E-4</v>
      </c>
      <c r="K16" s="1">
        <v>4.825654756409E-4</v>
      </c>
      <c r="L16" s="1">
        <v>-5.9352262883603001E-3</v>
      </c>
      <c r="M16" s="1">
        <v>0.16959958020524901</v>
      </c>
      <c r="N16" s="1">
        <v>6.1870181018888002E-3</v>
      </c>
      <c r="O16" s="1">
        <v>8.1308194094695304E-3</v>
      </c>
      <c r="P16" s="1">
        <v>1.11412134322071E-8</v>
      </c>
      <c r="Q16" s="1">
        <v>3.44342705509686E-2</v>
      </c>
      <c r="R16" s="1">
        <v>0.198098624467857</v>
      </c>
      <c r="S16" s="1">
        <v>-1.7040450499566E-3</v>
      </c>
      <c r="T16" s="1"/>
      <c r="U16" s="1"/>
      <c r="V16" s="1"/>
      <c r="W16" s="1"/>
      <c r="X16" s="1"/>
      <c r="Y16" s="1"/>
      <c r="Z16" s="1">
        <f t="shared" si="0"/>
        <v>2.8247252449079829E-2</v>
      </c>
      <c r="AA16" s="1">
        <f t="shared" si="1"/>
        <v>279.62204135509887</v>
      </c>
      <c r="AB16" s="1"/>
      <c r="AC16" s="1"/>
      <c r="AD16" s="1"/>
      <c r="AE16" s="1">
        <f t="shared" si="2"/>
        <v>6.1870181018888002E-3</v>
      </c>
      <c r="AF16" s="1"/>
      <c r="AG16" s="1"/>
      <c r="AH16" s="1"/>
    </row>
    <row r="17" spans="1:34" x14ac:dyDescent="0.2">
      <c r="A17">
        <v>1765.5</v>
      </c>
      <c r="B17" s="1">
        <v>2.12240055258879E-2</v>
      </c>
      <c r="C17" s="1">
        <v>7.5929194095742001E-3</v>
      </c>
      <c r="D17" s="1">
        <v>1.1163261073125E-3</v>
      </c>
      <c r="E17" s="1">
        <v>-4.7186459283530001E-4</v>
      </c>
      <c r="F17" s="1">
        <v>-4.4388364378483E-3</v>
      </c>
      <c r="G17" s="1">
        <v>3.4119157780669999E-3</v>
      </c>
      <c r="H17" s="1">
        <v>0</v>
      </c>
      <c r="I17" s="1">
        <v>-2.0576975005510002E-3</v>
      </c>
      <c r="J17" s="1">
        <v>5.1460167878980003E-4</v>
      </c>
      <c r="K17" s="1">
        <v>5.1703443818660005E-4</v>
      </c>
      <c r="L17" s="1">
        <v>-3.5779147186797797E-2</v>
      </c>
      <c r="M17" s="1">
        <v>0.23295098580325199</v>
      </c>
      <c r="N17" s="1">
        <v>-4.9107010306835997E-3</v>
      </c>
      <c r="O17" s="1">
        <v>8.7092574539010901E-3</v>
      </c>
      <c r="P17" s="1">
        <v>1.19370143916524E-8</v>
      </c>
      <c r="Q17" s="1">
        <v>2.74084163435977E-2</v>
      </c>
      <c r="R17" s="1">
        <v>0.22458025496005199</v>
      </c>
      <c r="S17" s="1">
        <v>-1.0260613835746E-3</v>
      </c>
      <c r="T17" s="1"/>
      <c r="U17" s="1"/>
      <c r="V17" s="1"/>
      <c r="W17" s="1"/>
      <c r="X17" s="1"/>
      <c r="Y17" s="1"/>
      <c r="Z17" s="1">
        <f t="shared" si="0"/>
        <v>3.2319117374281392E-2</v>
      </c>
      <c r="AA17" s="1">
        <f t="shared" si="1"/>
        <v>279.82784697978548</v>
      </c>
      <c r="AB17" s="1"/>
      <c r="AC17" s="1"/>
      <c r="AD17" s="1"/>
      <c r="AE17" s="1">
        <f t="shared" si="2"/>
        <v>-4.9107010306835997E-3</v>
      </c>
      <c r="AF17" s="1"/>
      <c r="AG17" s="1"/>
      <c r="AH17" s="1"/>
    </row>
    <row r="18" spans="1:34" x14ac:dyDescent="0.2">
      <c r="A18">
        <v>1766.5</v>
      </c>
      <c r="B18" s="1">
        <v>2.2636250921933099E-2</v>
      </c>
      <c r="C18" s="1">
        <v>8.0966925742206996E-3</v>
      </c>
      <c r="D18" s="1">
        <v>1.1906814751517999E-3</v>
      </c>
      <c r="E18" s="1">
        <v>7.2487941514510004E-4</v>
      </c>
      <c r="F18" s="1">
        <v>-2.00869682442E-4</v>
      </c>
      <c r="G18" s="1">
        <v>3.3574452977346001E-3</v>
      </c>
      <c r="H18" s="1">
        <v>0</v>
      </c>
      <c r="I18" s="1">
        <v>-2.2237859743677001E-3</v>
      </c>
      <c r="J18" s="1">
        <v>3.2124811539650002E-4</v>
      </c>
      <c r="K18" s="1">
        <v>5.5150340073240002E-4</v>
      </c>
      <c r="L18" s="1">
        <v>-4.9897677460235303E-2</v>
      </c>
      <c r="M18" s="1">
        <v>-0.24227234730856301</v>
      </c>
      <c r="N18" s="1">
        <v>5.2400973270309999E-4</v>
      </c>
      <c r="O18" s="1">
        <v>9.2873867821878509E-3</v>
      </c>
      <c r="P18" s="1">
        <v>1.2732815351124801E-8</v>
      </c>
      <c r="Q18" s="1">
        <v>3.4454058276319803E-2</v>
      </c>
      <c r="R18" s="1">
        <v>-0.25771596649247802</v>
      </c>
      <c r="S18" s="1">
        <v>-1.3510344582388001E-3</v>
      </c>
      <c r="T18" s="1"/>
      <c r="U18" s="1"/>
      <c r="V18" s="1"/>
      <c r="W18" s="1"/>
      <c r="X18" s="1"/>
      <c r="Y18" s="1"/>
      <c r="Z18" s="1">
        <f t="shared" si="0"/>
        <v>3.3930048543616746E-2</v>
      </c>
      <c r="AA18" s="1">
        <f t="shared" si="1"/>
        <v>279.90931062226338</v>
      </c>
      <c r="AB18" s="1"/>
      <c r="AC18" s="1"/>
      <c r="AD18" s="1"/>
      <c r="AE18" s="1">
        <f t="shared" si="2"/>
        <v>5.2400973270309999E-4</v>
      </c>
      <c r="AF18" s="1"/>
      <c r="AG18" s="1"/>
      <c r="AH18" s="1"/>
    </row>
    <row r="19" spans="1:34" x14ac:dyDescent="0.2">
      <c r="A19">
        <v>1767.5</v>
      </c>
      <c r="B19" s="1">
        <v>2.4048161271091099E-2</v>
      </c>
      <c r="C19" s="1">
        <v>8.6001657718953999E-3</v>
      </c>
      <c r="D19" s="1">
        <v>1.2650285733723E-3</v>
      </c>
      <c r="E19" s="1">
        <v>5.9053234562270001E-4</v>
      </c>
      <c r="F19" s="1">
        <v>-3.0911383591820002E-4</v>
      </c>
      <c r="G19" s="1">
        <v>3.5532887604649002E-3</v>
      </c>
      <c r="H19" s="1">
        <v>0</v>
      </c>
      <c r="I19" s="1">
        <v>-2.3921635477628001E-3</v>
      </c>
      <c r="J19" s="1">
        <v>3.609544222213E-4</v>
      </c>
      <c r="K19" s="1">
        <v>5.8597236327819998E-4</v>
      </c>
      <c r="L19" s="1">
        <v>-3.6715182343047797E-2</v>
      </c>
      <c r="M19" s="1">
        <v>3.0143531443610001E-3</v>
      </c>
      <c r="N19" s="1">
        <v>2.8141850970449998E-4</v>
      </c>
      <c r="O19" s="1">
        <v>9.8652078738840094E-3</v>
      </c>
      <c r="P19" s="1">
        <v>1.3528616310570099E-8</v>
      </c>
      <c r="Q19" s="1">
        <v>3.6302839652881197E-2</v>
      </c>
      <c r="R19" s="1">
        <v>2.60201045419441E-3</v>
      </c>
      <c r="S19" s="1">
        <v>-1.4452367622632999E-3</v>
      </c>
      <c r="T19" s="1"/>
      <c r="U19" s="1"/>
      <c r="V19" s="1"/>
      <c r="W19" s="1"/>
      <c r="X19" s="1"/>
      <c r="Y19" s="1"/>
      <c r="Z19" s="1">
        <f t="shared" si="0"/>
        <v>3.6021421143176711E-2</v>
      </c>
      <c r="AA19" s="1">
        <f t="shared" si="1"/>
        <v>280.01510522675386</v>
      </c>
      <c r="AB19" s="1"/>
      <c r="AC19" s="1"/>
      <c r="AD19" s="1"/>
      <c r="AE19" s="1">
        <f t="shared" si="2"/>
        <v>2.8141850970449998E-4</v>
      </c>
      <c r="AF19" s="1"/>
      <c r="AG19" s="1"/>
      <c r="AH19" s="1"/>
    </row>
    <row r="20" spans="1:34" x14ac:dyDescent="0.2">
      <c r="A20">
        <v>1768.5</v>
      </c>
      <c r="B20" s="1">
        <v>2.5459736747684699E-2</v>
      </c>
      <c r="C20" s="1">
        <v>9.1033394761736008E-3</v>
      </c>
      <c r="D20" s="1">
        <v>1.3393674066922E-3</v>
      </c>
      <c r="E20" s="1">
        <v>-8.4485903383249995E-4</v>
      </c>
      <c r="F20" s="1">
        <v>-1.16935039344416E-2</v>
      </c>
      <c r="G20" s="1">
        <v>5.7787177597102002E-3</v>
      </c>
      <c r="H20" s="1">
        <v>0</v>
      </c>
      <c r="I20" s="1">
        <v>-2.5628368600826E-3</v>
      </c>
      <c r="J20" s="1">
        <v>1.4537515476816E-3</v>
      </c>
      <c r="K20" s="1">
        <v>6.2044132582399995E-4</v>
      </c>
      <c r="L20" s="1">
        <v>1.94469270319521E-2</v>
      </c>
      <c r="M20" s="1">
        <v>0.167134713979911</v>
      </c>
      <c r="N20" s="1">
        <v>-1.2538362968274E-2</v>
      </c>
      <c r="O20" s="1">
        <v>1.0442721207283E-2</v>
      </c>
      <c r="P20" s="1">
        <v>1.43244172700154E-8</v>
      </c>
      <c r="Q20" s="1">
        <v>2.8654168759826799E-2</v>
      </c>
      <c r="R20" s="1">
        <v>0.21523580977168999</v>
      </c>
      <c r="S20" s="1">
        <v>-4.8864398657699998E-4</v>
      </c>
      <c r="T20" s="1"/>
      <c r="U20" s="1"/>
      <c r="V20" s="1"/>
      <c r="W20" s="1"/>
      <c r="X20" s="1"/>
      <c r="Y20" s="1"/>
      <c r="Z20" s="1">
        <f t="shared" si="0"/>
        <v>4.1192531728100966E-2</v>
      </c>
      <c r="AA20" s="1">
        <f t="shared" si="1"/>
        <v>280.27686378889763</v>
      </c>
      <c r="AB20" s="1"/>
      <c r="AC20" s="1"/>
      <c r="AD20" s="1"/>
      <c r="AE20" s="1">
        <f t="shared" si="2"/>
        <v>-1.2538362968274099E-2</v>
      </c>
      <c r="AF20" s="1"/>
      <c r="AG20" s="1"/>
      <c r="AH20" s="1"/>
    </row>
    <row r="21" spans="1:34" x14ac:dyDescent="0.2">
      <c r="A21">
        <v>1769.5</v>
      </c>
      <c r="B21" s="1">
        <v>2.6870977525904199E-2</v>
      </c>
      <c r="C21" s="1">
        <v>9.6062141593842992E-3</v>
      </c>
      <c r="D21" s="1">
        <v>1.4136979798185E-3</v>
      </c>
      <c r="E21" s="1">
        <v>-4.2288855047780002E-4</v>
      </c>
      <c r="F21" s="1">
        <v>-6.0407711539765003E-3</v>
      </c>
      <c r="G21" s="1">
        <v>4.6166053385718001E-3</v>
      </c>
      <c r="H21" s="1">
        <v>0</v>
      </c>
      <c r="I21" s="1">
        <v>-2.7357544666088999E-3</v>
      </c>
      <c r="J21" s="1">
        <v>7.6501835008699998E-4</v>
      </c>
      <c r="K21" s="1">
        <v>6.5491028836980002E-4</v>
      </c>
      <c r="L21" s="1">
        <v>8.5593411406952105E-2</v>
      </c>
      <c r="M21" s="1">
        <v>3.4183551722879298E-2</v>
      </c>
      <c r="N21" s="1">
        <v>-6.4636597044542997E-3</v>
      </c>
      <c r="O21" s="1">
        <v>1.1019927259421001E-2</v>
      </c>
      <c r="P21" s="1">
        <v>1.5120218229460698E-8</v>
      </c>
      <c r="Q21" s="1">
        <v>3.4728024591290603E-2</v>
      </c>
      <c r="R21" s="1">
        <v>0.15450498772112201</v>
      </c>
      <c r="S21" s="1">
        <v>-1.3158258281520999E-3</v>
      </c>
      <c r="T21" s="1"/>
      <c r="U21" s="1"/>
      <c r="V21" s="1"/>
      <c r="W21" s="1"/>
      <c r="X21" s="1"/>
      <c r="Y21" s="1"/>
      <c r="Z21" s="1">
        <f t="shared" si="0"/>
        <v>4.1191684295744928E-2</v>
      </c>
      <c r="AA21" s="1">
        <f t="shared" si="1"/>
        <v>280.27682087233217</v>
      </c>
      <c r="AB21" s="1"/>
      <c r="AC21" s="1"/>
      <c r="AD21" s="1"/>
      <c r="AE21" s="1">
        <f t="shared" si="2"/>
        <v>-6.4636597044543005E-3</v>
      </c>
      <c r="AF21" s="1"/>
      <c r="AG21" s="1"/>
      <c r="AH21" s="1"/>
    </row>
    <row r="22" spans="1:34" x14ac:dyDescent="0.2">
      <c r="A22">
        <v>1770.5</v>
      </c>
      <c r="B22" s="1">
        <v>2.8281883779798699E-2</v>
      </c>
      <c r="C22" s="1">
        <v>1.01087902926126E-2</v>
      </c>
      <c r="D22" s="1">
        <v>1.4880202974513999E-3</v>
      </c>
      <c r="E22" s="1">
        <v>-4.0944920110910001E-4</v>
      </c>
      <c r="F22" s="1">
        <v>-6.2485134975305001E-3</v>
      </c>
      <c r="G22" s="1">
        <v>4.9168545956400998E-3</v>
      </c>
      <c r="H22" s="1">
        <v>0</v>
      </c>
      <c r="I22" s="1">
        <v>-2.9303801786677002E-3</v>
      </c>
      <c r="J22" s="1">
        <v>8.0056222535819998E-4</v>
      </c>
      <c r="K22" s="1">
        <v>6.8937925091550002E-4</v>
      </c>
      <c r="L22" s="1">
        <v>0.117262600860077</v>
      </c>
      <c r="M22" s="1">
        <v>0.17953389169481901</v>
      </c>
      <c r="N22" s="1">
        <v>-6.6579626986396001E-3</v>
      </c>
      <c r="O22" s="1">
        <v>1.15968265060831E-2</v>
      </c>
      <c r="P22" s="1">
        <v>1.5916019188878899E-8</v>
      </c>
      <c r="Q22" s="1">
        <v>3.66971634804883E-2</v>
      </c>
      <c r="R22" s="1">
        <v>0.333493656035385</v>
      </c>
      <c r="S22" s="1">
        <v>-1.440438702394E-3</v>
      </c>
      <c r="T22" s="1"/>
      <c r="U22" s="1"/>
      <c r="V22" s="1"/>
      <c r="W22" s="1"/>
      <c r="X22" s="1"/>
      <c r="Y22" s="1"/>
      <c r="Z22" s="1">
        <f t="shared" si="0"/>
        <v>4.3355126179127991E-2</v>
      </c>
      <c r="AA22" s="1">
        <f t="shared" si="1"/>
        <v>280.38640559295749</v>
      </c>
      <c r="AB22" s="1"/>
      <c r="AC22" s="1"/>
      <c r="AD22" s="1"/>
      <c r="AE22" s="1">
        <f t="shared" si="2"/>
        <v>-6.6579626986396001E-3</v>
      </c>
      <c r="AF22" s="1"/>
      <c r="AG22" s="1"/>
      <c r="AH22" s="1"/>
    </row>
    <row r="23" spans="1:34" x14ac:dyDescent="0.2">
      <c r="A23">
        <v>1771.5</v>
      </c>
      <c r="B23" s="1">
        <v>2.9692455683285199E-2</v>
      </c>
      <c r="C23" s="1">
        <v>1.0611068345705899E-2</v>
      </c>
      <c r="D23" s="1">
        <v>1.5623343642816E-3</v>
      </c>
      <c r="E23" s="1">
        <v>6.3639158959539999E-4</v>
      </c>
      <c r="F23" s="1">
        <v>-2.016023231483E-4</v>
      </c>
      <c r="G23" s="1">
        <v>3.9782068869466001E-3</v>
      </c>
      <c r="H23" s="1">
        <v>0</v>
      </c>
      <c r="I23" s="1">
        <v>-3.1467552503883001E-3</v>
      </c>
      <c r="J23" s="1">
        <v>2.2104409023050001E-4</v>
      </c>
      <c r="K23" s="1">
        <v>7.2384821346129999E-4</v>
      </c>
      <c r="L23" s="1">
        <v>0.10971191726632699</v>
      </c>
      <c r="M23" s="1">
        <v>0.23405969221259801</v>
      </c>
      <c r="N23" s="1">
        <v>4.3478926644709999E-4</v>
      </c>
      <c r="O23" s="1">
        <v>1.2173419421807601E-2</v>
      </c>
      <c r="P23" s="1">
        <v>1.6711820148351299E-8</v>
      </c>
      <c r="Q23" s="1">
        <v>4.4077008311789997E-2</v>
      </c>
      <c r="R23" s="1">
        <v>0.387848617790716</v>
      </c>
      <c r="S23" s="1">
        <v>-2.2018629466965E-3</v>
      </c>
      <c r="T23" s="1"/>
      <c r="U23" s="1"/>
      <c r="V23" s="1"/>
      <c r="W23" s="1"/>
      <c r="X23" s="1"/>
      <c r="Y23" s="1"/>
      <c r="Z23" s="1">
        <f t="shared" si="0"/>
        <v>4.3642219045342948E-2</v>
      </c>
      <c r="AA23" s="1">
        <f t="shared" si="1"/>
        <v>280.40095091427673</v>
      </c>
      <c r="AB23" s="1"/>
      <c r="AC23" s="1"/>
      <c r="AD23" s="1"/>
      <c r="AE23" s="1">
        <f t="shared" si="2"/>
        <v>4.3478926644709999E-4</v>
      </c>
      <c r="AF23" s="1"/>
      <c r="AG23" s="1"/>
      <c r="AH23" s="1"/>
    </row>
    <row r="24" spans="1:34" x14ac:dyDescent="0.2">
      <c r="A24">
        <v>1772.5</v>
      </c>
      <c r="B24" s="1">
        <v>3.1102693410144901E-2</v>
      </c>
      <c r="C24" s="1">
        <v>1.1113048787277501E-2</v>
      </c>
      <c r="D24" s="1">
        <v>1.6366401849903E-3</v>
      </c>
      <c r="E24" s="1">
        <v>1.3004194698453E-3</v>
      </c>
      <c r="F24" s="1">
        <v>3.3275172525929999E-4</v>
      </c>
      <c r="G24" s="1">
        <v>3.7205126003557998E-3</v>
      </c>
      <c r="H24" s="1">
        <v>0</v>
      </c>
      <c r="I24" s="1">
        <v>-3.3652764885343999E-3</v>
      </c>
      <c r="J24" s="1">
        <v>2.00411316170876E-5</v>
      </c>
      <c r="K24" s="1">
        <v>7.5831717600709995E-4</v>
      </c>
      <c r="L24" s="1">
        <v>8.6779055938202093E-2</v>
      </c>
      <c r="M24" s="1">
        <v>0.243692271687524</v>
      </c>
      <c r="N24" s="1">
        <v>1.6331711951045999E-3</v>
      </c>
      <c r="O24" s="1">
        <v>1.2749706479888901E-2</v>
      </c>
      <c r="P24" s="1">
        <v>1.7507621107769499E-8</v>
      </c>
      <c r="Q24" s="1">
        <v>4.6619165504583997E-2</v>
      </c>
      <c r="R24" s="1">
        <v>0.37709049313031001</v>
      </c>
      <c r="S24" s="1">
        <v>-2.5869181809102101E-3</v>
      </c>
      <c r="T24" s="1"/>
      <c r="U24" s="1"/>
      <c r="V24" s="1"/>
      <c r="W24" s="1"/>
      <c r="X24" s="1"/>
      <c r="Y24" s="1"/>
      <c r="Z24" s="1">
        <f t="shared" si="0"/>
        <v>4.4985994309479395E-2</v>
      </c>
      <c r="AA24" s="1">
        <f t="shared" si="1"/>
        <v>280.46904220255851</v>
      </c>
      <c r="AB24" s="1"/>
      <c r="AC24" s="1"/>
      <c r="AD24" s="1"/>
      <c r="AE24" s="1">
        <f t="shared" si="2"/>
        <v>1.6331711951045999E-3</v>
      </c>
      <c r="AF24" s="1"/>
      <c r="AG24" s="1"/>
      <c r="AH24" s="1"/>
    </row>
    <row r="25" spans="1:34" x14ac:dyDescent="0.2">
      <c r="A25">
        <v>1773.5</v>
      </c>
      <c r="B25" s="1">
        <v>3.2512597134019702E-2</v>
      </c>
      <c r="C25" s="1">
        <v>1.1614732084711799E-2</v>
      </c>
      <c r="D25" s="1">
        <v>1.7109377642501001E-3</v>
      </c>
      <c r="E25" s="1">
        <v>1.0151691169454E-3</v>
      </c>
      <c r="F25" s="1">
        <v>7.7061013358352401E-5</v>
      </c>
      <c r="G25" s="1">
        <v>3.9040656699311999E-3</v>
      </c>
      <c r="H25" s="1">
        <v>0</v>
      </c>
      <c r="I25" s="1">
        <v>-3.5859331932671999E-3</v>
      </c>
      <c r="J25" s="1">
        <v>1.182254688847E-4</v>
      </c>
      <c r="K25" s="1">
        <v>7.9278613855290002E-4</v>
      </c>
      <c r="L25" s="1">
        <v>5.0835305938202097E-2</v>
      </c>
      <c r="M25" s="1">
        <v>0.24524535292173399</v>
      </c>
      <c r="N25" s="1">
        <v>1.09223013030375E-3</v>
      </c>
      <c r="O25" s="1">
        <v>1.3325688152383899E-2</v>
      </c>
      <c r="P25" s="1">
        <v>1.8303422067214801E-8</v>
      </c>
      <c r="Q25" s="1">
        <v>4.8159659500808999E-2</v>
      </c>
      <c r="R25" s="1">
        <v>0.34424031836074498</v>
      </c>
      <c r="S25" s="1">
        <v>-2.6749215858295899E-3</v>
      </c>
      <c r="T25" s="1"/>
      <c r="U25" s="1"/>
      <c r="V25" s="1"/>
      <c r="W25" s="1"/>
      <c r="X25" s="1"/>
      <c r="Y25" s="1"/>
      <c r="Z25" s="1">
        <f t="shared" si="0"/>
        <v>4.7067429370505273E-2</v>
      </c>
      <c r="AA25" s="1">
        <f t="shared" si="1"/>
        <v>280.57454456101703</v>
      </c>
      <c r="AB25" s="1"/>
      <c r="AC25" s="1"/>
      <c r="AD25" s="1"/>
      <c r="AE25" s="1">
        <f t="shared" si="2"/>
        <v>1.0922301303037524E-3</v>
      </c>
      <c r="AF25" s="1"/>
      <c r="AG25" s="1"/>
      <c r="AH25" s="1"/>
    </row>
    <row r="26" spans="1:34" x14ac:dyDescent="0.2">
      <c r="A26">
        <v>1774.5</v>
      </c>
      <c r="B26" s="1">
        <v>3.3922167028420699E-2</v>
      </c>
      <c r="C26" s="1">
        <v>1.2116118704168E-2</v>
      </c>
      <c r="D26" s="1">
        <v>1.7852271067252999E-3</v>
      </c>
      <c r="E26" s="1">
        <v>-7.0772529710400002E-4</v>
      </c>
      <c r="F26" s="1">
        <v>-8.7014794461873993E-3</v>
      </c>
      <c r="G26" s="1">
        <v>5.6986906474284999E-3</v>
      </c>
      <c r="H26" s="1">
        <v>0</v>
      </c>
      <c r="I26" s="1">
        <v>-3.8087091152127E-3</v>
      </c>
      <c r="J26" s="1">
        <v>1.0823496359076E-3</v>
      </c>
      <c r="K26" s="1">
        <v>8.2725510109860003E-4</v>
      </c>
      <c r="L26" s="1">
        <v>1.0086575469452101E-2</v>
      </c>
      <c r="M26" s="1">
        <v>0.24548460749392501</v>
      </c>
      <c r="N26" s="1">
        <v>-9.4092047432913998E-3</v>
      </c>
      <c r="O26" s="1">
        <v>1.3901364910116299E-2</v>
      </c>
      <c r="P26" s="1">
        <v>1.90992230266601E-8</v>
      </c>
      <c r="Q26" s="1">
        <v>4.2213913464467602E-2</v>
      </c>
      <c r="R26" s="1">
        <v>0.29778509642784401</v>
      </c>
      <c r="S26" s="1">
        <v>-1.8991043782065E-3</v>
      </c>
      <c r="T26" s="1"/>
      <c r="U26" s="1"/>
      <c r="V26" s="1"/>
      <c r="W26" s="1"/>
      <c r="X26" s="1"/>
      <c r="Y26" s="1"/>
      <c r="Z26" s="1">
        <f t="shared" si="0"/>
        <v>5.1623118207759028E-2</v>
      </c>
      <c r="AA26" s="1">
        <f t="shared" si="1"/>
        <v>280.80559871501896</v>
      </c>
      <c r="AB26" s="1"/>
      <c r="AC26" s="1"/>
      <c r="AD26" s="1"/>
      <c r="AE26" s="1">
        <f t="shared" si="2"/>
        <v>-9.4092047432913998E-3</v>
      </c>
      <c r="AF26" s="1"/>
      <c r="AG26" s="1"/>
      <c r="AH26" s="1"/>
    </row>
    <row r="27" spans="1:34" x14ac:dyDescent="0.2">
      <c r="A27">
        <v>1775.5</v>
      </c>
      <c r="B27" s="1">
        <v>3.5331403266720199E-2</v>
      </c>
      <c r="C27" s="1">
        <v>1.2617209110585699E-2</v>
      </c>
      <c r="D27" s="1">
        <v>1.8595082170708001E-3</v>
      </c>
      <c r="E27" s="1">
        <v>5.7843984184610003E-4</v>
      </c>
      <c r="F27" s="1">
        <v>-4.7173100069802E-3</v>
      </c>
      <c r="G27" s="1">
        <v>5.7800302170447002E-3</v>
      </c>
      <c r="H27" s="1">
        <v>0</v>
      </c>
      <c r="I27" s="1">
        <v>-4.0335401960378998E-3</v>
      </c>
      <c r="J27" s="1">
        <v>1.0028907149647001E-3</v>
      </c>
      <c r="K27" s="1">
        <v>8.6172406364439999E-4</v>
      </c>
      <c r="L27" s="1">
        <v>-2.5638766327422801E-2</v>
      </c>
      <c r="M27" s="1">
        <v>0.24552050623190599</v>
      </c>
      <c r="N27" s="1">
        <v>-4.1388701651341002E-3</v>
      </c>
      <c r="O27" s="1">
        <v>1.44767372226804E-2</v>
      </c>
      <c r="P27" s="1">
        <v>1.9895023986105399E-8</v>
      </c>
      <c r="Q27" s="1">
        <v>4.9280375123882399E-2</v>
      </c>
      <c r="R27" s="1">
        <v>0.26916211502836501</v>
      </c>
      <c r="S27" s="1">
        <v>-2.1689254174287998E-3</v>
      </c>
      <c r="T27" s="1"/>
      <c r="U27" s="1"/>
      <c r="V27" s="1"/>
      <c r="W27" s="1"/>
      <c r="X27" s="1"/>
      <c r="Y27" s="1"/>
      <c r="Z27" s="1">
        <f t="shared" si="0"/>
        <v>5.3419245289016593E-2</v>
      </c>
      <c r="AA27" s="1">
        <f t="shared" si="1"/>
        <v>280.89674647488397</v>
      </c>
      <c r="AB27" s="1"/>
      <c r="AC27" s="1"/>
      <c r="AD27" s="1"/>
      <c r="AE27" s="1">
        <f t="shared" si="2"/>
        <v>-4.1388701651341002E-3</v>
      </c>
      <c r="AF27" s="1"/>
      <c r="AG27" s="1"/>
      <c r="AH27" s="1"/>
    </row>
    <row r="28" spans="1:34" x14ac:dyDescent="0.2">
      <c r="A28">
        <v>1776.5</v>
      </c>
      <c r="B28" s="1">
        <v>3.6740306022155202E-2</v>
      </c>
      <c r="C28" s="1">
        <v>1.31180037676883E-2</v>
      </c>
      <c r="D28" s="1">
        <v>1.9337810999329999E-3</v>
      </c>
      <c r="E28" s="1">
        <v>6.6991832289279999E-4</v>
      </c>
      <c r="F28" s="1">
        <v>-4.6309795508170002E-4</v>
      </c>
      <c r="G28" s="1">
        <v>4.6243238883023003E-3</v>
      </c>
      <c r="H28" s="1">
        <v>0</v>
      </c>
      <c r="I28" s="1">
        <v>-4.2604658554265002E-3</v>
      </c>
      <c r="J28" s="1">
        <v>4.478225115576E-4</v>
      </c>
      <c r="K28" s="1">
        <v>8.9619302619019995E-4</v>
      </c>
      <c r="L28" s="1">
        <v>-4.67931608586728E-2</v>
      </c>
      <c r="M28" s="1">
        <v>0.24552581078549901</v>
      </c>
      <c r="N28" s="1">
        <v>2.0682036781109899E-4</v>
      </c>
      <c r="O28" s="1">
        <v>1.50518055584462E-2</v>
      </c>
      <c r="P28" s="1">
        <v>2.0690824945550701E-8</v>
      </c>
      <c r="Q28" s="1">
        <v>5.3706805519036102E-2</v>
      </c>
      <c r="R28" s="1">
        <v>0.25243945544586199</v>
      </c>
      <c r="S28" s="1">
        <v>-2.9164503176786999E-3</v>
      </c>
      <c r="T28" s="1"/>
      <c r="U28" s="1"/>
      <c r="V28" s="1"/>
      <c r="W28" s="1"/>
      <c r="X28" s="1"/>
      <c r="Y28" s="1"/>
      <c r="Z28" s="1">
        <f t="shared" si="0"/>
        <v>5.3499985151225046E-2</v>
      </c>
      <c r="AA28" s="1">
        <f t="shared" si="1"/>
        <v>280.90084446193356</v>
      </c>
      <c r="AB28" s="1"/>
      <c r="AC28" s="1"/>
      <c r="AD28" s="1"/>
      <c r="AE28" s="1">
        <f t="shared" si="2"/>
        <v>2.0682036781109997E-4</v>
      </c>
      <c r="AF28" s="1"/>
      <c r="AG28" s="1"/>
      <c r="AH28" s="1"/>
    </row>
    <row r="29" spans="1:34" x14ac:dyDescent="0.2">
      <c r="A29">
        <v>1777.5</v>
      </c>
      <c r="B29" s="1">
        <v>3.8148875467830003E-2</v>
      </c>
      <c r="C29" s="1">
        <v>1.3618503137987899E-2</v>
      </c>
      <c r="D29" s="1">
        <v>2.0080457599496002E-3</v>
      </c>
      <c r="E29" s="1">
        <v>6.9233534198769996E-4</v>
      </c>
      <c r="F29" s="1">
        <v>-6.7408559930623004E-3</v>
      </c>
      <c r="G29" s="1">
        <v>6.4842819260590998E-3</v>
      </c>
      <c r="H29" s="1">
        <v>0</v>
      </c>
      <c r="I29" s="1">
        <v>-4.4893914890366E-3</v>
      </c>
      <c r="J29" s="1">
        <v>1.3499015400366E-3</v>
      </c>
      <c r="K29" s="1">
        <v>9.3066198873600003E-4</v>
      </c>
      <c r="L29" s="1">
        <v>-4.29866178899228E-2</v>
      </c>
      <c r="M29" s="1">
        <v>0.24552658769902999</v>
      </c>
      <c r="N29" s="1">
        <v>-6.0485206510746004E-3</v>
      </c>
      <c r="O29" s="1">
        <v>1.5626570384563401E-2</v>
      </c>
      <c r="P29" s="1">
        <v>2.1486625905023101E-8</v>
      </c>
      <c r="Q29" s="1">
        <v>5.20023791671139E-2</v>
      </c>
      <c r="R29" s="1">
        <v>0.25454234897622102</v>
      </c>
      <c r="S29" s="1">
        <v>-2.2088279602639998E-3</v>
      </c>
      <c r="T29" s="1"/>
      <c r="U29" s="1"/>
      <c r="V29" s="1"/>
      <c r="W29" s="1"/>
      <c r="X29" s="1"/>
      <c r="Y29" s="1"/>
      <c r="Z29" s="1">
        <f t="shared" si="0"/>
        <v>5.8050899818188506E-2</v>
      </c>
      <c r="AA29" s="1">
        <f t="shared" si="1"/>
        <v>281.13192480877149</v>
      </c>
      <c r="AB29" s="1"/>
      <c r="AC29" s="1"/>
      <c r="AD29" s="1"/>
      <c r="AE29" s="1">
        <f t="shared" si="2"/>
        <v>-6.0485206510746004E-3</v>
      </c>
      <c r="AF29" s="1"/>
      <c r="AG29" s="1"/>
      <c r="AH29" s="1"/>
    </row>
    <row r="30" spans="1:34" x14ac:dyDescent="0.2">
      <c r="A30">
        <v>1778.5</v>
      </c>
      <c r="B30" s="1">
        <v>3.9557111776713803E-2</v>
      </c>
      <c r="C30" s="1">
        <v>1.41187076827899E-2</v>
      </c>
      <c r="D30" s="1">
        <v>2.0823022017495999E-3</v>
      </c>
      <c r="E30" s="1">
        <v>2.7095068034990001E-4</v>
      </c>
      <c r="F30" s="1">
        <v>-1.0926001753768099E-2</v>
      </c>
      <c r="G30" s="1">
        <v>7.5966713003976999E-3</v>
      </c>
      <c r="H30" s="1">
        <v>0</v>
      </c>
      <c r="I30" s="1">
        <v>-4.7203494495928998E-3</v>
      </c>
      <c r="J30" s="1">
        <v>1.7866116744804999E-3</v>
      </c>
      <c r="K30" s="1">
        <v>9.6513095128179999E-4</v>
      </c>
      <c r="L30" s="1">
        <v>1.6466584772646001E-3</v>
      </c>
      <c r="M30" s="1">
        <v>0.242553280513122</v>
      </c>
      <c r="N30" s="1">
        <v>-1.06550510734181E-2</v>
      </c>
      <c r="O30" s="1">
        <v>1.6201032166966299E-2</v>
      </c>
      <c r="P30" s="1">
        <v>2.2282426864441301E-8</v>
      </c>
      <c r="Q30" s="1">
        <v>5.0731157346829002E-2</v>
      </c>
      <c r="R30" s="1">
        <v>0.29493109633721498</v>
      </c>
      <c r="S30" s="1">
        <v>-1.9686068238306E-3</v>
      </c>
      <c r="T30" s="1"/>
      <c r="U30" s="1"/>
      <c r="V30" s="1"/>
      <c r="W30" s="1"/>
      <c r="X30" s="1"/>
      <c r="Y30" s="1"/>
      <c r="Z30" s="1">
        <f t="shared" si="0"/>
        <v>6.1386208420247265E-2</v>
      </c>
      <c r="AA30" s="1">
        <f t="shared" si="1"/>
        <v>281.30140141624707</v>
      </c>
      <c r="AB30" s="1"/>
      <c r="AC30" s="1"/>
      <c r="AD30" s="1"/>
      <c r="AE30" s="1">
        <f t="shared" si="2"/>
        <v>-1.0655051073418199E-2</v>
      </c>
      <c r="AF30" s="1"/>
      <c r="AG30" s="1"/>
      <c r="AH30" s="1"/>
    </row>
    <row r="31" spans="1:34" x14ac:dyDescent="0.2">
      <c r="A31">
        <v>1779.5</v>
      </c>
      <c r="B31" s="1">
        <v>4.0965015121637603E-2</v>
      </c>
      <c r="C31" s="1">
        <v>1.4618617862197199E-2</v>
      </c>
      <c r="D31" s="1">
        <v>2.1565504299533998E-3</v>
      </c>
      <c r="E31" s="1">
        <v>6.5551928849630001E-4</v>
      </c>
      <c r="F31" s="1">
        <v>-5.7719399806998003E-3</v>
      </c>
      <c r="G31" s="1">
        <v>6.2972943154365E-3</v>
      </c>
      <c r="H31" s="1">
        <v>0</v>
      </c>
      <c r="I31" s="1">
        <v>-4.9532727299954997E-3</v>
      </c>
      <c r="J31" s="1">
        <v>1.2089841321597E-3</v>
      </c>
      <c r="K31" s="1">
        <v>9.995999138275001E-4</v>
      </c>
      <c r="L31" s="1">
        <v>7.30505403132021E-2</v>
      </c>
      <c r="M31" s="1">
        <v>0.165436256200344</v>
      </c>
      <c r="N31" s="1">
        <v>-5.1164206922035002E-3</v>
      </c>
      <c r="O31" s="1">
        <v>1.67751913703784E-2</v>
      </c>
      <c r="P31" s="1">
        <v>2.30782278238866E-8</v>
      </c>
      <c r="Q31" s="1">
        <v>5.6176391431240702E-2</v>
      </c>
      <c r="R31" s="1">
        <v>0.29466318794478702</v>
      </c>
      <c r="S31" s="1">
        <v>-2.74468868400829E-3</v>
      </c>
      <c r="T31" s="1"/>
      <c r="U31" s="1"/>
      <c r="V31" s="1"/>
      <c r="W31" s="1"/>
      <c r="X31" s="1"/>
      <c r="Y31" s="1"/>
      <c r="Z31" s="1">
        <f t="shared" si="0"/>
        <v>6.1292812123444222E-2</v>
      </c>
      <c r="AA31" s="1">
        <f t="shared" si="1"/>
        <v>281.29665429210911</v>
      </c>
      <c r="AB31" s="1"/>
      <c r="AC31" s="1"/>
      <c r="AD31" s="1"/>
      <c r="AE31" s="1">
        <f t="shared" si="2"/>
        <v>-5.1164206922035002E-3</v>
      </c>
      <c r="AF31" s="1"/>
      <c r="AG31" s="1"/>
      <c r="AH31" s="1"/>
    </row>
    <row r="32" spans="1:34" x14ac:dyDescent="0.2">
      <c r="A32">
        <v>1780.5</v>
      </c>
      <c r="B32" s="1">
        <v>4.2372585675301298E-2</v>
      </c>
      <c r="C32" s="1">
        <v>1.51182341351144E-2</v>
      </c>
      <c r="D32" s="1">
        <v>2.2307904491722999E-3</v>
      </c>
      <c r="E32" s="1">
        <v>-5.4400766782959999E-4</v>
      </c>
      <c r="F32" s="1">
        <v>-1.19315177410861E-2</v>
      </c>
      <c r="G32" s="1">
        <v>6.9959271505794004E-3</v>
      </c>
      <c r="H32" s="1">
        <v>0</v>
      </c>
      <c r="I32" s="1">
        <v>-5.1786450139968002E-3</v>
      </c>
      <c r="J32" s="1">
        <v>1.6331909169073999E-3</v>
      </c>
      <c r="K32" s="1">
        <v>1.0340688763733001E-3</v>
      </c>
      <c r="L32" s="1">
        <v>0.115827346953827</v>
      </c>
      <c r="M32" s="1">
        <v>0.19198439580035401</v>
      </c>
      <c r="N32" s="1">
        <v>-1.2475525408915699E-2</v>
      </c>
      <c r="O32" s="1">
        <v>1.7349048458315398E-2</v>
      </c>
      <c r="P32" s="1">
        <v>2.3874028783359001E-8</v>
      </c>
      <c r="Q32" s="1">
        <v>5.1730650654564302E-2</v>
      </c>
      <c r="R32" s="1">
        <v>0.359542393408745</v>
      </c>
      <c r="S32" s="1">
        <v>-2.5113852207161E-3</v>
      </c>
      <c r="T32" s="1"/>
      <c r="U32" s="1"/>
      <c r="V32" s="1"/>
      <c r="W32" s="1"/>
      <c r="X32" s="1"/>
      <c r="Y32" s="1"/>
      <c r="Z32" s="1">
        <f t="shared" si="0"/>
        <v>6.4206176063480086E-2</v>
      </c>
      <c r="AA32" s="1">
        <f t="shared" si="1"/>
        <v>281.44477177478154</v>
      </c>
      <c r="AB32" s="1"/>
      <c r="AC32" s="1"/>
      <c r="AD32" s="1"/>
      <c r="AE32" s="1">
        <f t="shared" si="2"/>
        <v>-1.2475525408915699E-2</v>
      </c>
      <c r="AF32" s="1"/>
      <c r="AG32" s="1"/>
      <c r="AH32" s="1"/>
    </row>
    <row r="33" spans="1:34" x14ac:dyDescent="0.2">
      <c r="A33">
        <v>1781.5</v>
      </c>
      <c r="B33" s="1">
        <v>4.3779823610271398E-2</v>
      </c>
      <c r="C33" s="1">
        <v>1.56175569592528E-2</v>
      </c>
      <c r="D33" s="1">
        <v>2.3050222640096998E-3</v>
      </c>
      <c r="E33" s="1">
        <v>4.4619803351420001E-4</v>
      </c>
      <c r="F33" s="1">
        <v>-9.4412198673530998E-3</v>
      </c>
      <c r="G33" s="1">
        <v>7.3589838247772E-3</v>
      </c>
      <c r="H33" s="1">
        <v>0</v>
      </c>
      <c r="I33" s="1">
        <v>-5.3964773596267002E-3</v>
      </c>
      <c r="J33" s="1">
        <v>1.6499073382205999E-3</v>
      </c>
      <c r="K33" s="1">
        <v>1.0685378389191E-3</v>
      </c>
      <c r="L33" s="1">
        <v>0.115671341094452</v>
      </c>
      <c r="M33" s="1">
        <v>0.23645367447632401</v>
      </c>
      <c r="N33" s="1">
        <v>-8.9950218338388996E-3</v>
      </c>
      <c r="O33" s="1">
        <v>1.79226038930922E-2</v>
      </c>
      <c r="P33" s="1">
        <v>2.4669829742777201E-8</v>
      </c>
      <c r="Q33" s="1">
        <v>5.7388357311814901E-2</v>
      </c>
      <c r="R33" s="1">
        <v>0.40951337288259099</v>
      </c>
      <c r="S33" s="1">
        <v>-2.6780321824869998E-3</v>
      </c>
      <c r="T33" s="1"/>
      <c r="U33" s="1"/>
      <c r="V33" s="1"/>
      <c r="W33" s="1"/>
      <c r="X33" s="1"/>
      <c r="Y33" s="1"/>
      <c r="Z33" s="1">
        <f t="shared" si="0"/>
        <v>6.6383379145653842E-2</v>
      </c>
      <c r="AA33" s="1">
        <f t="shared" si="1"/>
        <v>281.55551323728531</v>
      </c>
      <c r="AB33" s="1"/>
      <c r="AC33" s="1"/>
      <c r="AD33" s="1"/>
      <c r="AE33" s="1">
        <f t="shared" si="2"/>
        <v>-8.9950218338388996E-3</v>
      </c>
      <c r="AF33" s="1"/>
      <c r="AG33" s="1"/>
      <c r="AH33" s="1"/>
    </row>
    <row r="34" spans="1:34" x14ac:dyDescent="0.2">
      <c r="A34">
        <v>1782.5</v>
      </c>
      <c r="B34" s="1">
        <v>4.5186729098972797E-2</v>
      </c>
      <c r="C34" s="1">
        <v>1.61165867911338E-2</v>
      </c>
      <c r="D34" s="1">
        <v>2.3792458790593998E-3</v>
      </c>
      <c r="E34" s="1">
        <v>1.9151694854870001E-4</v>
      </c>
      <c r="F34" s="1">
        <v>-7.1956059974325999E-3</v>
      </c>
      <c r="G34" s="1">
        <v>6.4693213012116998E-3</v>
      </c>
      <c r="H34" s="1">
        <v>0</v>
      </c>
      <c r="I34" s="1">
        <v>-5.6162010287138997E-3</v>
      </c>
      <c r="J34" s="1">
        <v>1.2190555550324999E-3</v>
      </c>
      <c r="K34" s="1">
        <v>1.1030068014649E-3</v>
      </c>
      <c r="L34" s="1">
        <v>9.1381228789764596E-2</v>
      </c>
      <c r="M34" s="1">
        <v>0.24414492866645501</v>
      </c>
      <c r="N34" s="1">
        <v>-7.0040890488839002E-3</v>
      </c>
      <c r="O34" s="1">
        <v>1.8495858135823901E-2</v>
      </c>
      <c r="P34" s="1">
        <v>2.54656307022225E-8</v>
      </c>
      <c r="Q34" s="1">
        <v>5.9853680814907897E-2</v>
      </c>
      <c r="R34" s="1">
        <v>0.39537983827112699</v>
      </c>
      <c r="S34" s="1">
        <v>-3.2941386722164902E-3</v>
      </c>
      <c r="T34" s="1"/>
      <c r="U34" s="1"/>
      <c r="V34" s="1"/>
      <c r="W34" s="1"/>
      <c r="X34" s="1"/>
      <c r="Y34" s="1"/>
      <c r="Z34" s="1">
        <f t="shared" si="0"/>
        <v>6.6857769863791897E-2</v>
      </c>
      <c r="AA34" s="1">
        <f t="shared" si="1"/>
        <v>281.57964847236008</v>
      </c>
      <c r="AB34" s="1"/>
      <c r="AC34" s="1"/>
      <c r="AD34" s="1"/>
      <c r="AE34" s="1">
        <f t="shared" si="2"/>
        <v>-7.0040890488839002E-3</v>
      </c>
      <c r="AF34" s="1"/>
      <c r="AG34" s="1"/>
      <c r="AH34" s="1"/>
    </row>
    <row r="35" spans="1:34" x14ac:dyDescent="0.2">
      <c r="A35">
        <v>1783.5</v>
      </c>
      <c r="B35" s="1">
        <v>4.6593302313703303E-2</v>
      </c>
      <c r="C35" s="1">
        <v>1.66153240860944E-2</v>
      </c>
      <c r="D35" s="1">
        <v>2.4534612989083999E-3</v>
      </c>
      <c r="E35" s="1">
        <v>4.285464534238E-4</v>
      </c>
      <c r="F35" s="1">
        <v>-5.4975982546602003E-3</v>
      </c>
      <c r="G35" s="1">
        <v>6.4945824298496997E-3</v>
      </c>
      <c r="H35" s="1">
        <v>0</v>
      </c>
      <c r="I35" s="1">
        <v>-5.8377725302465999E-3</v>
      </c>
      <c r="J35" s="1">
        <v>1.0814211260276999E-3</v>
      </c>
      <c r="K35" s="1">
        <v>1.1374757640107E-3</v>
      </c>
      <c r="L35" s="1">
        <v>5.4517044219452103E-2</v>
      </c>
      <c r="M35" s="1">
        <v>-2.09200576532827</v>
      </c>
      <c r="N35" s="1">
        <v>-5.0690518012363999E-3</v>
      </c>
      <c r="O35" s="1">
        <v>1.9068811646434401E-2</v>
      </c>
      <c r="P35" s="1">
        <v>2.6261431661667802E-8</v>
      </c>
      <c r="Q35" s="1">
        <v>6.3468768948542795E-2</v>
      </c>
      <c r="R35" s="1">
        <v>-1.9740199521602799</v>
      </c>
      <c r="S35" s="1">
        <v>-3.6188756402082E-3</v>
      </c>
      <c r="T35" s="1"/>
      <c r="U35" s="1"/>
      <c r="V35" s="1"/>
      <c r="W35" s="1"/>
      <c r="X35" s="1"/>
      <c r="Y35" s="1"/>
      <c r="Z35" s="1">
        <f t="shared" si="0"/>
        <v>6.8537820749779266E-2</v>
      </c>
      <c r="AA35" s="1">
        <f t="shared" si="1"/>
        <v>281.66513985082497</v>
      </c>
      <c r="AB35" s="1"/>
      <c r="AC35" s="1"/>
      <c r="AD35" s="1"/>
      <c r="AE35" s="1">
        <f t="shared" si="2"/>
        <v>-5.0690518012363999E-3</v>
      </c>
      <c r="AF35" s="1"/>
      <c r="AG35" s="1"/>
      <c r="AH35" s="1"/>
    </row>
    <row r="36" spans="1:34" x14ac:dyDescent="0.2">
      <c r="A36">
        <v>1784.5</v>
      </c>
      <c r="B36" s="1">
        <v>4.7999543426625602E-2</v>
      </c>
      <c r="C36" s="1">
        <v>1.7113769298289901E-2</v>
      </c>
      <c r="D36" s="1">
        <v>2.5276685281327002E-3</v>
      </c>
      <c r="E36" s="1">
        <v>2.0429026623510001E-3</v>
      </c>
      <c r="F36" s="1">
        <v>-4.7269523631719999E-4</v>
      </c>
      <c r="G36" s="1">
        <v>6.6559179215062002E-3</v>
      </c>
      <c r="H36" s="1">
        <v>0</v>
      </c>
      <c r="I36" s="1">
        <v>-6.0612011718882003E-3</v>
      </c>
      <c r="J36" s="1">
        <v>9.4011210298079999E-4</v>
      </c>
      <c r="K36" s="1">
        <v>1.1719447265564E-3</v>
      </c>
      <c r="L36" s="1">
        <v>1.09914094538271E-2</v>
      </c>
      <c r="M36" s="1">
        <v>-3.0453962703050799</v>
      </c>
      <c r="N36" s="1">
        <v>1.5702074260337999E-3</v>
      </c>
      <c r="O36" s="1">
        <v>1.9641464883655198E-2</v>
      </c>
      <c r="P36" s="1">
        <v>2.7057232621085999E-8</v>
      </c>
      <c r="Q36" s="1">
        <v>7.1917989315469805E-2</v>
      </c>
      <c r="R36" s="1">
        <v>-2.9624868715357802</v>
      </c>
      <c r="S36" s="1">
        <v>-3.9491443423509999E-3</v>
      </c>
      <c r="T36" s="1"/>
      <c r="U36" s="1"/>
      <c r="V36" s="1"/>
      <c r="W36" s="1"/>
      <c r="X36" s="1"/>
      <c r="Y36" s="1"/>
      <c r="Z36" s="1">
        <f t="shared" si="0"/>
        <v>7.0347781889436023E-2</v>
      </c>
      <c r="AA36" s="1">
        <f t="shared" si="1"/>
        <v>281.75727091113725</v>
      </c>
      <c r="AB36" s="1"/>
      <c r="AC36" s="1"/>
      <c r="AD36" s="1"/>
      <c r="AE36" s="1">
        <f t="shared" si="2"/>
        <v>1.5702074260338001E-3</v>
      </c>
      <c r="AF36" s="1"/>
      <c r="AG36" s="1"/>
      <c r="AH36" s="1"/>
    </row>
    <row r="37" spans="1:34" x14ac:dyDescent="0.2">
      <c r="A37">
        <v>1785.5</v>
      </c>
      <c r="B37" s="1">
        <v>4.9405452609764498E-2</v>
      </c>
      <c r="C37" s="1">
        <v>1.7611922880700299E-2</v>
      </c>
      <c r="D37" s="1">
        <v>2.6018675713016001E-3</v>
      </c>
      <c r="E37" s="1">
        <v>2.3324752678159999E-4</v>
      </c>
      <c r="F37" s="1">
        <v>-7.8707695780756998E-3</v>
      </c>
      <c r="G37" s="1">
        <v>7.2927017547496998E-3</v>
      </c>
      <c r="H37" s="1">
        <v>0</v>
      </c>
      <c r="I37" s="1">
        <v>-6.2864410399200996E-3</v>
      </c>
      <c r="J37" s="1">
        <v>1.3391229053227999E-3</v>
      </c>
      <c r="K37" s="1">
        <v>1.2064136891021999E-3</v>
      </c>
      <c r="L37" s="1">
        <v>-2.5701168671172801E-2</v>
      </c>
      <c r="M37" s="1">
        <v>-0.31178893004656399</v>
      </c>
      <c r="N37" s="1">
        <v>-7.6375220512940999E-3</v>
      </c>
      <c r="O37" s="1">
        <v>2.0213818305035401E-2</v>
      </c>
      <c r="P37" s="1">
        <v>2.7853033580558399E-8</v>
      </c>
      <c r="Q37" s="1">
        <v>6.5533546172760401E-2</v>
      </c>
      <c r="R37" s="1">
        <v>-0.27195655254497703</v>
      </c>
      <c r="S37" s="1">
        <v>-3.7409044454950898E-3</v>
      </c>
      <c r="T37" s="1"/>
      <c r="U37" s="1"/>
      <c r="V37" s="1"/>
      <c r="W37" s="1"/>
      <c r="X37" s="1"/>
      <c r="Y37" s="1"/>
      <c r="Z37" s="1">
        <f t="shared" si="0"/>
        <v>7.3171068224054572E-2</v>
      </c>
      <c r="AA37" s="1">
        <f t="shared" si="1"/>
        <v>281.90104265440738</v>
      </c>
      <c r="AB37" s="1"/>
      <c r="AC37" s="1"/>
      <c r="AD37" s="1"/>
      <c r="AE37" s="1">
        <f t="shared" si="2"/>
        <v>-7.6375220512940999E-3</v>
      </c>
      <c r="AF37" s="1"/>
      <c r="AG37" s="1"/>
      <c r="AH37" s="1"/>
    </row>
    <row r="38" spans="1:34" x14ac:dyDescent="0.2">
      <c r="A38">
        <v>1786.5</v>
      </c>
      <c r="B38" s="1">
        <v>5.0811030035014797E-2</v>
      </c>
      <c r="C38" s="1">
        <v>1.8109785285132299E-2</v>
      </c>
      <c r="D38" s="1">
        <v>2.6760584329759999E-3</v>
      </c>
      <c r="E38" s="1">
        <v>1.2896378960465E-3</v>
      </c>
      <c r="F38" s="1">
        <v>-3.4791497340436002E-3</v>
      </c>
      <c r="G38" s="1">
        <v>7.3021667064482E-3</v>
      </c>
      <c r="H38" s="1">
        <v>0</v>
      </c>
      <c r="I38" s="1">
        <v>-6.5134439043489003E-3</v>
      </c>
      <c r="J38" s="1">
        <v>1.2392335079980999E-3</v>
      </c>
      <c r="K38" s="1">
        <v>1.2408826516479999E-3</v>
      </c>
      <c r="L38" s="1">
        <v>-4.49990934758603E-2</v>
      </c>
      <c r="M38" s="1">
        <v>-5.4343722181830402E-2</v>
      </c>
      <c r="N38" s="1">
        <v>-2.1895118379971E-3</v>
      </c>
      <c r="O38" s="1">
        <v>2.0785872366942799E-2</v>
      </c>
      <c r="P38" s="1">
        <v>2.8648834540003701E-8</v>
      </c>
      <c r="Q38" s="1">
        <v>7.2676229525705904E-2</v>
      </c>
      <c r="R38" s="1">
        <v>-2.66665861319847E-2</v>
      </c>
      <c r="S38" s="1">
        <v>-4.0333277447028E-3</v>
      </c>
      <c r="T38" s="1"/>
      <c r="U38" s="1"/>
      <c r="V38" s="1"/>
      <c r="W38" s="1"/>
      <c r="X38" s="1"/>
      <c r="Y38" s="1"/>
      <c r="Z38" s="1">
        <f t="shared" si="0"/>
        <v>7.4865741363703039E-2</v>
      </c>
      <c r="AA38" s="1">
        <f t="shared" si="1"/>
        <v>281.98737664650668</v>
      </c>
      <c r="AB38" s="1"/>
      <c r="AC38" s="1"/>
      <c r="AD38" s="1"/>
      <c r="AE38" s="1">
        <f t="shared" si="2"/>
        <v>-2.1895118379971004E-3</v>
      </c>
      <c r="AF38" s="1"/>
      <c r="AG38" s="1"/>
      <c r="AH38" s="1"/>
    </row>
    <row r="39" spans="1:34" x14ac:dyDescent="0.2">
      <c r="A39">
        <v>1787.5</v>
      </c>
      <c r="B39" s="1">
        <v>5.2216275874138698E-2</v>
      </c>
      <c r="C39" s="1">
        <v>1.8607356962225499E-2</v>
      </c>
      <c r="D39" s="1">
        <v>2.7502411177068998E-3</v>
      </c>
      <c r="E39" s="1">
        <v>7.9404653450380002E-4</v>
      </c>
      <c r="F39" s="1">
        <v>-8.3316070269983007E-3</v>
      </c>
      <c r="G39" s="1">
        <v>8.2307286056003005E-3</v>
      </c>
      <c r="H39" s="1">
        <v>0</v>
      </c>
      <c r="I39" s="1">
        <v>-6.7422182082465002E-3</v>
      </c>
      <c r="J39" s="1">
        <v>1.6584806636493999E-3</v>
      </c>
      <c r="K39" s="1">
        <v>1.2753516141938001E-3</v>
      </c>
      <c r="L39" s="1">
        <v>-3.1301779022735302E-2</v>
      </c>
      <c r="M39" s="1">
        <v>0.15166222378755501</v>
      </c>
      <c r="N39" s="1">
        <v>-7.5375604924944996E-3</v>
      </c>
      <c r="O39" s="1">
        <v>2.13576275245679E-2</v>
      </c>
      <c r="P39" s="1">
        <v>2.9444635499449E-8</v>
      </c>
      <c r="Q39" s="1">
        <v>7.0458685581409095E-2</v>
      </c>
      <c r="R39" s="1">
        <v>0.19081913034622899</v>
      </c>
      <c r="S39" s="1">
        <v>-3.8083859304033E-3</v>
      </c>
      <c r="T39" s="1"/>
      <c r="U39" s="1"/>
      <c r="V39" s="1"/>
      <c r="W39" s="1"/>
      <c r="X39" s="1"/>
      <c r="Y39" s="1"/>
      <c r="Z39" s="1">
        <f t="shared" si="0"/>
        <v>7.7996246073903583E-2</v>
      </c>
      <c r="AA39" s="1">
        <f t="shared" si="1"/>
        <v>282.14692765901651</v>
      </c>
      <c r="AB39" s="1"/>
      <c r="AC39" s="1"/>
      <c r="AD39" s="1"/>
      <c r="AE39" s="1">
        <f t="shared" si="2"/>
        <v>-7.5375604924945005E-3</v>
      </c>
      <c r="AF39" s="1"/>
      <c r="AG39" s="1"/>
      <c r="AH39" s="1"/>
    </row>
    <row r="40" spans="1:34" x14ac:dyDescent="0.2">
      <c r="A40">
        <v>1788.5</v>
      </c>
      <c r="B40" s="1">
        <v>5.3621190298757698E-2</v>
      </c>
      <c r="C40" s="1">
        <v>1.9104638361455002E-2</v>
      </c>
      <c r="D40" s="1">
        <v>2.8244156300384002E-3</v>
      </c>
      <c r="E40" s="1">
        <v>-4.8896951628569997E-4</v>
      </c>
      <c r="F40" s="1">
        <v>-1.9207074823714101E-2</v>
      </c>
      <c r="G40" s="1">
        <v>1.03834199079763E-2</v>
      </c>
      <c r="H40" s="1">
        <v>0</v>
      </c>
      <c r="I40" s="1">
        <v>-6.9727011773362E-3</v>
      </c>
      <c r="J40" s="1">
        <v>2.7459283402749999E-3</v>
      </c>
      <c r="K40" s="1">
        <v>1.3098205767396E-3</v>
      </c>
      <c r="L40" s="1">
        <v>3.7309597930389599E-2</v>
      </c>
      <c r="M40" s="1">
        <v>0.13836946104081699</v>
      </c>
      <c r="N40" s="1">
        <v>-1.9696044339999799E-2</v>
      </c>
      <c r="O40" s="1">
        <v>2.19290842319298E-2</v>
      </c>
      <c r="P40" s="1">
        <v>3.0240436458894298E-8</v>
      </c>
      <c r="Q40" s="1">
        <v>6.3320697838342405E-2</v>
      </c>
      <c r="R40" s="1">
        <v>0.23899975680954899</v>
      </c>
      <c r="S40" s="1">
        <v>-2.9169522603215898E-3</v>
      </c>
      <c r="T40" s="1"/>
      <c r="U40" s="1"/>
      <c r="V40" s="1"/>
      <c r="W40" s="1"/>
      <c r="X40" s="1"/>
      <c r="Y40" s="1"/>
      <c r="Z40" s="1">
        <f t="shared" si="0"/>
        <v>8.3016742178342262E-2</v>
      </c>
      <c r="AA40" s="1">
        <f t="shared" si="1"/>
        <v>282.40299350775786</v>
      </c>
      <c r="AB40" s="1"/>
      <c r="AC40" s="1"/>
      <c r="AD40" s="1"/>
      <c r="AE40" s="1">
        <f t="shared" si="2"/>
        <v>-1.9696044339999802E-2</v>
      </c>
      <c r="AF40" s="1"/>
      <c r="AG40" s="1"/>
      <c r="AH40" s="1"/>
    </row>
    <row r="41" spans="1:34" x14ac:dyDescent="0.2">
      <c r="A41">
        <v>1789.5</v>
      </c>
      <c r="B41" s="1">
        <v>5.5025773480366899E-2</v>
      </c>
      <c r="C41" s="1">
        <v>1.9601629931137302E-2</v>
      </c>
      <c r="D41" s="1">
        <v>2.898581974505E-3</v>
      </c>
      <c r="E41" s="1">
        <v>-4.2765571080194203E-5</v>
      </c>
      <c r="F41" s="1">
        <v>-1.32524798769747E-2</v>
      </c>
      <c r="G41" s="1">
        <v>9.1739948193768992E-3</v>
      </c>
      <c r="H41" s="1">
        <v>0</v>
      </c>
      <c r="I41" s="1">
        <v>-7.2049003241444996E-3</v>
      </c>
      <c r="J41" s="1">
        <v>2.0309816642816998E-3</v>
      </c>
      <c r="K41" s="1">
        <v>1.3442895392853E-3</v>
      </c>
      <c r="L41" s="1">
        <v>0.117449807891327</v>
      </c>
      <c r="M41" s="1">
        <v>0.217801210049229</v>
      </c>
      <c r="N41" s="1">
        <v>-1.3295245448054801E-2</v>
      </c>
      <c r="O41" s="1">
        <v>2.2500242941879699E-2</v>
      </c>
      <c r="P41" s="1">
        <v>3.10362374183396E-8</v>
      </c>
      <c r="Q41" s="1">
        <v>6.9575136672991103E-2</v>
      </c>
      <c r="R41" s="1">
        <v>0.40482615461354698</v>
      </c>
      <c r="S41" s="1">
        <v>-3.82962912057749E-3</v>
      </c>
      <c r="T41" s="1"/>
      <c r="U41" s="1"/>
      <c r="V41" s="1"/>
      <c r="W41" s="1"/>
      <c r="X41" s="1"/>
      <c r="Y41" s="1"/>
      <c r="Z41" s="1">
        <f t="shared" si="0"/>
        <v>8.2870382121046013E-2</v>
      </c>
      <c r="AA41" s="1">
        <f t="shared" si="1"/>
        <v>282.39552525814526</v>
      </c>
      <c r="AB41" s="1"/>
      <c r="AC41" s="1"/>
      <c r="AD41" s="1"/>
      <c r="AE41" s="1">
        <f t="shared" si="2"/>
        <v>-1.3295245448054894E-2</v>
      </c>
      <c r="AF41" s="1"/>
      <c r="AG41" s="1"/>
      <c r="AH41" s="1"/>
    </row>
    <row r="42" spans="1:34" x14ac:dyDescent="0.2">
      <c r="A42">
        <v>1790.5</v>
      </c>
      <c r="B42" s="1">
        <v>5.6430025590327199E-2</v>
      </c>
      <c r="C42" s="1">
        <v>2.00983321184325E-2</v>
      </c>
      <c r="D42" s="1">
        <v>2.9727401556337001E-3</v>
      </c>
      <c r="E42" s="1">
        <v>-8.2669025583034095E-5</v>
      </c>
      <c r="F42" s="1">
        <v>-1.43342779202098E-2</v>
      </c>
      <c r="G42" s="1">
        <v>9.6433302082697993E-3</v>
      </c>
      <c r="H42" s="1">
        <v>0</v>
      </c>
      <c r="I42" s="1">
        <v>-7.4644972612032002E-3</v>
      </c>
      <c r="J42" s="1">
        <v>2.1772503889697001E-3</v>
      </c>
      <c r="K42" s="1">
        <v>1.3787585018311E-3</v>
      </c>
      <c r="L42" s="1">
        <v>0.14462602859445201</v>
      </c>
      <c r="M42" s="1">
        <v>-5.0680728559543697E-2</v>
      </c>
      <c r="N42" s="1">
        <v>-1.44169469457928E-2</v>
      </c>
      <c r="O42" s="1">
        <v>2.3071104106104499E-2</v>
      </c>
      <c r="P42" s="1">
        <v>3.1832038377784902E-8</v>
      </c>
      <c r="Q42" s="1">
        <v>7.0819024588506294E-2</v>
      </c>
      <c r="R42" s="1">
        <v>0.164764324623414</v>
      </c>
      <c r="S42" s="1">
        <v>-3.9084883704023996E-3</v>
      </c>
      <c r="T42" s="1"/>
      <c r="U42" s="1"/>
      <c r="V42" s="1"/>
      <c r="W42" s="1"/>
      <c r="X42" s="1"/>
      <c r="Y42" s="1"/>
      <c r="Z42" s="1">
        <f t="shared" si="0"/>
        <v>8.5235971534299182E-2</v>
      </c>
      <c r="AA42" s="1">
        <f t="shared" si="1"/>
        <v>282.51625734279435</v>
      </c>
      <c r="AB42" s="1"/>
      <c r="AC42" s="1"/>
      <c r="AD42" s="1"/>
      <c r="AE42" s="1">
        <f t="shared" si="2"/>
        <v>-1.4416946945792835E-2</v>
      </c>
      <c r="AF42" s="1"/>
      <c r="AG42" s="1"/>
      <c r="AH42" s="1"/>
    </row>
    <row r="43" spans="1:34" x14ac:dyDescent="0.2">
      <c r="A43">
        <v>1791.5</v>
      </c>
      <c r="B43" s="1">
        <v>5.7833946799862299E-2</v>
      </c>
      <c r="C43" s="1">
        <v>2.0594745369350499E-2</v>
      </c>
      <c r="D43" s="1">
        <v>3.0468901779430002E-3</v>
      </c>
      <c r="E43" s="1">
        <v>9.2152687562809996E-4</v>
      </c>
      <c r="F43" s="1">
        <v>-6.9396774566144997E-3</v>
      </c>
      <c r="G43" s="1">
        <v>8.6283790481222998E-3</v>
      </c>
      <c r="H43" s="1">
        <v>0</v>
      </c>
      <c r="I43" s="1">
        <v>-7.7514385009118999E-3</v>
      </c>
      <c r="J43" s="1">
        <v>1.5267558136103001E-3</v>
      </c>
      <c r="K43" s="1">
        <v>1.4132274643769E-3</v>
      </c>
      <c r="L43" s="1">
        <v>0.13052309890695199</v>
      </c>
      <c r="M43" s="1">
        <v>0.10515062839028901</v>
      </c>
      <c r="N43" s="1">
        <v>-6.01815058098639E-3</v>
      </c>
      <c r="O43" s="1">
        <v>2.3641668175132802E-2</v>
      </c>
      <c r="P43" s="1">
        <v>3.2627839337230198E-8</v>
      </c>
      <c r="Q43" s="1">
        <v>7.9274388219206293E-2</v>
      </c>
      <c r="R43" s="1">
        <v>0.31494811551644702</v>
      </c>
      <c r="S43" s="1">
        <v>-4.8114552229246996E-3</v>
      </c>
      <c r="T43" s="1"/>
      <c r="U43" s="1"/>
      <c r="V43" s="1"/>
      <c r="W43" s="1"/>
      <c r="X43" s="1"/>
      <c r="Y43" s="1"/>
      <c r="Z43" s="1">
        <f t="shared" si="0"/>
        <v>8.5292538800192733E-2</v>
      </c>
      <c r="AA43" s="1">
        <f t="shared" si="1"/>
        <v>282.51914498614315</v>
      </c>
      <c r="AB43" s="1"/>
      <c r="AC43" s="1"/>
      <c r="AD43" s="1"/>
      <c r="AE43" s="1">
        <f t="shared" si="2"/>
        <v>-6.0181505809863995E-3</v>
      </c>
      <c r="AF43" s="1"/>
      <c r="AG43" s="1"/>
      <c r="AH43" s="1"/>
    </row>
    <row r="44" spans="1:34" x14ac:dyDescent="0.2">
      <c r="A44">
        <v>1792.5</v>
      </c>
      <c r="B44" s="1">
        <v>5.9237537280066997E-2</v>
      </c>
      <c r="C44" s="1">
        <v>2.1090870128753401E-2</v>
      </c>
      <c r="D44" s="1">
        <v>3.1210320459421998E-3</v>
      </c>
      <c r="E44" s="1">
        <v>1.4833831351451999E-3</v>
      </c>
      <c r="F44" s="1">
        <v>-3.8696640608606998E-3</v>
      </c>
      <c r="G44" s="1">
        <v>8.6577897262342992E-3</v>
      </c>
      <c r="H44" s="1">
        <v>0</v>
      </c>
      <c r="I44" s="1">
        <v>-8.0399910248139996E-3</v>
      </c>
      <c r="J44" s="1">
        <v>1.3928776153422E-3</v>
      </c>
      <c r="K44" s="1">
        <v>1.4476964269226999E-3</v>
      </c>
      <c r="L44" s="1">
        <v>0.112348416289764</v>
      </c>
      <c r="M44" s="1">
        <v>0.21596772852325899</v>
      </c>
      <c r="N44" s="1">
        <v>-2.3862809257155001E-3</v>
      </c>
      <c r="O44" s="1">
        <v>2.4211935598335899E-2</v>
      </c>
      <c r="P44" s="1">
        <v>3.3423640296648401E-8</v>
      </c>
      <c r="Q44" s="1">
        <v>8.4521564696372495E-2</v>
      </c>
      <c r="R44" s="1">
        <v>0.41283770950939602</v>
      </c>
      <c r="S44" s="1">
        <v>-5.1994169825490899E-3</v>
      </c>
      <c r="T44" s="1"/>
      <c r="U44" s="1"/>
      <c r="V44" s="1"/>
      <c r="W44" s="1"/>
      <c r="X44" s="1"/>
      <c r="Y44" s="1"/>
      <c r="Z44" s="1">
        <f t="shared" si="0"/>
        <v>8.6907845622088101E-2</v>
      </c>
      <c r="AA44" s="1">
        <f t="shared" si="1"/>
        <v>282.60161555521279</v>
      </c>
      <c r="AB44" s="1"/>
      <c r="AC44" s="1"/>
      <c r="AD44" s="1"/>
      <c r="AE44" s="1">
        <f t="shared" si="2"/>
        <v>-2.3862809257155001E-3</v>
      </c>
      <c r="AF44" s="1"/>
      <c r="AG44" s="1"/>
      <c r="AH44" s="1"/>
    </row>
    <row r="45" spans="1:34" x14ac:dyDescent="0.2">
      <c r="A45">
        <v>1793.5</v>
      </c>
      <c r="B45" s="1">
        <v>6.0640797201902803E-2</v>
      </c>
      <c r="C45" s="1">
        <v>2.15867068403609E-2</v>
      </c>
      <c r="D45" s="1">
        <v>3.1951657641337999E-3</v>
      </c>
      <c r="E45" s="1">
        <v>1.1565750894705999E-3</v>
      </c>
      <c r="F45" s="1">
        <v>-4.3870784365179997E-3</v>
      </c>
      <c r="G45" s="1">
        <v>8.4698217002305998E-3</v>
      </c>
      <c r="H45" s="1">
        <v>0</v>
      </c>
      <c r="I45" s="1">
        <v>-8.3301366964970997E-3</v>
      </c>
      <c r="J45" s="1">
        <v>1.2863791501306E-3</v>
      </c>
      <c r="K45" s="1">
        <v>1.4821653894684999E-3</v>
      </c>
      <c r="L45" s="1">
        <v>8.1568460235077106E-2</v>
      </c>
      <c r="M45" s="1">
        <v>0.19572452212378699</v>
      </c>
      <c r="N45" s="1">
        <v>-3.23050334704739E-3</v>
      </c>
      <c r="O45" s="1">
        <v>2.4781906823935902E-2</v>
      </c>
      <c r="P45" s="1">
        <v>3.4219441256093697E-8</v>
      </c>
      <c r="Q45" s="1">
        <v>8.5100430222123893E-2</v>
      </c>
      <c r="R45" s="1">
        <v>0.36239341258098801</v>
      </c>
      <c r="S45" s="1">
        <v>-5.5615921568980004E-3</v>
      </c>
      <c r="T45" s="1"/>
      <c r="U45" s="1"/>
      <c r="V45" s="1"/>
      <c r="W45" s="1"/>
      <c r="X45" s="1"/>
      <c r="Y45" s="1"/>
      <c r="Z45" s="1">
        <f t="shared" si="0"/>
        <v>8.8330933569171349E-2</v>
      </c>
      <c r="AA45" s="1">
        <f t="shared" si="1"/>
        <v>282.67429220835135</v>
      </c>
      <c r="AB45" s="1"/>
      <c r="AC45" s="1"/>
      <c r="AD45" s="1"/>
      <c r="AE45" s="1">
        <f t="shared" si="2"/>
        <v>-3.2305033470473995E-3</v>
      </c>
      <c r="AF45" s="1"/>
      <c r="AG45" s="1"/>
      <c r="AH45" s="1"/>
    </row>
    <row r="46" spans="1:34" x14ac:dyDescent="0.2">
      <c r="A46">
        <v>1794.5</v>
      </c>
      <c r="B46" s="1">
        <v>6.2043726736196403E-2</v>
      </c>
      <c r="C46" s="1">
        <v>2.2082255946753698E-2</v>
      </c>
      <c r="D46" s="1">
        <v>3.2692913370108E-3</v>
      </c>
      <c r="E46" s="1">
        <v>-6.4938860195969995E-4</v>
      </c>
      <c r="F46" s="1">
        <v>-1.6228417621827699E-2</v>
      </c>
      <c r="G46" s="1">
        <v>1.0326871032329699E-2</v>
      </c>
      <c r="H46" s="1">
        <v>0</v>
      </c>
      <c r="I46" s="1">
        <v>-8.6218291978106005E-3</v>
      </c>
      <c r="J46" s="1">
        <v>2.2434581126384999E-3</v>
      </c>
      <c r="K46" s="1">
        <v>1.5166343520141999E-3</v>
      </c>
      <c r="L46" s="1">
        <v>4.5702713164764597E-2</v>
      </c>
      <c r="M46" s="1">
        <v>0.215489482080235</v>
      </c>
      <c r="N46" s="1">
        <v>-1.68778062237874E-2</v>
      </c>
      <c r="O46" s="1">
        <v>2.5351582299006699E-2</v>
      </c>
      <c r="P46" s="1">
        <v>3.5015242215566097E-8</v>
      </c>
      <c r="Q46" s="1">
        <v>7.5982637110587503E-2</v>
      </c>
      <c r="R46" s="1">
        <v>0.33717483235558698</v>
      </c>
      <c r="S46" s="1">
        <v>-4.8617367331579E-3</v>
      </c>
      <c r="T46" s="1"/>
      <c r="U46" s="1"/>
      <c r="V46" s="1"/>
      <c r="W46" s="1"/>
      <c r="X46" s="1"/>
      <c r="Y46" s="1"/>
      <c r="Z46" s="1">
        <f t="shared" si="0"/>
        <v>9.2860443334374917E-2</v>
      </c>
      <c r="AA46" s="1">
        <f t="shared" si="1"/>
        <v>282.90573728532269</v>
      </c>
      <c r="AB46" s="1"/>
      <c r="AC46" s="1"/>
      <c r="AD46" s="1"/>
      <c r="AE46" s="1">
        <f t="shared" si="2"/>
        <v>-1.68778062237874E-2</v>
      </c>
      <c r="AF46" s="1"/>
      <c r="AG46" s="1"/>
      <c r="AH46" s="1"/>
    </row>
    <row r="47" spans="1:34" x14ac:dyDescent="0.2">
      <c r="A47">
        <v>1795.5</v>
      </c>
      <c r="B47" s="1">
        <v>6.3446326053641602E-2</v>
      </c>
      <c r="C47" s="1">
        <v>2.2577517889377799E-2</v>
      </c>
      <c r="D47" s="1">
        <v>3.3434087690583001E-3</v>
      </c>
      <c r="E47" s="1">
        <v>5.1192114514389997E-4</v>
      </c>
      <c r="F47" s="1">
        <v>-1.22187597869335E-2</v>
      </c>
      <c r="G47" s="1">
        <v>1.0332804537097199E-2</v>
      </c>
      <c r="H47" s="1">
        <v>0</v>
      </c>
      <c r="I47" s="1">
        <v>-8.9150884724876998E-3</v>
      </c>
      <c r="J47" s="1">
        <v>2.0973009817446E-3</v>
      </c>
      <c r="K47" s="1">
        <v>1.5511033145600001E-3</v>
      </c>
      <c r="L47" s="1">
        <v>7.8088899225771001E-3</v>
      </c>
      <c r="M47" s="1">
        <v>-0.163848227942861</v>
      </c>
      <c r="N47" s="1">
        <v>-1.17068386417896E-2</v>
      </c>
      <c r="O47" s="1">
        <v>2.5920962469479201E-2</v>
      </c>
      <c r="P47" s="1">
        <v>3.5811043174984301E-8</v>
      </c>
      <c r="Q47" s="1">
        <v>8.2726570242245306E-2</v>
      </c>
      <c r="R47" s="1">
        <v>-7.3312767778039301E-2</v>
      </c>
      <c r="S47" s="1">
        <v>-5.2666841761830896E-3</v>
      </c>
      <c r="T47" s="1"/>
      <c r="U47" s="1"/>
      <c r="V47" s="1"/>
      <c r="W47" s="1"/>
      <c r="X47" s="1"/>
      <c r="Y47" s="1"/>
      <c r="Z47" s="1">
        <f t="shared" si="0"/>
        <v>9.4433408884034967E-2</v>
      </c>
      <c r="AA47" s="1">
        <f t="shared" si="1"/>
        <v>282.98615567741797</v>
      </c>
      <c r="AB47" s="1"/>
      <c r="AC47" s="1"/>
      <c r="AD47" s="1"/>
      <c r="AE47" s="1">
        <f t="shared" si="2"/>
        <v>-1.17068386417896E-2</v>
      </c>
      <c r="AF47" s="1"/>
      <c r="AG47" s="1"/>
      <c r="AH47" s="1"/>
    </row>
    <row r="48" spans="1:34" x14ac:dyDescent="0.2">
      <c r="A48">
        <v>1796.5</v>
      </c>
      <c r="B48" s="1">
        <v>6.4848595324803499E-2</v>
      </c>
      <c r="C48" s="1">
        <v>2.3072493108548701E-2</v>
      </c>
      <c r="D48" s="1">
        <v>3.4175180647534002E-3</v>
      </c>
      <c r="E48" s="1">
        <v>5.0167249752180001E-4</v>
      </c>
      <c r="F48" s="1">
        <v>-7.2350667775651998E-3</v>
      </c>
      <c r="G48" s="1">
        <v>8.8937250307826003E-3</v>
      </c>
      <c r="H48" s="1">
        <v>0</v>
      </c>
      <c r="I48" s="1">
        <v>-9.2098494653223006E-3</v>
      </c>
      <c r="J48" s="1">
        <v>1.3682815552158E-3</v>
      </c>
      <c r="K48" s="1">
        <v>1.5855722771058E-3</v>
      </c>
      <c r="L48" s="1">
        <v>-2.6059982147735299E-2</v>
      </c>
      <c r="M48" s="1">
        <v>0.13185453784565401</v>
      </c>
      <c r="N48" s="1">
        <v>-6.7333942800434001E-3</v>
      </c>
      <c r="O48" s="1">
        <v>2.64900477801462E-2</v>
      </c>
      <c r="P48" s="1">
        <v>3.6606844134429603E-8</v>
      </c>
      <c r="Q48" s="1">
        <v>8.72429782226882E-2</v>
      </c>
      <c r="R48" s="1">
        <v>0.19303753392060699</v>
      </c>
      <c r="S48" s="1">
        <v>-6.2559956330006999E-3</v>
      </c>
      <c r="T48" s="1"/>
      <c r="U48" s="1"/>
      <c r="V48" s="1"/>
      <c r="W48" s="1"/>
      <c r="X48" s="1"/>
      <c r="Y48" s="1"/>
      <c r="Z48" s="1">
        <f t="shared" si="0"/>
        <v>9.3976372502731637E-2</v>
      </c>
      <c r="AA48" s="1">
        <f t="shared" si="1"/>
        <v>282.96278718312146</v>
      </c>
      <c r="AB48" s="1"/>
      <c r="AC48" s="1"/>
      <c r="AD48" s="1"/>
      <c r="AE48" s="1">
        <f t="shared" si="2"/>
        <v>-6.7333942800434001E-3</v>
      </c>
      <c r="AF48" s="1"/>
      <c r="AG48" s="1"/>
      <c r="AH48" s="1"/>
    </row>
    <row r="49" spans="1:34" x14ac:dyDescent="0.2">
      <c r="A49">
        <v>1797.5</v>
      </c>
      <c r="B49" s="1">
        <v>6.6250534720109902E-2</v>
      </c>
      <c r="C49" s="1">
        <v>2.3567182043454999E-2</v>
      </c>
      <c r="D49" s="1">
        <v>3.4916192285647002E-3</v>
      </c>
      <c r="E49" s="1">
        <v>5.3852789975779997E-4</v>
      </c>
      <c r="F49" s="1">
        <v>-1.36706722668414E-2</v>
      </c>
      <c r="G49" s="1">
        <v>1.0983386923965501E-2</v>
      </c>
      <c r="H49" s="1">
        <v>0</v>
      </c>
      <c r="I49" s="1">
        <v>-9.5060856078031004E-3</v>
      </c>
      <c r="J49" s="1">
        <v>2.3165497273843999E-3</v>
      </c>
      <c r="K49" s="1">
        <v>1.6200412396516E-3</v>
      </c>
      <c r="L49" s="1">
        <v>-5.1098922577422802E-2</v>
      </c>
      <c r="M49" s="1">
        <v>3.5266678178743398E-2</v>
      </c>
      <c r="N49" s="1">
        <v>-1.31321443670836E-2</v>
      </c>
      <c r="O49" s="1">
        <v>2.7058838674664701E-2</v>
      </c>
      <c r="P49" s="1">
        <v>3.7402645093902003E-8</v>
      </c>
      <c r="Q49" s="1">
        <v>8.5591121310889404E-2</v>
      </c>
      <c r="R49" s="1">
        <v>6.9758876912210097E-2</v>
      </c>
      <c r="S49" s="1">
        <v>-5.5694946407671003E-3</v>
      </c>
      <c r="T49" s="1"/>
      <c r="U49" s="1"/>
      <c r="V49" s="1"/>
      <c r="W49" s="1"/>
      <c r="X49" s="1"/>
      <c r="Y49" s="1"/>
      <c r="Z49" s="1">
        <f t="shared" si="0"/>
        <v>9.8723265677973099E-2</v>
      </c>
      <c r="AA49" s="1">
        <f t="shared" si="1"/>
        <v>283.20559225102937</v>
      </c>
      <c r="AB49" s="1"/>
      <c r="AC49" s="1"/>
      <c r="AD49" s="1"/>
      <c r="AE49" s="1">
        <f t="shared" si="2"/>
        <v>-1.31321443670836E-2</v>
      </c>
      <c r="AF49" s="1"/>
      <c r="AG49" s="1"/>
      <c r="AH49" s="1"/>
    </row>
    <row r="50" spans="1:34" x14ac:dyDescent="0.2">
      <c r="A50">
        <v>1798.5</v>
      </c>
      <c r="B50" s="1">
        <v>6.7652144409860296E-2</v>
      </c>
      <c r="C50" s="1">
        <v>2.40615851321632E-2</v>
      </c>
      <c r="D50" s="1">
        <v>3.5657122649530998E-3</v>
      </c>
      <c r="E50" s="1">
        <v>1.1790691116820001E-4</v>
      </c>
      <c r="F50" s="1">
        <v>-1.71292742232406E-2</v>
      </c>
      <c r="G50" s="1">
        <v>1.19676567668474E-2</v>
      </c>
      <c r="H50" s="1">
        <v>0</v>
      </c>
      <c r="I50" s="1">
        <v>-9.8037864631790993E-3</v>
      </c>
      <c r="J50" s="1">
        <v>2.6550911492491999E-3</v>
      </c>
      <c r="K50" s="1">
        <v>1.6545102021973E-3</v>
      </c>
      <c r="L50" s="1">
        <v>-6.3329781952422795E-2</v>
      </c>
      <c r="M50" s="1">
        <v>0.176899324696077</v>
      </c>
      <c r="N50" s="1">
        <v>-1.7011367312072399E-2</v>
      </c>
      <c r="O50" s="1">
        <v>2.76273355955623E-2</v>
      </c>
      <c r="P50" s="1">
        <v>3.8198446053347299E-8</v>
      </c>
      <c r="Q50" s="1">
        <v>8.4741584348465002E-2</v>
      </c>
      <c r="R50" s="1">
        <v>0.19831112709211901</v>
      </c>
      <c r="S50" s="1">
        <v>-5.4941851117325897E-3</v>
      </c>
      <c r="T50" s="1"/>
      <c r="U50" s="1"/>
      <c r="V50" s="1"/>
      <c r="W50" s="1"/>
      <c r="X50" s="1"/>
      <c r="Y50" s="1"/>
      <c r="Z50" s="1">
        <f t="shared" si="0"/>
        <v>0.10175295166053745</v>
      </c>
      <c r="AA50" s="1">
        <f t="shared" si="1"/>
        <v>283.36067054762032</v>
      </c>
      <c r="AB50" s="1"/>
      <c r="AC50" s="1"/>
      <c r="AD50" s="1"/>
      <c r="AE50" s="1">
        <f t="shared" si="2"/>
        <v>-1.7011367312072399E-2</v>
      </c>
      <c r="AF50" s="1"/>
      <c r="AG50" s="1"/>
      <c r="AH50" s="1"/>
    </row>
    <row r="51" spans="1:34" x14ac:dyDescent="0.2">
      <c r="A51">
        <v>1799.5</v>
      </c>
      <c r="B51" s="1">
        <v>6.9053424564221796E-2</v>
      </c>
      <c r="C51" s="1">
        <v>2.4555702811620801E-2</v>
      </c>
      <c r="D51" s="1">
        <v>3.6397971783713999E-3</v>
      </c>
      <c r="E51" s="1">
        <v>-9.6406422413566797E-5</v>
      </c>
      <c r="F51" s="1">
        <v>-1.5065268017012801E-2</v>
      </c>
      <c r="G51" s="1">
        <v>1.1037857583112201E-2</v>
      </c>
      <c r="H51" s="1">
        <v>0</v>
      </c>
      <c r="I51" s="1">
        <v>-1.0102893401811501E-2</v>
      </c>
      <c r="J51" s="1">
        <v>2.2643408968098999E-3</v>
      </c>
      <c r="K51" s="1">
        <v>1.6889791647431E-3</v>
      </c>
      <c r="L51" s="1">
        <v>-6.0802487030547803E-2</v>
      </c>
      <c r="M51" s="1">
        <v>0.23345251379010601</v>
      </c>
      <c r="N51" s="1">
        <v>-1.5161674439426299E-2</v>
      </c>
      <c r="O51" s="1">
        <v>2.81955389842392E-2</v>
      </c>
      <c r="P51" s="1">
        <v>3.8994247012792601E-8</v>
      </c>
      <c r="Q51" s="1">
        <v>8.6975573351888297E-2</v>
      </c>
      <c r="R51" s="1">
        <v>0.25962560011144697</v>
      </c>
      <c r="S51" s="1">
        <v>-6.1495733402585004E-3</v>
      </c>
      <c r="T51" s="1"/>
      <c r="U51" s="1"/>
      <c r="V51" s="1"/>
      <c r="W51" s="1"/>
      <c r="X51" s="1"/>
      <c r="Y51" s="1"/>
      <c r="Z51" s="1">
        <f t="shared" si="0"/>
        <v>0.10213724779131471</v>
      </c>
      <c r="AA51" s="1">
        <f t="shared" si="1"/>
        <v>283.38034729738729</v>
      </c>
      <c r="AB51" s="1"/>
      <c r="AC51" s="1"/>
      <c r="AD51" s="1"/>
      <c r="AE51" s="1">
        <f t="shared" si="2"/>
        <v>-1.5161674439426367E-2</v>
      </c>
      <c r="AF51" s="1"/>
      <c r="AG51" s="1"/>
      <c r="AH51" s="1"/>
    </row>
    <row r="52" spans="1:34" x14ac:dyDescent="0.2">
      <c r="A52">
        <v>1800.5</v>
      </c>
      <c r="B52" s="1">
        <v>7.0454375353226101E-2</v>
      </c>
      <c r="C52" s="1">
        <v>2.50495355176612E-2</v>
      </c>
      <c r="D52" s="1">
        <v>3.7138739732632E-3</v>
      </c>
      <c r="E52" s="1">
        <v>-8.977889038082E-4</v>
      </c>
      <c r="F52" s="1">
        <v>-1.8135996650654601E-2</v>
      </c>
      <c r="G52" s="1">
        <v>1.13480968048727E-2</v>
      </c>
      <c r="H52" s="1">
        <v>0</v>
      </c>
      <c r="I52" s="1">
        <v>-1.04621097733405E-2</v>
      </c>
      <c r="J52" s="1">
        <v>2.4201910374977999E-3</v>
      </c>
      <c r="K52" s="1">
        <v>1.7234481272888999E-3</v>
      </c>
      <c r="L52" s="1">
        <v>-4.2596603241485301E-2</v>
      </c>
      <c r="M52" s="1">
        <v>-0.14933365414136801</v>
      </c>
      <c r="N52" s="1">
        <v>-1.90337855544628E-2</v>
      </c>
      <c r="O52" s="1">
        <v>2.8763449280972301E-2</v>
      </c>
      <c r="P52" s="1">
        <v>3.9790047972238002E-8</v>
      </c>
      <c r="Q52" s="1">
        <v>8.5213665276054507E-2</v>
      </c>
      <c r="R52" s="1">
        <v>-0.106716592106799</v>
      </c>
      <c r="S52" s="1">
        <v>-6.3184706085537999E-3</v>
      </c>
      <c r="T52" s="1"/>
      <c r="U52" s="1"/>
      <c r="V52" s="1"/>
      <c r="W52" s="1"/>
      <c r="X52" s="1"/>
      <c r="Y52" s="1"/>
      <c r="Z52" s="1">
        <f t="shared" si="0"/>
        <v>0.10424745083051738</v>
      </c>
      <c r="AA52" s="1">
        <f t="shared" si="1"/>
        <v>283.4884183725664</v>
      </c>
      <c r="AB52" s="1"/>
      <c r="AC52" s="1"/>
      <c r="AD52" s="1"/>
      <c r="AE52" s="1">
        <f t="shared" si="2"/>
        <v>-1.90337855544628E-2</v>
      </c>
      <c r="AF52" s="1"/>
      <c r="AG52" s="1"/>
      <c r="AH52" s="1"/>
    </row>
    <row r="53" spans="1:34" x14ac:dyDescent="0.2">
      <c r="A53">
        <v>1801.5</v>
      </c>
      <c r="B53" s="1">
        <v>7.1854996946778105E-2</v>
      </c>
      <c r="C53" s="1">
        <v>2.5543083685007E-2</v>
      </c>
      <c r="D53" s="1">
        <v>3.7879426540646998E-3</v>
      </c>
      <c r="E53" s="1">
        <v>9.2913647106018601E-5</v>
      </c>
      <c r="F53" s="1">
        <v>-1.61923676706697E-2</v>
      </c>
      <c r="G53" s="1">
        <v>1.17830141758402E-2</v>
      </c>
      <c r="H53" s="1">
        <v>0</v>
      </c>
      <c r="I53" s="1">
        <v>-1.0881455956559601E-2</v>
      </c>
      <c r="J53" s="1">
        <v>2.5072193678581001E-3</v>
      </c>
      <c r="K53" s="1">
        <v>1.7579170898346999E-3</v>
      </c>
      <c r="L53" s="1">
        <v>-1.27214811711728E-2</v>
      </c>
      <c r="M53" s="1">
        <v>0.117349029813704</v>
      </c>
      <c r="N53" s="1">
        <v>-1.6099454023563602E-2</v>
      </c>
      <c r="O53" s="1">
        <v>2.9331066924920601E-2</v>
      </c>
      <c r="P53" s="1">
        <v>4.05858489316561E-8</v>
      </c>
      <c r="Q53" s="1">
        <v>9.0253304525108394E-2</v>
      </c>
      <c r="R53" s="1">
        <v>0.19488085316764001</v>
      </c>
      <c r="S53" s="1">
        <v>-6.6163194988668001E-3</v>
      </c>
      <c r="T53" s="1"/>
      <c r="U53" s="1"/>
      <c r="V53" s="1"/>
      <c r="W53" s="1"/>
      <c r="X53" s="1"/>
      <c r="Y53" s="1"/>
      <c r="Z53" s="1">
        <f t="shared" si="0"/>
        <v>0.10635275854867213</v>
      </c>
      <c r="AA53" s="1">
        <f t="shared" si="1"/>
        <v>283.59627981188112</v>
      </c>
      <c r="AB53" s="1"/>
      <c r="AC53" s="1"/>
      <c r="AD53" s="1"/>
      <c r="AE53" s="1">
        <f t="shared" si="2"/>
        <v>-1.6099454023563681E-2</v>
      </c>
      <c r="AF53" s="1"/>
      <c r="AG53" s="1"/>
      <c r="AH53" s="1"/>
    </row>
    <row r="54" spans="1:34" x14ac:dyDescent="0.2">
      <c r="A54">
        <v>1802.5</v>
      </c>
      <c r="B54" s="1">
        <v>7.3255289514647104E-2</v>
      </c>
      <c r="C54" s="1">
        <v>2.60363477472739E-2</v>
      </c>
      <c r="D54" s="1">
        <v>3.8620032252047001E-3</v>
      </c>
      <c r="E54" s="1">
        <v>-4.5575415625670002E-4</v>
      </c>
      <c r="F54" s="1">
        <v>-1.6194998074974501E-2</v>
      </c>
      <c r="G54" s="1">
        <v>1.1166896890477999E-2</v>
      </c>
      <c r="H54" s="1">
        <v>0</v>
      </c>
      <c r="I54" s="1">
        <v>-1.13021017271421E-2</v>
      </c>
      <c r="J54" s="1">
        <v>2.2938173258477E-3</v>
      </c>
      <c r="K54" s="1">
        <v>1.7923860523805001E-3</v>
      </c>
      <c r="L54" s="1">
        <v>1.5421975860077101E-2</v>
      </c>
      <c r="M54" s="1">
        <v>0.18257801925306399</v>
      </c>
      <c r="N54" s="1">
        <v>-1.6650752231231199E-2</v>
      </c>
      <c r="O54" s="1">
        <v>2.98983923541284E-2</v>
      </c>
      <c r="P54" s="1">
        <v>4.1381649891101402E-8</v>
      </c>
      <c r="Q54" s="1">
        <v>9.0453928179108495E-2</v>
      </c>
      <c r="R54" s="1">
        <v>0.28845392329225</v>
      </c>
      <c r="S54" s="1">
        <v>-7.2158983489138996E-3</v>
      </c>
      <c r="T54" s="1"/>
      <c r="U54" s="1"/>
      <c r="V54" s="1"/>
      <c r="W54" s="1"/>
      <c r="X54" s="1"/>
      <c r="Y54" s="1"/>
      <c r="Z54" s="1">
        <f t="shared" si="0"/>
        <v>0.10710468041033969</v>
      </c>
      <c r="AA54" s="1">
        <f t="shared" si="1"/>
        <v>283.63481304457338</v>
      </c>
      <c r="AB54" s="1"/>
      <c r="AC54" s="1"/>
      <c r="AD54" s="1"/>
      <c r="AE54" s="1">
        <f t="shared" si="2"/>
        <v>-1.6650752231231202E-2</v>
      </c>
      <c r="AF54" s="1"/>
      <c r="AG54" s="1"/>
      <c r="AH54" s="1"/>
    </row>
    <row r="55" spans="1:34" x14ac:dyDescent="0.2">
      <c r="A55">
        <v>1803.5</v>
      </c>
      <c r="B55" s="1">
        <v>7.4655253226471194E-2</v>
      </c>
      <c r="C55" s="1">
        <v>2.6529328136975699E-2</v>
      </c>
      <c r="D55" s="1">
        <v>3.9360556911031E-3</v>
      </c>
      <c r="E55" s="1">
        <v>1.9051643525499999E-4</v>
      </c>
      <c r="F55" s="1">
        <v>-1.23383072530488E-2</v>
      </c>
      <c r="G55" s="1">
        <v>1.07573671096232E-2</v>
      </c>
      <c r="H55" s="1">
        <v>0</v>
      </c>
      <c r="I55" s="1">
        <v>-1.1724066269092901E-2</v>
      </c>
      <c r="J55" s="1">
        <v>1.9778952016046999E-3</v>
      </c>
      <c r="K55" s="1">
        <v>1.8268550149262001E-3</v>
      </c>
      <c r="L55" s="1">
        <v>3.2582620391327102E-2</v>
      </c>
      <c r="M55" s="1">
        <v>0.218720483191085</v>
      </c>
      <c r="N55" s="1">
        <v>-1.21477908177938E-2</v>
      </c>
      <c r="O55" s="1">
        <v>3.0465426005529601E-2</v>
      </c>
      <c r="P55" s="1">
        <v>4.2177450850573901E-8</v>
      </c>
      <c r="Q55" s="1">
        <v>9.5810939471268203E-2</v>
      </c>
      <c r="R55" s="1">
        <v>0.34711404305368099</v>
      </c>
      <c r="S55" s="1">
        <v>-7.9193160525620008E-3</v>
      </c>
      <c r="T55" s="1"/>
      <c r="U55" s="1"/>
      <c r="V55" s="1"/>
      <c r="W55" s="1"/>
      <c r="X55" s="1"/>
      <c r="Y55" s="1"/>
      <c r="Z55" s="1">
        <f t="shared" si="0"/>
        <v>0.10795873028906204</v>
      </c>
      <c r="AA55" s="1">
        <f t="shared" si="1"/>
        <v>283.67858631355841</v>
      </c>
      <c r="AB55" s="1"/>
      <c r="AC55" s="1"/>
      <c r="AD55" s="1"/>
      <c r="AE55" s="1">
        <f t="shared" si="2"/>
        <v>-1.21477908177938E-2</v>
      </c>
      <c r="AF55" s="1"/>
      <c r="AG55" s="1"/>
      <c r="AH55" s="1"/>
    </row>
    <row r="56" spans="1:34" x14ac:dyDescent="0.2">
      <c r="A56">
        <v>1804.5</v>
      </c>
      <c r="B56" s="1">
        <v>7.6054888251759101E-2</v>
      </c>
      <c r="C56" s="1">
        <v>2.7022025285526701E-2</v>
      </c>
      <c r="D56" s="1">
        <v>4.0101000561723003E-3</v>
      </c>
      <c r="E56" s="1">
        <v>1.4095744697539001E-3</v>
      </c>
      <c r="F56" s="1">
        <v>-1.07270165694805E-2</v>
      </c>
      <c r="G56" s="1">
        <v>1.15900465483632E-2</v>
      </c>
      <c r="H56" s="1">
        <v>0</v>
      </c>
      <c r="I56" s="1">
        <v>-1.2147331185046E-2</v>
      </c>
      <c r="J56" s="1">
        <v>2.2832964873674001E-3</v>
      </c>
      <c r="K56" s="1">
        <v>1.8613239774720001E-3</v>
      </c>
      <c r="L56" s="1">
        <v>3.48603059382021E-2</v>
      </c>
      <c r="M56" s="1">
        <v>0.236857881914563</v>
      </c>
      <c r="N56" s="1">
        <v>-9.3174420997266007E-3</v>
      </c>
      <c r="O56" s="1">
        <v>3.10321683149508E-2</v>
      </c>
      <c r="P56" s="1">
        <v>4.2973251809992098E-8</v>
      </c>
      <c r="Q56" s="1">
        <v>0.101356950295139</v>
      </c>
      <c r="R56" s="1">
        <v>0.37307513814790499</v>
      </c>
      <c r="S56" s="1">
        <v>-8.0027107202065902E-3</v>
      </c>
      <c r="T56" s="1"/>
      <c r="U56" s="1"/>
      <c r="V56" s="1"/>
      <c r="W56" s="1"/>
      <c r="X56" s="1"/>
      <c r="Y56" s="1"/>
      <c r="Z56" s="1">
        <f t="shared" si="0"/>
        <v>0.11067439239486651</v>
      </c>
      <c r="AA56" s="1">
        <f t="shared" si="1"/>
        <v>283.81781910928578</v>
      </c>
      <c r="AB56" s="1"/>
      <c r="AC56" s="1"/>
      <c r="AD56" s="1"/>
      <c r="AE56" s="1">
        <f t="shared" si="2"/>
        <v>-9.3174420997266007E-3</v>
      </c>
      <c r="AF56" s="1"/>
      <c r="AG56" s="1"/>
      <c r="AH56" s="1"/>
    </row>
    <row r="57" spans="1:34" x14ac:dyDescent="0.2">
      <c r="A57">
        <v>1805.5</v>
      </c>
      <c r="B57" s="1">
        <v>7.7454194759888906E-2</v>
      </c>
      <c r="C57" s="1">
        <v>2.7514439623247101E-2</v>
      </c>
      <c r="D57" s="1">
        <v>4.0841363248163001E-3</v>
      </c>
      <c r="E57" s="1">
        <v>-1.5870579654619999E-4</v>
      </c>
      <c r="F57" s="1">
        <v>-1.7367192345310301E-2</v>
      </c>
      <c r="G57" s="1">
        <v>1.20106537175305E-2</v>
      </c>
      <c r="H57" s="1">
        <v>0</v>
      </c>
      <c r="I57" s="1">
        <v>-1.25718523371593E-2</v>
      </c>
      <c r="J57" s="1">
        <v>2.5887842702288001E-3</v>
      </c>
      <c r="K57" s="1">
        <v>1.8957929400178E-3</v>
      </c>
      <c r="L57" s="1">
        <v>2.63111848444521E-2</v>
      </c>
      <c r="M57" s="1">
        <v>0.14819752087274901</v>
      </c>
      <c r="N57" s="1">
        <v>-1.75258981418565E-2</v>
      </c>
      <c r="O57" s="1">
        <v>3.1598619717116097E-2</v>
      </c>
      <c r="P57" s="1">
        <v>4.37690527694374E-8</v>
      </c>
      <c r="Q57" s="1">
        <v>9.5450294925766399E-2</v>
      </c>
      <c r="R57" s="1">
        <v>0.26995900064296802</v>
      </c>
      <c r="S57" s="1">
        <v>-8.0872751269127005E-3</v>
      </c>
      <c r="T57" s="1"/>
      <c r="U57" s="1"/>
      <c r="V57" s="1"/>
      <c r="W57" s="1"/>
      <c r="X57" s="1"/>
      <c r="Y57" s="1"/>
      <c r="Z57" s="1">
        <f t="shared" si="0"/>
        <v>0.11297619306762288</v>
      </c>
      <c r="AA57" s="1">
        <f t="shared" si="1"/>
        <v>283.93588661516941</v>
      </c>
      <c r="AB57" s="1"/>
      <c r="AC57" s="1"/>
      <c r="AD57" s="1"/>
      <c r="AE57" s="1">
        <f t="shared" si="2"/>
        <v>-1.75258981418565E-2</v>
      </c>
      <c r="AF57" s="1"/>
      <c r="AG57" s="1"/>
      <c r="AH57" s="1"/>
    </row>
    <row r="58" spans="1:34" x14ac:dyDescent="0.2">
      <c r="A58">
        <v>1806.5</v>
      </c>
      <c r="B58" s="1">
        <v>7.8853172920103298E-2</v>
      </c>
      <c r="C58" s="1">
        <v>2.80065715793653E-2</v>
      </c>
      <c r="D58" s="1">
        <v>4.1581645014306997E-3</v>
      </c>
      <c r="E58" s="1">
        <v>7.2355252648560004E-4</v>
      </c>
      <c r="F58" s="1">
        <v>-1.5939107175118001E-2</v>
      </c>
      <c r="G58" s="1">
        <v>1.2404801367039401E-2</v>
      </c>
      <c r="H58" s="1">
        <v>0</v>
      </c>
      <c r="I58" s="1">
        <v>-1.29976101904509E-2</v>
      </c>
      <c r="J58" s="1">
        <v>2.7432180302186999E-3</v>
      </c>
      <c r="K58" s="1">
        <v>1.9302619025636E-3</v>
      </c>
      <c r="L58" s="1">
        <v>1.18338410944521E-2</v>
      </c>
      <c r="M58" s="1">
        <v>0.224419562615087</v>
      </c>
      <c r="N58" s="1">
        <v>-1.52155546486324E-2</v>
      </c>
      <c r="O58" s="1">
        <v>3.2164780645649697E-2</v>
      </c>
      <c r="P58" s="1">
        <v>4.4564853728855597E-8</v>
      </c>
      <c r="Q58" s="1">
        <v>9.9883070026491397E-2</v>
      </c>
      <c r="R58" s="1">
        <v>0.33613647373603001</v>
      </c>
      <c r="S58" s="1">
        <v>-8.3241302576686008E-3</v>
      </c>
      <c r="T58" s="1"/>
      <c r="U58" s="1"/>
      <c r="V58" s="1"/>
      <c r="W58" s="1"/>
      <c r="X58" s="1"/>
      <c r="Y58" s="1"/>
      <c r="Z58" s="1">
        <f t="shared" si="0"/>
        <v>0.11509862467512383</v>
      </c>
      <c r="AA58" s="1">
        <f t="shared" si="1"/>
        <v>284.04479717003221</v>
      </c>
      <c r="AB58" s="1"/>
      <c r="AC58" s="1"/>
      <c r="AD58" s="1"/>
      <c r="AE58" s="1">
        <f t="shared" si="2"/>
        <v>-1.52155546486324E-2</v>
      </c>
      <c r="AF58" s="1"/>
      <c r="AG58" s="1"/>
      <c r="AH58" s="1"/>
    </row>
    <row r="59" spans="1:34" x14ac:dyDescent="0.2">
      <c r="A59">
        <v>1807.5</v>
      </c>
      <c r="B59" s="1">
        <v>8.0251822901519193E-2</v>
      </c>
      <c r="C59" s="1">
        <v>2.8498421582023301E-2</v>
      </c>
      <c r="D59" s="1">
        <v>4.2321845904045004E-3</v>
      </c>
      <c r="E59" s="1">
        <v>3.574257436693E-4</v>
      </c>
      <c r="F59" s="1">
        <v>-1.8955940116249102E-2</v>
      </c>
      <c r="G59" s="1">
        <v>1.29994006109206E-2</v>
      </c>
      <c r="H59" s="1">
        <v>0</v>
      </c>
      <c r="I59" s="1">
        <v>-1.34245584688469E-2</v>
      </c>
      <c r="J59" s="1">
        <v>3.0382997121980002E-3</v>
      </c>
      <c r="K59" s="1">
        <v>1.9647308651094E-3</v>
      </c>
      <c r="L59" s="1">
        <v>-8.2129118352352991E-3</v>
      </c>
      <c r="M59" s="1">
        <v>0.24224585571580301</v>
      </c>
      <c r="N59" s="1">
        <v>-1.85985143725798E-2</v>
      </c>
      <c r="O59" s="1">
        <v>3.2730651533082397E-2</v>
      </c>
      <c r="P59" s="1">
        <v>4.5360654688327998E-8</v>
      </c>
      <c r="Q59" s="1">
        <v>9.89618327814029E-2</v>
      </c>
      <c r="R59" s="1">
        <v>0.33299477666197003</v>
      </c>
      <c r="S59" s="1">
        <v>-8.4215278915395E-3</v>
      </c>
      <c r="T59" s="1"/>
      <c r="U59" s="1"/>
      <c r="V59" s="1"/>
      <c r="W59" s="1"/>
      <c r="X59" s="1"/>
      <c r="Y59" s="1"/>
      <c r="Z59" s="1">
        <f t="shared" si="0"/>
        <v>0.11756034715398278</v>
      </c>
      <c r="AA59" s="1">
        <f t="shared" si="1"/>
        <v>284.17117043998365</v>
      </c>
      <c r="AB59" s="1"/>
      <c r="AC59" s="1"/>
      <c r="AD59" s="1"/>
      <c r="AE59" s="1">
        <f t="shared" si="2"/>
        <v>-1.85985143725798E-2</v>
      </c>
      <c r="AF59" s="1"/>
      <c r="AG59" s="1"/>
      <c r="AH59" s="1"/>
    </row>
    <row r="60" spans="1:34" x14ac:dyDescent="0.2">
      <c r="A60">
        <v>1808.5</v>
      </c>
      <c r="B60" s="1">
        <v>8.1650144873119002E-2</v>
      </c>
      <c r="C60" s="1">
        <v>2.8989990058279801E-2</v>
      </c>
      <c r="D60" s="1">
        <v>4.3061965961182997E-3</v>
      </c>
      <c r="E60" s="1">
        <v>-7.3062174039409996E-4</v>
      </c>
      <c r="F60" s="1">
        <v>-2.9358894860456598E-2</v>
      </c>
      <c r="G60" s="1">
        <v>1.5234224888223499E-2</v>
      </c>
      <c r="H60" s="1">
        <v>0</v>
      </c>
      <c r="I60" s="1">
        <v>-1.3852702279794699E-2</v>
      </c>
      <c r="J60" s="1">
        <v>4.1809622107996996E-3</v>
      </c>
      <c r="K60" s="1">
        <v>1.9991998276551E-3</v>
      </c>
      <c r="L60" s="1">
        <v>-2.9866525116485299E-2</v>
      </c>
      <c r="M60" s="1">
        <v>0.24503255165482299</v>
      </c>
      <c r="N60" s="1">
        <v>-3.0089516600850699E-2</v>
      </c>
      <c r="O60" s="1">
        <v>3.3296232810853699E-2</v>
      </c>
      <c r="P60" s="1">
        <v>4.6156455647800398E-8</v>
      </c>
      <c r="Q60" s="1">
        <v>9.2418545730005602E-2</v>
      </c>
      <c r="R60" s="1">
        <v>0.30758457226834302</v>
      </c>
      <c r="S60" s="1">
        <v>-7.6725402413398902E-3</v>
      </c>
      <c r="T60" s="1"/>
      <c r="U60" s="1"/>
      <c r="V60" s="1"/>
      <c r="W60" s="1"/>
      <c r="X60" s="1"/>
      <c r="Y60" s="1"/>
      <c r="Z60" s="1">
        <f t="shared" si="0"/>
        <v>0.12250806233085634</v>
      </c>
      <c r="AA60" s="1">
        <f t="shared" si="1"/>
        <v>284.42533298566605</v>
      </c>
      <c r="AB60" s="1"/>
      <c r="AC60" s="1"/>
      <c r="AD60" s="1"/>
      <c r="AE60" s="1">
        <f t="shared" si="2"/>
        <v>-3.0089516600850699E-2</v>
      </c>
      <c r="AF60" s="1"/>
      <c r="AG60" s="1"/>
      <c r="AH60" s="1"/>
    </row>
    <row r="61" spans="1:34" x14ac:dyDescent="0.2">
      <c r="A61">
        <v>1809.5</v>
      </c>
      <c r="B61" s="1">
        <v>8.3048139003754295E-2</v>
      </c>
      <c r="C61" s="1">
        <v>2.94812774341137E-2</v>
      </c>
      <c r="D61" s="1">
        <v>4.3802005229435E-3</v>
      </c>
      <c r="E61" s="1">
        <v>-4.3554016405989999E-4</v>
      </c>
      <c r="F61" s="1">
        <v>-2.4245947142691501E-2</v>
      </c>
      <c r="G61" s="1">
        <v>1.4058867286342499E-2</v>
      </c>
      <c r="H61" s="1">
        <v>0</v>
      </c>
      <c r="I61" s="1">
        <v>-1.42819937459323E-2</v>
      </c>
      <c r="J61" s="1">
        <v>3.5336537752857998E-3</v>
      </c>
      <c r="K61" s="1">
        <v>2.0336687902009001E-3</v>
      </c>
      <c r="L61" s="1">
        <v>-4.9382858124297803E-2</v>
      </c>
      <c r="M61" s="1">
        <v>-3.43631610430901</v>
      </c>
      <c r="N61" s="1">
        <v>-2.4681487306751401E-2</v>
      </c>
      <c r="O61" s="1">
        <v>3.3861524909313802E-2</v>
      </c>
      <c r="P61" s="1">
        <v>4.6952256607218602E-8</v>
      </c>
      <c r="Q61" s="1">
        <v>9.7572372712213501E-2</v>
      </c>
      <c r="R61" s="1">
        <v>-3.3881265897210899</v>
      </c>
      <c r="S61" s="1">
        <v>-8.7146711804455997E-3</v>
      </c>
      <c r="T61" s="1"/>
      <c r="U61" s="1"/>
      <c r="V61" s="1"/>
      <c r="W61" s="1"/>
      <c r="X61" s="1"/>
      <c r="Y61" s="1"/>
      <c r="Z61" s="1">
        <f t="shared" si="0"/>
        <v>0.122253860018965</v>
      </c>
      <c r="AA61" s="1">
        <f t="shared" si="1"/>
        <v>284.41226915633223</v>
      </c>
      <c r="AB61" s="1"/>
      <c r="AC61" s="1"/>
      <c r="AD61" s="1"/>
      <c r="AE61" s="1">
        <f t="shared" si="2"/>
        <v>-2.4681487306751401E-2</v>
      </c>
      <c r="AF61" s="1"/>
      <c r="AG61" s="1"/>
      <c r="AH61" s="1"/>
    </row>
    <row r="62" spans="1:34" x14ac:dyDescent="0.2">
      <c r="A62">
        <v>1810.5</v>
      </c>
      <c r="B62" s="1">
        <v>8.4445805462148596E-2</v>
      </c>
      <c r="C62" s="1">
        <v>2.99722841344288E-2</v>
      </c>
      <c r="D62" s="1">
        <v>4.4541963752449997E-3</v>
      </c>
      <c r="E62" s="1">
        <v>-5.0256031680420005E-4</v>
      </c>
      <c r="F62" s="1">
        <v>-2.5937585074586E-2</v>
      </c>
      <c r="G62" s="1">
        <v>1.4522764191233E-2</v>
      </c>
      <c r="H62" s="1">
        <v>0</v>
      </c>
      <c r="I62" s="1">
        <v>-1.47288367503201E-2</v>
      </c>
      <c r="J62" s="1">
        <v>3.7605258949256E-3</v>
      </c>
      <c r="K62" s="1">
        <v>2.0681377527466999E-3</v>
      </c>
      <c r="L62" s="1">
        <v>-6.2799362030547798E-2</v>
      </c>
      <c r="M62" s="1">
        <v>-4.0104552529950999</v>
      </c>
      <c r="N62" s="1">
        <v>-2.64401453913902E-2</v>
      </c>
      <c r="O62" s="1">
        <v>3.4426528257731299E-2</v>
      </c>
      <c r="P62" s="1">
        <v>4.7748057566663897E-8</v>
      </c>
      <c r="Q62" s="1">
        <v>9.8054779417074897E-2</v>
      </c>
      <c r="R62" s="1">
        <v>-3.9751998356085698</v>
      </c>
      <c r="S62" s="1">
        <v>-8.9001731026478008E-3</v>
      </c>
      <c r="T62" s="1"/>
      <c r="U62" s="1"/>
      <c r="V62" s="1"/>
      <c r="W62" s="1"/>
      <c r="X62" s="1"/>
      <c r="Y62" s="1"/>
      <c r="Z62" s="1">
        <f t="shared" si="0"/>
        <v>0.12449492480846516</v>
      </c>
      <c r="AA62" s="1">
        <f t="shared" si="1"/>
        <v>284.52746143629867</v>
      </c>
      <c r="AB62" s="1"/>
      <c r="AC62" s="1"/>
      <c r="AD62" s="1"/>
      <c r="AE62" s="1">
        <f t="shared" si="2"/>
        <v>-2.64401453913902E-2</v>
      </c>
      <c r="AF62" s="1"/>
      <c r="AG62" s="1"/>
      <c r="AH62" s="1"/>
    </row>
    <row r="63" spans="1:34" x14ac:dyDescent="0.2">
      <c r="A63">
        <v>1811.5</v>
      </c>
      <c r="B63" s="1">
        <v>8.5843144416894807E-2</v>
      </c>
      <c r="C63" s="1">
        <v>3.04630105830569E-2</v>
      </c>
      <c r="D63" s="1">
        <v>4.5281841573805003E-3</v>
      </c>
      <c r="E63" s="1">
        <v>4.3585193122230002E-4</v>
      </c>
      <c r="F63" s="1">
        <v>-2.1040046203089399E-2</v>
      </c>
      <c r="G63" s="1">
        <v>1.4004477725974299E-2</v>
      </c>
      <c r="H63" s="1">
        <v>0</v>
      </c>
      <c r="I63" s="1">
        <v>-1.51931593246906E-2</v>
      </c>
      <c r="J63" s="1">
        <v>3.3922947598294998E-3</v>
      </c>
      <c r="K63" s="1">
        <v>2.1026067152925001E-3</v>
      </c>
      <c r="L63" s="1">
        <v>-6.7495138397735299E-2</v>
      </c>
      <c r="M63" s="1">
        <v>-1.6555353813875699</v>
      </c>
      <c r="N63" s="1">
        <v>-2.0604194271867E-2</v>
      </c>
      <c r="O63" s="1">
        <v>3.4991243284295898E-2</v>
      </c>
      <c r="P63" s="1">
        <v>4.8543858526109199E-8</v>
      </c>
      <c r="Q63" s="1">
        <v>0.10453641330572901</v>
      </c>
      <c r="R63" s="1">
        <v>-1.6184941064795699</v>
      </c>
      <c r="S63" s="1">
        <v>-9.6982578495685996E-3</v>
      </c>
      <c r="T63" s="1"/>
      <c r="U63" s="1"/>
      <c r="V63" s="1"/>
      <c r="W63" s="1"/>
      <c r="X63" s="1"/>
      <c r="Y63" s="1"/>
      <c r="Z63" s="1">
        <f t="shared" si="0"/>
        <v>0.12514060757759643</v>
      </c>
      <c r="AA63" s="1">
        <f t="shared" si="1"/>
        <v>284.56065863371782</v>
      </c>
      <c r="AB63" s="1"/>
      <c r="AC63" s="1"/>
      <c r="AD63" s="1"/>
      <c r="AE63" s="1">
        <f t="shared" si="2"/>
        <v>-2.0604194271867098E-2</v>
      </c>
      <c r="AF63" s="1"/>
      <c r="AG63" s="1"/>
      <c r="AH63" s="1"/>
    </row>
    <row r="64" spans="1:34" x14ac:dyDescent="0.2">
      <c r="A64">
        <v>1812.5</v>
      </c>
      <c r="B64" s="1">
        <v>8.7240156036452202E-2</v>
      </c>
      <c r="C64" s="1">
        <v>3.0953457202761801E-2</v>
      </c>
      <c r="D64" s="1">
        <v>4.6021638736978001E-3</v>
      </c>
      <c r="E64" s="1">
        <v>1.0846365601793E-3</v>
      </c>
      <c r="F64" s="1">
        <v>-1.7013257407619199E-2</v>
      </c>
      <c r="G64" s="1">
        <v>1.35540063076803E-2</v>
      </c>
      <c r="H64" s="1">
        <v>0</v>
      </c>
      <c r="I64" s="1">
        <v>-1.5658580347665998E-2</v>
      </c>
      <c r="J64" s="1">
        <v>3.0676979664507002E-3</v>
      </c>
      <c r="K64" s="1">
        <v>2.1370756778382998E-3</v>
      </c>
      <c r="L64" s="1">
        <v>-6.2222140350860301E-2</v>
      </c>
      <c r="M64" s="1">
        <v>-0.667432941565275</v>
      </c>
      <c r="N64" s="1">
        <v>-1.59286208474399E-2</v>
      </c>
      <c r="O64" s="1">
        <v>3.5555670416118998E-2</v>
      </c>
      <c r="P64" s="1">
        <v>4.9339659485554501E-8</v>
      </c>
      <c r="Q64" s="1">
        <v>0.109967405209434</v>
      </c>
      <c r="R64" s="1">
        <v>-0.619687676706701</v>
      </c>
      <c r="S64" s="1">
        <v>-1.04538067033769E-2</v>
      </c>
      <c r="T64" s="1"/>
      <c r="U64" s="1"/>
      <c r="V64" s="1"/>
      <c r="W64" s="1"/>
      <c r="X64" s="1"/>
      <c r="Y64" s="1"/>
      <c r="Z64" s="1">
        <f t="shared" si="0"/>
        <v>0.12589602605687461</v>
      </c>
      <c r="AA64" s="1">
        <f t="shared" si="1"/>
        <v>284.59950271039605</v>
      </c>
      <c r="AB64" s="1"/>
      <c r="AC64" s="1"/>
      <c r="AD64" s="1"/>
      <c r="AE64" s="1">
        <f t="shared" si="2"/>
        <v>-1.59286208474399E-2</v>
      </c>
      <c r="AF64" s="1"/>
      <c r="AG64" s="1"/>
      <c r="AH64" s="1"/>
    </row>
    <row r="65" spans="1:34" x14ac:dyDescent="0.2">
      <c r="A65">
        <v>1813.5</v>
      </c>
      <c r="B65" s="1">
        <v>8.8636840489153296E-2</v>
      </c>
      <c r="C65" s="1">
        <v>3.1443624415243197E-2</v>
      </c>
      <c r="D65" s="1">
        <v>4.6761355285385E-3</v>
      </c>
      <c r="E65" s="1">
        <v>5.7748891097550003E-4</v>
      </c>
      <c r="F65" s="1">
        <v>-1.9220316780008798E-2</v>
      </c>
      <c r="G65" s="1">
        <v>1.3672971064500199E-2</v>
      </c>
      <c r="H65" s="1">
        <v>0</v>
      </c>
      <c r="I65" s="1">
        <v>-1.6125049088898499E-2</v>
      </c>
      <c r="J65" s="1">
        <v>3.1775132685297001E-3</v>
      </c>
      <c r="K65" s="1">
        <v>2.1715446403839998E-3</v>
      </c>
      <c r="L65" s="1">
        <v>-4.6543551483672799E-2</v>
      </c>
      <c r="M65" s="1">
        <v>-0.78014476522771004</v>
      </c>
      <c r="N65" s="1">
        <v>-1.86428278690332E-2</v>
      </c>
      <c r="O65" s="1">
        <v>3.6119810079242101E-2</v>
      </c>
      <c r="P65" s="1">
        <v>5.0135460444999803E-8</v>
      </c>
      <c r="Q65" s="1">
        <v>0.10901080258387701</v>
      </c>
      <c r="R65" s="1">
        <v>-0.71767751412750502</v>
      </c>
      <c r="S65" s="1">
        <v>-1.0775991179984699E-2</v>
      </c>
      <c r="T65" s="1"/>
      <c r="U65" s="1"/>
      <c r="V65" s="1"/>
      <c r="W65" s="1"/>
      <c r="X65" s="1"/>
      <c r="Y65" s="1"/>
      <c r="Z65" s="1">
        <f t="shared" si="0"/>
        <v>0.12765363045291084</v>
      </c>
      <c r="AA65" s="1">
        <f t="shared" si="1"/>
        <v>284.68990031685439</v>
      </c>
      <c r="AB65" s="1"/>
      <c r="AC65" s="1"/>
      <c r="AD65" s="1"/>
      <c r="AE65" s="1">
        <f t="shared" si="2"/>
        <v>-1.8642827869033297E-2</v>
      </c>
      <c r="AF65" s="1"/>
      <c r="AG65" s="1"/>
      <c r="AH65" s="1"/>
    </row>
    <row r="66" spans="1:34" x14ac:dyDescent="0.2">
      <c r="A66">
        <v>1814.5</v>
      </c>
      <c r="B66" s="1">
        <v>9.0033197943201596E-2</v>
      </c>
      <c r="C66" s="1">
        <v>3.1933512641140201E-2</v>
      </c>
      <c r="D66" s="1">
        <v>4.7500991262362001E-3</v>
      </c>
      <c r="E66" s="1">
        <v>-1.1020996701685E-3</v>
      </c>
      <c r="F66" s="1">
        <v>-2.99439600140128E-2</v>
      </c>
      <c r="G66" s="1">
        <v>1.5489015191210501E-2</v>
      </c>
      <c r="H66" s="1">
        <v>0</v>
      </c>
      <c r="I66" s="1">
        <v>-1.6592523671048801E-2</v>
      </c>
      <c r="J66" s="1">
        <v>4.1413397364694002E-3</v>
      </c>
      <c r="K66" s="1">
        <v>2.2060136029298E-3</v>
      </c>
      <c r="L66" s="1">
        <v>-2.5638766327422801E-2</v>
      </c>
      <c r="M66" s="1">
        <v>-0.49298229644824598</v>
      </c>
      <c r="N66" s="1">
        <v>-3.1046059684181299E-2</v>
      </c>
      <c r="O66" s="1">
        <v>3.6683662698637799E-2</v>
      </c>
      <c r="P66" s="1">
        <v>5.0931261404445098E-8</v>
      </c>
      <c r="Q66" s="1">
        <v>0.100914645817219</v>
      </c>
      <c r="R66" s="1">
        <v>-0.41770641695845001</v>
      </c>
      <c r="S66" s="1">
        <v>-1.02451703316496E-2</v>
      </c>
      <c r="T66" s="1"/>
      <c r="U66" s="1"/>
      <c r="V66" s="1"/>
      <c r="W66" s="1"/>
      <c r="X66" s="1"/>
      <c r="Y66" s="1"/>
      <c r="Z66" s="1">
        <f t="shared" ref="Z66:Z129" si="3">K66+J66+I66+H66+G66+D66+C66+B66+P66</f>
        <v>0.13196070550140029</v>
      </c>
      <c r="AA66" s="1">
        <f t="shared" ref="AA66:AA129" si="4">10^((Z66+$V$100)/$V$99)</f>
        <v>284.91154443185536</v>
      </c>
      <c r="AB66" s="1"/>
      <c r="AC66" s="1"/>
      <c r="AD66" s="1"/>
      <c r="AE66" s="1">
        <f t="shared" ref="AE66:AE129" si="5">F66+E66</f>
        <v>-3.1046059684181299E-2</v>
      </c>
      <c r="AF66" s="1"/>
      <c r="AG66" s="1"/>
      <c r="AH66" s="1"/>
    </row>
    <row r="67" spans="1:34" x14ac:dyDescent="0.2">
      <c r="A67">
        <v>1815.5</v>
      </c>
      <c r="B67" s="1">
        <v>9.14292285666638E-2</v>
      </c>
      <c r="C67" s="1">
        <v>3.2423122300035398E-2</v>
      </c>
      <c r="D67" s="1">
        <v>4.8240546711160997E-3</v>
      </c>
      <c r="E67" s="1">
        <v>-2.49704470784301E-5</v>
      </c>
      <c r="F67" s="1">
        <v>-2.7159511311418201E-2</v>
      </c>
      <c r="G67" s="1">
        <v>1.5659133515288099E-2</v>
      </c>
      <c r="H67" s="1">
        <v>0</v>
      </c>
      <c r="I67" s="1">
        <v>-1.7060975369741702E-2</v>
      </c>
      <c r="J67" s="1">
        <v>4.1229687548699004E-3</v>
      </c>
      <c r="K67" s="1">
        <v>2.2404825654756002E-3</v>
      </c>
      <c r="L67" s="1">
        <v>-6.6684538274227999E-3</v>
      </c>
      <c r="M67" s="1">
        <v>-3.2674763460613598</v>
      </c>
      <c r="N67" s="1">
        <v>-2.7184481758496599E-2</v>
      </c>
      <c r="O67" s="1">
        <v>3.72472286982138E-2</v>
      </c>
      <c r="P67" s="1">
        <v>5.1727062363863302E-8</v>
      </c>
      <c r="Q67" s="1">
        <v>0.106453584972272</v>
      </c>
      <c r="R67" s="1">
        <v>-3.16769121491651</v>
      </c>
      <c r="S67" s="1">
        <v>-1.0697524049396201E-2</v>
      </c>
      <c r="T67" s="1"/>
      <c r="U67" s="1"/>
      <c r="V67" s="1"/>
      <c r="W67" s="1"/>
      <c r="X67" s="1"/>
      <c r="Y67" s="1"/>
      <c r="Z67" s="1">
        <f t="shared" si="3"/>
        <v>0.13363806673076956</v>
      </c>
      <c r="AA67" s="1">
        <f t="shared" si="4"/>
        <v>284.99790891199427</v>
      </c>
      <c r="AB67" s="1"/>
      <c r="AC67" s="1"/>
      <c r="AD67" s="1"/>
      <c r="AE67" s="1">
        <f t="shared" si="5"/>
        <v>-2.718448175849663E-2</v>
      </c>
      <c r="AF67" s="1"/>
      <c r="AG67" s="1"/>
      <c r="AH67" s="1"/>
    </row>
    <row r="68" spans="1:34" x14ac:dyDescent="0.2">
      <c r="A68">
        <v>1816.5</v>
      </c>
      <c r="B68" s="1">
        <v>9.2824932527483903E-2</v>
      </c>
      <c r="C68" s="1">
        <v>3.2912453810458001E-2</v>
      </c>
      <c r="D68" s="1">
        <v>4.8980021674964996E-3</v>
      </c>
      <c r="E68" s="1">
        <v>-2.8825770224330001E-4</v>
      </c>
      <c r="F68" s="1">
        <v>-2.5517030508246101E-2</v>
      </c>
      <c r="G68" s="1">
        <v>1.48505764423722E-2</v>
      </c>
      <c r="H68" s="1">
        <v>0</v>
      </c>
      <c r="I68" s="1">
        <v>-1.7530374042064999E-2</v>
      </c>
      <c r="J68" s="1">
        <v>3.7708003673355001E-3</v>
      </c>
      <c r="K68" s="1">
        <v>2.2749515280213999E-3</v>
      </c>
      <c r="L68" s="1">
        <v>4.9383821100771001E-3</v>
      </c>
      <c r="M68" s="1">
        <v>-5.8939420739674402</v>
      </c>
      <c r="N68" s="1">
        <v>-2.5805288210489399E-2</v>
      </c>
      <c r="O68" s="1">
        <v>3.7810508500817797E-2</v>
      </c>
      <c r="P68" s="1">
        <v>5.2522863323335702E-8</v>
      </c>
      <c r="Q68" s="1">
        <v>0.10819610711347601</v>
      </c>
      <c r="R68" s="1">
        <v>-5.7808075847438802</v>
      </c>
      <c r="S68" s="1">
        <v>-1.1484622146708E-2</v>
      </c>
      <c r="T68" s="1"/>
      <c r="U68" s="1"/>
      <c r="V68" s="1"/>
      <c r="W68" s="1"/>
      <c r="X68" s="1"/>
      <c r="Y68" s="1"/>
      <c r="Z68" s="1">
        <f t="shared" si="3"/>
        <v>0.13400139532396585</v>
      </c>
      <c r="AA68" s="1">
        <f t="shared" si="4"/>
        <v>285.01661953322974</v>
      </c>
      <c r="AB68" s="1"/>
      <c r="AC68" s="1"/>
      <c r="AD68" s="1"/>
      <c r="AE68" s="1">
        <f t="shared" si="5"/>
        <v>-2.5805288210489399E-2</v>
      </c>
      <c r="AF68" s="1"/>
      <c r="AG68" s="1"/>
      <c r="AH68" s="1"/>
    </row>
    <row r="69" spans="1:34" x14ac:dyDescent="0.2">
      <c r="A69">
        <v>1817.5</v>
      </c>
      <c r="B69" s="1">
        <v>9.4220309993474999E-2</v>
      </c>
      <c r="C69" s="1">
        <v>3.3401507589888003E-2</v>
      </c>
      <c r="D69" s="1">
        <v>4.9719416196868996E-3</v>
      </c>
      <c r="E69" s="1">
        <v>4.5096571166684299E-5</v>
      </c>
      <c r="F69" s="1">
        <v>-2.8548324546459398E-2</v>
      </c>
      <c r="G69" s="1">
        <v>1.6121812382677202E-2</v>
      </c>
      <c r="H69" s="1">
        <v>0</v>
      </c>
      <c r="I69" s="1">
        <v>-1.80007216462389E-2</v>
      </c>
      <c r="J69" s="1">
        <v>4.3551985183782E-3</v>
      </c>
      <c r="K69" s="1">
        <v>2.3094204905672001E-3</v>
      </c>
      <c r="L69" s="1">
        <v>6.6856477350771002E-3</v>
      </c>
      <c r="M69" s="1">
        <v>-3.6175976790608999</v>
      </c>
      <c r="N69" s="1">
        <v>-2.85032279752927E-2</v>
      </c>
      <c r="O69" s="1">
        <v>3.8373502528239102E-2</v>
      </c>
      <c r="P69" s="1">
        <v>5.3318664282780998E-8</v>
      </c>
      <c r="Q69" s="1">
        <v>0.108876294291805</v>
      </c>
      <c r="R69" s="1">
        <v>-3.5020357370340198</v>
      </c>
      <c r="S69" s="1">
        <v>-1.13361026372935E-2</v>
      </c>
      <c r="T69" s="1"/>
      <c r="U69" s="1"/>
      <c r="V69" s="1"/>
      <c r="W69" s="1"/>
      <c r="X69" s="1"/>
      <c r="Y69" s="1"/>
      <c r="Z69" s="1">
        <f t="shared" si="3"/>
        <v>0.1373795222670979</v>
      </c>
      <c r="AA69" s="1">
        <f t="shared" si="4"/>
        <v>285.19064443715388</v>
      </c>
      <c r="AB69" s="1"/>
      <c r="AC69" s="1"/>
      <c r="AD69" s="1"/>
      <c r="AE69" s="1">
        <f t="shared" si="5"/>
        <v>-2.8503227975292714E-2</v>
      </c>
      <c r="AF69" s="1"/>
      <c r="AG69" s="1"/>
      <c r="AH69" s="1"/>
    </row>
    <row r="70" spans="1:34" x14ac:dyDescent="0.2">
      <c r="A70">
        <v>1818.5</v>
      </c>
      <c r="B70" s="1">
        <v>9.5615361132317195E-2</v>
      </c>
      <c r="C70" s="1">
        <v>3.3890284054760002E-2</v>
      </c>
      <c r="D70" s="1">
        <v>5.0458730319908E-3</v>
      </c>
      <c r="E70" s="1">
        <v>-5.7113278435170004E-4</v>
      </c>
      <c r="F70" s="1">
        <v>-3.4400792513536498E-2</v>
      </c>
      <c r="G70" s="1">
        <v>1.7694851509683598E-2</v>
      </c>
      <c r="H70" s="1">
        <v>0</v>
      </c>
      <c r="I70" s="1">
        <v>-1.8471975091325501E-2</v>
      </c>
      <c r="J70" s="1">
        <v>5.0072129456978001E-3</v>
      </c>
      <c r="K70" s="1">
        <v>2.3438894531129001E-3</v>
      </c>
      <c r="L70" s="1">
        <v>-6.6222824148530002E-4</v>
      </c>
      <c r="M70" s="1">
        <v>-2.56613685237124</v>
      </c>
      <c r="N70" s="1">
        <v>-3.4971925297888097E-2</v>
      </c>
      <c r="O70" s="1">
        <v>3.8936211201216001E-2</v>
      </c>
      <c r="P70" s="1">
        <v>5.41144652422263E-8</v>
      </c>
      <c r="Q70" s="1">
        <v>0.106153625852813</v>
      </c>
      <c r="R70" s="1">
        <v>-2.4606454547599199</v>
      </c>
      <c r="S70" s="1">
        <v>-1.1120872692514799E-2</v>
      </c>
      <c r="T70" s="1"/>
      <c r="U70" s="1"/>
      <c r="V70" s="1"/>
      <c r="W70" s="1"/>
      <c r="X70" s="1"/>
      <c r="Y70" s="1"/>
      <c r="Z70" s="1">
        <f t="shared" si="3"/>
        <v>0.14112555115070202</v>
      </c>
      <c r="AA70" s="1">
        <f t="shared" si="4"/>
        <v>285.38374613186875</v>
      </c>
      <c r="AB70" s="1"/>
      <c r="AC70" s="1"/>
      <c r="AD70" s="1"/>
      <c r="AE70" s="1">
        <f t="shared" si="5"/>
        <v>-3.4971925297888194E-2</v>
      </c>
      <c r="AF70" s="1"/>
      <c r="AG70" s="1"/>
      <c r="AH70" s="1"/>
    </row>
    <row r="71" spans="1:34" x14ac:dyDescent="0.2">
      <c r="A71">
        <v>1819.5</v>
      </c>
      <c r="B71" s="1">
        <v>9.70100861115646E-2</v>
      </c>
      <c r="C71" s="1">
        <v>3.4378783620466501E-2</v>
      </c>
      <c r="D71" s="1">
        <v>5.1197964087024003E-3</v>
      </c>
      <c r="E71" s="1">
        <v>-3.6907925344959998E-4</v>
      </c>
      <c r="F71" s="1">
        <v>-3.10542994969077E-2</v>
      </c>
      <c r="G71" s="1">
        <v>1.6563228694830099E-2</v>
      </c>
      <c r="H71" s="1">
        <v>0</v>
      </c>
      <c r="I71" s="1">
        <v>-1.8944087299822301E-2</v>
      </c>
      <c r="J71" s="1">
        <v>4.5742289536871003E-3</v>
      </c>
      <c r="K71" s="1">
        <v>2.3783584156586999E-3</v>
      </c>
      <c r="L71" s="1">
        <v>-1.4063131561797801E-2</v>
      </c>
      <c r="M71" s="1">
        <v>-1.0909619120085601</v>
      </c>
      <c r="N71" s="1">
        <v>-3.1423378750357299E-2</v>
      </c>
      <c r="O71" s="1">
        <v>3.9498634939435097E-2</v>
      </c>
      <c r="P71" s="1">
        <v>5.4910266201671602E-8</v>
      </c>
      <c r="Q71" s="1">
        <v>0.109657071064995</v>
      </c>
      <c r="R71" s="1">
        <v>-0.99536797250536202</v>
      </c>
      <c r="S71" s="1">
        <v>-1.1991499930476501E-2</v>
      </c>
      <c r="T71" s="1"/>
      <c r="U71" s="1"/>
      <c r="V71" s="1"/>
      <c r="W71" s="1"/>
      <c r="X71" s="1"/>
      <c r="Y71" s="1"/>
      <c r="Z71" s="1">
        <f t="shared" si="3"/>
        <v>0.14108044981535331</v>
      </c>
      <c r="AA71" s="1">
        <f t="shared" si="4"/>
        <v>285.38142045396728</v>
      </c>
      <c r="AB71" s="1"/>
      <c r="AC71" s="1"/>
      <c r="AD71" s="1"/>
      <c r="AE71" s="1">
        <f t="shared" si="5"/>
        <v>-3.1423378750357299E-2</v>
      </c>
      <c r="AF71" s="1"/>
      <c r="AG71" s="1"/>
      <c r="AH71" s="1"/>
    </row>
    <row r="72" spans="1:34" x14ac:dyDescent="0.2">
      <c r="A72">
        <v>1820.5</v>
      </c>
      <c r="B72" s="1">
        <v>9.8404485098642303E-2</v>
      </c>
      <c r="C72" s="1">
        <v>3.4867006701361503E-2</v>
      </c>
      <c r="D72" s="1">
        <v>5.1937117541093003E-3</v>
      </c>
      <c r="E72" s="1">
        <v>-1.3670634988168001E-3</v>
      </c>
      <c r="F72" s="1">
        <v>-3.5559485453722901E-2</v>
      </c>
      <c r="G72" s="1">
        <v>1.70709010285926E-2</v>
      </c>
      <c r="H72" s="1">
        <v>0</v>
      </c>
      <c r="I72" s="1">
        <v>-1.9463691464551201E-2</v>
      </c>
      <c r="J72" s="1">
        <v>4.8816299007904997E-3</v>
      </c>
      <c r="K72" s="1">
        <v>2.4128273782045E-3</v>
      </c>
      <c r="L72" s="1">
        <v>-3.1379781952422803E-2</v>
      </c>
      <c r="M72" s="1">
        <v>-0.10794352334978501</v>
      </c>
      <c r="N72" s="1">
        <v>-3.6926548952539703E-2</v>
      </c>
      <c r="O72" s="1">
        <v>4.0060774161537901E-2</v>
      </c>
      <c r="P72" s="1">
        <v>5.5706067161116897E-8</v>
      </c>
      <c r="Q72" s="1">
        <v>0.106440377150676</v>
      </c>
      <c r="R72" s="1">
        <v>-3.2882928151531397E-2</v>
      </c>
      <c r="S72" s="1">
        <v>-1.21692341855562E-2</v>
      </c>
      <c r="T72" s="1"/>
      <c r="U72" s="1"/>
      <c r="V72" s="1"/>
      <c r="W72" s="1"/>
      <c r="X72" s="1"/>
      <c r="Y72" s="1"/>
      <c r="Z72" s="1">
        <f t="shared" si="3"/>
        <v>0.14336692610321666</v>
      </c>
      <c r="AA72" s="1">
        <f t="shared" si="4"/>
        <v>285.49934787843966</v>
      </c>
      <c r="AB72" s="1"/>
      <c r="AC72" s="1"/>
      <c r="AD72" s="1"/>
      <c r="AE72" s="1">
        <f t="shared" si="5"/>
        <v>-3.6926548952539703E-2</v>
      </c>
      <c r="AF72" s="1"/>
      <c r="AG72" s="1"/>
      <c r="AH72" s="1"/>
    </row>
    <row r="73" spans="1:34" x14ac:dyDescent="0.2">
      <c r="A73">
        <v>1821.5</v>
      </c>
      <c r="B73" s="1">
        <v>9.9798558260843703E-2</v>
      </c>
      <c r="C73" s="1">
        <v>3.5354953710764303E-2</v>
      </c>
      <c r="D73" s="1">
        <v>5.2676190724912997E-3</v>
      </c>
      <c r="E73" s="1">
        <v>-5.1525852952550005E-4</v>
      </c>
      <c r="F73" s="1">
        <v>-3.5039173773860302E-2</v>
      </c>
      <c r="G73" s="1">
        <v>1.7715170464225102E-2</v>
      </c>
      <c r="H73" s="1">
        <v>0</v>
      </c>
      <c r="I73" s="1">
        <v>-2.00307551592196E-2</v>
      </c>
      <c r="J73" s="1">
        <v>5.1248404736652002E-3</v>
      </c>
      <c r="K73" s="1">
        <v>2.4472963407502998E-3</v>
      </c>
      <c r="L73" s="1">
        <v>-4.7978805389922802E-2</v>
      </c>
      <c r="M73" s="1">
        <v>2.3528134126556698E-2</v>
      </c>
      <c r="N73" s="1">
        <v>-3.55544323033858E-2</v>
      </c>
      <c r="O73" s="1">
        <v>4.0622629285123703E-2</v>
      </c>
      <c r="P73" s="1">
        <v>5.6501868120562199E-8</v>
      </c>
      <c r="Q73" s="1">
        <v>0.110123307362002</v>
      </c>
      <c r="R73" s="1">
        <v>8.5672636098636498E-2</v>
      </c>
      <c r="S73" s="1">
        <v>-1.24586183448041E-2</v>
      </c>
      <c r="T73" s="1"/>
      <c r="U73" s="1"/>
      <c r="V73" s="1"/>
      <c r="W73" s="1"/>
      <c r="X73" s="1"/>
      <c r="Y73" s="1"/>
      <c r="Z73" s="1">
        <f t="shared" si="3"/>
        <v>0.14567773966538844</v>
      </c>
      <c r="AA73" s="1">
        <f t="shared" si="4"/>
        <v>285.61858003519961</v>
      </c>
      <c r="AB73" s="1"/>
      <c r="AC73" s="1"/>
      <c r="AD73" s="1"/>
      <c r="AE73" s="1">
        <f t="shared" si="5"/>
        <v>-3.55544323033858E-2</v>
      </c>
      <c r="AF73" s="1"/>
      <c r="AG73" s="1"/>
      <c r="AH73" s="1"/>
    </row>
    <row r="74" spans="1:34" x14ac:dyDescent="0.2">
      <c r="A74">
        <v>1822.5</v>
      </c>
      <c r="B74" s="1">
        <v>0.101192305765333</v>
      </c>
      <c r="C74" s="1">
        <v>3.5842625060963397E-2</v>
      </c>
      <c r="D74" s="1">
        <v>5.3415183681196996E-3</v>
      </c>
      <c r="E74" s="1">
        <v>-9.6967999154559995E-4</v>
      </c>
      <c r="F74" s="1">
        <v>-3.3473489317483202E-2</v>
      </c>
      <c r="G74" s="1">
        <v>1.6605371889558702E-2</v>
      </c>
      <c r="H74" s="1">
        <v>0</v>
      </c>
      <c r="I74" s="1">
        <v>-2.05985911607065E-2</v>
      </c>
      <c r="J74" s="1">
        <v>4.7129482431113997E-3</v>
      </c>
      <c r="K74" s="1">
        <v>2.4817653032959998E-3</v>
      </c>
      <c r="L74" s="1">
        <v>-5.9398434296172802E-2</v>
      </c>
      <c r="M74" s="1">
        <v>-2.7464039440100001E-3</v>
      </c>
      <c r="N74" s="1">
        <v>-3.4443169309028798E-2</v>
      </c>
      <c r="O74" s="1">
        <v>4.11842007267521E-2</v>
      </c>
      <c r="P74" s="1">
        <v>5.7297669080007501E-8</v>
      </c>
      <c r="Q74" s="1">
        <v>0.111134831458316</v>
      </c>
      <c r="R74" s="1">
        <v>4.8989993218133403E-2</v>
      </c>
      <c r="S74" s="1">
        <v>-1.3403877614299099E-2</v>
      </c>
      <c r="T74" s="1"/>
      <c r="U74" s="1"/>
      <c r="V74" s="1"/>
      <c r="W74" s="1"/>
      <c r="X74" s="1"/>
      <c r="Y74" s="1"/>
      <c r="Z74" s="1">
        <f t="shared" si="3"/>
        <v>0.14557800076734478</v>
      </c>
      <c r="AA74" s="1">
        <f t="shared" si="4"/>
        <v>285.61343273131445</v>
      </c>
      <c r="AB74" s="1"/>
      <c r="AC74" s="1"/>
      <c r="AD74" s="1"/>
      <c r="AE74" s="1">
        <f t="shared" si="5"/>
        <v>-3.4443169309028798E-2</v>
      </c>
      <c r="AF74" s="1"/>
      <c r="AG74" s="1"/>
      <c r="AH74" s="1"/>
    </row>
    <row r="75" spans="1:34" x14ac:dyDescent="0.2">
      <c r="A75">
        <v>1823.5</v>
      </c>
      <c r="B75" s="1">
        <v>0.10258572777915</v>
      </c>
      <c r="C75" s="1">
        <v>3.6330021163219497E-2</v>
      </c>
      <c r="D75" s="1">
        <v>5.4154096452597002E-3</v>
      </c>
      <c r="E75" s="1">
        <v>-2.254136044167E-4</v>
      </c>
      <c r="F75" s="1">
        <v>-2.9987213574502101E-2</v>
      </c>
      <c r="G75" s="1">
        <v>1.6276422010120702E-2</v>
      </c>
      <c r="H75" s="1">
        <v>0</v>
      </c>
      <c r="I75" s="1">
        <v>-2.1167193269671501E-2</v>
      </c>
      <c r="J75" s="1">
        <v>4.4654244480989997E-3</v>
      </c>
      <c r="K75" s="1">
        <v>2.5162342658418E-3</v>
      </c>
      <c r="L75" s="1">
        <v>-6.18009245305478E-2</v>
      </c>
      <c r="M75" s="1">
        <v>-0.45880862370646402</v>
      </c>
      <c r="N75" s="1">
        <v>-3.0212627178918799E-2</v>
      </c>
      <c r="O75" s="1">
        <v>4.17454889019492E-2</v>
      </c>
      <c r="P75" s="1">
        <v>5.8093470039425698E-8</v>
      </c>
      <c r="Q75" s="1">
        <v>0.11620947695657</v>
      </c>
      <c r="R75" s="1">
        <v>-0.40440007128044098</v>
      </c>
      <c r="S75" s="1">
        <v>-1.4185534555730701E-2</v>
      </c>
      <c r="T75" s="1"/>
      <c r="U75" s="1"/>
      <c r="V75" s="1"/>
      <c r="W75" s="1"/>
      <c r="X75" s="1"/>
      <c r="Y75" s="1"/>
      <c r="Z75" s="1">
        <f t="shared" si="3"/>
        <v>0.14642210413548923</v>
      </c>
      <c r="AA75" s="1">
        <f t="shared" si="4"/>
        <v>285.65699796849572</v>
      </c>
      <c r="AB75" s="1"/>
      <c r="AC75" s="1"/>
      <c r="AD75" s="1"/>
      <c r="AE75" s="1">
        <f t="shared" si="5"/>
        <v>-3.0212627178918802E-2</v>
      </c>
      <c r="AF75" s="1"/>
      <c r="AG75" s="1"/>
      <c r="AH75" s="1"/>
    </row>
    <row r="76" spans="1:34" x14ac:dyDescent="0.2">
      <c r="A76">
        <v>1824.5</v>
      </c>
      <c r="B76" s="1">
        <v>0.1039788244692</v>
      </c>
      <c r="C76" s="1">
        <v>3.6817142427769602E-2</v>
      </c>
      <c r="D76" s="1">
        <v>5.4892929081685003E-3</v>
      </c>
      <c r="E76" s="1">
        <v>8.3546443880230001E-4</v>
      </c>
      <c r="F76" s="1">
        <v>-3.05188335127143E-2</v>
      </c>
      <c r="G76" s="1">
        <v>1.7336344623321401E-2</v>
      </c>
      <c r="H76" s="1">
        <v>0</v>
      </c>
      <c r="I76" s="1">
        <v>-2.1736550146782802E-2</v>
      </c>
      <c r="J76" s="1">
        <v>4.9679993842316004E-3</v>
      </c>
      <c r="K76" s="1">
        <v>2.5507032283876001E-3</v>
      </c>
      <c r="L76" s="1">
        <v>-5.0178488007110299E-2</v>
      </c>
      <c r="M76" s="1">
        <v>-6.3608989299799801E-2</v>
      </c>
      <c r="N76" s="1">
        <v>-2.9683369073911999E-2</v>
      </c>
      <c r="O76" s="1">
        <v>4.2306494225209101E-2</v>
      </c>
      <c r="P76" s="1">
        <v>5.8889270998871E-8</v>
      </c>
      <c r="Q76" s="1">
        <v>0.119720446709655</v>
      </c>
      <c r="R76" s="1">
        <v>5.9329694027454799E-3</v>
      </c>
      <c r="S76" s="1">
        <v>-1.4217847534163599E-2</v>
      </c>
      <c r="T76" s="1"/>
      <c r="U76" s="1"/>
      <c r="V76" s="1"/>
      <c r="W76" s="1"/>
      <c r="X76" s="1"/>
      <c r="Y76" s="1"/>
      <c r="Z76" s="1">
        <f t="shared" si="3"/>
        <v>0.1494038157835669</v>
      </c>
      <c r="AA76" s="1">
        <f t="shared" si="4"/>
        <v>285.81094106104121</v>
      </c>
      <c r="AB76" s="1"/>
      <c r="AC76" s="1"/>
      <c r="AD76" s="1"/>
      <c r="AE76" s="1">
        <f t="shared" si="5"/>
        <v>-2.9683369073911999E-2</v>
      </c>
      <c r="AF76" s="1"/>
      <c r="AG76" s="1"/>
      <c r="AH76" s="1"/>
    </row>
    <row r="77" spans="1:34" x14ac:dyDescent="0.2">
      <c r="A77">
        <v>1825.5</v>
      </c>
      <c r="B77" s="1">
        <v>0.10537159600226401</v>
      </c>
      <c r="C77" s="1">
        <v>3.7303989263830203E-2</v>
      </c>
      <c r="D77" s="1">
        <v>5.5631681610947004E-3</v>
      </c>
      <c r="E77" s="1">
        <v>-4.9755862857500004E-4</v>
      </c>
      <c r="F77" s="1">
        <v>-3.5563841711610603E-2</v>
      </c>
      <c r="G77" s="1">
        <v>1.7558914567560101E-2</v>
      </c>
      <c r="H77" s="1">
        <v>0</v>
      </c>
      <c r="I77" s="1">
        <v>-2.2306606368026099E-2</v>
      </c>
      <c r="J77" s="1">
        <v>5.2001525463035003E-3</v>
      </c>
      <c r="K77" s="1">
        <v>2.5851721909333999E-3</v>
      </c>
      <c r="L77" s="1">
        <v>-2.0240963593047799E-2</v>
      </c>
      <c r="M77" s="1">
        <v>7.7164765435686997E-2</v>
      </c>
      <c r="N77" s="1">
        <v>-3.6061400340185602E-2</v>
      </c>
      <c r="O77" s="1">
        <v>4.2867217109996802E-2</v>
      </c>
      <c r="P77" s="1">
        <v>5.9685071958316296E-8</v>
      </c>
      <c r="Q77" s="1">
        <v>0.115215045708847</v>
      </c>
      <c r="R77" s="1">
        <v>0.17213884755148601</v>
      </c>
      <c r="S77" s="1">
        <v>-1.4521281630789201E-2</v>
      </c>
      <c r="T77" s="1"/>
      <c r="U77" s="1"/>
      <c r="V77" s="1"/>
      <c r="W77" s="1"/>
      <c r="X77" s="1"/>
      <c r="Y77" s="1"/>
      <c r="Z77" s="1">
        <f t="shared" si="3"/>
        <v>0.15127644604903179</v>
      </c>
      <c r="AA77" s="1">
        <f t="shared" si="4"/>
        <v>285.90766568854042</v>
      </c>
      <c r="AB77" s="1">
        <v>2.456225799714765</v>
      </c>
      <c r="AC77" s="1"/>
      <c r="AD77" s="1"/>
      <c r="AE77" s="1">
        <f t="shared" si="5"/>
        <v>-3.6061400340185602E-2</v>
      </c>
      <c r="AF77" s="1"/>
      <c r="AG77" s="1"/>
      <c r="AH77" s="1"/>
    </row>
    <row r="78" spans="1:34" x14ac:dyDescent="0.2">
      <c r="A78">
        <v>1826.5</v>
      </c>
      <c r="B78" s="1">
        <v>0.106764042544995</v>
      </c>
      <c r="C78" s="1">
        <v>3.7790562079601402E-2</v>
      </c>
      <c r="D78" s="1">
        <v>5.6370354082808998E-3</v>
      </c>
      <c r="E78" s="1">
        <v>4.2506605492389999E-4</v>
      </c>
      <c r="F78" s="1">
        <v>-3.3394631833278801E-2</v>
      </c>
      <c r="G78" s="1">
        <v>1.7580310010132001E-2</v>
      </c>
      <c r="H78" s="1">
        <v>0</v>
      </c>
      <c r="I78" s="1">
        <v>-2.2877352741618499E-2</v>
      </c>
      <c r="J78" s="1">
        <v>5.2350265032027003E-3</v>
      </c>
      <c r="K78" s="1">
        <v>2.6196411534792001E-3</v>
      </c>
      <c r="L78" s="1">
        <v>1.3144290313202101E-2</v>
      </c>
      <c r="M78" s="1">
        <v>0.20123790921649701</v>
      </c>
      <c r="N78" s="1">
        <v>-3.2969565778354901E-2</v>
      </c>
      <c r="O78" s="1">
        <v>4.3427657968755203E-2</v>
      </c>
      <c r="P78" s="1">
        <v>6.0480872917761598E-8</v>
      </c>
      <c r="Q78" s="1">
        <v>0.11977975966059</v>
      </c>
      <c r="R78" s="1">
        <v>0.33416195919029001</v>
      </c>
      <c r="S78" s="1">
        <v>-1.50226850849366E-2</v>
      </c>
      <c r="T78" s="1"/>
      <c r="U78" s="1"/>
      <c r="V78" s="1"/>
      <c r="W78" s="1"/>
      <c r="X78" s="1"/>
      <c r="Y78" s="1"/>
      <c r="Z78" s="1">
        <f t="shared" si="3"/>
        <v>0.15274932543894562</v>
      </c>
      <c r="AA78" s="1">
        <f t="shared" si="4"/>
        <v>285.98376548183279</v>
      </c>
      <c r="AB78" s="1">
        <v>2.45634138011585</v>
      </c>
      <c r="AC78" s="1"/>
      <c r="AD78" s="1"/>
      <c r="AE78" s="1">
        <f t="shared" si="5"/>
        <v>-3.2969565778354901E-2</v>
      </c>
      <c r="AF78" s="1"/>
      <c r="AG78" s="1"/>
      <c r="AH78" s="1"/>
    </row>
    <row r="79" spans="1:34" x14ac:dyDescent="0.2">
      <c r="A79">
        <v>1827.5</v>
      </c>
      <c r="B79" s="1">
        <v>0.108156164263913</v>
      </c>
      <c r="C79" s="1">
        <v>3.8276861282269398E-2</v>
      </c>
      <c r="D79" s="1">
        <v>5.7108946539618996E-3</v>
      </c>
      <c r="E79" s="1">
        <v>1.530098899439E-4</v>
      </c>
      <c r="F79" s="1">
        <v>-3.7098197672099598E-2</v>
      </c>
      <c r="G79" s="1">
        <v>1.8360468090220201E-2</v>
      </c>
      <c r="H79" s="1">
        <v>0</v>
      </c>
      <c r="I79" s="1">
        <v>-2.3448756738581201E-2</v>
      </c>
      <c r="J79" s="1">
        <v>5.6762239992516998E-3</v>
      </c>
      <c r="K79" s="1">
        <v>2.6541101160249001E-3</v>
      </c>
      <c r="L79" s="1">
        <v>3.7543606719452102E-2</v>
      </c>
      <c r="M79" s="1">
        <v>0.16409646985875001</v>
      </c>
      <c r="N79" s="1">
        <v>-3.6945187782155699E-2</v>
      </c>
      <c r="O79" s="1">
        <v>4.3987817212905102E-2</v>
      </c>
      <c r="P79" s="1">
        <v>6.12766738772069E-8</v>
      </c>
      <c r="Q79" s="1">
        <v>0.11844083916157799</v>
      </c>
      <c r="R79" s="1">
        <v>0.32008091573977998</v>
      </c>
      <c r="S79" s="1">
        <v>-1.51184226233046E-2</v>
      </c>
      <c r="T79" s="1"/>
      <c r="U79" s="1"/>
      <c r="V79" s="1"/>
      <c r="W79" s="1"/>
      <c r="X79" s="1"/>
      <c r="Y79" s="1"/>
      <c r="Z79" s="1">
        <f t="shared" si="3"/>
        <v>0.15538602694373377</v>
      </c>
      <c r="AA79" s="1">
        <f t="shared" si="4"/>
        <v>286.1200474842916</v>
      </c>
      <c r="AB79" s="1">
        <v>2.4565482884476202</v>
      </c>
      <c r="AC79" s="1"/>
      <c r="AD79" s="1"/>
      <c r="AE79" s="1">
        <f t="shared" si="5"/>
        <v>-3.6945187782155699E-2</v>
      </c>
      <c r="AF79" s="1"/>
      <c r="AG79" s="1"/>
      <c r="AH79" s="1"/>
    </row>
    <row r="80" spans="1:34" x14ac:dyDescent="0.2">
      <c r="A80">
        <v>1828.5</v>
      </c>
      <c r="B80" s="1">
        <v>0.109547961325411</v>
      </c>
      <c r="C80" s="1">
        <v>3.8762887278011103E-2</v>
      </c>
      <c r="D80" s="1">
        <v>5.7847459023641001E-3</v>
      </c>
      <c r="E80" s="1">
        <v>-1.2217626581321999E-3</v>
      </c>
      <c r="F80" s="1">
        <v>-4.8377911351787699E-2</v>
      </c>
      <c r="G80" s="1">
        <v>2.0578004722502301E-2</v>
      </c>
      <c r="H80" s="1">
        <v>0</v>
      </c>
      <c r="I80" s="1">
        <v>-2.4020767488506099E-2</v>
      </c>
      <c r="J80" s="1">
        <v>6.8808149449342002E-3</v>
      </c>
      <c r="K80" s="1">
        <v>2.6885790785706998E-3</v>
      </c>
      <c r="L80" s="1">
        <v>4.49538850397646E-2</v>
      </c>
      <c r="M80" s="1">
        <v>0.20833485857127801</v>
      </c>
      <c r="N80" s="1">
        <v>-4.9599674009919902E-2</v>
      </c>
      <c r="O80" s="1">
        <v>4.4547695252850003E-2</v>
      </c>
      <c r="P80" s="1">
        <v>6.2072474836679293E-8</v>
      </c>
      <c r="Q80" s="1">
        <v>0.110622613825843</v>
      </c>
      <c r="R80" s="1">
        <v>0.36391135743688602</v>
      </c>
      <c r="S80" s="1">
        <v>-1.44513734650011E-2</v>
      </c>
      <c r="T80" s="1"/>
      <c r="U80" s="1"/>
      <c r="V80" s="1"/>
      <c r="W80" s="1"/>
      <c r="X80" s="1"/>
      <c r="Y80" s="1"/>
      <c r="Z80" s="1">
        <f t="shared" si="3"/>
        <v>0.16022228783576214</v>
      </c>
      <c r="AA80" s="1">
        <f t="shared" si="4"/>
        <v>286.37018594929924</v>
      </c>
      <c r="AB80" s="1">
        <v>2.4569278015139866</v>
      </c>
      <c r="AC80" s="1"/>
      <c r="AD80" s="1"/>
      <c r="AE80" s="1">
        <f t="shared" si="5"/>
        <v>-4.9599674009919902E-2</v>
      </c>
      <c r="AF80" s="1"/>
      <c r="AG80" s="1"/>
      <c r="AH80" s="1"/>
    </row>
    <row r="81" spans="1:34" x14ac:dyDescent="0.2">
      <c r="A81">
        <v>1829.5</v>
      </c>
      <c r="B81" s="1">
        <v>0.11093943389576</v>
      </c>
      <c r="C81" s="1">
        <v>3.92486404719972E-2</v>
      </c>
      <c r="D81" s="1">
        <v>5.8585891577078997E-3</v>
      </c>
      <c r="E81" s="1">
        <v>-8.6545922702430003E-4</v>
      </c>
      <c r="F81" s="1">
        <v>-4.3741696890211602E-2</v>
      </c>
      <c r="G81" s="1">
        <v>1.9518595053898601E-2</v>
      </c>
      <c r="H81" s="1">
        <v>0</v>
      </c>
      <c r="I81" s="1">
        <v>-2.45934010777238E-2</v>
      </c>
      <c r="J81" s="1">
        <v>6.3033076958083998E-3</v>
      </c>
      <c r="K81" s="1">
        <v>2.7230480411165E-3</v>
      </c>
      <c r="L81" s="1">
        <v>3.5921145781952102E-2</v>
      </c>
      <c r="M81" s="1">
        <v>0.11233136631189899</v>
      </c>
      <c r="N81" s="1">
        <v>-4.4607156117235897E-2</v>
      </c>
      <c r="O81" s="1">
        <v>4.5107292497980803E-2</v>
      </c>
      <c r="P81" s="1">
        <v>6.2868275796097504E-8</v>
      </c>
      <c r="Q81" s="1">
        <v>0.115391119989605</v>
      </c>
      <c r="R81" s="1">
        <v>0.26364363208345598</v>
      </c>
      <c r="S81" s="1">
        <v>-1.5567045340798899E-2</v>
      </c>
      <c r="T81" s="1"/>
      <c r="U81" s="1"/>
      <c r="V81" s="1"/>
      <c r="W81" s="1"/>
      <c r="X81" s="1"/>
      <c r="Y81" s="1"/>
      <c r="Z81" s="1">
        <f t="shared" si="3"/>
        <v>0.15999827610684059</v>
      </c>
      <c r="AA81" s="1">
        <f t="shared" si="4"/>
        <v>286.35859490752784</v>
      </c>
      <c r="AB81" s="1">
        <v>2.4569102227728798</v>
      </c>
      <c r="AC81" s="1"/>
      <c r="AD81" s="1"/>
      <c r="AE81" s="1">
        <f t="shared" si="5"/>
        <v>-4.4607156117235904E-2</v>
      </c>
      <c r="AF81" s="1"/>
      <c r="AG81" s="1"/>
      <c r="AH81" s="1"/>
    </row>
    <row r="82" spans="1:34" x14ac:dyDescent="0.2">
      <c r="A82">
        <v>1830.5</v>
      </c>
      <c r="B82" s="1">
        <v>0.112330582141095</v>
      </c>
      <c r="C82" s="1">
        <v>3.9734121268395498E-2</v>
      </c>
      <c r="D82" s="1">
        <v>5.9324244242051002E-3</v>
      </c>
      <c r="E82" s="1">
        <v>-1.3478135553059E-3</v>
      </c>
      <c r="F82" s="1">
        <v>-4.7912359504967E-2</v>
      </c>
      <c r="G82" s="1">
        <v>2.0120988789450501E-2</v>
      </c>
      <c r="H82" s="1">
        <v>0</v>
      </c>
      <c r="I82" s="1">
        <v>-2.52714740240951E-2</v>
      </c>
      <c r="J82" s="1">
        <v>6.7132195700666001E-3</v>
      </c>
      <c r="K82" s="1">
        <v>2.7575170036623002E-3</v>
      </c>
      <c r="L82" s="1">
        <v>1.6186404571014602E-2</v>
      </c>
      <c r="M82" s="1">
        <v>0.19059516616762701</v>
      </c>
      <c r="N82" s="1">
        <v>-4.9260173060272902E-2</v>
      </c>
      <c r="O82" s="1">
        <v>4.5666609356677303E-2</v>
      </c>
      <c r="P82" s="1">
        <v>6.3664076755569897E-8</v>
      </c>
      <c r="Q82" s="1">
        <v>0.11305726977658399</v>
      </c>
      <c r="R82" s="1">
        <v>0.31983884051522499</v>
      </c>
      <c r="S82" s="1">
        <v>-1.5800737450366101E-2</v>
      </c>
      <c r="T82" s="1"/>
      <c r="U82" s="1"/>
      <c r="V82" s="1"/>
      <c r="W82" s="1"/>
      <c r="X82" s="1"/>
      <c r="Y82" s="1"/>
      <c r="Z82" s="1">
        <f t="shared" si="3"/>
        <v>0.16231744283685665</v>
      </c>
      <c r="AA82" s="1">
        <f t="shared" si="4"/>
        <v>286.4786182989605</v>
      </c>
      <c r="AB82" s="1">
        <v>2.457092213384382</v>
      </c>
      <c r="AC82" s="1"/>
      <c r="AD82" s="1"/>
      <c r="AE82" s="1">
        <f t="shared" si="5"/>
        <v>-4.9260173060272902E-2</v>
      </c>
      <c r="AF82" s="1"/>
      <c r="AG82" s="1"/>
      <c r="AH82" s="1"/>
    </row>
    <row r="83" spans="1:34" x14ac:dyDescent="0.2">
      <c r="A83">
        <v>1831.5</v>
      </c>
      <c r="B83" s="1">
        <v>0.113721406227427</v>
      </c>
      <c r="C83" s="1">
        <v>4.0219330070374502E-2</v>
      </c>
      <c r="D83" s="1">
        <v>6.0062517060606004E-3</v>
      </c>
      <c r="E83" s="1">
        <v>-1.16714951797E-4</v>
      </c>
      <c r="F83" s="1">
        <v>-4.10860068583669E-2</v>
      </c>
      <c r="G83" s="1">
        <v>1.9114738215432799E-2</v>
      </c>
      <c r="H83" s="1">
        <v>0</v>
      </c>
      <c r="I83" s="1">
        <v>-2.6054930658664901E-2</v>
      </c>
      <c r="J83" s="1">
        <v>6.1467081821756E-3</v>
      </c>
      <c r="K83" s="1">
        <v>2.7919859662080999E-3</v>
      </c>
      <c r="L83" s="1">
        <v>-1.03657926946103E-2</v>
      </c>
      <c r="M83" s="1">
        <v>-2.2322494195648601</v>
      </c>
      <c r="N83" s="1">
        <v>-4.1202721810163899E-2</v>
      </c>
      <c r="O83" s="1">
        <v>4.6225646236312798E-2</v>
      </c>
      <c r="P83" s="1">
        <v>6.4459877715015199E-8</v>
      </c>
      <c r="Q83" s="1">
        <v>0.120742832358728</v>
      </c>
      <c r="R83" s="1">
        <v>-2.12187237990074</v>
      </c>
      <c r="S83" s="1">
        <v>-1.7116236510281199E-2</v>
      </c>
      <c r="T83" s="1"/>
      <c r="U83" s="1"/>
      <c r="V83" s="1"/>
      <c r="W83" s="1"/>
      <c r="X83" s="1"/>
      <c r="Y83" s="1"/>
      <c r="Z83" s="1">
        <f t="shared" si="3"/>
        <v>0.16194555416889142</v>
      </c>
      <c r="AA83" s="1">
        <f t="shared" si="4"/>
        <v>286.45936862989299</v>
      </c>
      <c r="AB83" s="1">
        <v>2.4570630303829111</v>
      </c>
      <c r="AC83" s="1"/>
      <c r="AD83" s="1"/>
      <c r="AE83" s="1">
        <f t="shared" si="5"/>
        <v>-4.1202721810163899E-2</v>
      </c>
      <c r="AF83" s="1"/>
      <c r="AG83" s="1"/>
      <c r="AH83" s="1"/>
    </row>
    <row r="84" spans="1:34" x14ac:dyDescent="0.2">
      <c r="A84">
        <v>1832.5</v>
      </c>
      <c r="B84" s="1">
        <v>0.115111906320642</v>
      </c>
      <c r="C84" s="1">
        <v>4.0704267280107197E-2</v>
      </c>
      <c r="D84" s="1">
        <v>6.0800710074720996E-3</v>
      </c>
      <c r="E84" s="1">
        <v>4.1594676354840001E-4</v>
      </c>
      <c r="F84" s="1">
        <v>-3.9568119745293999E-2</v>
      </c>
      <c r="G84" s="1">
        <v>1.9144572275716601E-2</v>
      </c>
      <c r="H84" s="1">
        <v>0</v>
      </c>
      <c r="I84" s="1">
        <v>-2.6838895497883101E-2</v>
      </c>
      <c r="J84" s="1">
        <v>6.1186114976845996E-3</v>
      </c>
      <c r="K84" s="1">
        <v>2.8264549287537999E-3</v>
      </c>
      <c r="L84" s="1">
        <v>-3.5482736053985303E-2</v>
      </c>
      <c r="M84" s="1">
        <v>-1.7917386387049601</v>
      </c>
      <c r="N84" s="1">
        <v>-3.91521729817456E-2</v>
      </c>
      <c r="O84" s="1">
        <v>4.6784403543257899E-2</v>
      </c>
      <c r="P84" s="1">
        <v>6.5255678674433396E-8</v>
      </c>
      <c r="Q84" s="1">
        <v>0.12399488008642599</v>
      </c>
      <c r="R84" s="1">
        <v>-1.70322649467251</v>
      </c>
      <c r="S84" s="1">
        <v>-1.7893829071444701E-2</v>
      </c>
      <c r="T84" s="1"/>
      <c r="U84" s="1"/>
      <c r="V84" s="1"/>
      <c r="W84" s="1"/>
      <c r="X84" s="1"/>
      <c r="Y84" s="1"/>
      <c r="Z84" s="1">
        <f t="shared" si="3"/>
        <v>0.16314705306817187</v>
      </c>
      <c r="AA84" s="1">
        <f t="shared" si="4"/>
        <v>286.52156517362562</v>
      </c>
      <c r="AB84" s="1">
        <v>2.4571573149018158</v>
      </c>
      <c r="AC84" s="1"/>
      <c r="AD84" s="1"/>
      <c r="AE84" s="1">
        <f t="shared" si="5"/>
        <v>-3.91521729817456E-2</v>
      </c>
      <c r="AF84" s="1"/>
      <c r="AG84" s="1"/>
      <c r="AH84" s="1"/>
    </row>
    <row r="85" spans="1:34" x14ac:dyDescent="0.2">
      <c r="A85">
        <v>1833.5</v>
      </c>
      <c r="B85" s="1">
        <v>0.116502082586492</v>
      </c>
      <c r="C85" s="1">
        <v>4.1188933298773697E-2</v>
      </c>
      <c r="D85" s="1">
        <v>6.1538823326297001E-3</v>
      </c>
      <c r="E85" s="1">
        <v>-5.8504799842184598E-5</v>
      </c>
      <c r="F85" s="1">
        <v>-4.1673382427019998E-2</v>
      </c>
      <c r="G85" s="1">
        <v>1.91750186780799E-2</v>
      </c>
      <c r="H85" s="1">
        <v>0</v>
      </c>
      <c r="I85" s="1">
        <v>-2.76233690882467E-2</v>
      </c>
      <c r="J85" s="1">
        <v>6.2529522292113001E-3</v>
      </c>
      <c r="K85" s="1">
        <v>2.8609238912996001E-3</v>
      </c>
      <c r="L85" s="1">
        <v>-5.1052120819610303E-2</v>
      </c>
      <c r="M85" s="1">
        <v>-0.75523991729195705</v>
      </c>
      <c r="N85" s="1">
        <v>-4.1731887226862101E-2</v>
      </c>
      <c r="O85" s="1">
        <v>4.7342881682883003E-2</v>
      </c>
      <c r="P85" s="1">
        <v>6.6051479633878698E-8</v>
      </c>
      <c r="Q85" s="1">
        <v>0.122778602752857</v>
      </c>
      <c r="R85" s="1">
        <v>-0.68351343535871001</v>
      </c>
      <c r="S85" s="1">
        <v>-1.85094929677358E-2</v>
      </c>
      <c r="T85" s="1"/>
      <c r="U85" s="1"/>
      <c r="V85" s="1"/>
      <c r="W85" s="1"/>
      <c r="X85" s="1"/>
      <c r="Y85" s="1"/>
      <c r="Z85" s="1">
        <f t="shared" si="3"/>
        <v>0.16451048997971915</v>
      </c>
      <c r="AA85" s="1">
        <f t="shared" si="4"/>
        <v>286.59216092421963</v>
      </c>
      <c r="AB85" s="1">
        <v>2.4572643070874425</v>
      </c>
      <c r="AC85" s="1"/>
      <c r="AD85" s="1"/>
      <c r="AE85" s="1">
        <f t="shared" si="5"/>
        <v>-4.1731887226862184E-2</v>
      </c>
      <c r="AF85" s="1"/>
      <c r="AG85" s="1"/>
      <c r="AH85" s="1"/>
    </row>
    <row r="86" spans="1:34" x14ac:dyDescent="0.2">
      <c r="A86">
        <v>1834.5</v>
      </c>
      <c r="B86" s="1">
        <v>0.11789193519060701</v>
      </c>
      <c r="C86" s="1">
        <v>4.1673328526565703E-2</v>
      </c>
      <c r="D86" s="1">
        <v>6.2276856857162001E-3</v>
      </c>
      <c r="E86" s="1">
        <v>-1.4796424565146999E-3</v>
      </c>
      <c r="F86" s="1">
        <v>-5.1223507964624097E-2</v>
      </c>
      <c r="G86" s="1">
        <v>2.07468725844763E-2</v>
      </c>
      <c r="H86" s="1">
        <v>0</v>
      </c>
      <c r="I86" s="1">
        <v>-2.8408284718179199E-2</v>
      </c>
      <c r="J86" s="1">
        <v>7.1807834947048002E-3</v>
      </c>
      <c r="K86" s="1">
        <v>2.8953928538453999E-3</v>
      </c>
      <c r="L86" s="1">
        <v>-4.8509225311797799E-2</v>
      </c>
      <c r="M86" s="1">
        <v>-7.8318737204715799E-2</v>
      </c>
      <c r="N86" s="1">
        <v>-5.2703150421138698E-2</v>
      </c>
      <c r="O86" s="1">
        <v>4.7901081059562499E-2</v>
      </c>
      <c r="P86" s="1">
        <v>6.6847280593324E-8</v>
      </c>
      <c r="Q86" s="1">
        <v>0.115504630043878</v>
      </c>
      <c r="R86" s="1">
        <v>-1.13233324726346E-2</v>
      </c>
      <c r="S86" s="1">
        <v>-1.83321083696289E-2</v>
      </c>
      <c r="T86" s="1"/>
      <c r="U86" s="1"/>
      <c r="V86" s="1"/>
      <c r="W86" s="1"/>
      <c r="X86" s="1"/>
      <c r="Y86" s="1"/>
      <c r="Z86" s="1">
        <f t="shared" si="3"/>
        <v>0.1682077804650168</v>
      </c>
      <c r="AA86" s="1">
        <f t="shared" si="4"/>
        <v>286.78368600614749</v>
      </c>
      <c r="AB86" s="1">
        <v>2.4575544423966509</v>
      </c>
      <c r="AC86" s="1"/>
      <c r="AD86" s="1"/>
      <c r="AE86" s="1">
        <f t="shared" si="5"/>
        <v>-5.2703150421138795E-2</v>
      </c>
      <c r="AF86" s="1"/>
      <c r="AG86" s="1"/>
      <c r="AH86" s="1"/>
    </row>
    <row r="87" spans="1:34" x14ac:dyDescent="0.2">
      <c r="A87">
        <v>1835.5</v>
      </c>
      <c r="B87" s="1">
        <v>0.119281464298488</v>
      </c>
      <c r="C87" s="1">
        <v>4.2157453362689098E-2</v>
      </c>
      <c r="D87" s="1">
        <v>6.3014810709078996E-3</v>
      </c>
      <c r="E87" s="1">
        <v>-2.225654359811E-4</v>
      </c>
      <c r="F87" s="1">
        <v>-4.7985007040972E-2</v>
      </c>
      <c r="G87" s="1">
        <v>2.06790963064514E-2</v>
      </c>
      <c r="H87" s="1">
        <v>0</v>
      </c>
      <c r="I87" s="1">
        <v>-2.91936596716608E-2</v>
      </c>
      <c r="J87" s="1">
        <v>7.1451524547640997E-3</v>
      </c>
      <c r="K87" s="1">
        <v>2.9298618163912001E-3</v>
      </c>
      <c r="L87" s="1">
        <v>-1.51551725774228E-2</v>
      </c>
      <c r="M87" s="1">
        <v>-1.9846821892149999</v>
      </c>
      <c r="N87" s="1">
        <v>-4.8207572476953099E-2</v>
      </c>
      <c r="O87" s="1">
        <v>4.8459002076678498E-2</v>
      </c>
      <c r="P87" s="1">
        <v>6.7643081552769302E-8</v>
      </c>
      <c r="Q87" s="1">
        <v>0.12109334480415899</v>
      </c>
      <c r="R87" s="1">
        <v>-1.8787440169882601</v>
      </c>
      <c r="S87" s="1">
        <v>-1.91186454005055E-2</v>
      </c>
      <c r="T87" s="1"/>
      <c r="U87" s="1"/>
      <c r="V87" s="1"/>
      <c r="W87" s="1"/>
      <c r="X87" s="1"/>
      <c r="Y87" s="1"/>
      <c r="Z87" s="1">
        <f t="shared" si="3"/>
        <v>0.16930091728111243</v>
      </c>
      <c r="AA87" s="1">
        <f t="shared" si="4"/>
        <v>286.84033661160032</v>
      </c>
      <c r="AB87" s="1">
        <v>2.4576402234813144</v>
      </c>
      <c r="AC87" s="1"/>
      <c r="AD87" s="1"/>
      <c r="AE87" s="1">
        <f t="shared" si="5"/>
        <v>-4.8207572476953099E-2</v>
      </c>
      <c r="AF87" s="1"/>
      <c r="AG87" s="1"/>
      <c r="AH87" s="1"/>
    </row>
    <row r="88" spans="1:34" x14ac:dyDescent="0.2">
      <c r="A88">
        <v>1836.5</v>
      </c>
      <c r="B88" s="1">
        <v>0.120670670075507</v>
      </c>
      <c r="C88" s="1">
        <v>4.2641308205367698E-2</v>
      </c>
      <c r="D88" s="1">
        <v>6.3752684923723997E-3</v>
      </c>
      <c r="E88" s="1">
        <v>-8.6701032276770003E-4</v>
      </c>
      <c r="F88" s="1">
        <v>-5.0202764235749403E-2</v>
      </c>
      <c r="G88" s="1">
        <v>2.0309386894328901E-2</v>
      </c>
      <c r="H88" s="1">
        <v>0</v>
      </c>
      <c r="I88" s="1">
        <v>-2.9979426128226301E-2</v>
      </c>
      <c r="J88" s="1">
        <v>7.1980804698829996E-3</v>
      </c>
      <c r="K88" s="1">
        <v>2.9643307789369998E-3</v>
      </c>
      <c r="L88" s="1">
        <v>4.3861844024139597E-2</v>
      </c>
      <c r="M88" s="1">
        <v>-1.9528896502044499</v>
      </c>
      <c r="N88" s="1">
        <v>-5.1069774558517099E-2</v>
      </c>
      <c r="O88" s="1">
        <v>4.90166451366226E-2</v>
      </c>
      <c r="P88" s="1">
        <v>6.8438882512214604E-8</v>
      </c>
      <c r="Q88" s="1">
        <v>0.119109912668535</v>
      </c>
      <c r="R88" s="1">
        <v>-1.7899178935117801</v>
      </c>
      <c r="S88" s="1">
        <v>-1.9817014879406299E-2</v>
      </c>
      <c r="T88" s="1"/>
      <c r="U88" s="1"/>
      <c r="V88" s="1"/>
      <c r="W88" s="1"/>
      <c r="X88" s="1"/>
      <c r="Y88" s="1"/>
      <c r="Z88" s="1">
        <f t="shared" si="3"/>
        <v>0.17017968722705221</v>
      </c>
      <c r="AA88" s="1">
        <f t="shared" si="4"/>
        <v>286.88588600523582</v>
      </c>
      <c r="AB88" s="1">
        <v>2.4577091826802206</v>
      </c>
      <c r="AC88" s="1"/>
      <c r="AD88" s="1"/>
      <c r="AE88" s="1">
        <f t="shared" si="5"/>
        <v>-5.1069774558517106E-2</v>
      </c>
      <c r="AF88" s="1"/>
      <c r="AG88" s="1"/>
      <c r="AH88" s="1"/>
    </row>
    <row r="89" spans="1:34" x14ac:dyDescent="0.2">
      <c r="A89">
        <v>1837.5</v>
      </c>
      <c r="B89" s="1">
        <v>0.12205955268691</v>
      </c>
      <c r="C89" s="1">
        <v>4.3124893451846398E-2</v>
      </c>
      <c r="D89" s="1">
        <v>6.4490479542713003E-3</v>
      </c>
      <c r="E89" s="1">
        <v>-4.1432411652509999E-4</v>
      </c>
      <c r="F89" s="1">
        <v>-5.3134170185183703E-2</v>
      </c>
      <c r="G89" s="1">
        <v>2.16170903153944E-2</v>
      </c>
      <c r="H89" s="1">
        <v>0</v>
      </c>
      <c r="I89" s="1">
        <v>-3.0765580883883099E-2</v>
      </c>
      <c r="J89" s="1">
        <v>7.8276942119359007E-3</v>
      </c>
      <c r="K89" s="1">
        <v>2.9987997414826998E-3</v>
      </c>
      <c r="L89" s="1">
        <v>8.7793094024139595E-2</v>
      </c>
      <c r="M89" s="1">
        <v>-0.51360370952605405</v>
      </c>
      <c r="N89" s="1">
        <v>-5.3548494301708799E-2</v>
      </c>
      <c r="O89" s="1">
        <v>4.9574010640801101E-2</v>
      </c>
      <c r="P89" s="1">
        <v>6.9234683471659906E-8</v>
      </c>
      <c r="Q89" s="1">
        <v>0.11976307241093299</v>
      </c>
      <c r="R89" s="1">
        <v>-0.30604754309098098</v>
      </c>
      <c r="S89" s="1">
        <v>-1.9939086930464499E-2</v>
      </c>
      <c r="T89" s="1"/>
      <c r="U89" s="1"/>
      <c r="V89" s="1"/>
      <c r="W89" s="1"/>
      <c r="X89" s="1"/>
      <c r="Y89" s="1"/>
      <c r="Z89" s="1">
        <f t="shared" si="3"/>
        <v>0.17331156671264106</v>
      </c>
      <c r="AA89" s="1">
        <f t="shared" si="4"/>
        <v>287.04827994361642</v>
      </c>
      <c r="AB89" s="1">
        <v>2.4579549488234465</v>
      </c>
      <c r="AC89" s="1"/>
      <c r="AD89" s="1"/>
      <c r="AE89" s="1">
        <f t="shared" si="5"/>
        <v>-5.3548494301708806E-2</v>
      </c>
      <c r="AF89" s="1"/>
      <c r="AG89" s="1"/>
      <c r="AH89" s="1"/>
    </row>
    <row r="90" spans="1:34" x14ac:dyDescent="0.2">
      <c r="A90">
        <v>1838.5</v>
      </c>
      <c r="B90" s="1">
        <v>0.123448112297821</v>
      </c>
      <c r="C90" s="1">
        <v>4.3608209498394897E-2</v>
      </c>
      <c r="D90" s="1">
        <v>6.5228194607578997E-3</v>
      </c>
      <c r="E90" s="1">
        <v>-9.0228726622620004E-4</v>
      </c>
      <c r="F90" s="1">
        <v>-5.8581005821437403E-2</v>
      </c>
      <c r="G90" s="1">
        <v>2.2943164514396E-2</v>
      </c>
      <c r="H90" s="1">
        <v>0</v>
      </c>
      <c r="I90" s="1">
        <v>-3.1552101800550902E-2</v>
      </c>
      <c r="J90" s="1">
        <v>8.4785394438063998E-3</v>
      </c>
      <c r="K90" s="1">
        <v>3.0332687040285E-3</v>
      </c>
      <c r="L90" s="1">
        <v>9.9618338164764605E-2</v>
      </c>
      <c r="M90" s="1">
        <v>-0.48577911301353499</v>
      </c>
      <c r="N90" s="1">
        <v>-5.9483293087663598E-2</v>
      </c>
      <c r="O90" s="1">
        <v>5.0131098989637198E-2</v>
      </c>
      <c r="P90" s="1">
        <v>7.0030484431078103E-8</v>
      </c>
      <c r="Q90" s="1">
        <v>0.116998789061474</v>
      </c>
      <c r="R90" s="1">
        <v>-0.269161985787296</v>
      </c>
      <c r="S90" s="1">
        <v>-2.0040293652716E-2</v>
      </c>
      <c r="T90" s="1"/>
      <c r="U90" s="1"/>
      <c r="V90" s="1"/>
      <c r="W90" s="1"/>
      <c r="X90" s="1"/>
      <c r="Y90" s="1"/>
      <c r="Z90" s="1">
        <f t="shared" si="3"/>
        <v>0.17648208214913824</v>
      </c>
      <c r="AA90" s="1">
        <f t="shared" si="4"/>
        <v>287.21277086246209</v>
      </c>
      <c r="AB90" s="1">
        <v>2.4582037468230018</v>
      </c>
      <c r="AC90" s="1"/>
      <c r="AD90" s="1"/>
      <c r="AE90" s="1">
        <f t="shared" si="5"/>
        <v>-5.9483293087663605E-2</v>
      </c>
      <c r="AF90" s="1"/>
      <c r="AG90" s="1"/>
      <c r="AH90" s="1"/>
    </row>
    <row r="91" spans="1:34" x14ac:dyDescent="0.2">
      <c r="A91">
        <v>1839.5</v>
      </c>
      <c r="B91" s="1">
        <v>0.12483634907322801</v>
      </c>
      <c r="C91" s="1">
        <v>4.4091256740311002E-2</v>
      </c>
      <c r="D91" s="1">
        <v>6.5965830159793997E-3</v>
      </c>
      <c r="E91" s="1">
        <v>-8.776189325424E-4</v>
      </c>
      <c r="F91" s="1">
        <v>-5.6643128470409303E-2</v>
      </c>
      <c r="G91" s="1">
        <v>2.2006478345235701E-2</v>
      </c>
      <c r="H91" s="1">
        <v>0</v>
      </c>
      <c r="I91" s="1">
        <v>-3.2338946601976302E-2</v>
      </c>
      <c r="J91" s="1">
        <v>8.1745739198935997E-3</v>
      </c>
      <c r="K91" s="1">
        <v>3.0677376665743002E-3</v>
      </c>
      <c r="L91" s="1">
        <v>8.5936624297577105E-2</v>
      </c>
      <c r="M91" s="1">
        <v>1.0451609319781801E-2</v>
      </c>
      <c r="N91" s="1">
        <v>-5.7520747402951697E-2</v>
      </c>
      <c r="O91" s="1">
        <v>5.0687910582575699E-2</v>
      </c>
      <c r="P91" s="1">
        <v>7.0826285390577602E-8</v>
      </c>
      <c r="Q91" s="1">
        <v>0.118913355582579</v>
      </c>
      <c r="R91" s="1">
        <v>0.215301589199938</v>
      </c>
      <c r="S91" s="1">
        <v>-2.1096635015508399E-2</v>
      </c>
      <c r="T91" s="1"/>
      <c r="U91" s="1"/>
      <c r="V91" s="1"/>
      <c r="W91" s="1"/>
      <c r="X91" s="1"/>
      <c r="Y91" s="1"/>
      <c r="Z91" s="1">
        <f t="shared" si="3"/>
        <v>0.17643410298553108</v>
      </c>
      <c r="AA91" s="1">
        <f t="shared" si="4"/>
        <v>287.21028093188812</v>
      </c>
      <c r="AB91" s="1">
        <v>2.4581999817822178</v>
      </c>
      <c r="AC91" s="1"/>
      <c r="AD91" s="1"/>
      <c r="AE91" s="1">
        <f t="shared" si="5"/>
        <v>-5.7520747402951704E-2</v>
      </c>
      <c r="AF91" s="1"/>
      <c r="AG91" s="1"/>
      <c r="AH91" s="1"/>
    </row>
    <row r="92" spans="1:34" x14ac:dyDescent="0.2">
      <c r="A92">
        <v>1840.5</v>
      </c>
      <c r="B92" s="1">
        <v>0.12622426317800101</v>
      </c>
      <c r="C92" s="1">
        <v>4.4574035571923402E-2</v>
      </c>
      <c r="D92" s="1">
        <v>6.6703386240758999E-3</v>
      </c>
      <c r="E92" s="1">
        <v>-1.5251701171272E-3</v>
      </c>
      <c r="F92" s="1">
        <v>-5.7922991384257702E-2</v>
      </c>
      <c r="G92" s="1">
        <v>2.15490080312052E-2</v>
      </c>
      <c r="H92" s="1">
        <v>0</v>
      </c>
      <c r="I92" s="1">
        <v>-3.3099986756601002E-2</v>
      </c>
      <c r="J92" s="1">
        <v>8.1088000475078997E-3</v>
      </c>
      <c r="K92" s="1">
        <v>3.1022066291200999E-3</v>
      </c>
      <c r="L92" s="1">
        <v>6.3502981719452095E-2</v>
      </c>
      <c r="M92" s="1">
        <v>0.20036372013654</v>
      </c>
      <c r="N92" s="1">
        <v>-5.9448161501384898E-2</v>
      </c>
      <c r="O92" s="1">
        <v>5.1244445818085599E-2</v>
      </c>
      <c r="P92" s="1">
        <v>7.1622086349995799E-8</v>
      </c>
      <c r="Q92" s="1">
        <v>0.11768057544593399</v>
      </c>
      <c r="R92" s="1">
        <v>0.381547277301926</v>
      </c>
      <c r="S92" s="1">
        <v>-2.1888980079972999E-2</v>
      </c>
      <c r="T92" s="1"/>
      <c r="U92" s="1"/>
      <c r="V92" s="1"/>
      <c r="W92" s="1"/>
      <c r="X92" s="1"/>
      <c r="Y92" s="1"/>
      <c r="Z92" s="1">
        <f t="shared" si="3"/>
        <v>0.17712873694731884</v>
      </c>
      <c r="AA92" s="1">
        <f t="shared" si="4"/>
        <v>287.24633181854927</v>
      </c>
      <c r="AB92" s="1">
        <v>2.4582544913859641</v>
      </c>
      <c r="AC92" s="1"/>
      <c r="AD92" s="1"/>
      <c r="AE92" s="1">
        <f t="shared" si="5"/>
        <v>-5.9448161501384905E-2</v>
      </c>
      <c r="AF92" s="1"/>
      <c r="AG92" s="1"/>
      <c r="AH92" s="1"/>
    </row>
    <row r="93" spans="1:34" x14ac:dyDescent="0.2">
      <c r="A93">
        <v>1841.5</v>
      </c>
      <c r="B93" s="1">
        <v>0.127611854776878</v>
      </c>
      <c r="C93" s="1">
        <v>4.5056546386595703E-2</v>
      </c>
      <c r="D93" s="1">
        <v>6.7440862891787997E-3</v>
      </c>
      <c r="E93" s="1">
        <v>-1.1383150272778E-3</v>
      </c>
      <c r="F93" s="1">
        <v>-6.22869221313831E-2</v>
      </c>
      <c r="G93" s="1">
        <v>2.3244264046429298E-2</v>
      </c>
      <c r="H93" s="1">
        <v>0</v>
      </c>
      <c r="I93" s="1">
        <v>-3.3835181313713901E-2</v>
      </c>
      <c r="J93" s="1">
        <v>8.9296805919647001E-3</v>
      </c>
      <c r="K93" s="1">
        <v>3.1366755916657999E-3</v>
      </c>
      <c r="L93" s="1">
        <v>3.0710550078827101E-2</v>
      </c>
      <c r="M93" s="1">
        <v>0.23789711960035101</v>
      </c>
      <c r="N93" s="1">
        <v>-6.3425237158660899E-2</v>
      </c>
      <c r="O93" s="1">
        <v>5.1800705093661803E-2</v>
      </c>
      <c r="P93" s="1">
        <v>7.2417887309441101E-8</v>
      </c>
      <c r="Q93" s="1">
        <v>0.117462761628224</v>
      </c>
      <c r="R93" s="1">
        <v>0.38607043130740298</v>
      </c>
      <c r="S93" s="1">
        <v>-2.1768825130083401E-2</v>
      </c>
      <c r="T93" s="1"/>
      <c r="U93" s="1"/>
      <c r="V93" s="1"/>
      <c r="W93" s="1"/>
      <c r="X93" s="1"/>
      <c r="Y93" s="1"/>
      <c r="Z93" s="1">
        <f t="shared" si="3"/>
        <v>0.18088799878688572</v>
      </c>
      <c r="AA93" s="1">
        <f t="shared" si="4"/>
        <v>287.44151270041817</v>
      </c>
      <c r="AB93" s="1">
        <v>2.4585494897369342</v>
      </c>
      <c r="AC93" s="1"/>
      <c r="AD93" s="1"/>
      <c r="AE93" s="1">
        <f t="shared" si="5"/>
        <v>-6.3425237158660899E-2</v>
      </c>
      <c r="AF93" s="1"/>
      <c r="AG93" s="1"/>
      <c r="AH93" s="1"/>
    </row>
    <row r="94" spans="1:34" x14ac:dyDescent="0.2">
      <c r="A94">
        <v>1842.5</v>
      </c>
      <c r="B94" s="1">
        <v>0.128999124034471</v>
      </c>
      <c r="C94" s="1">
        <v>4.5538789576729598E-2</v>
      </c>
      <c r="D94" s="1">
        <v>6.8178260154133996E-3</v>
      </c>
      <c r="E94" s="1">
        <v>-1.537798286476E-3</v>
      </c>
      <c r="F94" s="1">
        <v>-5.9975436050256598E-2</v>
      </c>
      <c r="G94" s="1">
        <v>2.2055839806336498E-2</v>
      </c>
      <c r="H94" s="1">
        <v>0</v>
      </c>
      <c r="I94" s="1">
        <v>-3.4570639805207401E-2</v>
      </c>
      <c r="J94" s="1">
        <v>8.3853893623126001E-3</v>
      </c>
      <c r="K94" s="1">
        <v>3.1711445542116001E-3</v>
      </c>
      <c r="L94" s="1">
        <v>-4.1411589055477998E-3</v>
      </c>
      <c r="M94" s="1">
        <v>0.24431583725419601</v>
      </c>
      <c r="N94" s="1">
        <v>-6.15132343367326E-2</v>
      </c>
      <c r="O94" s="1">
        <v>5.2356688805831199E-2</v>
      </c>
      <c r="P94" s="1">
        <v>7.3213688268886403E-8</v>
      </c>
      <c r="Q94" s="1">
        <v>0.11888431242122301</v>
      </c>
      <c r="R94" s="1">
        <v>0.35905899076987102</v>
      </c>
      <c r="S94" s="1">
        <v>-2.30141058886832E-2</v>
      </c>
      <c r="T94" s="1"/>
      <c r="U94" s="1"/>
      <c r="V94" s="1"/>
      <c r="W94" s="1"/>
      <c r="X94" s="1"/>
      <c r="Y94" s="1"/>
      <c r="Z94" s="1">
        <f t="shared" si="3"/>
        <v>0.18039754675795558</v>
      </c>
      <c r="AA94" s="1">
        <f t="shared" si="4"/>
        <v>287.41604090941343</v>
      </c>
      <c r="AB94" s="1">
        <v>2.4585110027823305</v>
      </c>
      <c r="AC94" s="1"/>
      <c r="AD94" s="1"/>
      <c r="AE94" s="1">
        <f t="shared" si="5"/>
        <v>-6.15132343367326E-2</v>
      </c>
      <c r="AF94" s="1"/>
      <c r="AG94" s="1"/>
      <c r="AH94" s="1"/>
    </row>
    <row r="95" spans="1:34" x14ac:dyDescent="0.2">
      <c r="A95">
        <v>1843.5</v>
      </c>
      <c r="B95" s="1">
        <v>0.13038607111526901</v>
      </c>
      <c r="C95" s="1">
        <v>4.6020765533767397E-2</v>
      </c>
      <c r="D95" s="1">
        <v>6.8915578068986004E-3</v>
      </c>
      <c r="E95" s="1">
        <v>-7.5032216919820004E-4</v>
      </c>
      <c r="F95" s="1">
        <v>-5.5199509826880599E-2</v>
      </c>
      <c r="G95" s="1">
        <v>2.1098315982701201E-2</v>
      </c>
      <c r="H95" s="1">
        <v>0</v>
      </c>
      <c r="I95" s="1">
        <v>-3.5306307433275397E-2</v>
      </c>
      <c r="J95" s="1">
        <v>7.8963738043651005E-3</v>
      </c>
      <c r="K95" s="1">
        <v>3.2056135167573998E-3</v>
      </c>
      <c r="L95" s="1">
        <v>-3.4468697968047801E-2</v>
      </c>
      <c r="M95" s="1">
        <v>-0.19284787080466001</v>
      </c>
      <c r="N95" s="1">
        <v>-5.5949831996078801E-2</v>
      </c>
      <c r="O95" s="1">
        <v>5.2912397350155203E-2</v>
      </c>
      <c r="P95" s="1">
        <v>7.40094892283046E-8</v>
      </c>
      <c r="Q95" s="1">
        <v>0.12424263233989299</v>
      </c>
      <c r="R95" s="1">
        <v>-0.103073936432814</v>
      </c>
      <c r="S95" s="1">
        <v>-2.4204320112152799E-2</v>
      </c>
      <c r="T95" s="1"/>
      <c r="U95" s="1"/>
      <c r="V95" s="1"/>
      <c r="W95" s="1"/>
      <c r="X95" s="1"/>
      <c r="Y95" s="1"/>
      <c r="Z95" s="1">
        <f t="shared" si="3"/>
        <v>0.18019246433597255</v>
      </c>
      <c r="AA95" s="1">
        <f t="shared" si="4"/>
        <v>287.40539055415201</v>
      </c>
      <c r="AB95" s="1">
        <v>2.4584949094696329</v>
      </c>
      <c r="AC95" s="1"/>
      <c r="AD95" s="1"/>
      <c r="AE95" s="1">
        <f t="shared" si="5"/>
        <v>-5.5949831996078801E-2</v>
      </c>
      <c r="AF95" s="1"/>
      <c r="AG95" s="1"/>
      <c r="AH95" s="1"/>
    </row>
    <row r="96" spans="1:34" x14ac:dyDescent="0.2">
      <c r="A96">
        <v>1844.5</v>
      </c>
      <c r="B96" s="1">
        <v>0.13177269618363399</v>
      </c>
      <c r="C96" s="1">
        <v>4.6502474648196498E-2</v>
      </c>
      <c r="D96" s="1">
        <v>6.9652816677446003E-3</v>
      </c>
      <c r="E96" s="1">
        <v>1.3406085713989999E-4</v>
      </c>
      <c r="F96" s="1">
        <v>-5.7100728322944903E-2</v>
      </c>
      <c r="G96" s="1">
        <v>2.2219000221414799E-2</v>
      </c>
      <c r="H96" s="1">
        <v>0</v>
      </c>
      <c r="I96" s="1">
        <v>-3.60421592039991E-2</v>
      </c>
      <c r="J96" s="1">
        <v>8.4897206325897003E-3</v>
      </c>
      <c r="K96" s="1">
        <v>3.2400824793032E-3</v>
      </c>
      <c r="L96" s="1">
        <v>-5.3002194061797799E-2</v>
      </c>
      <c r="M96" s="1">
        <v>4.9309456432658001E-2</v>
      </c>
      <c r="N96" s="1">
        <v>-5.6966667465804997E-2</v>
      </c>
      <c r="O96" s="1">
        <v>5.3467831121231199E-2</v>
      </c>
      <c r="P96" s="1">
        <v>7.4805290187776994E-8</v>
      </c>
      <c r="Q96" s="1">
        <v>0.126180503968369</v>
      </c>
      <c r="R96" s="1">
        <v>0.122487766339229</v>
      </c>
      <c r="S96" s="1">
        <v>-2.4312356092106101E-2</v>
      </c>
      <c r="T96" s="1"/>
      <c r="U96" s="1"/>
      <c r="V96" s="1"/>
      <c r="W96" s="1"/>
      <c r="X96" s="1"/>
      <c r="Y96" s="1"/>
      <c r="Z96" s="1">
        <f t="shared" si="3"/>
        <v>0.18314717143417386</v>
      </c>
      <c r="AA96" s="1">
        <f t="shared" si="4"/>
        <v>287.55887274239007</v>
      </c>
      <c r="AB96" s="1">
        <v>2.4587267724679465</v>
      </c>
      <c r="AC96" s="1"/>
      <c r="AD96" s="1"/>
      <c r="AE96" s="1">
        <f t="shared" si="5"/>
        <v>-5.6966667465805004E-2</v>
      </c>
      <c r="AF96" s="1"/>
      <c r="AG96" s="1"/>
      <c r="AH96" s="1"/>
    </row>
    <row r="97" spans="1:34" x14ac:dyDescent="0.2">
      <c r="A97">
        <v>1845.5</v>
      </c>
      <c r="B97" s="1">
        <v>0.133158999403798</v>
      </c>
      <c r="C97" s="1">
        <v>4.6983917309552002E-2</v>
      </c>
      <c r="D97" s="1">
        <v>7.0389976020559996E-3</v>
      </c>
      <c r="E97" s="1">
        <v>-1.4605191224379001E-3</v>
      </c>
      <c r="F97" s="1">
        <v>-6.4658230804263903E-2</v>
      </c>
      <c r="G97" s="1">
        <v>2.2749939821894698E-2</v>
      </c>
      <c r="H97" s="1">
        <v>0</v>
      </c>
      <c r="I97" s="1">
        <v>-3.6778182178666803E-2</v>
      </c>
      <c r="J97" s="1">
        <v>9.0012094904431995E-3</v>
      </c>
      <c r="K97" s="1">
        <v>3.2745514418490002E-3</v>
      </c>
      <c r="L97" s="1">
        <v>-5.4250240936797797E-2</v>
      </c>
      <c r="M97" s="1">
        <v>0.12695727794463799</v>
      </c>
      <c r="N97" s="1">
        <v>-6.6118749926701803E-2</v>
      </c>
      <c r="O97" s="1">
        <v>5.4022990512699098E-2</v>
      </c>
      <c r="P97" s="1">
        <v>7.5601091147222296E-8</v>
      </c>
      <c r="Q97" s="1">
        <v>0.11931075856531501</v>
      </c>
      <c r="R97" s="1">
        <v>0.19201779557315601</v>
      </c>
      <c r="S97" s="1">
        <v>-2.4502421246374601E-2</v>
      </c>
      <c r="T97" s="1"/>
      <c r="U97" s="1"/>
      <c r="V97" s="1"/>
      <c r="W97" s="1"/>
      <c r="X97" s="1"/>
      <c r="Y97" s="1"/>
      <c r="Z97" s="1">
        <f t="shared" si="3"/>
        <v>0.18542950849201723</v>
      </c>
      <c r="AA97" s="1">
        <f t="shared" si="4"/>
        <v>287.67748479143012</v>
      </c>
      <c r="AB97" s="1">
        <v>2.4589058729661701</v>
      </c>
      <c r="AC97" s="1"/>
      <c r="AD97" s="1"/>
      <c r="AE97" s="1">
        <f t="shared" si="5"/>
        <v>-6.6118749926701803E-2</v>
      </c>
      <c r="AF97" s="1"/>
      <c r="AG97" s="1"/>
      <c r="AH97" s="1"/>
    </row>
    <row r="98" spans="1:34" x14ac:dyDescent="0.2">
      <c r="A98">
        <v>1846.5</v>
      </c>
      <c r="B98" s="1">
        <v>0.13454498093987399</v>
      </c>
      <c r="C98" s="1">
        <v>4.7465093906419599E-2</v>
      </c>
      <c r="D98" s="1">
        <v>7.1127056139293999E-3</v>
      </c>
      <c r="E98" s="1">
        <v>-3.6267113083699999E-4</v>
      </c>
      <c r="F98" s="1">
        <v>-6.2587087330062602E-2</v>
      </c>
      <c r="G98" s="1">
        <v>2.2738937565265498E-2</v>
      </c>
      <c r="H98" s="1">
        <v>0</v>
      </c>
      <c r="I98" s="1">
        <v>-3.7514351073978297E-2</v>
      </c>
      <c r="J98" s="1">
        <v>9.0937550674653998E-3</v>
      </c>
      <c r="K98" s="1">
        <v>3.3090204043947002E-3</v>
      </c>
      <c r="L98" s="1">
        <v>-4.1878976288360299E-2</v>
      </c>
      <c r="M98" s="1">
        <v>-0.43453287907097599</v>
      </c>
      <c r="N98" s="1">
        <v>-6.2949758460899605E-2</v>
      </c>
      <c r="O98" s="1">
        <v>5.45778759172411E-2</v>
      </c>
      <c r="P98" s="1">
        <v>7.6396892106640506E-8</v>
      </c>
      <c r="Q98" s="1">
        <v>0.123800460359362</v>
      </c>
      <c r="R98" s="1">
        <v>-0.35261139499997401</v>
      </c>
      <c r="S98" s="1">
        <v>-2.5111575602118099E-2</v>
      </c>
      <c r="T98" s="1"/>
      <c r="U98" s="1"/>
      <c r="V98" s="1"/>
      <c r="W98" s="1"/>
      <c r="X98" s="1"/>
      <c r="Y98" s="1"/>
      <c r="Z98" s="1">
        <f t="shared" si="3"/>
        <v>0.18675021882026241</v>
      </c>
      <c r="AA98" s="1">
        <f t="shared" si="4"/>
        <v>287.74614386966255</v>
      </c>
      <c r="AB98" s="1">
        <v>2.4590095122936679</v>
      </c>
      <c r="AC98" s="1"/>
      <c r="AD98" s="1"/>
      <c r="AE98" s="1">
        <f t="shared" si="5"/>
        <v>-6.2949758460899605E-2</v>
      </c>
      <c r="AF98" s="1"/>
      <c r="AG98" s="1"/>
      <c r="AH98" s="1"/>
    </row>
    <row r="99" spans="1:34" x14ac:dyDescent="0.2">
      <c r="A99">
        <v>1847.5</v>
      </c>
      <c r="B99" s="1">
        <v>0.13593064095584201</v>
      </c>
      <c r="C99" s="1">
        <v>4.7946004826439598E-2</v>
      </c>
      <c r="D99" s="1">
        <v>7.1864057074550996E-3</v>
      </c>
      <c r="E99" s="1">
        <v>-1.1089733067060001E-3</v>
      </c>
      <c r="F99" s="1">
        <v>-7.0351873183237101E-2</v>
      </c>
      <c r="G99" s="1">
        <v>2.4031181056182099E-2</v>
      </c>
      <c r="H99" s="1">
        <v>0</v>
      </c>
      <c r="I99" s="1">
        <v>-3.8250614058114599E-2</v>
      </c>
      <c r="J99" s="1">
        <v>9.9672460327516008E-3</v>
      </c>
      <c r="K99" s="1">
        <v>3.3434893669405E-3</v>
      </c>
      <c r="L99" s="1">
        <v>-2.95389128117978E-2</v>
      </c>
      <c r="M99" s="1">
        <v>-4.2754419175332998E-3</v>
      </c>
      <c r="N99" s="1">
        <v>-7.1460846489943095E-2</v>
      </c>
      <c r="O99" s="1">
        <v>5.5132487726587701E-2</v>
      </c>
      <c r="P99" s="1">
        <v>7.7192693066085795E-8</v>
      </c>
      <c r="Q99" s="1">
        <v>0.118693584590246</v>
      </c>
      <c r="R99" s="1">
        <v>8.4879229860915797E-2</v>
      </c>
      <c r="S99" s="1">
        <v>-2.4939878658422499E-2</v>
      </c>
      <c r="T99" s="1"/>
      <c r="U99" s="1"/>
      <c r="V99" s="1">
        <v>12.743331707472763</v>
      </c>
      <c r="W99" s="1"/>
      <c r="X99" s="1"/>
      <c r="Y99" s="1"/>
      <c r="Z99" s="1">
        <f t="shared" si="3"/>
        <v>0.19015443108018937</v>
      </c>
      <c r="AA99" s="1">
        <f t="shared" si="4"/>
        <v>287.92319243819929</v>
      </c>
      <c r="AB99" s="1">
        <v>2.4592766490470752</v>
      </c>
      <c r="AC99" s="1"/>
      <c r="AD99" s="1"/>
      <c r="AE99" s="1">
        <f t="shared" si="5"/>
        <v>-7.1460846489943108E-2</v>
      </c>
      <c r="AF99" s="1"/>
      <c r="AG99" s="1"/>
      <c r="AH99" s="1"/>
    </row>
    <row r="100" spans="1:34" x14ac:dyDescent="0.2">
      <c r="A100">
        <v>1848.5</v>
      </c>
      <c r="B100" s="1">
        <v>0.137315979615561</v>
      </c>
      <c r="C100" s="1">
        <v>4.84266504563097E-2</v>
      </c>
      <c r="D100" s="1">
        <v>7.2600978867150999E-3</v>
      </c>
      <c r="E100" s="1">
        <v>-2.4366531492517E-3</v>
      </c>
      <c r="F100" s="1">
        <v>-7.9618403603126997E-2</v>
      </c>
      <c r="G100" s="1">
        <v>2.5785611965104299E-2</v>
      </c>
      <c r="H100" s="1">
        <v>0</v>
      </c>
      <c r="I100" s="1">
        <v>-3.8986961683707903E-2</v>
      </c>
      <c r="J100" s="1">
        <v>1.0914292639936899E-2</v>
      </c>
      <c r="K100" s="1">
        <v>3.3779583294863001E-3</v>
      </c>
      <c r="L100" s="1">
        <v>-1.7167648163360302E-2</v>
      </c>
      <c r="M100" s="1">
        <v>0.19689949244137001</v>
      </c>
      <c r="N100" s="1">
        <v>-8.2055056752378702E-2</v>
      </c>
      <c r="O100" s="1">
        <v>5.56868263315188E-2</v>
      </c>
      <c r="P100" s="1">
        <v>7.7988494025558202E-8</v>
      </c>
      <c r="Q100" s="1">
        <v>0.11203865044552</v>
      </c>
      <c r="R100" s="1">
        <v>0.291770494723531</v>
      </c>
      <c r="S100" s="1">
        <v>-2.4694710714284699E-2</v>
      </c>
      <c r="T100" s="1"/>
      <c r="U100" s="1"/>
      <c r="V100" s="1">
        <v>31.149223668168769</v>
      </c>
      <c r="W100" s="1"/>
      <c r="X100" s="1"/>
      <c r="Y100" s="1"/>
      <c r="Z100" s="1">
        <f t="shared" si="3"/>
        <v>0.19409370719789942</v>
      </c>
      <c r="AA100" s="1">
        <f t="shared" si="4"/>
        <v>288.12820493950272</v>
      </c>
      <c r="AB100" s="1">
        <v>2.4595857735529845</v>
      </c>
      <c r="AC100" s="1"/>
      <c r="AD100" s="1"/>
      <c r="AE100" s="1">
        <f t="shared" si="5"/>
        <v>-8.2055056752378702E-2</v>
      </c>
      <c r="AF100" s="1"/>
      <c r="AG100" s="1"/>
      <c r="AH100" s="1"/>
    </row>
    <row r="101" spans="1:34" x14ac:dyDescent="0.2">
      <c r="A101">
        <v>1849.5</v>
      </c>
      <c r="B101" s="1">
        <v>0.13870099708276301</v>
      </c>
      <c r="C101" s="1">
        <v>4.8907031181788199E-2</v>
      </c>
      <c r="D101" s="1">
        <v>7.3337821557863999E-3</v>
      </c>
      <c r="E101" s="1">
        <v>-2.1648165416529E-3</v>
      </c>
      <c r="F101" s="1">
        <v>-7.7621973629557001E-2</v>
      </c>
      <c r="G101" s="1">
        <v>2.5180044174058499E-2</v>
      </c>
      <c r="H101" s="1">
        <v>0</v>
      </c>
      <c r="I101" s="1">
        <v>-3.97233774451827E-2</v>
      </c>
      <c r="J101" s="1">
        <v>1.06309647347828E-2</v>
      </c>
      <c r="K101" s="1">
        <v>3.4124272920320999E-3</v>
      </c>
      <c r="L101" s="1">
        <v>-4.7963835149228001E-3</v>
      </c>
      <c r="M101" s="1">
        <v>0.23735601850325799</v>
      </c>
      <c r="N101" s="1">
        <v>-7.9786790171209904E-2</v>
      </c>
      <c r="O101" s="1">
        <v>5.6240892121869501E-2</v>
      </c>
      <c r="P101" s="1">
        <v>7.8784294985003504E-8</v>
      </c>
      <c r="Q101" s="1">
        <v>0.114655157789113</v>
      </c>
      <c r="R101" s="1">
        <v>0.34721479277744799</v>
      </c>
      <c r="S101" s="1">
        <v>-2.5679985418367801E-2</v>
      </c>
      <c r="T101" s="1"/>
      <c r="U101" s="1"/>
      <c r="V101" s="1"/>
      <c r="W101" s="1"/>
      <c r="X101" s="1"/>
      <c r="Y101" s="1"/>
      <c r="Z101" s="1">
        <f t="shared" si="3"/>
        <v>0.19444194796032327</v>
      </c>
      <c r="AA101" s="1">
        <f t="shared" si="4"/>
        <v>288.14633552140629</v>
      </c>
      <c r="AB101" s="1">
        <v>2.4596131008462248</v>
      </c>
      <c r="AC101" s="1"/>
      <c r="AD101" s="1"/>
      <c r="AE101" s="1">
        <f t="shared" si="5"/>
        <v>-7.9786790171209904E-2</v>
      </c>
      <c r="AF101" s="1"/>
      <c r="AG101" s="1"/>
      <c r="AH101" s="1"/>
    </row>
    <row r="102" spans="1:34" x14ac:dyDescent="0.2">
      <c r="A102">
        <v>1850.5</v>
      </c>
      <c r="B102" s="1">
        <v>0.14008569352105599</v>
      </c>
      <c r="C102" s="1">
        <v>4.9387147387697498E-2</v>
      </c>
      <c r="D102" s="1">
        <v>7.4074585187372003E-3</v>
      </c>
      <c r="E102" s="1">
        <v>-2.3160861633847998E-3</v>
      </c>
      <c r="F102" s="1">
        <v>-8.0306524149115099E-2</v>
      </c>
      <c r="G102" s="1">
        <v>2.5615178377157301E-2</v>
      </c>
      <c r="H102" s="1">
        <v>0</v>
      </c>
      <c r="I102" s="1">
        <v>-4.0767195482068301E-2</v>
      </c>
      <c r="J102" s="1">
        <v>1.10086154164866E-2</v>
      </c>
      <c r="K102" s="1">
        <v>3.4468962545779001E-3</v>
      </c>
      <c r="L102" s="1">
        <v>7.5280793757020997E-3</v>
      </c>
      <c r="M102" s="1">
        <v>0.24414237078544701</v>
      </c>
      <c r="N102" s="1">
        <v>-8.26226103124999E-2</v>
      </c>
      <c r="O102" s="1">
        <v>5.6794685486530598E-2</v>
      </c>
      <c r="P102" s="1">
        <v>7.9580095944448899E-8</v>
      </c>
      <c r="Q102" s="1">
        <v>0.11356126326124</v>
      </c>
      <c r="R102" s="1">
        <v>0.36523171342239003</v>
      </c>
      <c r="S102" s="1">
        <v>-2.6311683811003801E-2</v>
      </c>
      <c r="T102" s="1"/>
      <c r="U102" s="1"/>
      <c r="V102" s="1"/>
      <c r="W102" s="1"/>
      <c r="X102" s="1"/>
      <c r="Y102" s="1"/>
      <c r="Z102" s="1">
        <f t="shared" si="3"/>
        <v>0.19618387357374015</v>
      </c>
      <c r="AA102" s="1">
        <f t="shared" si="4"/>
        <v>288.23704313787636</v>
      </c>
      <c r="AB102" s="1">
        <v>2.4597497939539141</v>
      </c>
      <c r="AC102" s="1"/>
      <c r="AD102" s="1"/>
      <c r="AE102" s="1">
        <f t="shared" si="5"/>
        <v>-8.26226103124999E-2</v>
      </c>
      <c r="AF102" s="1"/>
      <c r="AG102" s="1"/>
      <c r="AH102" s="1"/>
    </row>
    <row r="103" spans="1:34" x14ac:dyDescent="0.2">
      <c r="A103">
        <v>1851.5</v>
      </c>
      <c r="B103" s="1">
        <v>0.142429459537909</v>
      </c>
      <c r="C103" s="1">
        <v>4.9490247924459801E-2</v>
      </c>
      <c r="D103" s="1">
        <v>7.7054542676670999E-3</v>
      </c>
      <c r="E103" s="1">
        <v>-9.1928298838879995E-4</v>
      </c>
      <c r="F103" s="1">
        <v>-7.3427570770690204E-2</v>
      </c>
      <c r="G103" s="1">
        <v>2.44545646332581E-2</v>
      </c>
      <c r="H103" s="1">
        <v>0</v>
      </c>
      <c r="I103" s="1">
        <v>-4.2118476049946903E-2</v>
      </c>
      <c r="J103" s="1">
        <v>1.04160039356036E-2</v>
      </c>
      <c r="K103" s="1">
        <v>3.4543252956207998E-3</v>
      </c>
      <c r="L103" s="1">
        <v>2.0678742975771E-3</v>
      </c>
      <c r="M103" s="1">
        <v>0.24503909103006</v>
      </c>
      <c r="N103" s="1">
        <v>-7.4346853759078999E-2</v>
      </c>
      <c r="O103" s="1">
        <v>5.7195784474900202E-2</v>
      </c>
      <c r="P103" s="1">
        <v>8.2282773313246105E-8</v>
      </c>
      <c r="Q103" s="1">
        <v>0.121484808068266</v>
      </c>
      <c r="R103" s="1">
        <v>0.36859177339590399</v>
      </c>
      <c r="S103" s="1">
        <v>-2.8248146818722501E-2</v>
      </c>
      <c r="T103" s="1"/>
      <c r="U103" s="1"/>
      <c r="V103" s="1"/>
      <c r="W103" s="1"/>
      <c r="X103" s="1"/>
      <c r="Y103" s="1"/>
      <c r="Z103" s="1">
        <f t="shared" si="3"/>
        <v>0.19583166182734482</v>
      </c>
      <c r="AA103" s="1">
        <f t="shared" si="4"/>
        <v>288.21870004727595</v>
      </c>
      <c r="AB103" s="1"/>
      <c r="AC103" s="1"/>
      <c r="AD103" s="1"/>
      <c r="AE103" s="1">
        <f t="shared" si="5"/>
        <v>-7.4346853759078999E-2</v>
      </c>
      <c r="AF103" s="1"/>
      <c r="AG103" s="1"/>
      <c r="AH103" s="1"/>
    </row>
    <row r="104" spans="1:34" x14ac:dyDescent="0.2">
      <c r="A104">
        <v>1852.5</v>
      </c>
      <c r="B104" s="1">
        <v>0.14508001508361201</v>
      </c>
      <c r="C104" s="1">
        <v>4.9951328977854502E-2</v>
      </c>
      <c r="D104" s="1">
        <v>8.0033537370740003E-3</v>
      </c>
      <c r="E104" s="1">
        <v>-2.6402083393850003E-4</v>
      </c>
      <c r="F104" s="1">
        <v>-7.0948095186532306E-2</v>
      </c>
      <c r="G104" s="1">
        <v>2.3995277997243401E-2</v>
      </c>
      <c r="H104" s="1">
        <v>0</v>
      </c>
      <c r="I104" s="1">
        <v>-4.3469704117507599E-2</v>
      </c>
      <c r="J104" s="1">
        <v>1.02191343553711E-2</v>
      </c>
      <c r="K104" s="1">
        <v>3.4874697611877998E-3</v>
      </c>
      <c r="L104" s="1">
        <v>1.2566438288271E-3</v>
      </c>
      <c r="M104" s="1">
        <v>0.24501131905809201</v>
      </c>
      <c r="N104" s="1">
        <v>-7.1212116020470798E-2</v>
      </c>
      <c r="O104" s="1">
        <v>5.7954768049044598E-2</v>
      </c>
      <c r="P104" s="1">
        <v>8.5334116190815399E-8</v>
      </c>
      <c r="Q104" s="1">
        <v>0.12605484510848</v>
      </c>
      <c r="R104" s="1">
        <v>0.37232280799540002</v>
      </c>
      <c r="S104" s="1">
        <v>-2.97631000009487E-2</v>
      </c>
      <c r="T104" s="1"/>
      <c r="U104" s="1"/>
      <c r="V104" s="1"/>
      <c r="W104" s="1"/>
      <c r="X104" s="1"/>
      <c r="Y104" s="1"/>
      <c r="Z104" s="1">
        <f t="shared" si="3"/>
        <v>0.1972669611289514</v>
      </c>
      <c r="AA104" s="1">
        <f t="shared" si="4"/>
        <v>288.29345735393321</v>
      </c>
      <c r="AB104" s="1"/>
      <c r="AC104" s="1"/>
      <c r="AD104" s="1"/>
      <c r="AE104" s="1">
        <f t="shared" si="5"/>
        <v>-7.1212116020470811E-2</v>
      </c>
      <c r="AF104" s="1"/>
      <c r="AG104" s="1"/>
      <c r="AH104" s="1"/>
    </row>
    <row r="105" spans="1:34" x14ac:dyDescent="0.2">
      <c r="A105">
        <v>1853.5</v>
      </c>
      <c r="B105" s="1">
        <v>0.14746031502902801</v>
      </c>
      <c r="C105" s="1">
        <v>5.0712848909545402E-2</v>
      </c>
      <c r="D105" s="1">
        <v>8.3819220246500008E-3</v>
      </c>
      <c r="E105" s="1">
        <v>-6.9165275536979998E-4</v>
      </c>
      <c r="F105" s="1">
        <v>-7.4799540703898895E-2</v>
      </c>
      <c r="G105" s="1">
        <v>2.4671005400443102E-2</v>
      </c>
      <c r="H105" s="1">
        <v>0</v>
      </c>
      <c r="I105" s="1">
        <v>-4.4820886343830302E-2</v>
      </c>
      <c r="J105" s="1">
        <v>1.06287661545454E-2</v>
      </c>
      <c r="K105" s="1">
        <v>3.5422400856967001E-3</v>
      </c>
      <c r="L105" s="1">
        <v>-8.8681364446103004E-3</v>
      </c>
      <c r="M105" s="1">
        <v>-1.4298549791615001E-3</v>
      </c>
      <c r="N105" s="1">
        <v>-7.5491193459268593E-2</v>
      </c>
      <c r="O105" s="1">
        <v>5.9094859332705002E-2</v>
      </c>
      <c r="P105" s="1">
        <v>8.8398509636488802E-8</v>
      </c>
      <c r="Q105" s="1">
        <v>0.12508510619932001</v>
      </c>
      <c r="R105" s="1">
        <v>0.114787114775548</v>
      </c>
      <c r="S105" s="1">
        <v>-3.0649880103588101E-2</v>
      </c>
      <c r="T105" s="1"/>
      <c r="U105" s="1"/>
      <c r="V105" s="1"/>
      <c r="W105" s="1"/>
      <c r="X105" s="1"/>
      <c r="Y105" s="1"/>
      <c r="Z105" s="1">
        <f t="shared" si="3"/>
        <v>0.20057629965858792</v>
      </c>
      <c r="AA105" s="1">
        <f t="shared" si="4"/>
        <v>288.46589756085478</v>
      </c>
      <c r="AB105" s="1"/>
      <c r="AC105" s="1"/>
      <c r="AD105" s="1"/>
      <c r="AE105" s="1">
        <f t="shared" si="5"/>
        <v>-7.5491193459268691E-2</v>
      </c>
      <c r="AF105" s="1"/>
      <c r="AG105" s="1"/>
      <c r="AH105" s="1"/>
    </row>
    <row r="106" spans="1:34" x14ac:dyDescent="0.2">
      <c r="A106">
        <v>1854.5</v>
      </c>
      <c r="B106" s="1">
        <v>0.14949455008318399</v>
      </c>
      <c r="C106" s="1">
        <v>5.1526920754934098E-2</v>
      </c>
      <c r="D106" s="1">
        <v>8.7714732960104003E-3</v>
      </c>
      <c r="E106" s="1">
        <v>-2.7176601562913E-3</v>
      </c>
      <c r="F106" s="1">
        <v>-8.8982038167403299E-2</v>
      </c>
      <c r="G106" s="1">
        <v>2.6801355649060402E-2</v>
      </c>
      <c r="H106" s="1">
        <v>0</v>
      </c>
      <c r="I106" s="1">
        <v>-4.6171978566128702E-2</v>
      </c>
      <c r="J106" s="1">
        <v>1.1971739449402901E-2</v>
      </c>
      <c r="K106" s="1">
        <v>3.6008423653574998E-3</v>
      </c>
      <c r="L106" s="1">
        <v>-2.2721456757110299E-2</v>
      </c>
      <c r="M106" s="1">
        <v>-0.28257773092962102</v>
      </c>
      <c r="N106" s="1">
        <v>-9.1699698323694595E-2</v>
      </c>
      <c r="O106" s="1">
        <v>6.0298485522123003E-2</v>
      </c>
      <c r="P106" s="1">
        <v>9.1471178545154795E-8</v>
      </c>
      <c r="Q106" s="1">
        <v>0.11429529617930401</v>
      </c>
      <c r="R106" s="1">
        <v>-0.191003891507427</v>
      </c>
      <c r="S106" s="1">
        <v>-3.0599396751368298E-2</v>
      </c>
      <c r="T106" s="1"/>
      <c r="U106" s="1"/>
      <c r="V106" s="1"/>
      <c r="W106" s="1"/>
      <c r="X106" s="1"/>
      <c r="Y106" s="1"/>
      <c r="Z106" s="1">
        <f t="shared" si="3"/>
        <v>0.20599499450299913</v>
      </c>
      <c r="AA106" s="1">
        <f t="shared" si="4"/>
        <v>288.74847305757135</v>
      </c>
      <c r="AB106" s="1"/>
      <c r="AC106" s="1"/>
      <c r="AD106" s="1"/>
      <c r="AE106" s="1">
        <f t="shared" si="5"/>
        <v>-9.1699698323694595E-2</v>
      </c>
      <c r="AF106" s="1"/>
      <c r="AG106" s="1"/>
      <c r="AH106" s="1"/>
    </row>
    <row r="107" spans="1:34" x14ac:dyDescent="0.2">
      <c r="A107">
        <v>1855.5</v>
      </c>
      <c r="B107" s="1">
        <v>0.151143816021309</v>
      </c>
      <c r="C107" s="1">
        <v>5.2506068175209697E-2</v>
      </c>
      <c r="D107" s="1">
        <v>9.1903876117692008E-3</v>
      </c>
      <c r="E107" s="1">
        <v>-1.3974304828491999E-3</v>
      </c>
      <c r="F107" s="1">
        <v>-8.5175845089504501E-2</v>
      </c>
      <c r="G107" s="1">
        <v>2.6757796483058299E-2</v>
      </c>
      <c r="H107" s="1">
        <v>0</v>
      </c>
      <c r="I107" s="1">
        <v>-4.75229670497797E-2</v>
      </c>
      <c r="J107" s="1">
        <v>1.18125383079659E-2</v>
      </c>
      <c r="K107" s="1">
        <v>3.6713966956110002E-3</v>
      </c>
      <c r="L107" s="1">
        <v>-3.1254977264922802E-2</v>
      </c>
      <c r="M107" s="1">
        <v>7.3721743285808203E-2</v>
      </c>
      <c r="N107" s="1">
        <v>-8.6573275572353697E-2</v>
      </c>
      <c r="O107" s="1">
        <v>6.1696550344091099E-2</v>
      </c>
      <c r="P107" s="1">
        <v>9.4557112197471597E-8</v>
      </c>
      <c r="Q107" s="1">
        <v>0.120985855229902</v>
      </c>
      <c r="R107" s="1">
        <v>0.16345262125078799</v>
      </c>
      <c r="S107" s="1">
        <v>-3.2039032046202801E-2</v>
      </c>
      <c r="T107" s="1"/>
      <c r="U107" s="1"/>
      <c r="V107" s="1"/>
      <c r="W107" s="1"/>
      <c r="X107" s="1"/>
      <c r="Y107" s="1"/>
      <c r="Z107" s="1">
        <f t="shared" si="3"/>
        <v>0.20755913080225558</v>
      </c>
      <c r="AA107" s="1">
        <f t="shared" si="4"/>
        <v>288.83009151157864</v>
      </c>
      <c r="AB107" s="1"/>
      <c r="AC107" s="1"/>
      <c r="AD107" s="1"/>
      <c r="AE107" s="1">
        <f t="shared" si="5"/>
        <v>-8.6573275572353697E-2</v>
      </c>
      <c r="AF107" s="1"/>
      <c r="AG107" s="1"/>
      <c r="AH107" s="1"/>
    </row>
    <row r="108" spans="1:34" x14ac:dyDescent="0.2">
      <c r="A108">
        <v>1856.5</v>
      </c>
      <c r="B108" s="1">
        <v>0.153042086551721</v>
      </c>
      <c r="C108" s="1">
        <v>5.3401331302478698E-2</v>
      </c>
      <c r="D108" s="1">
        <v>9.6126156275036997E-3</v>
      </c>
      <c r="E108" s="1">
        <v>-2.0844075287152E-3</v>
      </c>
      <c r="F108" s="1">
        <v>-8.6395580970214506E-2</v>
      </c>
      <c r="G108" s="1">
        <v>2.6150637243928399E-2</v>
      </c>
      <c r="H108" s="1">
        <v>0</v>
      </c>
      <c r="I108" s="1">
        <v>-4.8873806767308799E-2</v>
      </c>
      <c r="J108" s="1">
        <v>1.16257779231944E-2</v>
      </c>
      <c r="K108" s="1">
        <v>3.7359803674520999E-3</v>
      </c>
      <c r="L108" s="1">
        <v>-3.3641866913360297E-2</v>
      </c>
      <c r="M108" s="1">
        <v>0.155121350677206</v>
      </c>
      <c r="N108" s="1">
        <v>-8.8479988498929699E-2</v>
      </c>
      <c r="O108" s="1">
        <v>6.3014044587935594E-2</v>
      </c>
      <c r="P108" s="1">
        <v>9.7657953230594994E-8</v>
      </c>
      <c r="Q108" s="1">
        <v>0.12021473140799301</v>
      </c>
      <c r="R108" s="1">
        <v>0.24169421517183901</v>
      </c>
      <c r="S108" s="1">
        <v>-3.3512048476662198E-2</v>
      </c>
      <c r="T108" s="1"/>
      <c r="U108" s="1"/>
      <c r="V108" s="1"/>
      <c r="W108" s="1"/>
      <c r="X108" s="1"/>
      <c r="Y108" s="1"/>
      <c r="Z108" s="1">
        <f t="shared" si="3"/>
        <v>0.20869471990692273</v>
      </c>
      <c r="AA108" s="1">
        <f t="shared" si="4"/>
        <v>288.88936232844446</v>
      </c>
      <c r="AB108" s="1"/>
      <c r="AC108" s="1"/>
      <c r="AD108" s="1"/>
      <c r="AE108" s="1">
        <f t="shared" si="5"/>
        <v>-8.8479988498929713E-2</v>
      </c>
      <c r="AF108" s="1"/>
      <c r="AG108" s="1"/>
      <c r="AH108" s="1"/>
    </row>
    <row r="109" spans="1:34" x14ac:dyDescent="0.2">
      <c r="A109">
        <v>1857.5</v>
      </c>
      <c r="B109" s="1">
        <v>0.15584122463272401</v>
      </c>
      <c r="C109" s="1">
        <v>5.44125543393702E-2</v>
      </c>
      <c r="D109" s="1">
        <v>9.9945862436090997E-3</v>
      </c>
      <c r="E109" s="1">
        <v>-2.1112453522318E-3</v>
      </c>
      <c r="F109" s="1">
        <v>-9.32080796823508E-2</v>
      </c>
      <c r="G109" s="1">
        <v>2.8748672158205899E-2</v>
      </c>
      <c r="H109" s="1">
        <v>0</v>
      </c>
      <c r="I109" s="1">
        <v>-5.0224479376700798E-2</v>
      </c>
      <c r="J109" s="1">
        <v>1.27183378019536E-2</v>
      </c>
      <c r="K109" s="1">
        <v>3.8090007808881002E-3</v>
      </c>
      <c r="L109" s="1">
        <v>-2.7666842499297802E-2</v>
      </c>
      <c r="M109" s="1">
        <v>-0.78204914257840696</v>
      </c>
      <c r="N109" s="1">
        <v>-9.5319325034582597E-2</v>
      </c>
      <c r="O109" s="1">
        <v>6.4407241358326206E-2</v>
      </c>
      <c r="P109" s="1">
        <v>1.00775346921678E-7</v>
      </c>
      <c r="Q109" s="1">
        <v>0.119980672320814</v>
      </c>
      <c r="R109" s="1">
        <v>-0.68973531275689004</v>
      </c>
      <c r="S109" s="1">
        <v>-3.3697140793859097E-2</v>
      </c>
      <c r="T109" s="1"/>
      <c r="U109" s="1"/>
      <c r="V109" s="1"/>
      <c r="W109" s="1"/>
      <c r="X109" s="1"/>
      <c r="Y109" s="1"/>
      <c r="Z109" s="1">
        <f t="shared" si="3"/>
        <v>0.21529999735539704</v>
      </c>
      <c r="AA109" s="1">
        <f t="shared" si="4"/>
        <v>289.23435868401322</v>
      </c>
      <c r="AB109" s="1"/>
      <c r="AC109" s="1"/>
      <c r="AD109" s="1"/>
      <c r="AE109" s="1">
        <f t="shared" si="5"/>
        <v>-9.5319325034582597E-2</v>
      </c>
      <c r="AF109" s="1"/>
      <c r="AG109" s="1"/>
      <c r="AH109" s="1"/>
    </row>
    <row r="110" spans="1:34" x14ac:dyDescent="0.2">
      <c r="A110">
        <v>1858.5</v>
      </c>
      <c r="B110" s="1">
        <v>0.15883038925548401</v>
      </c>
      <c r="C110" s="1">
        <v>5.5572837088404797E-2</v>
      </c>
      <c r="D110" s="1">
        <v>1.03177446866987E-2</v>
      </c>
      <c r="E110" s="1">
        <v>-2.4741871715577E-3</v>
      </c>
      <c r="F110" s="1">
        <v>-9.7187043333259296E-2</v>
      </c>
      <c r="G110" s="1">
        <v>3.0128814928752801E-2</v>
      </c>
      <c r="H110" s="1">
        <v>0</v>
      </c>
      <c r="I110" s="1">
        <v>-5.1574969057191597E-2</v>
      </c>
      <c r="J110" s="1">
        <v>1.3208750605888501E-2</v>
      </c>
      <c r="K110" s="1">
        <v>3.8928784005878999E-3</v>
      </c>
      <c r="L110" s="1">
        <v>-1.08026091008603E-2</v>
      </c>
      <c r="M110" s="1">
        <v>-0.39629725383660802</v>
      </c>
      <c r="N110" s="1">
        <v>-9.9661230504816997E-2</v>
      </c>
      <c r="O110" s="1">
        <v>6.5890685686036607E-2</v>
      </c>
      <c r="P110" s="1">
        <v>1.0391093318721401E-7</v>
      </c>
      <c r="Q110" s="1">
        <v>0.120715319314742</v>
      </c>
      <c r="R110" s="1">
        <v>-0.28638454362272597</v>
      </c>
      <c r="S110" s="1">
        <v>-3.4473340050715201E-2</v>
      </c>
      <c r="T110" s="1"/>
      <c r="U110" s="1"/>
      <c r="V110" s="1"/>
      <c r="W110" s="1"/>
      <c r="X110" s="1"/>
      <c r="Y110" s="1"/>
      <c r="Z110" s="1">
        <f t="shared" si="3"/>
        <v>0.22037654981955829</v>
      </c>
      <c r="AA110" s="1">
        <f t="shared" si="4"/>
        <v>289.49978908419115</v>
      </c>
      <c r="AB110" s="1"/>
      <c r="AC110" s="1"/>
      <c r="AD110" s="1"/>
      <c r="AE110" s="1">
        <f t="shared" si="5"/>
        <v>-9.9661230504816997E-2</v>
      </c>
      <c r="AF110" s="1"/>
      <c r="AG110" s="1"/>
      <c r="AH110" s="1"/>
    </row>
    <row r="111" spans="1:34" x14ac:dyDescent="0.2">
      <c r="A111">
        <v>1859.5</v>
      </c>
      <c r="B111" s="1">
        <v>0.16202958981250201</v>
      </c>
      <c r="C111" s="1">
        <v>5.6815067727597403E-2</v>
      </c>
      <c r="D111" s="1">
        <v>1.08533924941044E-2</v>
      </c>
      <c r="E111" s="1">
        <v>-3.0944315929098002E-3</v>
      </c>
      <c r="F111" s="1">
        <v>-9.9134155398992202E-2</v>
      </c>
      <c r="G111" s="1">
        <v>2.9795695283390499E-2</v>
      </c>
      <c r="H111" s="1">
        <v>0</v>
      </c>
      <c r="I111" s="1">
        <v>-5.29252208552142E-2</v>
      </c>
      <c r="J111" s="1">
        <v>1.31547979572248E-2</v>
      </c>
      <c r="K111" s="1">
        <v>3.9828232826112997E-3</v>
      </c>
      <c r="L111" s="1">
        <v>3.4563264460145998E-3</v>
      </c>
      <c r="M111" s="1">
        <v>7.62076808811777E-2</v>
      </c>
      <c r="N111" s="1">
        <v>-0.102228586991902</v>
      </c>
      <c r="O111" s="1">
        <v>6.76685672880597E-2</v>
      </c>
      <c r="P111" s="1">
        <v>1.07066357947141E-7</v>
      </c>
      <c r="Q111" s="1">
        <v>0.121477665776672</v>
      </c>
      <c r="R111" s="1">
        <v>0.20114167310386399</v>
      </c>
      <c r="S111" s="1">
        <v>-3.5787599615378099E-2</v>
      </c>
      <c r="T111" s="1"/>
      <c r="U111" s="1"/>
      <c r="V111" s="1"/>
      <c r="W111" s="1"/>
      <c r="X111" s="1"/>
      <c r="Y111" s="1"/>
      <c r="Z111" s="1">
        <f t="shared" si="3"/>
        <v>0.22370625276857414</v>
      </c>
      <c r="AA111" s="1">
        <f t="shared" si="4"/>
        <v>289.67401674054287</v>
      </c>
      <c r="AB111" s="1"/>
      <c r="AC111" s="1"/>
      <c r="AD111" s="1"/>
      <c r="AE111" s="1">
        <f t="shared" si="5"/>
        <v>-0.102228586991902</v>
      </c>
      <c r="AF111" s="1"/>
      <c r="AG111" s="1"/>
      <c r="AH111" s="1"/>
    </row>
    <row r="112" spans="1:34" x14ac:dyDescent="0.2">
      <c r="A112">
        <v>1860.5</v>
      </c>
      <c r="B112" s="1">
        <v>0.165571217496918</v>
      </c>
      <c r="C112" s="1">
        <v>5.7979688287446103E-2</v>
      </c>
      <c r="D112" s="1">
        <v>1.14693923500178E-2</v>
      </c>
      <c r="E112" s="1">
        <v>-4.0869966373882002E-3</v>
      </c>
      <c r="F112" s="1">
        <v>-0.10342109310207501</v>
      </c>
      <c r="G112" s="1">
        <v>3.0012339244427901E-2</v>
      </c>
      <c r="H112" s="1">
        <v>0</v>
      </c>
      <c r="I112" s="1">
        <v>-5.4019179069640898E-2</v>
      </c>
      <c r="J112" s="1">
        <v>1.3289313871516001E-2</v>
      </c>
      <c r="K112" s="1">
        <v>4.0672778423373997E-3</v>
      </c>
      <c r="L112" s="1">
        <v>1.4033523711639601E-2</v>
      </c>
      <c r="M112" s="1">
        <v>0.177820531029249</v>
      </c>
      <c r="N112" s="1">
        <v>-0.10750808973946301</v>
      </c>
      <c r="O112" s="1">
        <v>6.9449190880725806E-2</v>
      </c>
      <c r="P112" s="1">
        <v>1.10243261911873E-7</v>
      </c>
      <c r="Q112" s="1">
        <v>0.12086207052682001</v>
      </c>
      <c r="R112" s="1">
        <v>0.31271612526770898</v>
      </c>
      <c r="S112" s="1">
        <v>-3.6662587355787403E-2</v>
      </c>
      <c r="T112" s="1"/>
      <c r="U112" s="1"/>
      <c r="V112" s="1"/>
      <c r="W112" s="1"/>
      <c r="X112" s="1"/>
      <c r="Y112" s="1"/>
      <c r="Z112" s="1">
        <f t="shared" si="3"/>
        <v>0.22837016026628421</v>
      </c>
      <c r="AA112" s="1">
        <f t="shared" si="4"/>
        <v>289.91823333869161</v>
      </c>
      <c r="AB112" s="1"/>
      <c r="AC112" s="1"/>
      <c r="AD112" s="1"/>
      <c r="AE112" s="1">
        <f t="shared" si="5"/>
        <v>-0.10750808973946321</v>
      </c>
      <c r="AF112" s="1"/>
      <c r="AG112" s="1"/>
      <c r="AH112" s="1"/>
    </row>
    <row r="113" spans="1:34" x14ac:dyDescent="0.2">
      <c r="A113">
        <v>1861.5</v>
      </c>
      <c r="B113" s="1">
        <v>0.169110682874305</v>
      </c>
      <c r="C113" s="1">
        <v>5.9246128765853799E-2</v>
      </c>
      <c r="D113" s="1">
        <v>1.21692517795684E-2</v>
      </c>
      <c r="E113" s="1">
        <v>-3.4298077792666E-3</v>
      </c>
      <c r="F113" s="1">
        <v>-0.104941077410766</v>
      </c>
      <c r="G113" s="1">
        <v>3.1387472579703202E-2</v>
      </c>
      <c r="H113" s="1">
        <v>0</v>
      </c>
      <c r="I113" s="1">
        <v>-5.4856788760812999E-2</v>
      </c>
      <c r="J113" s="1">
        <v>1.3682401454669301E-2</v>
      </c>
      <c r="K113" s="1">
        <v>4.1592487230581003E-3</v>
      </c>
      <c r="L113" s="1">
        <v>1.19118440241396E-2</v>
      </c>
      <c r="M113" s="1">
        <v>0.222045378524522</v>
      </c>
      <c r="N113" s="1">
        <v>-0.108370885190032</v>
      </c>
      <c r="O113" s="1">
        <v>7.1415493988713094E-2</v>
      </c>
      <c r="P113" s="1">
        <v>1.1344329098089E-7</v>
      </c>
      <c r="Q113" s="1">
        <v>0.12652762566960299</v>
      </c>
      <c r="R113" s="1">
        <v>0.36048484821826499</v>
      </c>
      <c r="S113" s="1">
        <v>-3.7015138583085597E-2</v>
      </c>
      <c r="T113" s="1"/>
      <c r="U113" s="1"/>
      <c r="V113" s="1"/>
      <c r="W113" s="1"/>
      <c r="X113" s="1"/>
      <c r="Y113" s="1"/>
      <c r="Z113" s="1">
        <f t="shared" si="3"/>
        <v>0.23489851085963578</v>
      </c>
      <c r="AA113" s="1">
        <f t="shared" si="4"/>
        <v>290.26042377904059</v>
      </c>
      <c r="AB113" s="1"/>
      <c r="AC113" s="1"/>
      <c r="AD113" s="1"/>
      <c r="AE113" s="1">
        <f t="shared" si="5"/>
        <v>-0.1083708851900326</v>
      </c>
      <c r="AF113" s="1"/>
      <c r="AG113" s="1"/>
      <c r="AH113" s="1"/>
    </row>
    <row r="114" spans="1:34" x14ac:dyDescent="0.2">
      <c r="A114">
        <v>1862.5</v>
      </c>
      <c r="B114" s="1">
        <v>0.172131493191573</v>
      </c>
      <c r="C114" s="1">
        <v>6.0838961033796997E-2</v>
      </c>
      <c r="D114" s="1">
        <v>1.2839510275541401E-2</v>
      </c>
      <c r="E114" s="1">
        <v>-3.9273259241021001E-3</v>
      </c>
      <c r="F114" s="1">
        <v>-0.104573308504365</v>
      </c>
      <c r="G114" s="1">
        <v>3.1250035918133301E-2</v>
      </c>
      <c r="H114" s="1">
        <v>0</v>
      </c>
      <c r="I114" s="1">
        <v>-5.5694069637460299E-2</v>
      </c>
      <c r="J114" s="1">
        <v>1.3421259309783801E-2</v>
      </c>
      <c r="K114" s="1">
        <v>4.2750915036606002E-3</v>
      </c>
      <c r="L114" s="1">
        <v>-3.5021652273530002E-4</v>
      </c>
      <c r="M114" s="1">
        <v>-1.00426315395521</v>
      </c>
      <c r="N114" s="1">
        <v>-0.108500634428467</v>
      </c>
      <c r="O114" s="1">
        <v>7.3678597836425497E-2</v>
      </c>
      <c r="P114" s="1">
        <v>1.26527087167862E-7</v>
      </c>
      <c r="Q114" s="1">
        <v>0.13056177369364799</v>
      </c>
      <c r="R114" s="1">
        <v>-0.874051596784301</v>
      </c>
      <c r="S114" s="1">
        <v>-3.7997718824015897E-2</v>
      </c>
      <c r="T114" s="1"/>
      <c r="U114" s="1"/>
      <c r="V114" s="1"/>
      <c r="W114" s="1"/>
      <c r="X114" s="1"/>
      <c r="Y114" s="1"/>
      <c r="Z114" s="1">
        <f t="shared" si="3"/>
        <v>0.23906240812211596</v>
      </c>
      <c r="AA114" s="1">
        <f t="shared" si="4"/>
        <v>290.47888980921533</v>
      </c>
      <c r="AB114" s="1"/>
      <c r="AC114" s="1"/>
      <c r="AD114" s="1"/>
      <c r="AE114" s="1">
        <f t="shared" si="5"/>
        <v>-0.10850063442846709</v>
      </c>
      <c r="AF114" s="1"/>
      <c r="AG114" s="1"/>
      <c r="AH114" s="1"/>
    </row>
    <row r="115" spans="1:34" x14ac:dyDescent="0.2">
      <c r="A115">
        <v>1863.5</v>
      </c>
      <c r="B115" s="1">
        <v>0.17522724782080201</v>
      </c>
      <c r="C115" s="1">
        <v>6.2734807668182901E-2</v>
      </c>
      <c r="D115" s="1">
        <v>1.3432613903928199E-2</v>
      </c>
      <c r="E115" s="1">
        <v>-3.658631561239E-3</v>
      </c>
      <c r="F115" s="1">
        <v>-0.102777594588363</v>
      </c>
      <c r="G115" s="1">
        <v>3.1137437645462201E-2</v>
      </c>
      <c r="H115" s="1">
        <v>0</v>
      </c>
      <c r="I115" s="1">
        <v>-5.6531023128200297E-2</v>
      </c>
      <c r="J115" s="1">
        <v>1.3051253444786901E-2</v>
      </c>
      <c r="K115" s="1">
        <v>4.4132256368166999E-3</v>
      </c>
      <c r="L115" s="1">
        <v>-7.5420866399227996E-3</v>
      </c>
      <c r="M115" s="1">
        <v>-1.27684246020491</v>
      </c>
      <c r="N115" s="1">
        <v>-0.10643622614960099</v>
      </c>
      <c r="O115" s="1">
        <v>7.6167551350403595E-2</v>
      </c>
      <c r="P115" s="1">
        <v>1.2977829247885799E-7</v>
      </c>
      <c r="Q115" s="1">
        <v>0.137029466620469</v>
      </c>
      <c r="R115" s="1">
        <v>-1.1473550802243699</v>
      </c>
      <c r="S115" s="1">
        <v>-3.9066544046596603E-2</v>
      </c>
      <c r="T115" s="1"/>
      <c r="U115" s="1"/>
      <c r="V115" s="1"/>
      <c r="W115" s="1"/>
      <c r="X115" s="1"/>
      <c r="Y115" s="1"/>
      <c r="Z115" s="1">
        <f t="shared" si="3"/>
        <v>0.2434656927700711</v>
      </c>
      <c r="AA115" s="1">
        <f t="shared" si="4"/>
        <v>290.71009459402455</v>
      </c>
      <c r="AB115" s="1"/>
      <c r="AC115" s="1"/>
      <c r="AD115" s="1"/>
      <c r="AE115" s="1">
        <f t="shared" si="5"/>
        <v>-0.10643622614960199</v>
      </c>
      <c r="AF115" s="1"/>
      <c r="AG115" s="1"/>
      <c r="AH115" s="1"/>
    </row>
    <row r="116" spans="1:34" x14ac:dyDescent="0.2">
      <c r="A116">
        <v>1864.5</v>
      </c>
      <c r="B116" s="1">
        <v>0.178321406849516</v>
      </c>
      <c r="C116" s="1">
        <v>6.4807638820240598E-2</v>
      </c>
      <c r="D116" s="1">
        <v>1.40035256796841E-2</v>
      </c>
      <c r="E116" s="1">
        <v>-3.4321122852123001E-3</v>
      </c>
      <c r="F116" s="1">
        <v>-0.107305660938343</v>
      </c>
      <c r="G116" s="1">
        <v>3.3020242752429999E-2</v>
      </c>
      <c r="H116" s="1">
        <v>0</v>
      </c>
      <c r="I116" s="1">
        <v>-5.7367637383894297E-2</v>
      </c>
      <c r="J116" s="1">
        <v>1.37179066917831E-2</v>
      </c>
      <c r="K116" s="1">
        <v>4.5645891389496001E-3</v>
      </c>
      <c r="L116" s="1">
        <v>-1.4593551483672799E-2</v>
      </c>
      <c r="M116" s="1">
        <v>-0.22878655607052301</v>
      </c>
      <c r="N116" s="1">
        <v>-0.11073777322355501</v>
      </c>
      <c r="O116" s="1">
        <v>7.8811297557473597E-2</v>
      </c>
      <c r="P116" s="1">
        <v>1.330575489276E-7</v>
      </c>
      <c r="Q116" s="1">
        <v>0.140330032382702</v>
      </c>
      <c r="R116" s="1">
        <v>-0.103050075171494</v>
      </c>
      <c r="S116" s="1">
        <v>-3.9085141553161597E-2</v>
      </c>
      <c r="T116" s="1"/>
      <c r="U116" s="1"/>
      <c r="V116" s="1"/>
      <c r="W116" s="1"/>
      <c r="X116" s="1"/>
      <c r="Y116" s="1"/>
      <c r="Z116" s="1">
        <f t="shared" si="3"/>
        <v>0.25106780560625802</v>
      </c>
      <c r="AA116" s="1">
        <f t="shared" si="4"/>
        <v>291.10969455477789</v>
      </c>
      <c r="AB116" s="1"/>
      <c r="AC116" s="1"/>
      <c r="AD116" s="1"/>
      <c r="AE116" s="1">
        <f t="shared" si="5"/>
        <v>-0.1107377732235553</v>
      </c>
      <c r="AF116" s="1"/>
      <c r="AG116" s="1"/>
      <c r="AH116" s="1"/>
    </row>
    <row r="117" spans="1:34" x14ac:dyDescent="0.2">
      <c r="A117">
        <v>1865.5</v>
      </c>
      <c r="B117" s="1">
        <v>0.181433745049011</v>
      </c>
      <c r="C117" s="1">
        <v>6.6786780371653906E-2</v>
      </c>
      <c r="D117" s="1">
        <v>1.46141718227572E-2</v>
      </c>
      <c r="E117" s="1">
        <v>-5.4837532847995E-3</v>
      </c>
      <c r="F117" s="1">
        <v>-0.118204435765546</v>
      </c>
      <c r="G117" s="1">
        <v>3.5122569546433197E-2</v>
      </c>
      <c r="H117" s="1">
        <v>0</v>
      </c>
      <c r="I117" s="1">
        <v>-5.82038623544417E-2</v>
      </c>
      <c r="J117" s="1">
        <v>1.46054428930231E-2</v>
      </c>
      <c r="K117" s="1">
        <v>4.7094533445994E-3</v>
      </c>
      <c r="L117" s="1">
        <v>-2.0272164764922801E-2</v>
      </c>
      <c r="M117" s="1">
        <v>0.14927461223767199</v>
      </c>
      <c r="N117" s="1">
        <v>-0.123688189050346</v>
      </c>
      <c r="O117" s="1">
        <v>8.1401088560921306E-2</v>
      </c>
      <c r="P117" s="1">
        <v>1.3636651024587301E-7</v>
      </c>
      <c r="Q117" s="1">
        <v>0.13538024798920001</v>
      </c>
      <c r="R117" s="1">
        <v>0.26438269546194898</v>
      </c>
      <c r="S117" s="1">
        <v>-3.8888966116819197E-2</v>
      </c>
      <c r="T117" s="1"/>
      <c r="U117" s="1"/>
      <c r="V117" s="1"/>
      <c r="W117" s="1"/>
      <c r="X117" s="1"/>
      <c r="Y117" s="1"/>
      <c r="Z117" s="1">
        <f t="shared" si="3"/>
        <v>0.25906843703954635</v>
      </c>
      <c r="AA117" s="1">
        <f t="shared" si="4"/>
        <v>291.53083561465706</v>
      </c>
      <c r="AB117" s="1"/>
      <c r="AC117" s="1"/>
      <c r="AD117" s="1"/>
      <c r="AE117" s="1">
        <f t="shared" si="5"/>
        <v>-0.1236881890503455</v>
      </c>
      <c r="AF117" s="1"/>
      <c r="AG117" s="1"/>
      <c r="AH117" s="1"/>
    </row>
    <row r="118" spans="1:34" x14ac:dyDescent="0.2">
      <c r="A118">
        <v>1866.5</v>
      </c>
      <c r="B118" s="1">
        <v>0.18444832021816901</v>
      </c>
      <c r="C118" s="1">
        <v>6.8867934423256796E-2</v>
      </c>
      <c r="D118" s="1">
        <v>1.5253793313372999E-2</v>
      </c>
      <c r="E118" s="1">
        <v>-4.8656837907983001E-3</v>
      </c>
      <c r="F118" s="1">
        <v>-0.116925495105768</v>
      </c>
      <c r="G118" s="1">
        <v>3.5691885930806098E-2</v>
      </c>
      <c r="H118" s="1">
        <v>0</v>
      </c>
      <c r="I118" s="1">
        <v>-5.9039662749601103E-2</v>
      </c>
      <c r="J118" s="1">
        <v>1.45398746285543E-2</v>
      </c>
      <c r="K118" s="1">
        <v>4.8621371001879004E-3</v>
      </c>
      <c r="L118" s="1">
        <v>-2.3158273163360301E-2</v>
      </c>
      <c r="M118" s="1">
        <v>0.22625527577410601</v>
      </c>
      <c r="N118" s="1">
        <v>-0.121791178896566</v>
      </c>
      <c r="O118" s="1">
        <v>8.4121867443427298E-2</v>
      </c>
      <c r="P118" s="1">
        <v>1.3970679756411399E-7</v>
      </c>
      <c r="Q118" s="1">
        <v>0.14283324367497799</v>
      </c>
      <c r="R118" s="1">
        <v>0.345930246285723</v>
      </c>
      <c r="S118" s="1">
        <v>-3.9637651020858901E-2</v>
      </c>
      <c r="T118" s="1"/>
      <c r="U118" s="1"/>
      <c r="V118" s="1"/>
      <c r="W118" s="1"/>
      <c r="X118" s="1"/>
      <c r="Y118" s="1"/>
      <c r="Z118" s="1">
        <f t="shared" si="3"/>
        <v>0.26462442257154356</v>
      </c>
      <c r="AA118" s="1">
        <f t="shared" si="4"/>
        <v>291.82365263596171</v>
      </c>
      <c r="AB118" s="1"/>
      <c r="AC118" s="1"/>
      <c r="AD118" s="1"/>
      <c r="AE118" s="1">
        <f t="shared" si="5"/>
        <v>-0.12179117889656629</v>
      </c>
      <c r="AF118" s="1"/>
      <c r="AG118" s="1"/>
      <c r="AH118" s="1"/>
    </row>
    <row r="119" spans="1:34" x14ac:dyDescent="0.2">
      <c r="A119">
        <v>1867.5</v>
      </c>
      <c r="B119" s="1">
        <v>0.18759470231429101</v>
      </c>
      <c r="C119" s="1">
        <v>7.1042751236409199E-2</v>
      </c>
      <c r="D119" s="1">
        <v>1.58821080727862E-2</v>
      </c>
      <c r="E119" s="1">
        <v>-6.2469637178262996E-3</v>
      </c>
      <c r="F119" s="1">
        <v>-0.12633952904682499</v>
      </c>
      <c r="G119" s="1">
        <v>3.7868644255091101E-2</v>
      </c>
      <c r="H119" s="1">
        <v>0</v>
      </c>
      <c r="I119" s="1">
        <v>-5.98750312698808E-2</v>
      </c>
      <c r="J119" s="1">
        <v>1.5379172384488901E-2</v>
      </c>
      <c r="K119" s="1">
        <v>5.0220741994567997E-3</v>
      </c>
      <c r="L119" s="1">
        <v>-2.7542037811797801E-2</v>
      </c>
      <c r="M119" s="1">
        <v>0.23954295099141601</v>
      </c>
      <c r="N119" s="1">
        <v>-0.13258649276465201</v>
      </c>
      <c r="O119" s="1">
        <v>8.6925012248277006E-2</v>
      </c>
      <c r="P119" s="1">
        <v>1.5293908161157001E-7</v>
      </c>
      <c r="Q119" s="1">
        <v>0.14032808136707201</v>
      </c>
      <c r="R119" s="1">
        <v>0.35232899454669098</v>
      </c>
      <c r="S119" s="1">
        <v>-3.9473784685935098E-2</v>
      </c>
      <c r="T119" s="1"/>
      <c r="U119" s="1"/>
      <c r="V119" s="1"/>
      <c r="W119" s="1"/>
      <c r="X119" s="1"/>
      <c r="Y119" s="1"/>
      <c r="Z119" s="1">
        <f t="shared" si="3"/>
        <v>0.27291457413172404</v>
      </c>
      <c r="AA119" s="1">
        <f t="shared" si="4"/>
        <v>292.2611152814253</v>
      </c>
      <c r="AB119" s="1"/>
      <c r="AC119" s="1"/>
      <c r="AD119" s="1"/>
      <c r="AE119" s="1">
        <f t="shared" si="5"/>
        <v>-0.13258649276465129</v>
      </c>
      <c r="AF119" s="1"/>
      <c r="AG119" s="1"/>
      <c r="AH119" s="1"/>
    </row>
    <row r="120" spans="1:34" x14ac:dyDescent="0.2">
      <c r="A120">
        <v>1868.5</v>
      </c>
      <c r="B120" s="1">
        <v>0.19028257565704801</v>
      </c>
      <c r="C120" s="1">
        <v>7.2986283857762999E-2</v>
      </c>
      <c r="D120" s="1">
        <v>1.6557550204908199E-2</v>
      </c>
      <c r="E120" s="1">
        <v>-7.6214459349302002E-3</v>
      </c>
      <c r="F120" s="1">
        <v>-0.13622491808915299</v>
      </c>
      <c r="G120" s="1">
        <v>4.0491696913001501E-2</v>
      </c>
      <c r="H120" s="1">
        <v>0</v>
      </c>
      <c r="I120" s="1">
        <v>-6.0709931811094901E-2</v>
      </c>
      <c r="J120" s="1">
        <v>1.6437489055347601E-2</v>
      </c>
      <c r="K120" s="1">
        <v>5.1653524908945999E-3</v>
      </c>
      <c r="L120" s="1">
        <v>-1.7760470428985299E-2</v>
      </c>
      <c r="M120" s="1">
        <v>0.23562063062727001</v>
      </c>
      <c r="N120" s="1">
        <v>-0.14384636402408299</v>
      </c>
      <c r="O120" s="1">
        <v>8.9543990409651997E-2</v>
      </c>
      <c r="P120" s="1">
        <v>1.56346980879816E-7</v>
      </c>
      <c r="Q120" s="1">
        <v>0.13736480869076501</v>
      </c>
      <c r="R120" s="1">
        <v>0.35522496888904997</v>
      </c>
      <c r="S120" s="1">
        <v>-3.9107090264852699E-2</v>
      </c>
      <c r="T120" s="1"/>
      <c r="U120" s="1"/>
      <c r="V120" s="1"/>
      <c r="W120" s="1"/>
      <c r="X120" s="1"/>
      <c r="Y120" s="1"/>
      <c r="Z120" s="1">
        <f t="shared" si="3"/>
        <v>0.28121117271484886</v>
      </c>
      <c r="AA120" s="1">
        <f t="shared" si="4"/>
        <v>292.69957467996625</v>
      </c>
      <c r="AB120" s="1"/>
      <c r="AC120" s="1"/>
      <c r="AD120" s="1"/>
      <c r="AE120" s="1">
        <f t="shared" si="5"/>
        <v>-0.14384636402408318</v>
      </c>
      <c r="AF120" s="1"/>
      <c r="AG120" s="1"/>
      <c r="AH120" s="1"/>
    </row>
    <row r="121" spans="1:34" x14ac:dyDescent="0.2">
      <c r="A121">
        <v>1869.5</v>
      </c>
      <c r="B121" s="1">
        <v>0.19239684933135301</v>
      </c>
      <c r="C121" s="1">
        <v>7.4703631751770805E-2</v>
      </c>
      <c r="D121" s="1">
        <v>1.7203372572556899E-2</v>
      </c>
      <c r="E121" s="1">
        <v>-7.5798083324922997E-3</v>
      </c>
      <c r="F121" s="1">
        <v>-0.13423890915442199</v>
      </c>
      <c r="G121" s="1">
        <v>3.9913056291134001E-2</v>
      </c>
      <c r="H121" s="1">
        <v>0</v>
      </c>
      <c r="I121" s="1">
        <v>-6.1544320106477798E-2</v>
      </c>
      <c r="J121" s="1">
        <v>1.5914193249426799E-2</v>
      </c>
      <c r="K121" s="1">
        <v>5.2922269014895997E-3</v>
      </c>
      <c r="L121" s="1">
        <v>8.6599883514645602E-5</v>
      </c>
      <c r="M121" s="1">
        <v>7.4067562158005904E-5</v>
      </c>
      <c r="N121" s="1">
        <v>-0.14181871748691399</v>
      </c>
      <c r="O121" s="1">
        <v>9.1907164115480694E-2</v>
      </c>
      <c r="P121" s="1">
        <v>1.5979115304561101E-7</v>
      </c>
      <c r="Q121" s="1">
        <v>0.142060452295492</v>
      </c>
      <c r="R121" s="1">
        <v>0.142221119741164</v>
      </c>
      <c r="S121" s="1">
        <v>-4.0337899955561397E-2</v>
      </c>
      <c r="T121" s="1"/>
      <c r="U121" s="1"/>
      <c r="V121" s="1"/>
      <c r="W121" s="1"/>
      <c r="X121" s="1"/>
      <c r="Y121" s="1"/>
      <c r="Z121" s="1">
        <f t="shared" si="3"/>
        <v>0.28387916978240635</v>
      </c>
      <c r="AA121" s="1">
        <f t="shared" si="4"/>
        <v>292.84071296185874</v>
      </c>
      <c r="AB121" s="1"/>
      <c r="AC121" s="1"/>
      <c r="AD121" s="1"/>
      <c r="AE121" s="1">
        <f t="shared" si="5"/>
        <v>-0.1418187174869143</v>
      </c>
      <c r="AF121" s="1"/>
      <c r="AG121" s="1"/>
      <c r="AH121" s="1"/>
    </row>
    <row r="122" spans="1:34" x14ac:dyDescent="0.2">
      <c r="A122">
        <v>1870.5</v>
      </c>
      <c r="B122" s="1">
        <v>0.194701138261486</v>
      </c>
      <c r="C122" s="1">
        <v>7.6075620346083506E-2</v>
      </c>
      <c r="D122" s="1">
        <v>1.78089738753127E-2</v>
      </c>
      <c r="E122" s="1">
        <v>-8.6203020888009994E-3</v>
      </c>
      <c r="F122" s="1">
        <v>-0.14175102805591699</v>
      </c>
      <c r="G122" s="1">
        <v>4.1631479843784597E-2</v>
      </c>
      <c r="H122" s="1">
        <v>0</v>
      </c>
      <c r="I122" s="1">
        <v>-6.2929437723189402E-2</v>
      </c>
      <c r="J122" s="1">
        <v>1.66818544661404E-2</v>
      </c>
      <c r="K122" s="1">
        <v>5.3937776700901004E-3</v>
      </c>
      <c r="L122" s="1">
        <v>1.4750520319521E-3</v>
      </c>
      <c r="M122" s="1">
        <v>0.160483839716585</v>
      </c>
      <c r="N122" s="1">
        <v>-0.15037133014471801</v>
      </c>
      <c r="O122" s="1">
        <v>9.3884757494638899E-2</v>
      </c>
      <c r="P122" s="1">
        <v>1.6327324272339699E-7</v>
      </c>
      <c r="Q122" s="1">
        <v>0.138992239868232</v>
      </c>
      <c r="R122" s="1">
        <v>0.30095113161677001</v>
      </c>
      <c r="S122" s="1">
        <v>-4.0853805586958898E-2</v>
      </c>
      <c r="T122" s="1"/>
      <c r="U122" s="1"/>
      <c r="V122" s="1"/>
      <c r="W122" s="1"/>
      <c r="X122" s="1"/>
      <c r="Y122" s="1"/>
      <c r="Z122" s="1">
        <f t="shared" si="3"/>
        <v>0.2893635700129506</v>
      </c>
      <c r="AA122" s="1">
        <f t="shared" si="4"/>
        <v>293.13105405097218</v>
      </c>
      <c r="AB122" s="1"/>
      <c r="AC122" s="1"/>
      <c r="AD122" s="1"/>
      <c r="AE122" s="1">
        <f t="shared" si="5"/>
        <v>-0.15037133014471799</v>
      </c>
      <c r="AF122" s="1"/>
      <c r="AG122" s="1"/>
      <c r="AH122" s="1"/>
    </row>
    <row r="123" spans="1:34" x14ac:dyDescent="0.2">
      <c r="A123">
        <v>1871.5</v>
      </c>
      <c r="B123" s="1">
        <v>0.19717536386180801</v>
      </c>
      <c r="C123" s="1">
        <v>7.7002204347480799E-2</v>
      </c>
      <c r="D123" s="1">
        <v>1.85017547798902E-2</v>
      </c>
      <c r="E123" s="1">
        <v>-8.3502275987482003E-3</v>
      </c>
      <c r="F123" s="1">
        <v>-0.13989487570071199</v>
      </c>
      <c r="G123" s="1">
        <v>4.1194038642133599E-2</v>
      </c>
      <c r="H123" s="1">
        <v>0</v>
      </c>
      <c r="I123" s="1">
        <v>-6.4865233795444899E-2</v>
      </c>
      <c r="J123" s="1">
        <v>1.62202986789295E-2</v>
      </c>
      <c r="K123" s="1">
        <v>5.4624911591432002E-3</v>
      </c>
      <c r="L123" s="1">
        <v>1.22394563288271E-2</v>
      </c>
      <c r="M123" s="1">
        <v>0.22602326502569001</v>
      </c>
      <c r="N123" s="1">
        <v>-0.14824510329946</v>
      </c>
      <c r="O123" s="1">
        <v>9.55041357812524E-2</v>
      </c>
      <c r="P123" s="1">
        <v>1.7665388147630101E-7</v>
      </c>
      <c r="Q123" s="1">
        <v>0.142445991028361</v>
      </c>
      <c r="R123" s="1">
        <v>0.38070871238287901</v>
      </c>
      <c r="S123" s="1">
        <v>-4.3182443957372099E-2</v>
      </c>
      <c r="T123" s="1"/>
      <c r="U123" s="1"/>
      <c r="V123" s="1"/>
      <c r="W123" s="1"/>
      <c r="X123" s="1"/>
      <c r="Y123" s="1"/>
      <c r="Z123" s="1">
        <f t="shared" si="3"/>
        <v>0.29069109432782186</v>
      </c>
      <c r="AA123" s="1">
        <f t="shared" si="4"/>
        <v>293.20137570916006</v>
      </c>
      <c r="AB123" s="1"/>
      <c r="AC123" s="1"/>
      <c r="AD123" s="1"/>
      <c r="AE123" s="1">
        <f t="shared" si="5"/>
        <v>-0.1482451032994602</v>
      </c>
      <c r="AF123" s="1"/>
      <c r="AG123" s="1"/>
      <c r="AH123" s="1"/>
    </row>
    <row r="124" spans="1:34" x14ac:dyDescent="0.2">
      <c r="A124">
        <v>1872.5</v>
      </c>
      <c r="B124" s="1">
        <v>0.20023946111490801</v>
      </c>
      <c r="C124" s="1">
        <v>7.7739262524549296E-2</v>
      </c>
      <c r="D124" s="1">
        <v>1.9165125698973301E-2</v>
      </c>
      <c r="E124" s="1">
        <v>-8.8005138665564996E-3</v>
      </c>
      <c r="F124" s="1">
        <v>-0.14180676207683901</v>
      </c>
      <c r="G124" s="1">
        <v>4.0502642910590997E-2</v>
      </c>
      <c r="H124" s="1">
        <v>0</v>
      </c>
      <c r="I124" s="1">
        <v>-6.6800449223537395E-2</v>
      </c>
      <c r="J124" s="1">
        <v>1.60604453007108E-2</v>
      </c>
      <c r="K124" s="1">
        <v>5.5172185485803998E-3</v>
      </c>
      <c r="L124" s="1">
        <v>6.5608430475770996E-3</v>
      </c>
      <c r="M124" s="1">
        <v>0.18301670981971699</v>
      </c>
      <c r="N124" s="1">
        <v>-0.15060727594339601</v>
      </c>
      <c r="O124" s="1">
        <v>9.69045684402495E-2</v>
      </c>
      <c r="P124" s="1">
        <v>1.80216726981636E-7</v>
      </c>
      <c r="Q124" s="1">
        <v>0.14181661114810601</v>
      </c>
      <c r="R124" s="1">
        <v>0.33139416401540001</v>
      </c>
      <c r="S124" s="1">
        <v>-4.5222785374246198E-2</v>
      </c>
      <c r="T124" s="1"/>
      <c r="U124" s="1"/>
      <c r="V124" s="1"/>
      <c r="W124" s="1"/>
      <c r="X124" s="1"/>
      <c r="Y124" s="1"/>
      <c r="Z124" s="1">
        <f t="shared" si="3"/>
        <v>0.29242388709150241</v>
      </c>
      <c r="AA124" s="1">
        <f t="shared" si="4"/>
        <v>293.29319064183943</v>
      </c>
      <c r="AB124" s="1"/>
      <c r="AC124" s="1"/>
      <c r="AD124" s="1"/>
      <c r="AE124" s="1">
        <f t="shared" si="5"/>
        <v>-0.15060727594339551</v>
      </c>
      <c r="AF124" s="1"/>
      <c r="AG124" s="1"/>
      <c r="AH124" s="1"/>
    </row>
    <row r="125" spans="1:34" x14ac:dyDescent="0.2">
      <c r="A125">
        <v>1873.5</v>
      </c>
      <c r="B125" s="1">
        <v>0.20379612502070299</v>
      </c>
      <c r="C125" s="1">
        <v>7.8295194076457894E-2</v>
      </c>
      <c r="D125" s="1">
        <v>1.9817481912719401E-2</v>
      </c>
      <c r="E125" s="1">
        <v>-1.11382531497862E-2</v>
      </c>
      <c r="F125" s="1">
        <v>-0.155160454597595</v>
      </c>
      <c r="G125" s="1">
        <v>4.26384586048556E-2</v>
      </c>
      <c r="H125" s="1">
        <v>0</v>
      </c>
      <c r="I125" s="1">
        <v>-6.8735075381562497E-2</v>
      </c>
      <c r="J125" s="1">
        <v>1.7200598526374698E-2</v>
      </c>
      <c r="K125" s="1">
        <v>5.5585501956378998E-3</v>
      </c>
      <c r="L125" s="1">
        <v>-3.0959196477352998E-3</v>
      </c>
      <c r="M125" s="1">
        <v>-1.0959882961443901</v>
      </c>
      <c r="N125" s="1">
        <v>-0.16629870774738101</v>
      </c>
      <c r="O125" s="1">
        <v>9.8112859811588002E-2</v>
      </c>
      <c r="P125" s="1">
        <v>1.8382241078235599E-7</v>
      </c>
      <c r="Q125" s="1">
        <v>0.13227280903021499</v>
      </c>
      <c r="R125" s="1">
        <v>-0.96681140676191302</v>
      </c>
      <c r="S125" s="1">
        <v>-4.5975926659549901E-2</v>
      </c>
      <c r="T125" s="1"/>
      <c r="U125" s="1"/>
      <c r="V125" s="1"/>
      <c r="W125" s="1"/>
      <c r="X125" s="1"/>
      <c r="Y125" s="1"/>
      <c r="Z125" s="1">
        <f t="shared" si="3"/>
        <v>0.2985715167775968</v>
      </c>
      <c r="AA125" s="1">
        <f t="shared" si="4"/>
        <v>293.61916512995271</v>
      </c>
      <c r="AB125" s="1"/>
      <c r="AC125" s="1"/>
      <c r="AD125" s="1"/>
      <c r="AE125" s="1">
        <f t="shared" si="5"/>
        <v>-0.1662987077473812</v>
      </c>
      <c r="AF125" s="1"/>
      <c r="AG125" s="1"/>
      <c r="AH125" s="1"/>
    </row>
    <row r="126" spans="1:34" x14ac:dyDescent="0.2">
      <c r="A126">
        <v>1874.5</v>
      </c>
      <c r="B126" s="1">
        <v>0.207446429366549</v>
      </c>
      <c r="C126" s="1">
        <v>7.9275043892396396E-2</v>
      </c>
      <c r="D126" s="1">
        <v>2.0447392529057001E-2</v>
      </c>
      <c r="E126" s="1">
        <v>-1.1900293525326301E-2</v>
      </c>
      <c r="F126" s="1">
        <v>-0.1587437802103</v>
      </c>
      <c r="G126" s="1">
        <v>4.42466125860278E-2</v>
      </c>
      <c r="H126" s="1">
        <v>0</v>
      </c>
      <c r="I126" s="1">
        <v>-7.0669065719771607E-2</v>
      </c>
      <c r="J126" s="1">
        <v>1.7614022900124201E-2</v>
      </c>
      <c r="K126" s="1">
        <v>5.6313881350191003E-3</v>
      </c>
      <c r="L126" s="1">
        <v>-1.1473434296172799E-2</v>
      </c>
      <c r="M126" s="1">
        <v>-0.53054116812106</v>
      </c>
      <c r="N126" s="1">
        <v>-0.17064407373562601</v>
      </c>
      <c r="O126" s="1">
        <v>9.9722633753030906E-2</v>
      </c>
      <c r="P126" s="1">
        <v>1.9733157751316801E-7</v>
      </c>
      <c r="Q126" s="1">
        <v>0.13334794728535301</v>
      </c>
      <c r="R126" s="1">
        <v>-0.40866665513188</v>
      </c>
      <c r="S126" s="1">
        <v>-4.7423654684628301E-2</v>
      </c>
      <c r="T126" s="1"/>
      <c r="U126" s="1"/>
      <c r="V126" s="1"/>
      <c r="W126" s="1"/>
      <c r="X126" s="1"/>
      <c r="Y126" s="1"/>
      <c r="Z126" s="1">
        <f t="shared" si="3"/>
        <v>0.30399202102097944</v>
      </c>
      <c r="AA126" s="1">
        <f t="shared" si="4"/>
        <v>293.90688475549086</v>
      </c>
      <c r="AB126" s="1"/>
      <c r="AC126" s="1"/>
      <c r="AD126" s="1"/>
      <c r="AE126" s="1">
        <f t="shared" si="5"/>
        <v>-0.17064407373562629</v>
      </c>
      <c r="AF126" s="1"/>
      <c r="AG126" s="1"/>
      <c r="AH126" s="1"/>
    </row>
    <row r="127" spans="1:34" x14ac:dyDescent="0.2">
      <c r="A127">
        <v>1875.5</v>
      </c>
      <c r="B127" s="1">
        <v>0.21164481030107801</v>
      </c>
      <c r="C127" s="1">
        <v>8.0252073647995595E-2</v>
      </c>
      <c r="D127" s="1">
        <v>2.1088003432533899E-2</v>
      </c>
      <c r="E127" s="1">
        <v>-1.14973179738403E-2</v>
      </c>
      <c r="F127" s="1">
        <v>-0.15613890508834499</v>
      </c>
      <c r="G127" s="1">
        <v>4.3636472438754702E-2</v>
      </c>
      <c r="H127" s="1">
        <v>0</v>
      </c>
      <c r="I127" s="1">
        <v>-7.26023942299069E-2</v>
      </c>
      <c r="J127" s="1">
        <v>1.7102077072157801E-2</v>
      </c>
      <c r="K127" s="1">
        <v>5.7040999526269997E-3</v>
      </c>
      <c r="L127" s="1">
        <v>-2.7074020233672801E-2</v>
      </c>
      <c r="M127" s="1">
        <v>-9.8148948662366398E-2</v>
      </c>
      <c r="N127" s="1">
        <v>-0.16763622306218501</v>
      </c>
      <c r="O127" s="1">
        <v>0.101340278108401</v>
      </c>
      <c r="P127" s="1">
        <v>2.01027871768085E-7</v>
      </c>
      <c r="Q127" s="1">
        <v>0.139189120580926</v>
      </c>
      <c r="R127" s="1">
        <v>1.39661516848874E-2</v>
      </c>
      <c r="S127" s="1">
        <v>-4.9796217205122097E-2</v>
      </c>
      <c r="T127" s="1"/>
      <c r="U127" s="1"/>
      <c r="V127" s="1"/>
      <c r="W127" s="1"/>
      <c r="X127" s="1"/>
      <c r="Y127" s="1"/>
      <c r="Z127" s="1">
        <f t="shared" si="3"/>
        <v>0.30682534364311187</v>
      </c>
      <c r="AA127" s="1">
        <f t="shared" si="4"/>
        <v>294.05738931710533</v>
      </c>
      <c r="AB127" s="1"/>
      <c r="AC127" s="1"/>
      <c r="AD127" s="1"/>
      <c r="AE127" s="1">
        <f t="shared" si="5"/>
        <v>-0.16763622306218529</v>
      </c>
      <c r="AF127" s="1"/>
      <c r="AG127" s="1"/>
      <c r="AH127" s="1"/>
    </row>
    <row r="128" spans="1:34" x14ac:dyDescent="0.2">
      <c r="A128">
        <v>1876.5</v>
      </c>
      <c r="B128" s="1">
        <v>0.21582175134770801</v>
      </c>
      <c r="C128" s="1">
        <v>8.1075232688114104E-2</v>
      </c>
      <c r="D128" s="1">
        <v>2.16592055794767E-2</v>
      </c>
      <c r="E128" s="1">
        <v>-1.3136537711519699E-2</v>
      </c>
      <c r="F128" s="1">
        <v>-0.16115659108379299</v>
      </c>
      <c r="G128" s="1">
        <v>4.4149221406728903E-2</v>
      </c>
      <c r="H128" s="1">
        <v>0</v>
      </c>
      <c r="I128" s="1">
        <v>-7.4535046734142005E-2</v>
      </c>
      <c r="J128" s="1">
        <v>1.7250865333491901E-2</v>
      </c>
      <c r="K128" s="1">
        <v>5.7654286093426002E-3</v>
      </c>
      <c r="L128" s="1">
        <v>-3.42190885930478E-2</v>
      </c>
      <c r="M128" s="1">
        <v>0.10100491614682</v>
      </c>
      <c r="N128" s="1">
        <v>-0.174293128795313</v>
      </c>
      <c r="O128" s="1">
        <v>0.102734652898528</v>
      </c>
      <c r="P128" s="1">
        <v>2.1463093817432999E-7</v>
      </c>
      <c r="Q128" s="1">
        <v>0.136893744066345</v>
      </c>
      <c r="R128" s="1">
        <v>0.20367957162011799</v>
      </c>
      <c r="S128" s="1">
        <v>-5.15187527913075E-2</v>
      </c>
      <c r="T128" s="1"/>
      <c r="U128" s="1"/>
      <c r="V128" s="1"/>
      <c r="W128" s="1"/>
      <c r="X128" s="1"/>
      <c r="Y128" s="1"/>
      <c r="Z128" s="1">
        <f t="shared" si="3"/>
        <v>0.31118687286165841</v>
      </c>
      <c r="AA128" s="1">
        <f t="shared" si="4"/>
        <v>294.2892220342639</v>
      </c>
      <c r="AB128" s="1"/>
      <c r="AC128" s="1"/>
      <c r="AD128" s="1"/>
      <c r="AE128" s="1">
        <f t="shared" si="5"/>
        <v>-0.1742931287953127</v>
      </c>
      <c r="AF128" s="1"/>
      <c r="AG128" s="1"/>
      <c r="AH128" s="1"/>
    </row>
    <row r="129" spans="1:34" x14ac:dyDescent="0.2">
      <c r="A129">
        <v>1877.5</v>
      </c>
      <c r="B129" s="1">
        <v>0.220053161376671</v>
      </c>
      <c r="C129" s="1">
        <v>8.1974411504589603E-2</v>
      </c>
      <c r="D129" s="1">
        <v>2.2153747008489901E-2</v>
      </c>
      <c r="E129" s="1">
        <v>-1.33669517604014E-2</v>
      </c>
      <c r="F129" s="1">
        <v>-0.166020969296099</v>
      </c>
      <c r="G129" s="1">
        <v>4.58467340119003E-2</v>
      </c>
      <c r="H129" s="1">
        <v>0</v>
      </c>
      <c r="I129" s="1">
        <v>-7.6466969691638798E-2</v>
      </c>
      <c r="J129" s="1">
        <v>1.78657841667079E-2</v>
      </c>
      <c r="K129" s="1">
        <v>5.8324676305983002E-3</v>
      </c>
      <c r="L129" s="1">
        <v>-3.8790060272735301E-2</v>
      </c>
      <c r="M129" s="1">
        <v>0.116705037446646</v>
      </c>
      <c r="N129" s="1">
        <v>-0.1793879210565</v>
      </c>
      <c r="O129" s="1">
        <v>0.1041283769375</v>
      </c>
      <c r="P129" s="1">
        <v>2.18424421345076E-7</v>
      </c>
      <c r="Q129" s="1">
        <v>0.137871633375239</v>
      </c>
      <c r="R129" s="1">
        <v>0.21578661054915099</v>
      </c>
      <c r="S129" s="1">
        <v>-5.2768717894332601E-2</v>
      </c>
      <c r="T129" s="1"/>
      <c r="U129" s="1"/>
      <c r="V129" s="1"/>
      <c r="W129" s="1"/>
      <c r="X129" s="1"/>
      <c r="Y129" s="1"/>
      <c r="Z129" s="1">
        <f t="shared" si="3"/>
        <v>0.31725955443173953</v>
      </c>
      <c r="AA129" s="1">
        <f t="shared" si="4"/>
        <v>294.61231377586154</v>
      </c>
      <c r="AB129" s="1"/>
      <c r="AC129" s="1"/>
      <c r="AD129" s="1"/>
      <c r="AE129" s="1">
        <f t="shared" si="5"/>
        <v>-0.17938792105650039</v>
      </c>
      <c r="AF129" s="1"/>
      <c r="AG129" s="1"/>
      <c r="AH129" s="1"/>
    </row>
    <row r="130" spans="1:34" x14ac:dyDescent="0.2">
      <c r="A130">
        <v>1878.5</v>
      </c>
      <c r="B130" s="1">
        <v>0.22445166826572899</v>
      </c>
      <c r="C130" s="1">
        <v>8.3014126668055493E-2</v>
      </c>
      <c r="D130" s="1">
        <v>2.2680760439839999E-2</v>
      </c>
      <c r="E130" s="1">
        <v>-1.38000885122455E-2</v>
      </c>
      <c r="F130" s="1">
        <v>-0.16949601228025801</v>
      </c>
      <c r="G130" s="1">
        <v>4.7295530013531199E-2</v>
      </c>
      <c r="H130" s="1">
        <v>0</v>
      </c>
      <c r="I130" s="1">
        <v>-7.8398129755249499E-2</v>
      </c>
      <c r="J130" s="1">
        <v>1.82460469826747E-2</v>
      </c>
      <c r="K130" s="1">
        <v>5.9100633126154996E-3</v>
      </c>
      <c r="L130" s="1">
        <v>-4.4453072968047798E-2</v>
      </c>
      <c r="M130" s="1">
        <v>0.208018174838174</v>
      </c>
      <c r="N130" s="1">
        <v>-0.183296100792503</v>
      </c>
      <c r="O130" s="1">
        <v>0.105695119235848</v>
      </c>
      <c r="P130" s="1">
        <v>2.3212795284257399E-7</v>
      </c>
      <c r="Q130" s="1">
        <v>0.139904197262645</v>
      </c>
      <c r="R130" s="1">
        <v>0.30346929913277199</v>
      </c>
      <c r="S130" s="1">
        <v>-5.4242019459959198E-2</v>
      </c>
      <c r="T130" s="1"/>
      <c r="U130" s="1"/>
      <c r="V130" s="1"/>
      <c r="W130" s="1"/>
      <c r="X130" s="1"/>
      <c r="Y130" s="1"/>
      <c r="Z130" s="1">
        <f t="shared" ref="Z130:Z193" si="6">K130+J130+I130+H130+G130+D130+C130+B130+P130</f>
        <v>0.32320029805514927</v>
      </c>
      <c r="AA130" s="1">
        <f t="shared" ref="AA130:AA193" si="7">10^((Z130+$V$100)/$V$99)</f>
        <v>294.92872910794881</v>
      </c>
      <c r="AB130" s="1"/>
      <c r="AC130" s="1"/>
      <c r="AD130" s="1"/>
      <c r="AE130" s="1">
        <f t="shared" ref="AE130:AE193" si="8">F130+E130</f>
        <v>-0.18329610079250352</v>
      </c>
      <c r="AF130" s="1"/>
      <c r="AG130" s="1"/>
      <c r="AH130" s="1"/>
    </row>
    <row r="131" spans="1:34" x14ac:dyDescent="0.2">
      <c r="A131">
        <v>1879.5</v>
      </c>
      <c r="B131" s="1">
        <v>0.22860064057056001</v>
      </c>
      <c r="C131" s="1">
        <v>8.4278639863027804E-2</v>
      </c>
      <c r="D131" s="1">
        <v>2.31820269517337E-2</v>
      </c>
      <c r="E131" s="1">
        <v>-1.6087487881378398E-2</v>
      </c>
      <c r="F131" s="1">
        <v>-0.17878262152718899</v>
      </c>
      <c r="G131" s="1">
        <v>4.7817092335549899E-2</v>
      </c>
      <c r="H131" s="1">
        <v>0</v>
      </c>
      <c r="I131" s="1">
        <v>-8.0328531701043399E-2</v>
      </c>
      <c r="J131" s="1">
        <v>1.8719165283583899E-2</v>
      </c>
      <c r="K131" s="1">
        <v>6.0045378447065E-3</v>
      </c>
      <c r="L131" s="1">
        <v>-4.3267428436797803E-2</v>
      </c>
      <c r="M131" s="1">
        <v>0.23428572358667901</v>
      </c>
      <c r="N131" s="1">
        <v>-0.194870109408567</v>
      </c>
      <c r="O131" s="1">
        <v>0.10746090283995099</v>
      </c>
      <c r="P131" s="1">
        <v>2.36025190345816E-7</v>
      </c>
      <c r="Q131" s="1">
        <v>0.13340369776474101</v>
      </c>
      <c r="R131" s="1">
        <v>0.32442199291462298</v>
      </c>
      <c r="S131" s="1">
        <v>-5.5604828572752903E-2</v>
      </c>
      <c r="T131" s="1"/>
      <c r="U131" s="1"/>
      <c r="V131" s="1"/>
      <c r="W131" s="1"/>
      <c r="X131" s="1"/>
      <c r="Y131" s="1"/>
      <c r="Z131" s="1">
        <f t="shared" si="6"/>
        <v>0.32827380717330873</v>
      </c>
      <c r="AA131" s="1">
        <f t="shared" si="7"/>
        <v>295.19922290222587</v>
      </c>
      <c r="AB131" s="1"/>
      <c r="AC131" s="1"/>
      <c r="AD131" s="1"/>
      <c r="AE131" s="1">
        <f t="shared" si="8"/>
        <v>-0.19487010940856739</v>
      </c>
      <c r="AF131" s="1"/>
      <c r="AG131" s="1"/>
      <c r="AH131" s="1"/>
    </row>
    <row r="132" spans="1:34" x14ac:dyDescent="0.2">
      <c r="A132">
        <v>1880.5</v>
      </c>
      <c r="B132" s="1">
        <v>0.23314426374453101</v>
      </c>
      <c r="C132" s="1">
        <v>8.5699406438036502E-2</v>
      </c>
      <c r="D132" s="1">
        <v>2.3686514682964101E-2</v>
      </c>
      <c r="E132" s="1">
        <v>-1.8501065175742099E-2</v>
      </c>
      <c r="F132" s="1">
        <v>-0.186301780888531</v>
      </c>
      <c r="G132" s="1">
        <v>4.7753718911940198E-2</v>
      </c>
      <c r="H132" s="1">
        <v>0</v>
      </c>
      <c r="I132" s="1">
        <v>-8.1979494256841298E-2</v>
      </c>
      <c r="J132" s="1">
        <v>1.86778504343054E-2</v>
      </c>
      <c r="K132" s="1">
        <v>6.110838305617E-3</v>
      </c>
      <c r="L132" s="1">
        <v>-2.9351705780547799E-2</v>
      </c>
      <c r="M132" s="1">
        <v>0.12196622606657</v>
      </c>
      <c r="N132" s="1">
        <v>-0.20480284606427299</v>
      </c>
      <c r="O132" s="1">
        <v>0.10938617095677899</v>
      </c>
      <c r="P132" s="1">
        <v>2.4983577844823899E-7</v>
      </c>
      <c r="Q132" s="1">
        <v>0.128290502032058</v>
      </c>
      <c r="R132" s="1">
        <v>0.22090502231808101</v>
      </c>
      <c r="S132" s="1">
        <v>-5.7190805516918797E-2</v>
      </c>
      <c r="T132" s="1"/>
      <c r="U132" s="1"/>
      <c r="V132" s="1"/>
      <c r="W132" s="1"/>
      <c r="X132" s="1"/>
      <c r="Y132" s="1"/>
      <c r="Z132" s="1">
        <f t="shared" si="6"/>
        <v>0.33309334809633134</v>
      </c>
      <c r="AA132" s="1">
        <f t="shared" si="7"/>
        <v>295.45640616230452</v>
      </c>
      <c r="AB132" s="1"/>
      <c r="AC132" s="1"/>
      <c r="AD132" s="1"/>
      <c r="AE132" s="1">
        <f t="shared" si="8"/>
        <v>-0.2048028460642731</v>
      </c>
      <c r="AF132" s="1"/>
      <c r="AG132" s="1"/>
      <c r="AH132" s="1"/>
    </row>
    <row r="133" spans="1:34" x14ac:dyDescent="0.2">
      <c r="A133">
        <v>1881.5</v>
      </c>
      <c r="B133" s="1">
        <v>0.23802513933542599</v>
      </c>
      <c r="C133" s="1">
        <v>8.7044779872188005E-2</v>
      </c>
      <c r="D133" s="1">
        <v>2.4107310019654E-2</v>
      </c>
      <c r="E133" s="1">
        <v>-1.8757174436838601E-2</v>
      </c>
      <c r="F133" s="1">
        <v>-0.19155020447958601</v>
      </c>
      <c r="G133" s="1">
        <v>4.9537997272100301E-2</v>
      </c>
      <c r="H133" s="1">
        <v>0</v>
      </c>
      <c r="I133" s="1">
        <v>-8.3350960525058901E-2</v>
      </c>
      <c r="J133" s="1">
        <v>1.92977481062163E-2</v>
      </c>
      <c r="K133" s="1">
        <v>6.2116457607881001E-3</v>
      </c>
      <c r="L133" s="1">
        <v>-9.9913786321103003E-3</v>
      </c>
      <c r="M133" s="1">
        <v>-2.2910683686403E-3</v>
      </c>
      <c r="N133" s="1">
        <v>-0.21030737891642501</v>
      </c>
      <c r="O133" s="1">
        <v>0.11115234373519001</v>
      </c>
      <c r="P133" s="1">
        <v>2.5384334872403299E-7</v>
      </c>
      <c r="Q133" s="1">
        <v>0.13056653476823701</v>
      </c>
      <c r="R133" s="1">
        <v>0.118284087767486</v>
      </c>
      <c r="S133" s="1">
        <v>-5.7841566658054497E-2</v>
      </c>
      <c r="T133" s="1"/>
      <c r="U133" s="1"/>
      <c r="V133" s="1"/>
      <c r="W133" s="1"/>
      <c r="X133" s="1"/>
      <c r="Y133" s="1"/>
      <c r="Z133" s="1">
        <f t="shared" si="6"/>
        <v>0.34087391368466252</v>
      </c>
      <c r="AA133" s="1">
        <f t="shared" si="7"/>
        <v>295.87207033730652</v>
      </c>
      <c r="AB133" s="1"/>
      <c r="AC133" s="1"/>
      <c r="AD133" s="1"/>
      <c r="AE133" s="1">
        <f t="shared" si="8"/>
        <v>-0.21030737891642462</v>
      </c>
      <c r="AF133" s="1"/>
      <c r="AG133" s="1"/>
      <c r="AH133" s="1"/>
    </row>
    <row r="134" spans="1:34" x14ac:dyDescent="0.2">
      <c r="A134">
        <v>1882.5</v>
      </c>
      <c r="B134" s="1">
        <v>0.24318583208746899</v>
      </c>
      <c r="C134" s="1">
        <v>8.8375187601585997E-2</v>
      </c>
      <c r="D134" s="1">
        <v>2.45387926434553E-2</v>
      </c>
      <c r="E134" s="1">
        <v>-2.01295568230275E-2</v>
      </c>
      <c r="F134" s="1">
        <v>-0.19424979321542701</v>
      </c>
      <c r="G134" s="1">
        <v>4.9006022803538003E-2</v>
      </c>
      <c r="H134" s="1">
        <v>0</v>
      </c>
      <c r="I134" s="1">
        <v>-8.4721563425724497E-2</v>
      </c>
      <c r="J134" s="1">
        <v>1.9047073680444799E-2</v>
      </c>
      <c r="K134" s="1">
        <v>6.3114844934033E-3</v>
      </c>
      <c r="L134" s="1">
        <v>-1.4125533905547801E-2</v>
      </c>
      <c r="M134" s="1">
        <v>0.16548038594524</v>
      </c>
      <c r="N134" s="1">
        <v>-0.21437935003845501</v>
      </c>
      <c r="O134" s="1">
        <v>0.112914248012587</v>
      </c>
      <c r="P134" s="1">
        <v>2.6776754578736102E-7</v>
      </c>
      <c r="Q134" s="1">
        <v>0.131363747613263</v>
      </c>
      <c r="R134" s="1">
        <v>0.28271859965295498</v>
      </c>
      <c r="S134" s="1">
        <v>-5.9363005251876398E-2</v>
      </c>
      <c r="T134" s="1"/>
      <c r="U134" s="1"/>
      <c r="V134" s="1"/>
      <c r="W134" s="1"/>
      <c r="X134" s="1"/>
      <c r="Y134" s="1"/>
      <c r="Z134" s="1">
        <f t="shared" si="6"/>
        <v>0.34574309765171773</v>
      </c>
      <c r="AA134" s="1">
        <f t="shared" si="7"/>
        <v>296.13249608344614</v>
      </c>
      <c r="AB134" s="1"/>
      <c r="AC134" s="1"/>
      <c r="AD134" s="1"/>
      <c r="AE134" s="1">
        <f t="shared" si="8"/>
        <v>-0.21437935003845451</v>
      </c>
      <c r="AF134" s="1"/>
      <c r="AG134" s="1"/>
      <c r="AH134" s="1"/>
    </row>
    <row r="135" spans="1:34" x14ac:dyDescent="0.2">
      <c r="A135">
        <v>1883.5</v>
      </c>
      <c r="B135" s="1">
        <v>0.24762395601949699</v>
      </c>
      <c r="C135" s="1">
        <v>8.9754578122176604E-2</v>
      </c>
      <c r="D135" s="1">
        <v>2.4944611697572099E-2</v>
      </c>
      <c r="E135" s="1">
        <v>-2.0745153374722401E-2</v>
      </c>
      <c r="F135" s="1">
        <v>-0.19436786013791901</v>
      </c>
      <c r="G135" s="1">
        <v>4.8555650039667601E-2</v>
      </c>
      <c r="H135" s="1">
        <v>0</v>
      </c>
      <c r="I135" s="1">
        <v>-8.6091312387079996E-2</v>
      </c>
      <c r="J135" s="1">
        <v>1.8653633424512199E-2</v>
      </c>
      <c r="K135" s="1">
        <v>6.4151498142865004E-3</v>
      </c>
      <c r="L135" s="1">
        <v>-1.70896452336728E-2</v>
      </c>
      <c r="M135" s="1">
        <v>-0.108468493491158</v>
      </c>
      <c r="N135" s="1">
        <v>-0.215113013512641</v>
      </c>
      <c r="O135" s="1">
        <v>0.114699471570749</v>
      </c>
      <c r="P135" s="1">
        <v>2.81751001210239E-7</v>
      </c>
      <c r="Q135" s="1">
        <v>0.134743534968992</v>
      </c>
      <c r="R135" s="1">
        <v>9.1853962441605999E-3</v>
      </c>
      <c r="S135" s="1">
        <v>-6.1022529148281303E-2</v>
      </c>
      <c r="T135" s="1"/>
      <c r="U135" s="1"/>
      <c r="V135" s="1"/>
      <c r="W135" s="1"/>
      <c r="X135" s="1"/>
      <c r="Y135" s="1"/>
      <c r="Z135" s="1">
        <f t="shared" si="6"/>
        <v>0.34985654848163317</v>
      </c>
      <c r="AA135" s="1">
        <f t="shared" si="7"/>
        <v>296.35268045229162</v>
      </c>
      <c r="AB135" s="1"/>
      <c r="AC135" s="1"/>
      <c r="AD135" s="1"/>
      <c r="AE135" s="1">
        <f t="shared" si="8"/>
        <v>-0.21511301351264142</v>
      </c>
      <c r="AF135" s="1"/>
      <c r="AG135" s="1"/>
      <c r="AH135" s="1"/>
    </row>
    <row r="136" spans="1:34" x14ac:dyDescent="0.2">
      <c r="A136">
        <v>1884.5</v>
      </c>
      <c r="B136" s="1">
        <v>0.25215325369307301</v>
      </c>
      <c r="C136" s="1">
        <v>9.1243986266756602E-2</v>
      </c>
      <c r="D136" s="1">
        <v>2.5346638725937901E-2</v>
      </c>
      <c r="E136" s="1">
        <v>-2.13372481111067E-2</v>
      </c>
      <c r="F136" s="1">
        <v>-0.20165408634590101</v>
      </c>
      <c r="G136" s="1">
        <v>5.0937128066947703E-2</v>
      </c>
      <c r="H136" s="1">
        <v>0</v>
      </c>
      <c r="I136" s="1">
        <v>-8.7460143009173402E-2</v>
      </c>
      <c r="J136" s="1">
        <v>1.95515181521532E-2</v>
      </c>
      <c r="K136" s="1">
        <v>6.5272572436483999E-3</v>
      </c>
      <c r="L136" s="1">
        <v>6.1084260553896002E-3</v>
      </c>
      <c r="M136" s="1">
        <v>-2.2115905461767502</v>
      </c>
      <c r="N136" s="1">
        <v>-0.222991334457008</v>
      </c>
      <c r="O136" s="1">
        <v>0.11659092078808</v>
      </c>
      <c r="P136" s="1">
        <v>2.9579538569317002E-7</v>
      </c>
      <c r="Q136" s="1">
        <v>0.135308600477721</v>
      </c>
      <c r="R136" s="1">
        <v>-2.0701735196436402</v>
      </c>
      <c r="S136" s="1">
        <v>-6.1381367613371797E-2</v>
      </c>
      <c r="T136" s="1"/>
      <c r="U136" s="1"/>
      <c r="V136" s="1"/>
      <c r="W136" s="1"/>
      <c r="X136" s="1"/>
      <c r="Y136" s="1"/>
      <c r="Z136" s="1">
        <f t="shared" si="6"/>
        <v>0.35829993493472911</v>
      </c>
      <c r="AA136" s="1">
        <f t="shared" si="7"/>
        <v>296.80515020939043</v>
      </c>
      <c r="AB136" s="1"/>
      <c r="AC136" s="1"/>
      <c r="AD136" s="1"/>
      <c r="AE136" s="1">
        <f t="shared" si="8"/>
        <v>-0.22299133445700772</v>
      </c>
      <c r="AF136" s="1"/>
      <c r="AG136" s="1"/>
      <c r="AH136" s="1"/>
    </row>
    <row r="137" spans="1:34" x14ac:dyDescent="0.2">
      <c r="A137">
        <v>1885.5</v>
      </c>
      <c r="B137" s="1">
        <v>0.25735822593920399</v>
      </c>
      <c r="C137" s="1">
        <v>9.2924437003517504E-2</v>
      </c>
      <c r="D137" s="1">
        <v>2.5733811202914899E-2</v>
      </c>
      <c r="E137" s="1">
        <v>-2.2484393947189998E-2</v>
      </c>
      <c r="F137" s="1">
        <v>-0.204809739327065</v>
      </c>
      <c r="G137" s="1">
        <v>5.1777798334541297E-2</v>
      </c>
      <c r="H137" s="1">
        <v>0</v>
      </c>
      <c r="I137" s="1">
        <v>-8.8828022873321894E-2</v>
      </c>
      <c r="J137" s="1">
        <v>1.9642113357398801E-2</v>
      </c>
      <c r="K137" s="1">
        <v>6.6539572305145999E-3</v>
      </c>
      <c r="L137" s="1">
        <v>-8.3689176946102999E-3</v>
      </c>
      <c r="M137" s="1">
        <v>-1.4244469364702399</v>
      </c>
      <c r="N137" s="1">
        <v>-0.22729413327425499</v>
      </c>
      <c r="O137" s="1">
        <v>0.118658548249854</v>
      </c>
      <c r="P137" s="1">
        <v>3.0004342217639001E-7</v>
      </c>
      <c r="Q137" s="1">
        <v>0.13796848696393599</v>
      </c>
      <c r="R137" s="1">
        <v>-1.29484736720091</v>
      </c>
      <c r="S137" s="1">
        <v>-6.2531952285408504E-2</v>
      </c>
      <c r="T137" s="1"/>
      <c r="U137" s="1"/>
      <c r="V137" s="1"/>
      <c r="W137" s="1"/>
      <c r="X137" s="1"/>
      <c r="Y137" s="1"/>
      <c r="Z137" s="1">
        <f t="shared" si="6"/>
        <v>0.36526262023819139</v>
      </c>
      <c r="AA137" s="1">
        <f t="shared" si="7"/>
        <v>297.17879085858647</v>
      </c>
      <c r="AB137" s="1"/>
      <c r="AC137" s="1"/>
      <c r="AD137" s="1"/>
      <c r="AE137" s="1">
        <f t="shared" si="8"/>
        <v>-0.22729413327425502</v>
      </c>
      <c r="AF137" s="1"/>
      <c r="AG137" s="1"/>
      <c r="AH137" s="1"/>
    </row>
    <row r="138" spans="1:34" x14ac:dyDescent="0.2">
      <c r="A138">
        <v>1886.5</v>
      </c>
      <c r="B138" s="1">
        <v>0.26289793579774201</v>
      </c>
      <c r="C138" s="1">
        <v>9.4565251636392095E-2</v>
      </c>
      <c r="D138" s="1">
        <v>2.6084508429067899E-2</v>
      </c>
      <c r="E138" s="1">
        <v>-2.2018526629970999E-2</v>
      </c>
      <c r="F138" s="1">
        <v>-0.20472978428483499</v>
      </c>
      <c r="G138" s="1">
        <v>5.2765535696738301E-2</v>
      </c>
      <c r="H138" s="1">
        <v>0</v>
      </c>
      <c r="I138" s="1">
        <v>-9.0194961953642294E-2</v>
      </c>
      <c r="J138" s="1">
        <v>1.97792625679153E-2</v>
      </c>
      <c r="K138" s="1">
        <v>6.7778932721381004E-3</v>
      </c>
      <c r="L138" s="1">
        <v>-2.4796334686797799E-2</v>
      </c>
      <c r="M138" s="1">
        <v>-0.88348401223642903</v>
      </c>
      <c r="N138" s="1">
        <v>-0.22674831091480599</v>
      </c>
      <c r="O138" s="1">
        <v>0.120650074280006</v>
      </c>
      <c r="P138" s="1">
        <v>3.1421454643429399E-7</v>
      </c>
      <c r="Q138" s="1">
        <v>0.14592742874609199</v>
      </c>
      <c r="R138" s="1">
        <v>-0.76235291817713502</v>
      </c>
      <c r="S138" s="1">
        <v>-6.3637806113588893E-2</v>
      </c>
      <c r="T138" s="1"/>
      <c r="U138" s="1"/>
      <c r="V138" s="1"/>
      <c r="W138" s="1"/>
      <c r="X138" s="1"/>
      <c r="Y138" s="1"/>
      <c r="Z138" s="1">
        <f t="shared" si="6"/>
        <v>0.37267573966089784</v>
      </c>
      <c r="AA138" s="1">
        <f t="shared" si="7"/>
        <v>297.57712029683324</v>
      </c>
      <c r="AB138" s="1"/>
      <c r="AC138" s="1"/>
      <c r="AD138" s="1"/>
      <c r="AE138" s="1">
        <f t="shared" si="8"/>
        <v>-0.22674831091480599</v>
      </c>
      <c r="AF138" s="1"/>
      <c r="AG138" s="1"/>
      <c r="AH138" s="1"/>
    </row>
    <row r="139" spans="1:34" x14ac:dyDescent="0.2">
      <c r="A139">
        <v>1887.5</v>
      </c>
      <c r="B139" s="1">
        <v>0.268639241177482</v>
      </c>
      <c r="C139" s="1">
        <v>9.6365376319280605E-2</v>
      </c>
      <c r="D139" s="1">
        <v>2.6507530330517899E-2</v>
      </c>
      <c r="E139" s="1">
        <v>-2.3756961027549501E-2</v>
      </c>
      <c r="F139" s="1">
        <v>-0.21356271626327</v>
      </c>
      <c r="G139" s="1">
        <v>5.4500270664676602E-2</v>
      </c>
      <c r="H139" s="1">
        <v>0</v>
      </c>
      <c r="I139" s="1">
        <v>-9.1560896143304302E-2</v>
      </c>
      <c r="J139" s="1">
        <v>2.0437348044938498E-2</v>
      </c>
      <c r="K139" s="1">
        <v>6.9141302118121998E-3</v>
      </c>
      <c r="L139" s="1">
        <v>-3.4921114960235297E-2</v>
      </c>
      <c r="M139" s="1">
        <v>-0.77873912706896797</v>
      </c>
      <c r="N139" s="1">
        <v>-0.23731967729082001</v>
      </c>
      <c r="O139" s="1">
        <v>0.122873235101384</v>
      </c>
      <c r="P139" s="1">
        <v>3.2845158582717901E-7</v>
      </c>
      <c r="Q139" s="1">
        <v>0.14448365176616901</v>
      </c>
      <c r="R139" s="1">
        <v>-0.669176590263033</v>
      </c>
      <c r="S139" s="1">
        <v>-6.4209417886553599E-2</v>
      </c>
      <c r="T139" s="1"/>
      <c r="U139" s="1"/>
      <c r="V139" s="1"/>
      <c r="W139" s="1"/>
      <c r="X139" s="1"/>
      <c r="Y139" s="1"/>
      <c r="Z139" s="1">
        <f t="shared" si="6"/>
        <v>0.38180332905698933</v>
      </c>
      <c r="AA139" s="1">
        <f t="shared" si="7"/>
        <v>298.06830690081182</v>
      </c>
      <c r="AB139" s="1"/>
      <c r="AC139" s="1"/>
      <c r="AD139" s="1"/>
      <c r="AE139" s="1">
        <f t="shared" si="8"/>
        <v>-0.23731967729081951</v>
      </c>
      <c r="AF139" s="1"/>
      <c r="AG139" s="1"/>
      <c r="AH139" s="1"/>
    </row>
    <row r="140" spans="1:34" x14ac:dyDescent="0.2">
      <c r="A140">
        <v>1888.5</v>
      </c>
      <c r="B140" s="1">
        <v>0.27503329714755398</v>
      </c>
      <c r="C140" s="1">
        <v>9.8103723783445701E-2</v>
      </c>
      <c r="D140" s="1">
        <v>2.6839628994382601E-2</v>
      </c>
      <c r="E140" s="1">
        <v>-2.7701687941071099E-2</v>
      </c>
      <c r="F140" s="1">
        <v>-0.23266019258159401</v>
      </c>
      <c r="G140" s="1">
        <v>5.6640232098245501E-2</v>
      </c>
      <c r="H140" s="1">
        <v>0</v>
      </c>
      <c r="I140" s="1">
        <v>-9.2925831623812905E-2</v>
      </c>
      <c r="J140" s="1">
        <v>2.17565835706281E-2</v>
      </c>
      <c r="K140" s="1">
        <v>7.0459367887722004E-3</v>
      </c>
      <c r="L140" s="1">
        <v>-3.88836637883603E-2</v>
      </c>
      <c r="M140" s="1">
        <v>-0.165079055956763</v>
      </c>
      <c r="N140" s="1">
        <v>-0.26036188052266501</v>
      </c>
      <c r="O140" s="1">
        <v>0.12494369553380399</v>
      </c>
      <c r="P140" s="1">
        <v>3.4275597611008198E-7</v>
      </c>
      <c r="Q140" s="1">
        <v>0.13213203299252599</v>
      </c>
      <c r="R140" s="1">
        <v>-7.1830686752596504E-2</v>
      </c>
      <c r="S140" s="1">
        <v>-6.4123311264412605E-2</v>
      </c>
      <c r="T140" s="1"/>
      <c r="U140" s="1"/>
      <c r="V140" s="1"/>
      <c r="W140" s="1"/>
      <c r="X140" s="1"/>
      <c r="Y140" s="1"/>
      <c r="Z140" s="1">
        <f t="shared" si="6"/>
        <v>0.39249391351519131</v>
      </c>
      <c r="AA140" s="1">
        <f t="shared" si="7"/>
        <v>298.64463457739242</v>
      </c>
      <c r="AB140" s="1"/>
      <c r="AC140" s="1"/>
      <c r="AD140" s="1"/>
      <c r="AE140" s="1">
        <f t="shared" si="8"/>
        <v>-0.26036188052266512</v>
      </c>
      <c r="AF140" s="1"/>
      <c r="AG140" s="1"/>
      <c r="AH140" s="1"/>
    </row>
    <row r="141" spans="1:34" x14ac:dyDescent="0.2">
      <c r="A141">
        <v>1889.5</v>
      </c>
      <c r="B141" s="1">
        <v>0.28143936423514798</v>
      </c>
      <c r="C141" s="1">
        <v>9.9975498928873197E-2</v>
      </c>
      <c r="D141" s="1">
        <v>2.7265715812890098E-2</v>
      </c>
      <c r="E141" s="1">
        <v>-2.74723668474397E-2</v>
      </c>
      <c r="F141" s="1">
        <v>-0.229293481631103</v>
      </c>
      <c r="G141" s="1">
        <v>5.7194362075602398E-2</v>
      </c>
      <c r="H141" s="1">
        <v>0</v>
      </c>
      <c r="I141" s="1">
        <v>-9.4289703615481599E-2</v>
      </c>
      <c r="J141" s="1">
        <v>2.1337920635260299E-2</v>
      </c>
      <c r="K141" s="1">
        <v>7.1881578040685996E-3</v>
      </c>
      <c r="L141" s="1">
        <v>-4.0303317108672798E-2</v>
      </c>
      <c r="M141" s="1">
        <v>0.10534046546071101</v>
      </c>
      <c r="N141" s="1">
        <v>-0.256765848478542</v>
      </c>
      <c r="O141" s="1">
        <v>0.127241571871438</v>
      </c>
      <c r="P141" s="1">
        <v>3.5712967516839402E-7</v>
      </c>
      <c r="Q141" s="1">
        <v>0.143345824527493</v>
      </c>
      <c r="R141" s="1">
        <v>0.208382972879531</v>
      </c>
      <c r="S141" s="1">
        <v>-6.5763625176152696E-2</v>
      </c>
      <c r="T141" s="1"/>
      <c r="U141" s="1"/>
      <c r="V141" s="1"/>
      <c r="W141" s="1"/>
      <c r="X141" s="1"/>
      <c r="Y141" s="1"/>
      <c r="Z141" s="1">
        <f t="shared" si="6"/>
        <v>0.40011167300603612</v>
      </c>
      <c r="AA141" s="1">
        <f t="shared" si="7"/>
        <v>299.05598656552394</v>
      </c>
      <c r="AB141" s="1"/>
      <c r="AC141" s="1"/>
      <c r="AD141" s="1"/>
      <c r="AE141" s="1">
        <f t="shared" si="8"/>
        <v>-0.25676584847854267</v>
      </c>
      <c r="AF141" s="1"/>
      <c r="AG141" s="1"/>
      <c r="AH141" s="1"/>
    </row>
    <row r="142" spans="1:34" x14ac:dyDescent="0.2">
      <c r="A142">
        <v>1890.5</v>
      </c>
      <c r="B142" s="1">
        <v>0.28774481065840402</v>
      </c>
      <c r="C142" s="1">
        <v>0.101841934808295</v>
      </c>
      <c r="D142" s="1">
        <v>2.7586554694242801E-2</v>
      </c>
      <c r="E142" s="1">
        <v>-3.05913211049034E-2</v>
      </c>
      <c r="F142" s="1">
        <v>-0.24381368432830799</v>
      </c>
      <c r="G142" s="1">
        <v>5.8824580143769602E-2</v>
      </c>
      <c r="H142" s="1">
        <v>0</v>
      </c>
      <c r="I142" s="1">
        <v>-9.5634241462586506E-2</v>
      </c>
      <c r="J142" s="1">
        <v>2.22725034074658E-2</v>
      </c>
      <c r="K142" s="1">
        <v>7.3302473307078004E-3</v>
      </c>
      <c r="L142" s="1">
        <v>-3.6839987030547798E-2</v>
      </c>
      <c r="M142" s="1">
        <v>7.0795440442314997E-3</v>
      </c>
      <c r="N142" s="1">
        <v>-0.274405005433211</v>
      </c>
      <c r="O142" s="1">
        <v>0.12942886107652599</v>
      </c>
      <c r="P142" s="1">
        <v>3.7157398825085399E-7</v>
      </c>
      <c r="Q142" s="1">
        <v>0.13556175572107501</v>
      </c>
      <c r="R142" s="1">
        <v>0.105801312734759</v>
      </c>
      <c r="S142" s="1">
        <v>-6.6031490724412903E-2</v>
      </c>
      <c r="T142" s="1"/>
      <c r="U142" s="1"/>
      <c r="V142" s="1"/>
      <c r="W142" s="1"/>
      <c r="X142" s="1"/>
      <c r="Y142" s="1"/>
      <c r="Z142" s="1">
        <f t="shared" si="6"/>
        <v>0.40996676115428676</v>
      </c>
      <c r="AA142" s="1">
        <f t="shared" si="7"/>
        <v>299.58899299555179</v>
      </c>
      <c r="AB142" s="1"/>
      <c r="AC142" s="1"/>
      <c r="AD142" s="1"/>
      <c r="AE142" s="1">
        <f t="shared" si="8"/>
        <v>-0.27440500543321139</v>
      </c>
      <c r="AF142" s="1"/>
      <c r="AG142" s="1"/>
      <c r="AH142" s="1"/>
    </row>
    <row r="143" spans="1:34" x14ac:dyDescent="0.2">
      <c r="A143">
        <v>1891.5</v>
      </c>
      <c r="B143" s="1">
        <v>0.294287323452882</v>
      </c>
      <c r="C143" s="1">
        <v>0.103736909617496</v>
      </c>
      <c r="D143" s="1">
        <v>2.78782464047997E-2</v>
      </c>
      <c r="E143" s="1">
        <v>-3.0986518255805701E-2</v>
      </c>
      <c r="F143" s="1">
        <v>-0.24219318201231799</v>
      </c>
      <c r="G143" s="1">
        <v>5.8461469972508798E-2</v>
      </c>
      <c r="H143" s="1">
        <v>0</v>
      </c>
      <c r="I143" s="1">
        <v>-9.6959463608144905E-2</v>
      </c>
      <c r="J143" s="1">
        <v>2.1795052960337999E-2</v>
      </c>
      <c r="K143" s="1">
        <v>7.4748029405296004E-3</v>
      </c>
      <c r="L143" s="1">
        <v>-1.14266325383603E-2</v>
      </c>
      <c r="M143" s="1">
        <v>0.14449381762730901</v>
      </c>
      <c r="N143" s="1">
        <v>-0.27317970026812399</v>
      </c>
      <c r="O143" s="1">
        <v>0.131615542122026</v>
      </c>
      <c r="P143" s="1">
        <v>3.86099730678501E-7</v>
      </c>
      <c r="Q143" s="1">
        <v>0.14349502757201599</v>
      </c>
      <c r="R143" s="1">
        <v>0.27656221266096498</v>
      </c>
      <c r="S143" s="1">
        <v>-6.7689607707277305E-2</v>
      </c>
      <c r="T143" s="1"/>
      <c r="U143" s="1"/>
      <c r="V143" s="1"/>
      <c r="W143" s="1"/>
      <c r="X143" s="1"/>
      <c r="Y143" s="1"/>
      <c r="Z143" s="1">
        <f t="shared" si="6"/>
        <v>0.41667472784013987</v>
      </c>
      <c r="AA143" s="1">
        <f t="shared" si="7"/>
        <v>299.95233254459362</v>
      </c>
      <c r="AB143" s="1"/>
      <c r="AC143" s="1"/>
      <c r="AD143" s="1"/>
      <c r="AE143" s="1">
        <f t="shared" si="8"/>
        <v>-0.27317970026812366</v>
      </c>
      <c r="AF143" s="1"/>
      <c r="AG143" s="1"/>
      <c r="AH143" s="1"/>
    </row>
    <row r="144" spans="1:34" x14ac:dyDescent="0.2">
      <c r="A144">
        <v>1892.5</v>
      </c>
      <c r="B144" s="1">
        <v>0.300691230539129</v>
      </c>
      <c r="C144" s="1">
        <v>0.10596381859510499</v>
      </c>
      <c r="D144" s="1">
        <v>2.8245556004436598E-2</v>
      </c>
      <c r="E144" s="1">
        <v>-3.1214549973585502E-2</v>
      </c>
      <c r="F144" s="1">
        <v>-0.24127787330497799</v>
      </c>
      <c r="G144" s="1">
        <v>5.8797805455083799E-2</v>
      </c>
      <c r="H144" s="1">
        <v>0</v>
      </c>
      <c r="I144" s="1">
        <v>-9.8283554803482207E-2</v>
      </c>
      <c r="J144" s="1">
        <v>2.1560558218149201E-2</v>
      </c>
      <c r="K144" s="1">
        <v>7.6450712914333998E-3</v>
      </c>
      <c r="L144" s="1">
        <v>9.4937532038270999E-3</v>
      </c>
      <c r="M144" s="1">
        <v>0.21275810366490799</v>
      </c>
      <c r="N144" s="1">
        <v>-0.27249242327856399</v>
      </c>
      <c r="O144" s="1">
        <v>0.13420977536360601</v>
      </c>
      <c r="P144" s="1">
        <v>4.0076406398388601E-7</v>
      </c>
      <c r="Q144" s="1">
        <v>0.152128462785355</v>
      </c>
      <c r="R144" s="1">
        <v>0.37438031965409102</v>
      </c>
      <c r="S144" s="1">
        <v>-6.9077925293899597E-2</v>
      </c>
      <c r="T144" s="1"/>
      <c r="U144" s="1"/>
      <c r="V144" s="1"/>
      <c r="W144" s="1"/>
      <c r="X144" s="1"/>
      <c r="Y144" s="1"/>
      <c r="Z144" s="1">
        <f t="shared" si="6"/>
        <v>0.42462088606391873</v>
      </c>
      <c r="AA144" s="1">
        <f t="shared" si="7"/>
        <v>300.38330941904513</v>
      </c>
      <c r="AB144" s="1"/>
      <c r="AC144" s="1"/>
      <c r="AD144" s="1"/>
      <c r="AE144" s="1">
        <f t="shared" si="8"/>
        <v>-0.27249242327856349</v>
      </c>
      <c r="AF144" s="1"/>
      <c r="AG144" s="1"/>
      <c r="AH144" s="1"/>
    </row>
    <row r="145" spans="1:34" x14ac:dyDescent="0.2">
      <c r="A145">
        <v>1893.5</v>
      </c>
      <c r="B145" s="1">
        <v>0.30632172123157198</v>
      </c>
      <c r="C145" s="1">
        <v>0.108111743564464</v>
      </c>
      <c r="D145" s="1">
        <v>2.8674336506882999E-2</v>
      </c>
      <c r="E145" s="1">
        <v>-3.1620767224066502E-2</v>
      </c>
      <c r="F145" s="1">
        <v>-0.243395995345946</v>
      </c>
      <c r="G145" s="1">
        <v>6.0268361027444498E-2</v>
      </c>
      <c r="H145" s="1">
        <v>0</v>
      </c>
      <c r="I145" s="1">
        <v>-9.9606487305344799E-2</v>
      </c>
      <c r="J145" s="1">
        <v>2.17813815288086E-2</v>
      </c>
      <c r="K145" s="1">
        <v>7.8097124644986998E-3</v>
      </c>
      <c r="L145" s="1">
        <v>2.5936770781952102E-2</v>
      </c>
      <c r="M145" s="1">
        <v>5.4553195951474898E-2</v>
      </c>
      <c r="N145" s="1">
        <v>-0.27501676257001201</v>
      </c>
      <c r="O145" s="1">
        <v>0.13678649560661901</v>
      </c>
      <c r="P145" s="1">
        <v>4.1553527254712402E-7</v>
      </c>
      <c r="Q145" s="1">
        <v>0.158344421983586</v>
      </c>
      <c r="R145" s="1">
        <v>0.23883438871701301</v>
      </c>
      <c r="S145" s="1">
        <v>-7.0015393312037502E-2</v>
      </c>
      <c r="T145" s="1"/>
      <c r="U145" s="1"/>
      <c r="V145" s="1"/>
      <c r="W145" s="1"/>
      <c r="X145" s="1"/>
      <c r="Y145" s="1"/>
      <c r="Z145" s="1">
        <f t="shared" si="6"/>
        <v>0.43336118455359851</v>
      </c>
      <c r="AA145" s="1">
        <f t="shared" si="7"/>
        <v>300.85807337979236</v>
      </c>
      <c r="AB145" s="1"/>
      <c r="AC145" s="1"/>
      <c r="AD145" s="1"/>
      <c r="AE145" s="1">
        <f t="shared" si="8"/>
        <v>-0.27501676257001251</v>
      </c>
      <c r="AF145" s="1"/>
      <c r="AG145" s="1"/>
      <c r="AH145" s="1"/>
    </row>
    <row r="146" spans="1:34" x14ac:dyDescent="0.2">
      <c r="A146">
        <v>1894.5</v>
      </c>
      <c r="B146" s="1">
        <v>0.312021542559834</v>
      </c>
      <c r="C146" s="1">
        <v>0.109947853472666</v>
      </c>
      <c r="D146" s="1">
        <v>2.91864491748621E-2</v>
      </c>
      <c r="E146" s="1">
        <v>-3.4902142268710197E-2</v>
      </c>
      <c r="F146" s="1">
        <v>-0.25839703878063103</v>
      </c>
      <c r="G146" s="1">
        <v>6.3282419938744505E-2</v>
      </c>
      <c r="H146" s="1">
        <v>0</v>
      </c>
      <c r="I146" s="1">
        <v>-0.100928224701477</v>
      </c>
      <c r="J146" s="1">
        <v>2.2902314492264899E-2</v>
      </c>
      <c r="K146" s="1">
        <v>7.9507930169523001E-3</v>
      </c>
      <c r="L146" s="1">
        <v>4.5733914336639599E-2</v>
      </c>
      <c r="M146" s="1">
        <v>0.15181255911427699</v>
      </c>
      <c r="N146" s="1">
        <v>-0.29329918104934199</v>
      </c>
      <c r="O146" s="1">
        <v>0.13913473307513299</v>
      </c>
      <c r="P146" s="1">
        <v>4.3042760450657199E-7</v>
      </c>
      <c r="Q146" s="1">
        <v>0.151064397332109</v>
      </c>
      <c r="R146" s="1">
        <v>0.34861087078302599</v>
      </c>
      <c r="S146" s="1">
        <v>-7.00751171922607E-2</v>
      </c>
      <c r="T146" s="1"/>
      <c r="U146" s="1"/>
      <c r="V146" s="1"/>
      <c r="W146" s="1"/>
      <c r="X146" s="1"/>
      <c r="Y146" s="1"/>
      <c r="Z146" s="1">
        <f t="shared" si="6"/>
        <v>0.4443635783814513</v>
      </c>
      <c r="AA146" s="1">
        <f t="shared" si="7"/>
        <v>301.4567789806211</v>
      </c>
      <c r="AB146" s="1"/>
      <c r="AC146" s="1"/>
      <c r="AD146" s="1"/>
      <c r="AE146" s="1">
        <f t="shared" si="8"/>
        <v>-0.29329918104934122</v>
      </c>
      <c r="AF146" s="1"/>
      <c r="AG146" s="1"/>
      <c r="AH146" s="1"/>
    </row>
    <row r="147" spans="1:34" x14ac:dyDescent="0.2">
      <c r="A147">
        <v>1895.5</v>
      </c>
      <c r="B147" s="1">
        <v>0.31723108050061299</v>
      </c>
      <c r="C147" s="1">
        <v>0.111519664491059</v>
      </c>
      <c r="D147" s="1">
        <v>2.97238710319448E-2</v>
      </c>
      <c r="E147" s="1">
        <v>-3.6052553226256202E-2</v>
      </c>
      <c r="F147" s="1">
        <v>-0.26377462017589098</v>
      </c>
      <c r="G147" s="1">
        <v>6.39217144282858E-2</v>
      </c>
      <c r="H147" s="1">
        <v>0</v>
      </c>
      <c r="I147" s="1">
        <v>-0.102248752525691</v>
      </c>
      <c r="J147" s="1">
        <v>2.31972097371002E-2</v>
      </c>
      <c r="K147" s="1">
        <v>8.0718148405821994E-3</v>
      </c>
      <c r="L147" s="1">
        <v>2.69976106257021E-2</v>
      </c>
      <c r="M147" s="1">
        <v>-9.4271727237387207E-2</v>
      </c>
      <c r="N147" s="1">
        <v>-0.29982717340214698</v>
      </c>
      <c r="O147" s="1">
        <v>0.14124399082605499</v>
      </c>
      <c r="P147" s="1">
        <v>4.5530305084832002E-7</v>
      </c>
      <c r="Q147" s="1">
        <v>0.15158988440479701</v>
      </c>
      <c r="R147" s="1">
        <v>8.4315767793112603E-2</v>
      </c>
      <c r="S147" s="1">
        <v>-7.0979727948008803E-2</v>
      </c>
      <c r="T147" s="1"/>
      <c r="U147" s="1"/>
      <c r="V147" s="1"/>
      <c r="W147" s="1"/>
      <c r="X147" s="1"/>
      <c r="Y147" s="1"/>
      <c r="Z147" s="1">
        <f t="shared" si="6"/>
        <v>0.45141705780694485</v>
      </c>
      <c r="AA147" s="1">
        <f t="shared" si="7"/>
        <v>301.84122727663237</v>
      </c>
      <c r="AB147" s="1"/>
      <c r="AC147" s="1"/>
      <c r="AD147" s="1"/>
      <c r="AE147" s="1">
        <f t="shared" si="8"/>
        <v>-0.29982717340214721</v>
      </c>
      <c r="AF147" s="1"/>
      <c r="AG147" s="1"/>
      <c r="AH147" s="1"/>
    </row>
    <row r="148" spans="1:34" x14ac:dyDescent="0.2">
      <c r="A148">
        <v>1896.5</v>
      </c>
      <c r="B148" s="1">
        <v>0.322398101268282</v>
      </c>
      <c r="C148" s="1">
        <v>0.112403192027351</v>
      </c>
      <c r="D148" s="1">
        <v>3.0138798725542499E-2</v>
      </c>
      <c r="E148" s="1">
        <v>-3.78334756615867E-2</v>
      </c>
      <c r="F148" s="1">
        <v>-0.26278206500329998</v>
      </c>
      <c r="G148" s="1">
        <v>6.2501429101551695E-2</v>
      </c>
      <c r="H148" s="1">
        <v>0</v>
      </c>
      <c r="I148" s="1">
        <v>-0.10356803983383001</v>
      </c>
      <c r="J148" s="1">
        <v>2.2376237140217001E-2</v>
      </c>
      <c r="K148" s="1">
        <v>8.1399594399348997E-3</v>
      </c>
      <c r="L148" s="1">
        <v>1.3814485163271E-3</v>
      </c>
      <c r="M148" s="1">
        <v>8.6045484362107599E-2</v>
      </c>
      <c r="N148" s="1">
        <v>-0.30061554066488599</v>
      </c>
      <c r="O148" s="1">
        <v>0.142542461199093</v>
      </c>
      <c r="P148" s="1">
        <v>4.7044619940502401E-7</v>
      </c>
      <c r="Q148" s="1">
        <v>0.15377460765036099</v>
      </c>
      <c r="R148" s="1">
        <v>0.241201540528796</v>
      </c>
      <c r="S148" s="1">
        <v>-7.3051843253678597E-2</v>
      </c>
      <c r="T148" s="1"/>
      <c r="U148" s="1"/>
      <c r="V148" s="1"/>
      <c r="W148" s="1"/>
      <c r="X148" s="1"/>
      <c r="Y148" s="1"/>
      <c r="Z148" s="1">
        <f t="shared" si="6"/>
        <v>0.45439014831524843</v>
      </c>
      <c r="AA148" s="1">
        <f t="shared" si="7"/>
        <v>302.00342174825806</v>
      </c>
      <c r="AB148" s="1"/>
      <c r="AC148" s="1"/>
      <c r="AD148" s="1"/>
      <c r="AE148" s="1">
        <f t="shared" si="8"/>
        <v>-0.30061554066488666</v>
      </c>
      <c r="AF148" s="1"/>
      <c r="AG148" s="1"/>
      <c r="AH148" s="1"/>
    </row>
    <row r="149" spans="1:34" x14ac:dyDescent="0.2">
      <c r="A149">
        <v>1897.5</v>
      </c>
      <c r="B149" s="1">
        <v>0.32746794997478201</v>
      </c>
      <c r="C149" s="1">
        <v>0.113261944191374</v>
      </c>
      <c r="D149" s="1">
        <v>3.0568066680752501E-2</v>
      </c>
      <c r="E149" s="1">
        <v>-4.0284992937736401E-2</v>
      </c>
      <c r="F149" s="1">
        <v>-0.278154783065856</v>
      </c>
      <c r="G149" s="1">
        <v>6.5662915678285902E-2</v>
      </c>
      <c r="H149" s="1">
        <v>0</v>
      </c>
      <c r="I149" s="1">
        <v>-0.104886061329395</v>
      </c>
      <c r="J149" s="1">
        <v>2.3790962686379102E-2</v>
      </c>
      <c r="K149" s="1">
        <v>8.2062631980871995E-3</v>
      </c>
      <c r="L149" s="1">
        <v>-1.50615690617978E-2</v>
      </c>
      <c r="M149" s="1">
        <v>0.17314493364613801</v>
      </c>
      <c r="N149" s="1">
        <v>-0.31843977600359302</v>
      </c>
      <c r="O149" s="1">
        <v>0.14383049659116801</v>
      </c>
      <c r="P149" s="1">
        <v>4.85719041184513E-7</v>
      </c>
      <c r="Q149" s="1">
        <v>0.145632750795714</v>
      </c>
      <c r="R149" s="1">
        <v>0.303716115380054</v>
      </c>
      <c r="S149" s="1">
        <v>-7.2888835444928801E-2</v>
      </c>
      <c r="T149" s="1"/>
      <c r="U149" s="1"/>
      <c r="V149" s="1"/>
      <c r="W149" s="1"/>
      <c r="X149" s="1"/>
      <c r="Y149" s="1"/>
      <c r="Z149" s="1">
        <f t="shared" si="6"/>
        <v>0.46407252679930694</v>
      </c>
      <c r="AA149" s="1">
        <f t="shared" si="7"/>
        <v>302.53224016895132</v>
      </c>
      <c r="AB149" s="1"/>
      <c r="AC149" s="1"/>
      <c r="AD149" s="1"/>
      <c r="AE149" s="1">
        <f t="shared" si="8"/>
        <v>-0.31843977600359241</v>
      </c>
      <c r="AF149" s="1"/>
      <c r="AG149" s="1"/>
      <c r="AH149" s="1"/>
    </row>
    <row r="150" spans="1:34" x14ac:dyDescent="0.2">
      <c r="A150">
        <v>1898.5</v>
      </c>
      <c r="B150" s="1">
        <v>0.33303645383567398</v>
      </c>
      <c r="C150" s="1">
        <v>0.114825525944834</v>
      </c>
      <c r="D150" s="1">
        <v>3.0996386736406201E-2</v>
      </c>
      <c r="E150" s="1">
        <v>-4.2797903201092197E-2</v>
      </c>
      <c r="F150" s="1">
        <v>-0.28662783045542101</v>
      </c>
      <c r="G150" s="1">
        <v>6.6763067879997695E-2</v>
      </c>
      <c r="H150" s="1">
        <v>0</v>
      </c>
      <c r="I150" s="1">
        <v>-0.106202822957342</v>
      </c>
      <c r="J150" s="1">
        <v>2.4190361796394898E-2</v>
      </c>
      <c r="K150" s="1">
        <v>8.3270703463583992E-3</v>
      </c>
      <c r="L150" s="1">
        <v>-2.2768258514922798E-2</v>
      </c>
      <c r="M150" s="1">
        <v>0.19534948033872601</v>
      </c>
      <c r="N150" s="1">
        <v>-0.32942573365651301</v>
      </c>
      <c r="O150" s="1">
        <v>0.14582242366454101</v>
      </c>
      <c r="P150" s="1">
        <v>5.10983300742134E-7</v>
      </c>
      <c r="Q150" s="1">
        <v>0.14251082090910999</v>
      </c>
      <c r="R150" s="1">
        <v>0.31509204273291302</v>
      </c>
      <c r="S150" s="1">
        <v>-7.3685390814589094E-2</v>
      </c>
      <c r="T150" s="1"/>
      <c r="U150" s="1"/>
      <c r="V150" s="1"/>
      <c r="W150" s="1"/>
      <c r="X150" s="1"/>
      <c r="Y150" s="1"/>
      <c r="Z150" s="1">
        <f t="shared" si="6"/>
        <v>0.47193655456562389</v>
      </c>
      <c r="AA150" s="1">
        <f t="shared" si="7"/>
        <v>302.96242787352622</v>
      </c>
      <c r="AB150" s="1"/>
      <c r="AC150" s="1"/>
      <c r="AD150" s="1"/>
      <c r="AE150" s="1">
        <f t="shared" si="8"/>
        <v>-0.32942573365651318</v>
      </c>
      <c r="AF150" s="1"/>
      <c r="AG150" s="1"/>
      <c r="AH150" s="1"/>
    </row>
    <row r="151" spans="1:34" x14ac:dyDescent="0.2">
      <c r="A151">
        <v>1899.5</v>
      </c>
      <c r="B151" s="1">
        <v>0.339305875801726</v>
      </c>
      <c r="C151" s="1">
        <v>0.116681995519999</v>
      </c>
      <c r="D151" s="1">
        <v>3.1543316110345797E-2</v>
      </c>
      <c r="E151" s="1">
        <v>-4.8790449479014397E-2</v>
      </c>
      <c r="F151" s="1">
        <v>-0.30727572935702202</v>
      </c>
      <c r="G151" s="1">
        <v>6.7893834585618498E-2</v>
      </c>
      <c r="H151" s="1">
        <v>0</v>
      </c>
      <c r="I151" s="1">
        <v>-0.10751823759352</v>
      </c>
      <c r="J151" s="1">
        <v>2.5132122561610501E-2</v>
      </c>
      <c r="K151" s="1">
        <v>8.4707860388393997E-3</v>
      </c>
      <c r="L151" s="1">
        <v>-3.1941403046172802E-2</v>
      </c>
      <c r="M151" s="1">
        <v>0.22363261351428099</v>
      </c>
      <c r="N151" s="1">
        <v>-0.35606617883603697</v>
      </c>
      <c r="O151" s="1">
        <v>0.14822583815404999</v>
      </c>
      <c r="P151" s="1">
        <v>5.2652370534528501E-7</v>
      </c>
      <c r="Q151" s="1">
        <v>0.12544404071228701</v>
      </c>
      <c r="R151" s="1">
        <v>0.31713525118039598</v>
      </c>
      <c r="S151" s="1">
        <v>-7.3915328993070906E-2</v>
      </c>
      <c r="T151" s="1"/>
      <c r="U151" s="1"/>
      <c r="V151" s="1"/>
      <c r="W151" s="1"/>
      <c r="X151" s="1"/>
      <c r="Y151" s="1"/>
      <c r="Z151" s="1">
        <f t="shared" si="6"/>
        <v>0.48151021954832457</v>
      </c>
      <c r="AA151" s="1">
        <f t="shared" si="7"/>
        <v>303.48696397921771</v>
      </c>
      <c r="AB151" s="1"/>
      <c r="AC151" s="1"/>
      <c r="AD151" s="1"/>
      <c r="AE151" s="1">
        <f t="shared" si="8"/>
        <v>-0.35606617883603642</v>
      </c>
      <c r="AF151" s="1"/>
      <c r="AG151" s="1"/>
      <c r="AH151" s="1"/>
    </row>
    <row r="152" spans="1:34" x14ac:dyDescent="0.2">
      <c r="A152">
        <v>1900.5</v>
      </c>
      <c r="B152" s="1">
        <v>0.34610802351387598</v>
      </c>
      <c r="C152" s="1">
        <v>0.118538607664537</v>
      </c>
      <c r="D152" s="1">
        <v>3.2093536125026897E-2</v>
      </c>
      <c r="E152" s="1">
        <v>-5.18133510845896E-2</v>
      </c>
      <c r="F152" s="1">
        <v>-0.31456373874495602</v>
      </c>
      <c r="G152" s="1">
        <v>6.8506357132514795E-2</v>
      </c>
      <c r="H152" s="1">
        <v>0</v>
      </c>
      <c r="I152" s="1">
        <v>-0.109089272491213</v>
      </c>
      <c r="J152" s="1">
        <v>2.5177901838542599E-2</v>
      </c>
      <c r="K152" s="1">
        <v>8.6148076437064999E-3</v>
      </c>
      <c r="L152" s="1">
        <v>-3.7245602264922802E-2</v>
      </c>
      <c r="M152" s="1">
        <v>0.17872016745418101</v>
      </c>
      <c r="N152" s="1">
        <v>-0.36637708982954598</v>
      </c>
      <c r="O152" s="1">
        <v>0.150632695841388</v>
      </c>
      <c r="P152" s="1">
        <v>5.5205182427204096E-7</v>
      </c>
      <c r="Q152" s="1">
        <v>0.123573423649269</v>
      </c>
      <c r="R152" s="1">
        <v>0.26504798883852798</v>
      </c>
      <c r="S152" s="1">
        <v>-7.5296563008963993E-2</v>
      </c>
      <c r="T152" s="1"/>
      <c r="U152" s="1"/>
      <c r="V152" s="1"/>
      <c r="W152" s="1"/>
      <c r="X152" s="1"/>
      <c r="Y152" s="1"/>
      <c r="Z152" s="1">
        <f t="shared" si="6"/>
        <v>0.48995051347881502</v>
      </c>
      <c r="AA152" s="1">
        <f t="shared" si="7"/>
        <v>303.95015648075787</v>
      </c>
      <c r="AB152" s="1"/>
      <c r="AC152" s="1"/>
      <c r="AD152" s="1"/>
      <c r="AE152" s="1">
        <f t="shared" si="8"/>
        <v>-0.36637708982954564</v>
      </c>
      <c r="AF152" s="1"/>
      <c r="AG152" s="1"/>
      <c r="AH152" s="1"/>
    </row>
    <row r="153" spans="1:34" x14ac:dyDescent="0.2">
      <c r="A153">
        <v>1901.5</v>
      </c>
      <c r="B153" s="1">
        <v>0.35210432409706699</v>
      </c>
      <c r="C153" s="1">
        <v>0.120378450100792</v>
      </c>
      <c r="D153" s="1">
        <v>3.2690469846302701E-2</v>
      </c>
      <c r="E153" s="1">
        <v>-5.3081686425755101E-2</v>
      </c>
      <c r="F153" s="1">
        <v>-0.319187580950131</v>
      </c>
      <c r="G153" s="1">
        <v>6.9908907121147806E-2</v>
      </c>
      <c r="H153" s="1">
        <v>0</v>
      </c>
      <c r="I153" s="1">
        <v>-0.110916009453462</v>
      </c>
      <c r="J153" s="1">
        <v>2.5504652656532002E-2</v>
      </c>
      <c r="K153" s="1">
        <v>8.7578310081559002E-3</v>
      </c>
      <c r="L153" s="1">
        <v>-4.6293942108672798E-2</v>
      </c>
      <c r="M153" s="1">
        <v>0.21663124331307099</v>
      </c>
      <c r="N153" s="1">
        <v>-0.372269267375886</v>
      </c>
      <c r="O153" s="1">
        <v>0.15306948857518901</v>
      </c>
      <c r="P153" s="1">
        <v>5.6862809424438404E-7</v>
      </c>
      <c r="Q153" s="1">
        <v>0.12615992662874201</v>
      </c>
      <c r="R153" s="1">
        <v>0.29649722783314097</v>
      </c>
      <c r="S153" s="1">
        <v>-7.6653525788775004E-2</v>
      </c>
      <c r="T153" s="1"/>
      <c r="U153" s="1"/>
      <c r="V153" s="1"/>
      <c r="W153" s="1"/>
      <c r="X153" s="1"/>
      <c r="Y153" s="1"/>
      <c r="Z153" s="1">
        <f t="shared" si="6"/>
        <v>0.49842919400462965</v>
      </c>
      <c r="AA153" s="1">
        <f t="shared" si="7"/>
        <v>304.41616736184443</v>
      </c>
      <c r="AB153" s="1"/>
      <c r="AC153" s="1"/>
      <c r="AD153" s="1"/>
      <c r="AE153" s="1">
        <f t="shared" si="8"/>
        <v>-0.37226926737588611</v>
      </c>
      <c r="AF153" s="1"/>
      <c r="AG153" s="1"/>
      <c r="AH153" s="1"/>
    </row>
    <row r="154" spans="1:34" x14ac:dyDescent="0.2">
      <c r="A154">
        <v>1902.5</v>
      </c>
      <c r="B154" s="1">
        <v>0.35783503671116801</v>
      </c>
      <c r="C154" s="1">
        <v>0.12259874981897299</v>
      </c>
      <c r="D154" s="1">
        <v>3.3607792127315503E-2</v>
      </c>
      <c r="E154" s="1">
        <v>-5.49721313735618E-2</v>
      </c>
      <c r="F154" s="1">
        <v>-0.32231835085221</v>
      </c>
      <c r="G154" s="1">
        <v>7.0658854143509905E-2</v>
      </c>
      <c r="H154" s="1">
        <v>0</v>
      </c>
      <c r="I154" s="1">
        <v>-0.112741845651695</v>
      </c>
      <c r="J154" s="1">
        <v>2.5414048362284201E-2</v>
      </c>
      <c r="K154" s="1">
        <v>8.9308633043023999E-3</v>
      </c>
      <c r="L154" s="1">
        <v>-4.41410612492978E-2</v>
      </c>
      <c r="M154" s="1">
        <v>0.13251101461794601</v>
      </c>
      <c r="N154" s="1">
        <v>-0.37729048222577199</v>
      </c>
      <c r="O154" s="1">
        <v>0.156207396826402</v>
      </c>
      <c r="P154" s="1">
        <v>8.5488011337771902E-7</v>
      </c>
      <c r="Q154" s="1">
        <v>0.12901387147019899</v>
      </c>
      <c r="R154" s="1">
        <v>0.217383824838847</v>
      </c>
      <c r="S154" s="1">
        <v>-7.8396933985109302E-2</v>
      </c>
      <c r="T154" s="1"/>
      <c r="U154" s="1"/>
      <c r="V154" s="1"/>
      <c r="W154" s="1"/>
      <c r="X154" s="1"/>
      <c r="Y154" s="1"/>
      <c r="Z154" s="1">
        <f t="shared" si="6"/>
        <v>0.50630435369597138</v>
      </c>
      <c r="AA154" s="1">
        <f t="shared" si="7"/>
        <v>304.84964710941239</v>
      </c>
      <c r="AB154" s="1"/>
      <c r="AC154" s="1"/>
      <c r="AD154" s="1"/>
      <c r="AE154" s="1">
        <f t="shared" si="8"/>
        <v>-0.37729048222577177</v>
      </c>
      <c r="AF154" s="1"/>
      <c r="AG154" s="1"/>
      <c r="AH154" s="1"/>
    </row>
    <row r="155" spans="1:34" x14ac:dyDescent="0.2">
      <c r="A155">
        <v>1903.5</v>
      </c>
      <c r="B155" s="1">
        <v>0.36376301850769399</v>
      </c>
      <c r="C155" s="1">
        <v>0.124881475922841</v>
      </c>
      <c r="D155" s="1">
        <v>3.4693643919261101E-2</v>
      </c>
      <c r="E155" s="1">
        <v>-5.9637995244169101E-2</v>
      </c>
      <c r="F155" s="1">
        <v>-0.33373825021199299</v>
      </c>
      <c r="G155" s="1">
        <v>7.1306679822776206E-2</v>
      </c>
      <c r="H155" s="1">
        <v>0</v>
      </c>
      <c r="I155" s="1">
        <v>-0.114567093753625</v>
      </c>
      <c r="J155" s="1">
        <v>2.5732669649449799E-2</v>
      </c>
      <c r="K155" s="1">
        <v>9.1092383334372001E-3</v>
      </c>
      <c r="L155" s="1">
        <v>-2.5825973358672798E-2</v>
      </c>
      <c r="M155" s="1">
        <v>-0.19817837447155101</v>
      </c>
      <c r="N155" s="1">
        <v>-0.39337624545616201</v>
      </c>
      <c r="O155" s="1">
        <v>0.159576304496269</v>
      </c>
      <c r="P155" s="1">
        <v>1.1846541666464901E-6</v>
      </c>
      <c r="Q155" s="1">
        <v>0.121544571599838</v>
      </c>
      <c r="R155" s="1">
        <v>-0.10245977623038501</v>
      </c>
      <c r="S155" s="1">
        <v>-7.9725185770738602E-2</v>
      </c>
      <c r="T155" s="1"/>
      <c r="U155" s="1"/>
      <c r="V155" s="1"/>
      <c r="W155" s="1"/>
      <c r="X155" s="1"/>
      <c r="Y155" s="1"/>
      <c r="Z155" s="1">
        <f t="shared" si="6"/>
        <v>0.51492081705600101</v>
      </c>
      <c r="AA155" s="1">
        <f t="shared" si="7"/>
        <v>305.32463831001974</v>
      </c>
      <c r="AB155" s="1"/>
      <c r="AC155" s="1"/>
      <c r="AD155" s="1"/>
      <c r="AE155" s="1">
        <f t="shared" si="8"/>
        <v>-0.39337624545616212</v>
      </c>
      <c r="AF155" s="1"/>
      <c r="AG155" s="1"/>
      <c r="AH155" s="1"/>
    </row>
    <row r="156" spans="1:34" x14ac:dyDescent="0.2">
      <c r="A156">
        <v>1904.5</v>
      </c>
      <c r="B156" s="1">
        <v>0.36914919961422099</v>
      </c>
      <c r="C156" s="1">
        <v>0.12787612541228299</v>
      </c>
      <c r="D156" s="1">
        <v>3.5709270360549702E-2</v>
      </c>
      <c r="E156" s="1">
        <v>-6.2543553802560103E-2</v>
      </c>
      <c r="F156" s="1">
        <v>-0.34772592051068901</v>
      </c>
      <c r="G156" s="1">
        <v>7.5199781873242805E-2</v>
      </c>
      <c r="H156" s="1">
        <v>0</v>
      </c>
      <c r="I156" s="1">
        <v>-0.116392173601085</v>
      </c>
      <c r="J156" s="1">
        <v>2.6728326294903602E-2</v>
      </c>
      <c r="K156" s="1">
        <v>9.3438234217921995E-3</v>
      </c>
      <c r="L156" s="1">
        <v>7.4656770319521002E-3</v>
      </c>
      <c r="M156" s="1">
        <v>2.1179427096225199E-2</v>
      </c>
      <c r="N156" s="1">
        <v>-0.41026947431324901</v>
      </c>
      <c r="O156" s="1">
        <v>0.163586929002625</v>
      </c>
      <c r="P156" s="1">
        <v>1.53322979285128E-6</v>
      </c>
      <c r="Q156" s="1">
        <v>0.11734641229245001</v>
      </c>
      <c r="R156" s="1">
        <v>0.14599151642062799</v>
      </c>
      <c r="S156" s="1">
        <v>-8.0320023884389302E-2</v>
      </c>
      <c r="T156" s="1"/>
      <c r="U156" s="1"/>
      <c r="V156" s="1"/>
      <c r="W156" s="1"/>
      <c r="X156" s="1"/>
      <c r="Y156" s="1"/>
      <c r="Z156" s="1">
        <f t="shared" si="6"/>
        <v>0.52761588660570014</v>
      </c>
      <c r="AA156" s="1">
        <f t="shared" si="7"/>
        <v>306.02581559459782</v>
      </c>
      <c r="AB156" s="1"/>
      <c r="AC156" s="1"/>
      <c r="AD156" s="1"/>
      <c r="AE156" s="1">
        <f t="shared" si="8"/>
        <v>-0.41026947431324912</v>
      </c>
      <c r="AF156" s="1"/>
      <c r="AG156" s="1"/>
      <c r="AH156" s="1"/>
    </row>
    <row r="157" spans="1:34" x14ac:dyDescent="0.2">
      <c r="A157">
        <v>1905.5</v>
      </c>
      <c r="B157" s="1">
        <v>0.37517726805108598</v>
      </c>
      <c r="C157" s="1">
        <v>0.13086002105200001</v>
      </c>
      <c r="D157" s="1">
        <v>3.6713160251093099E-2</v>
      </c>
      <c r="E157" s="1">
        <v>-6.6964988827309696E-2</v>
      </c>
      <c r="F157" s="1">
        <v>-0.36340604113409902</v>
      </c>
      <c r="G157" s="1">
        <v>7.7925231604110204E-2</v>
      </c>
      <c r="H157" s="1">
        <v>0</v>
      </c>
      <c r="I157" s="1">
        <v>-0.11821752274104</v>
      </c>
      <c r="J157" s="1">
        <v>2.77297785311931E-2</v>
      </c>
      <c r="K157" s="1">
        <v>9.5783306903296991E-3</v>
      </c>
      <c r="L157" s="1">
        <v>-7.2144743352352998E-3</v>
      </c>
      <c r="M157" s="1">
        <v>0.15132702959545299</v>
      </c>
      <c r="N157" s="1">
        <v>-0.43037102996140902</v>
      </c>
      <c r="O157" s="1">
        <v>0.16757514123310799</v>
      </c>
      <c r="P157" s="1">
        <v>1.9599300146182501E-6</v>
      </c>
      <c r="Q157" s="1">
        <v>0.10939719740737699</v>
      </c>
      <c r="R157" s="1">
        <v>0.25350975266759501</v>
      </c>
      <c r="S157" s="1">
        <v>-8.0909413519518095E-2</v>
      </c>
      <c r="T157" s="1"/>
      <c r="U157" s="1"/>
      <c r="V157" s="1"/>
      <c r="W157" s="1"/>
      <c r="X157" s="1"/>
      <c r="Y157" s="1"/>
      <c r="Z157" s="1">
        <f t="shared" si="6"/>
        <v>0.53976822736878671</v>
      </c>
      <c r="AA157" s="1">
        <f t="shared" si="7"/>
        <v>306.69852515979613</v>
      </c>
      <c r="AB157" s="1"/>
      <c r="AC157" s="1"/>
      <c r="AD157" s="1"/>
      <c r="AE157" s="1">
        <f t="shared" si="8"/>
        <v>-0.43037102996140875</v>
      </c>
      <c r="AF157" s="1"/>
      <c r="AG157" s="1"/>
      <c r="AH157" s="1"/>
    </row>
    <row r="158" spans="1:34" x14ac:dyDescent="0.2">
      <c r="A158">
        <v>1906.5</v>
      </c>
      <c r="B158" s="1">
        <v>0.38190107035857701</v>
      </c>
      <c r="C158" s="1">
        <v>0.134012551802068</v>
      </c>
      <c r="D158" s="1">
        <v>3.77229506041553E-2</v>
      </c>
      <c r="E158" s="1">
        <v>-7.1403476220588999E-2</v>
      </c>
      <c r="F158" s="1">
        <v>-0.37537297306991801</v>
      </c>
      <c r="G158" s="1">
        <v>7.9631529698360001E-2</v>
      </c>
      <c r="H158" s="1">
        <v>0</v>
      </c>
      <c r="I158" s="1">
        <v>-0.120043470534102</v>
      </c>
      <c r="J158" s="1">
        <v>2.82721252044262E-2</v>
      </c>
      <c r="K158" s="1">
        <v>9.8269099286266998E-3</v>
      </c>
      <c r="L158" s="1">
        <v>1.67948274225771E-2</v>
      </c>
      <c r="M158" s="1">
        <v>0.18246522417720301</v>
      </c>
      <c r="N158" s="1">
        <v>-0.44677644929050703</v>
      </c>
      <c r="O158" s="1">
        <v>0.171738034262961</v>
      </c>
      <c r="P158" s="1">
        <v>2.53185673725577E-6</v>
      </c>
      <c r="Q158" s="1">
        <v>0.104549749628342</v>
      </c>
      <c r="R158" s="1">
        <v>0.30380980122812201</v>
      </c>
      <c r="S158" s="1">
        <v>-8.1944435401049495E-2</v>
      </c>
      <c r="T158" s="1"/>
      <c r="U158" s="1"/>
      <c r="V158" s="1"/>
      <c r="W158" s="1"/>
      <c r="X158" s="1"/>
      <c r="Y158" s="1"/>
      <c r="Z158" s="1">
        <f t="shared" si="6"/>
        <v>0.55132619891884849</v>
      </c>
      <c r="AA158" s="1">
        <f t="shared" si="7"/>
        <v>307.33970458727913</v>
      </c>
      <c r="AB158" s="1"/>
      <c r="AC158" s="1"/>
      <c r="AD158" s="1"/>
      <c r="AE158" s="1">
        <f t="shared" si="8"/>
        <v>-0.44677644929050703</v>
      </c>
      <c r="AF158" s="1"/>
      <c r="AG158" s="1"/>
      <c r="AH158" s="1"/>
    </row>
    <row r="159" spans="1:34" x14ac:dyDescent="0.2">
      <c r="A159">
        <v>1907.5</v>
      </c>
      <c r="B159" s="1">
        <v>0.38977979136611202</v>
      </c>
      <c r="C159" s="1">
        <v>0.13738423745682199</v>
      </c>
      <c r="D159" s="1">
        <v>3.8806802052685101E-2</v>
      </c>
      <c r="E159" s="1">
        <v>-8.0519390990061501E-2</v>
      </c>
      <c r="F159" s="1">
        <v>-0.40925866005551798</v>
      </c>
      <c r="G159" s="1">
        <v>8.3932055023532307E-2</v>
      </c>
      <c r="H159" s="1">
        <v>0</v>
      </c>
      <c r="I159" s="1">
        <v>-0.121870450083258</v>
      </c>
      <c r="J159" s="1">
        <v>3.0491308150204999E-2</v>
      </c>
      <c r="K159" s="1">
        <v>1.0093717788314799E-2</v>
      </c>
      <c r="L159" s="1">
        <v>3.8151399225771002E-3</v>
      </c>
      <c r="M159" s="1">
        <v>-0.169953800888095</v>
      </c>
      <c r="N159" s="1">
        <v>-0.48977805104557998</v>
      </c>
      <c r="O159" s="1">
        <v>0.176194346642883</v>
      </c>
      <c r="P159" s="1">
        <v>3.3071333756999399E-6</v>
      </c>
      <c r="Q159" s="1">
        <v>7.8842717842209101E-2</v>
      </c>
      <c r="R159" s="1">
        <v>-8.7295943123309003E-2</v>
      </c>
      <c r="S159" s="1">
        <v>-8.1285424144738896E-2</v>
      </c>
      <c r="T159" s="1"/>
      <c r="U159" s="1"/>
      <c r="V159" s="1"/>
      <c r="W159" s="1"/>
      <c r="X159" s="1"/>
      <c r="Y159" s="1"/>
      <c r="Z159" s="1">
        <f t="shared" si="6"/>
        <v>0.5686207688877889</v>
      </c>
      <c r="AA159" s="1">
        <f t="shared" si="7"/>
        <v>308.30162665485403</v>
      </c>
      <c r="AB159" s="1"/>
      <c r="AC159" s="1"/>
      <c r="AD159" s="1"/>
      <c r="AE159" s="1">
        <f t="shared" si="8"/>
        <v>-0.48977805104557948</v>
      </c>
      <c r="AF159" s="1"/>
      <c r="AG159" s="1"/>
      <c r="AH159" s="1"/>
    </row>
    <row r="160" spans="1:34" x14ac:dyDescent="0.2">
      <c r="A160">
        <v>1908.5</v>
      </c>
      <c r="B160" s="1">
        <v>0.39735338808394999</v>
      </c>
      <c r="C160" s="1">
        <v>0.14011526830111701</v>
      </c>
      <c r="D160" s="1">
        <v>4.0030865547967601E-2</v>
      </c>
      <c r="E160" s="1">
        <v>-7.7621656942759604E-2</v>
      </c>
      <c r="F160" s="1">
        <v>-0.40156894681111199</v>
      </c>
      <c r="G160" s="1">
        <v>8.6306310824238702E-2</v>
      </c>
      <c r="H160" s="1">
        <v>0</v>
      </c>
      <c r="I160" s="1">
        <v>-0.12369883663607301</v>
      </c>
      <c r="J160" s="1">
        <v>3.0179362863298E-2</v>
      </c>
      <c r="K160" s="1">
        <v>1.0310645828421E-2</v>
      </c>
      <c r="L160" s="1">
        <v>1.1927444610077101E-2</v>
      </c>
      <c r="M160" s="1">
        <v>-9.83927509130786E-2</v>
      </c>
      <c r="N160" s="1">
        <v>-0.47919060375387101</v>
      </c>
      <c r="O160" s="1">
        <v>0.18015044003143199</v>
      </c>
      <c r="P160" s="1">
        <v>4.3061823480683499E-6</v>
      </c>
      <c r="Q160" s="1">
        <v>0.101410707241395</v>
      </c>
      <c r="R160" s="1">
        <v>1.49454009383936E-2</v>
      </c>
      <c r="S160" s="1">
        <v>-8.3208827944354594E-2</v>
      </c>
      <c r="T160" s="1"/>
      <c r="U160" s="1"/>
      <c r="V160" s="1"/>
      <c r="W160" s="1"/>
      <c r="X160" s="1"/>
      <c r="Y160" s="1"/>
      <c r="Z160" s="1">
        <f t="shared" si="6"/>
        <v>0.58060131099526735</v>
      </c>
      <c r="AA160" s="1">
        <f t="shared" si="7"/>
        <v>308.96974768594055</v>
      </c>
      <c r="AB160" s="1"/>
      <c r="AC160" s="1"/>
      <c r="AD160" s="1"/>
      <c r="AE160" s="1">
        <f t="shared" si="8"/>
        <v>-0.47919060375387157</v>
      </c>
      <c r="AF160" s="1"/>
      <c r="AG160" s="1"/>
      <c r="AH160" s="1"/>
    </row>
    <row r="161" spans="1:34" x14ac:dyDescent="0.2">
      <c r="A161">
        <v>1909.5</v>
      </c>
      <c r="B161" s="1">
        <v>0.40488035329397698</v>
      </c>
      <c r="C161" s="1">
        <v>0.14304994957455899</v>
      </c>
      <c r="D161" s="1">
        <v>4.1267618710387997E-2</v>
      </c>
      <c r="E161" s="1">
        <v>-8.1350037503413297E-2</v>
      </c>
      <c r="F161" s="1">
        <v>-0.41049938870534403</v>
      </c>
      <c r="G161" s="1">
        <v>8.7889093797526893E-2</v>
      </c>
      <c r="H161" s="1">
        <v>0</v>
      </c>
      <c r="I161" s="1">
        <v>-0.12552903740632701</v>
      </c>
      <c r="J161" s="1">
        <v>3.0520110771363799E-2</v>
      </c>
      <c r="K161" s="1">
        <v>1.0544450035158999E-2</v>
      </c>
      <c r="L161" s="1">
        <v>-4.9211882024227998E-3</v>
      </c>
      <c r="M161" s="1">
        <v>0.16108324972881</v>
      </c>
      <c r="N161" s="1">
        <v>-0.49184942620875799</v>
      </c>
      <c r="O161" s="1">
        <v>0.18432253281975899</v>
      </c>
      <c r="P161" s="1">
        <v>4.9645348114621097E-6</v>
      </c>
      <c r="Q161" s="1">
        <v>0.10077807710270099</v>
      </c>
      <c r="R161" s="1">
        <v>0.25694013862908799</v>
      </c>
      <c r="S161" s="1">
        <v>-8.44644765998043E-2</v>
      </c>
      <c r="T161" s="1"/>
      <c r="U161" s="1"/>
      <c r="V161" s="1"/>
      <c r="W161" s="1"/>
      <c r="X161" s="1"/>
      <c r="Y161" s="1"/>
      <c r="Z161" s="1">
        <f t="shared" si="6"/>
        <v>0.59262750331145808</v>
      </c>
      <c r="AA161" s="1">
        <f t="shared" si="7"/>
        <v>309.64187067667751</v>
      </c>
      <c r="AB161" s="1"/>
      <c r="AC161" s="1"/>
      <c r="AD161" s="1"/>
      <c r="AE161" s="1">
        <f t="shared" si="8"/>
        <v>-0.49184942620875732</v>
      </c>
      <c r="AF161" s="1"/>
      <c r="AG161" s="1"/>
      <c r="AH161" s="1"/>
    </row>
    <row r="162" spans="1:34" x14ac:dyDescent="0.2">
      <c r="A162">
        <v>1910.5</v>
      </c>
      <c r="B162" s="1">
        <v>0.41282003108151899</v>
      </c>
      <c r="C162" s="1">
        <v>0.14601656613209499</v>
      </c>
      <c r="D162" s="1">
        <v>4.2592749613476401E-2</v>
      </c>
      <c r="E162" s="1">
        <v>-8.6763707467266707E-2</v>
      </c>
      <c r="F162" s="1">
        <v>-0.43053468892614</v>
      </c>
      <c r="G162" s="1">
        <v>9.1298390553676195E-2</v>
      </c>
      <c r="H162" s="1">
        <v>0</v>
      </c>
      <c r="I162" s="1">
        <v>-0.12672127351301901</v>
      </c>
      <c r="J162" s="1">
        <v>3.1826727336566399E-2</v>
      </c>
      <c r="K162" s="1">
        <v>1.07815817099559E-2</v>
      </c>
      <c r="L162" s="1">
        <v>-1.7354855194610299E-2</v>
      </c>
      <c r="M162" s="1">
        <v>0.221016542841942</v>
      </c>
      <c r="N162" s="1">
        <v>-0.51729839639340702</v>
      </c>
      <c r="O162" s="1">
        <v>0.188615740066467</v>
      </c>
      <c r="P162" s="1">
        <v>6.4243208948371204E-6</v>
      </c>
      <c r="Q162" s="1">
        <v>9.13228008417582E-2</v>
      </c>
      <c r="R162" s="1">
        <v>0.29498448848908998</v>
      </c>
      <c r="S162" s="1">
        <v>-8.4112964466496895E-2</v>
      </c>
      <c r="T162" s="1"/>
      <c r="U162" s="1"/>
      <c r="V162" s="1"/>
      <c r="W162" s="1"/>
      <c r="X162" s="1"/>
      <c r="Y162" s="1"/>
      <c r="Z162" s="1">
        <f t="shared" si="6"/>
        <v>0.60862119723516472</v>
      </c>
      <c r="AA162" s="1">
        <f t="shared" si="7"/>
        <v>310.53799619976132</v>
      </c>
      <c r="AB162" s="1"/>
      <c r="AC162" s="1"/>
      <c r="AD162" s="1"/>
      <c r="AE162" s="1">
        <f t="shared" si="8"/>
        <v>-0.51729839639340669</v>
      </c>
      <c r="AF162" s="1"/>
      <c r="AG162" s="1"/>
      <c r="AH162" s="1"/>
    </row>
    <row r="163" spans="1:34" x14ac:dyDescent="0.2">
      <c r="A163">
        <v>1911.5</v>
      </c>
      <c r="B163" s="1">
        <v>0.42095115241383102</v>
      </c>
      <c r="C163" s="1">
        <v>0.14858337999878601</v>
      </c>
      <c r="D163" s="1">
        <v>4.4071171314050799E-2</v>
      </c>
      <c r="E163" s="1">
        <v>-8.5969461321827895E-2</v>
      </c>
      <c r="F163" s="1">
        <v>-0.42391990898156501</v>
      </c>
      <c r="G163" s="1">
        <v>9.1941160636876101E-2</v>
      </c>
      <c r="H163" s="1">
        <v>0</v>
      </c>
      <c r="I163" s="1">
        <v>-0.12727590905890199</v>
      </c>
      <c r="J163" s="1">
        <v>3.1351619650667399E-2</v>
      </c>
      <c r="K163" s="1">
        <v>1.09874754366275E-2</v>
      </c>
      <c r="L163" s="1">
        <v>-3.5326730194610301E-2</v>
      </c>
      <c r="M163" s="1">
        <v>0.17920674233380299</v>
      </c>
      <c r="N163" s="1">
        <v>-0.50988937030339299</v>
      </c>
      <c r="O163" s="1">
        <v>0.19267238120979099</v>
      </c>
      <c r="P163" s="1">
        <v>1.7829896954555499E-5</v>
      </c>
      <c r="Q163" s="1">
        <v>0.110738509985497</v>
      </c>
      <c r="R163" s="1">
        <v>0.25461852212468999</v>
      </c>
      <c r="S163" s="1">
        <v>-8.4936813971607503E-2</v>
      </c>
      <c r="T163" s="1"/>
      <c r="U163" s="1"/>
      <c r="V163" s="1"/>
      <c r="W163" s="1"/>
      <c r="X163" s="1"/>
      <c r="Y163" s="1"/>
      <c r="Z163" s="1">
        <f t="shared" si="6"/>
        <v>0.62062788028889138</v>
      </c>
      <c r="AA163" s="1">
        <f t="shared" si="7"/>
        <v>311.21243364636575</v>
      </c>
      <c r="AB163" s="1"/>
      <c r="AC163" s="1"/>
      <c r="AD163" s="1"/>
      <c r="AE163" s="1">
        <f t="shared" si="8"/>
        <v>-0.50988937030339287</v>
      </c>
      <c r="AF163" s="1"/>
      <c r="AG163" s="1"/>
      <c r="AH163" s="1"/>
    </row>
    <row r="164" spans="1:34" x14ac:dyDescent="0.2">
      <c r="A164">
        <v>1912.5</v>
      </c>
      <c r="B164" s="1">
        <v>0.43039158946029599</v>
      </c>
      <c r="C164" s="1">
        <v>0.15085030283137801</v>
      </c>
      <c r="D164" s="1">
        <v>4.5158195450731402E-2</v>
      </c>
      <c r="E164" s="1">
        <v>-8.8621204270865006E-2</v>
      </c>
      <c r="F164" s="1">
        <v>-0.42835025474114502</v>
      </c>
      <c r="G164" s="1">
        <v>9.2746015758875006E-2</v>
      </c>
      <c r="H164" s="1">
        <v>0</v>
      </c>
      <c r="I164" s="1">
        <v>-0.127833543971481</v>
      </c>
      <c r="J164" s="1">
        <v>3.1464642113358601E-2</v>
      </c>
      <c r="K164" s="1">
        <v>1.1169728039427999E-2</v>
      </c>
      <c r="L164" s="1">
        <v>-4.2190988007110297E-2</v>
      </c>
      <c r="M164" s="1">
        <v>-0.45090978319806702</v>
      </c>
      <c r="N164" s="1">
        <v>-0.51697145901201003</v>
      </c>
      <c r="O164" s="1">
        <v>0.19603141736330101</v>
      </c>
      <c r="P164" s="1">
        <v>2.29190811918029E-5</v>
      </c>
      <c r="Q164" s="1">
        <v>0.116998389751768</v>
      </c>
      <c r="R164" s="1">
        <v>-0.37610238145340902</v>
      </c>
      <c r="S164" s="1">
        <v>-8.5199173818694796E-2</v>
      </c>
      <c r="T164" s="1"/>
      <c r="U164" s="1"/>
      <c r="V164" s="1"/>
      <c r="W164" s="1"/>
      <c r="X164" s="1"/>
      <c r="Y164" s="1"/>
      <c r="Z164" s="1">
        <f t="shared" si="6"/>
        <v>0.63396984876377782</v>
      </c>
      <c r="AA164" s="1">
        <f t="shared" si="7"/>
        <v>311.96359484118932</v>
      </c>
      <c r="AB164" s="1"/>
      <c r="AC164" s="1"/>
      <c r="AD164" s="1"/>
      <c r="AE164" s="1">
        <f t="shared" si="8"/>
        <v>-0.51697145901201003</v>
      </c>
      <c r="AF164" s="1"/>
      <c r="AG164" s="1"/>
      <c r="AH164" s="1"/>
    </row>
    <row r="165" spans="1:34" x14ac:dyDescent="0.2">
      <c r="A165">
        <v>1913.5</v>
      </c>
      <c r="B165" s="1">
        <v>0.44042044156702498</v>
      </c>
      <c r="C165" s="1">
        <v>0.15228966134506</v>
      </c>
      <c r="D165" s="1">
        <v>4.6406825304229099E-2</v>
      </c>
      <c r="E165" s="1">
        <v>-9.3077899593980606E-2</v>
      </c>
      <c r="F165" s="1">
        <v>-0.44653779994008802</v>
      </c>
      <c r="G165" s="1">
        <v>9.5525222579164196E-2</v>
      </c>
      <c r="H165" s="1">
        <v>0</v>
      </c>
      <c r="I165" s="1">
        <v>-0.12839454838810899</v>
      </c>
      <c r="J165" s="1">
        <v>3.2859931971276499E-2</v>
      </c>
      <c r="K165" s="1">
        <v>1.12858552648807E-2</v>
      </c>
      <c r="L165" s="1">
        <v>-4.06777311711728E-2</v>
      </c>
      <c r="M165" s="1">
        <v>-0.64818299801513801</v>
      </c>
      <c r="N165" s="1">
        <v>-0.53961569953406796</v>
      </c>
      <c r="O165" s="1">
        <v>0.198724767831923</v>
      </c>
      <c r="P165" s="1">
        <v>2.8281182634079402E-5</v>
      </c>
      <c r="Q165" s="1">
        <v>0.11080597129209099</v>
      </c>
      <c r="R165" s="1">
        <v>-0.57805475789421901</v>
      </c>
      <c r="S165" s="1">
        <v>-8.4248761151952706E-2</v>
      </c>
      <c r="T165" s="1"/>
      <c r="U165" s="1"/>
      <c r="V165" s="1"/>
      <c r="W165" s="1"/>
      <c r="X165" s="1"/>
      <c r="Y165" s="1"/>
      <c r="Z165" s="1">
        <f t="shared" si="6"/>
        <v>0.65042167082616065</v>
      </c>
      <c r="AA165" s="1">
        <f t="shared" si="7"/>
        <v>312.89233941128936</v>
      </c>
      <c r="AB165" s="1"/>
      <c r="AC165" s="1"/>
      <c r="AD165" s="1"/>
      <c r="AE165" s="1">
        <f t="shared" si="8"/>
        <v>-0.53961569953406863</v>
      </c>
      <c r="AF165" s="1"/>
      <c r="AG165" s="1"/>
      <c r="AH165" s="1"/>
    </row>
    <row r="166" spans="1:34" x14ac:dyDescent="0.2">
      <c r="A166">
        <v>1914.5</v>
      </c>
      <c r="B166" s="1">
        <v>0.449555305663218</v>
      </c>
      <c r="C166" s="1">
        <v>0.153580430237889</v>
      </c>
      <c r="D166" s="1">
        <v>4.7694243185139498E-2</v>
      </c>
      <c r="E166" s="1">
        <v>-8.6379425717764594E-2</v>
      </c>
      <c r="F166" s="1">
        <v>-0.43021391685571603</v>
      </c>
      <c r="G166" s="1">
        <v>9.7646262279786095E-2</v>
      </c>
      <c r="H166" s="1">
        <v>0</v>
      </c>
      <c r="I166" s="1">
        <v>-0.12895930598156899</v>
      </c>
      <c r="J166" s="1">
        <v>3.20358530585323E-2</v>
      </c>
      <c r="K166" s="1">
        <v>1.1390204863469399E-2</v>
      </c>
      <c r="L166" s="1">
        <v>-2.6980416718047798E-2</v>
      </c>
      <c r="M166" s="1">
        <v>1.44928360096757E-2</v>
      </c>
      <c r="N166" s="1">
        <v>-0.51659334257348</v>
      </c>
      <c r="O166" s="1">
        <v>0.201318508200765</v>
      </c>
      <c r="P166" s="1">
        <v>4.3834777736077201E-5</v>
      </c>
      <c r="Q166" s="1">
        <v>0.14639348551072001</v>
      </c>
      <c r="R166" s="1">
        <v>0.13390590480234801</v>
      </c>
      <c r="S166" s="1">
        <v>-8.5533248059567593E-2</v>
      </c>
      <c r="T166" s="1"/>
      <c r="U166" s="1"/>
      <c r="V166" s="1"/>
      <c r="W166" s="1"/>
      <c r="X166" s="1"/>
      <c r="Y166" s="1"/>
      <c r="Z166" s="1">
        <f t="shared" si="6"/>
        <v>0.6629868280842014</v>
      </c>
      <c r="AA166" s="1">
        <f t="shared" si="7"/>
        <v>313.60353435759686</v>
      </c>
      <c r="AB166" s="1"/>
      <c r="AC166" s="1"/>
      <c r="AD166" s="1"/>
      <c r="AE166" s="1">
        <f t="shared" si="8"/>
        <v>-0.51659334257348066</v>
      </c>
      <c r="AF166" s="1"/>
      <c r="AG166" s="1"/>
      <c r="AH166" s="1"/>
    </row>
    <row r="167" spans="1:34" x14ac:dyDescent="0.2">
      <c r="A167">
        <v>1915.5</v>
      </c>
      <c r="B167" s="1">
        <v>0.45884118086972397</v>
      </c>
      <c r="C167" s="1">
        <v>0.15513199157978799</v>
      </c>
      <c r="D167" s="1">
        <v>4.8897861597549899E-2</v>
      </c>
      <c r="E167" s="1">
        <v>-8.4333067364114903E-2</v>
      </c>
      <c r="F167" s="1">
        <v>-0.42145085015618999</v>
      </c>
      <c r="G167" s="1">
        <v>9.7795978524233301E-2</v>
      </c>
      <c r="H167" s="1">
        <v>0</v>
      </c>
      <c r="I167" s="1">
        <v>-0.12952825079826399</v>
      </c>
      <c r="J167" s="1">
        <v>3.1541165152414299E-2</v>
      </c>
      <c r="K167" s="1">
        <v>1.1515726819304999E-2</v>
      </c>
      <c r="L167" s="1">
        <v>1.2769876250702099E-2</v>
      </c>
      <c r="M167" s="1">
        <v>0.19552216867093999</v>
      </c>
      <c r="N167" s="1">
        <v>-0.50578391752030505</v>
      </c>
      <c r="O167" s="1">
        <v>0.204097081322726</v>
      </c>
      <c r="P167" s="1">
        <v>6.7228145388510896E-5</v>
      </c>
      <c r="Q167" s="1">
        <v>0.16847896436983201</v>
      </c>
      <c r="R167" s="1">
        <v>0.376771009291474</v>
      </c>
      <c r="S167" s="1">
        <v>-8.6471358826545303E-2</v>
      </c>
      <c r="T167" s="1"/>
      <c r="U167" s="1"/>
      <c r="V167" s="1"/>
      <c r="W167" s="1"/>
      <c r="X167" s="1"/>
      <c r="Y167" s="1"/>
      <c r="Z167" s="1">
        <f t="shared" si="6"/>
        <v>0.67426288189013894</v>
      </c>
      <c r="AA167" s="1">
        <f t="shared" si="7"/>
        <v>314.2431414835529</v>
      </c>
      <c r="AB167" s="1"/>
      <c r="AC167" s="1"/>
      <c r="AD167" s="1"/>
      <c r="AE167" s="1">
        <f t="shared" si="8"/>
        <v>-0.50578391752030494</v>
      </c>
      <c r="AF167" s="1"/>
      <c r="AG167" s="1"/>
      <c r="AH167" s="1"/>
    </row>
    <row r="168" spans="1:34" x14ac:dyDescent="0.2">
      <c r="A168">
        <v>1916.5</v>
      </c>
      <c r="B168" s="1">
        <v>0.46865933573906199</v>
      </c>
      <c r="C168" s="1">
        <v>0.15893173861398799</v>
      </c>
      <c r="D168" s="1">
        <v>4.9859440122873501E-2</v>
      </c>
      <c r="E168" s="1">
        <v>-9.2866485284659503E-2</v>
      </c>
      <c r="F168" s="1">
        <v>-0.441466828172696</v>
      </c>
      <c r="G168" s="1">
        <v>9.9894496120993506E-2</v>
      </c>
      <c r="H168" s="1">
        <v>0</v>
      </c>
      <c r="I168" s="1">
        <v>-0.13010172814612</v>
      </c>
      <c r="J168" s="1">
        <v>3.23088449704114E-2</v>
      </c>
      <c r="K168" s="1">
        <v>1.182338203286E-2</v>
      </c>
      <c r="L168" s="1">
        <v>4.4751077422577099E-2</v>
      </c>
      <c r="M168" s="1">
        <v>0.22700061868797999</v>
      </c>
      <c r="N168" s="1">
        <v>-0.53433331345735502</v>
      </c>
      <c r="O168" s="1">
        <v>0.20889566507614801</v>
      </c>
      <c r="P168" s="1">
        <v>1.04486339286596E-4</v>
      </c>
      <c r="Q168" s="1">
        <v>0.15714668233599899</v>
      </c>
      <c r="R168" s="1">
        <v>0.42889837844655698</v>
      </c>
      <c r="S168" s="1">
        <v>-8.59695011428495E-2</v>
      </c>
      <c r="T168" s="1"/>
      <c r="U168" s="1"/>
      <c r="V168" s="1"/>
      <c r="W168" s="1"/>
      <c r="X168" s="1"/>
      <c r="Y168" s="1"/>
      <c r="Z168" s="1">
        <f t="shared" si="6"/>
        <v>0.69147999579335495</v>
      </c>
      <c r="AA168" s="1">
        <f t="shared" si="7"/>
        <v>315.22225843728285</v>
      </c>
      <c r="AB168" s="1"/>
      <c r="AC168" s="1"/>
      <c r="AD168" s="1"/>
      <c r="AE168" s="1">
        <f t="shared" si="8"/>
        <v>-0.53433331345735546</v>
      </c>
      <c r="AF168" s="1"/>
      <c r="AG168" s="1"/>
      <c r="AH168" s="1"/>
    </row>
    <row r="169" spans="1:34" x14ac:dyDescent="0.2">
      <c r="A169">
        <v>1917.5</v>
      </c>
      <c r="B169" s="1">
        <v>0.47806133789564298</v>
      </c>
      <c r="C169" s="1">
        <v>0.16170136367968499</v>
      </c>
      <c r="D169" s="1">
        <v>5.09581821110901E-2</v>
      </c>
      <c r="E169" s="1">
        <v>-9.6885222209627794E-2</v>
      </c>
      <c r="F169" s="1">
        <v>-0.45964515243611098</v>
      </c>
      <c r="G169" s="1">
        <v>0.104303655577287</v>
      </c>
      <c r="H169" s="1">
        <v>0</v>
      </c>
      <c r="I169" s="1">
        <v>-0.13068013530025499</v>
      </c>
      <c r="J169" s="1">
        <v>3.3928542837455597E-2</v>
      </c>
      <c r="K169" s="1">
        <v>1.2048553606738101E-2</v>
      </c>
      <c r="L169" s="1">
        <v>6.5874270781952099E-2</v>
      </c>
      <c r="M169" s="1">
        <v>0.19118054931106401</v>
      </c>
      <c r="N169" s="1">
        <v>-0.55653037464573896</v>
      </c>
      <c r="O169" s="1">
        <v>0.21280794600331501</v>
      </c>
      <c r="P169" s="1">
        <v>1.48400212539201E-4</v>
      </c>
      <c r="Q169" s="1">
        <v>0.15393952597444599</v>
      </c>
      <c r="R169" s="1">
        <v>0.41099434606746199</v>
      </c>
      <c r="S169" s="1">
        <v>-8.4703038856061202E-2</v>
      </c>
      <c r="T169" s="1"/>
      <c r="U169" s="1"/>
      <c r="V169" s="1"/>
      <c r="W169" s="1"/>
      <c r="X169" s="1"/>
      <c r="Y169" s="1"/>
      <c r="Z169" s="1">
        <f t="shared" si="6"/>
        <v>0.71046990062018289</v>
      </c>
      <c r="AA169" s="1">
        <f t="shared" si="7"/>
        <v>316.30573038166864</v>
      </c>
      <c r="AB169" s="1"/>
      <c r="AC169" s="1"/>
      <c r="AD169" s="1"/>
      <c r="AE169" s="1">
        <f t="shared" si="8"/>
        <v>-0.55653037464573873</v>
      </c>
      <c r="AF169" s="1"/>
      <c r="AG169" s="1"/>
      <c r="AH169" s="1"/>
    </row>
    <row r="170" spans="1:34" x14ac:dyDescent="0.2">
      <c r="A170">
        <v>1918.5</v>
      </c>
      <c r="B170" s="1">
        <v>0.48585178700999498</v>
      </c>
      <c r="C170" s="1">
        <v>0.165242406997579</v>
      </c>
      <c r="D170" s="1">
        <v>5.1651370451075797E-2</v>
      </c>
      <c r="E170" s="1">
        <v>-9.6398213594296303E-2</v>
      </c>
      <c r="F170" s="1">
        <v>-0.45924592192588398</v>
      </c>
      <c r="G170" s="1">
        <v>0.106962166214204</v>
      </c>
      <c r="H170" s="1">
        <v>0</v>
      </c>
      <c r="I170" s="1">
        <v>-0.13126390122015399</v>
      </c>
      <c r="J170" s="1">
        <v>3.3962958872541998E-2</v>
      </c>
      <c r="K170" s="1">
        <v>1.2337175166307E-2</v>
      </c>
      <c r="L170" s="1">
        <v>6.9649612578827097E-2</v>
      </c>
      <c r="M170" s="1">
        <v>0.104743477252389</v>
      </c>
      <c r="N170" s="1">
        <v>-0.55564413552017999</v>
      </c>
      <c r="O170" s="1">
        <v>0.217075979079102</v>
      </c>
      <c r="P170" s="1">
        <v>1.82201630447328E-4</v>
      </c>
      <c r="Q170" s="1">
        <v>0.16928202960181599</v>
      </c>
      <c r="R170" s="1">
        <v>0.34367511943303197</v>
      </c>
      <c r="S170" s="1">
        <v>-8.4963767181305799E-2</v>
      </c>
      <c r="T170" s="1"/>
      <c r="U170" s="1"/>
      <c r="V170" s="1"/>
      <c r="W170" s="1"/>
      <c r="X170" s="1"/>
      <c r="Y170" s="1"/>
      <c r="Z170" s="1">
        <f t="shared" si="6"/>
        <v>0.72492616512199615</v>
      </c>
      <c r="AA170" s="1">
        <f t="shared" si="7"/>
        <v>317.13303067623787</v>
      </c>
      <c r="AB170" s="1"/>
      <c r="AC170" s="1"/>
      <c r="AD170" s="1"/>
      <c r="AE170" s="1">
        <f t="shared" si="8"/>
        <v>-0.55564413552018033</v>
      </c>
      <c r="AF170" s="1"/>
      <c r="AG170" s="1"/>
      <c r="AH170" s="1"/>
    </row>
    <row r="171" spans="1:34" x14ac:dyDescent="0.2">
      <c r="A171">
        <v>1919.5</v>
      </c>
      <c r="B171" s="1">
        <v>0.49230997190925202</v>
      </c>
      <c r="C171" s="1">
        <v>0.169276929052467</v>
      </c>
      <c r="D171" s="1">
        <v>5.1829719149351902E-2</v>
      </c>
      <c r="E171" s="1">
        <v>-8.1939663176666899E-2</v>
      </c>
      <c r="F171" s="1">
        <v>-0.412643436431616</v>
      </c>
      <c r="G171" s="1">
        <v>0.10793765838155001</v>
      </c>
      <c r="H171" s="1">
        <v>0</v>
      </c>
      <c r="I171" s="1">
        <v>-0.13185339771028401</v>
      </c>
      <c r="J171" s="1">
        <v>3.1042080496281502E-2</v>
      </c>
      <c r="K171" s="1">
        <v>1.2667127099300001E-2</v>
      </c>
      <c r="L171" s="1">
        <v>3.7013186797577098E-2</v>
      </c>
      <c r="M171" s="1">
        <v>-8.8343058717193307E-2</v>
      </c>
      <c r="N171" s="1">
        <v>-0.49458309960828301</v>
      </c>
      <c r="O171" s="1">
        <v>0.22132022298948401</v>
      </c>
      <c r="P171" s="1">
        <v>2.1357478766499701E-4</v>
      </c>
      <c r="Q171" s="1">
        <v>0.23884056355730099</v>
      </c>
      <c r="R171" s="1">
        <v>0.187510691637685</v>
      </c>
      <c r="S171" s="1">
        <v>-8.8144190114702897E-2</v>
      </c>
      <c r="T171" s="1"/>
      <c r="U171" s="1"/>
      <c r="V171" s="1"/>
      <c r="W171" s="1"/>
      <c r="X171" s="1"/>
      <c r="Y171" s="1"/>
      <c r="Z171" s="1">
        <f t="shared" si="6"/>
        <v>0.73342366316558349</v>
      </c>
      <c r="AA171" s="1">
        <f t="shared" si="7"/>
        <v>317.62033324892485</v>
      </c>
      <c r="AB171" s="1"/>
      <c r="AC171" s="1"/>
      <c r="AD171" s="1"/>
      <c r="AE171" s="1">
        <f t="shared" si="8"/>
        <v>-0.49458309960828289</v>
      </c>
      <c r="AF171" s="1"/>
      <c r="AG171" s="1"/>
      <c r="AH171" s="1"/>
    </row>
    <row r="172" spans="1:34" x14ac:dyDescent="0.2">
      <c r="A172">
        <v>1920.5</v>
      </c>
      <c r="B172" s="1">
        <v>0.49997445296237403</v>
      </c>
      <c r="C172" s="1">
        <v>0.173261862135866</v>
      </c>
      <c r="D172" s="1">
        <v>5.2121902917679701E-2</v>
      </c>
      <c r="E172" s="1">
        <v>-9.1257656362587605E-2</v>
      </c>
      <c r="F172" s="1">
        <v>-0.44402586444831299</v>
      </c>
      <c r="G172" s="1">
        <v>0.112046977479334</v>
      </c>
      <c r="H172" s="1">
        <v>0</v>
      </c>
      <c r="I172" s="1">
        <v>-0.132729480186318</v>
      </c>
      <c r="J172" s="1">
        <v>3.3135994135442298E-2</v>
      </c>
      <c r="K172" s="1">
        <v>1.29944412088234E-2</v>
      </c>
      <c r="L172" s="1">
        <v>6.0304231257020998E-3</v>
      </c>
      <c r="M172" s="1">
        <v>0.111735767222069</v>
      </c>
      <c r="N172" s="1">
        <v>-0.53528352081090003</v>
      </c>
      <c r="O172" s="1">
        <v>0.22561737733183901</v>
      </c>
      <c r="P172" s="1">
        <v>2.3361227829365099E-4</v>
      </c>
      <c r="Q172" s="1">
        <v>0.21575624212059399</v>
      </c>
      <c r="R172" s="1">
        <v>0.33352243246836599</v>
      </c>
      <c r="S172" s="1">
        <v>-8.6599044842052803E-2</v>
      </c>
      <c r="T172" s="1"/>
      <c r="U172" s="1"/>
      <c r="V172" s="1"/>
      <c r="W172" s="1"/>
      <c r="X172" s="1"/>
      <c r="Y172" s="1"/>
      <c r="Z172" s="1">
        <f t="shared" si="6"/>
        <v>0.75103976293149499</v>
      </c>
      <c r="AA172" s="1">
        <f t="shared" si="7"/>
        <v>318.63294306104171</v>
      </c>
      <c r="AB172" s="1"/>
      <c r="AC172" s="1"/>
      <c r="AD172" s="1"/>
      <c r="AE172" s="1">
        <f t="shared" si="8"/>
        <v>-0.53528352081090058</v>
      </c>
      <c r="AF172" s="1"/>
      <c r="AG172" s="1"/>
      <c r="AH172" s="1"/>
    </row>
    <row r="173" spans="1:34" x14ac:dyDescent="0.2">
      <c r="A173">
        <v>1921.5</v>
      </c>
      <c r="B173" s="1">
        <v>0.50621729876674904</v>
      </c>
      <c r="C173" s="1">
        <v>0.17706474678147799</v>
      </c>
      <c r="D173" s="1">
        <v>5.2528587151552397E-2</v>
      </c>
      <c r="E173" s="1">
        <v>-7.5016366013869698E-2</v>
      </c>
      <c r="F173" s="1">
        <v>-0.39328929048129202</v>
      </c>
      <c r="G173" s="1">
        <v>0.11264411747931</v>
      </c>
      <c r="H173" s="1">
        <v>0</v>
      </c>
      <c r="I173" s="1">
        <v>-0.13389256267704699</v>
      </c>
      <c r="J173" s="1">
        <v>3.045959497342E-2</v>
      </c>
      <c r="K173" s="1">
        <v>1.33081287999564E-2</v>
      </c>
      <c r="L173" s="1">
        <v>-1.3142696991485301E-2</v>
      </c>
      <c r="M173" s="1">
        <v>0.20876077010656999</v>
      </c>
      <c r="N173" s="1">
        <v>-0.46830565649516098</v>
      </c>
      <c r="O173" s="1">
        <v>0.229843151113096</v>
      </c>
      <c r="P173" s="1">
        <v>2.4981718006584499E-4</v>
      </c>
      <c r="Q173" s="1">
        <v>0.29027407196032401</v>
      </c>
      <c r="R173" s="1">
        <v>0.48589214507540901</v>
      </c>
      <c r="S173" s="1">
        <v>-9.0124838903670706E-2</v>
      </c>
      <c r="T173" s="1"/>
      <c r="U173" s="1"/>
      <c r="V173" s="1"/>
      <c r="W173" s="1"/>
      <c r="X173" s="1"/>
      <c r="Y173" s="1"/>
      <c r="Z173" s="1">
        <f t="shared" si="6"/>
        <v>0.75857972845548471</v>
      </c>
      <c r="AA173" s="1">
        <f t="shared" si="7"/>
        <v>319.06734185325371</v>
      </c>
      <c r="AB173" s="1"/>
      <c r="AC173" s="1"/>
      <c r="AD173" s="1"/>
      <c r="AE173" s="1">
        <f t="shared" si="8"/>
        <v>-0.4683056564951617</v>
      </c>
      <c r="AF173" s="1"/>
      <c r="AG173" s="1"/>
      <c r="AH173" s="1"/>
    </row>
    <row r="174" spans="1:34" x14ac:dyDescent="0.2">
      <c r="A174">
        <v>1922.5</v>
      </c>
      <c r="B174" s="1">
        <v>0.51229139476704599</v>
      </c>
      <c r="C174" s="1">
        <v>0.18073018994009599</v>
      </c>
      <c r="D174" s="1">
        <v>5.3009965308221697E-2</v>
      </c>
      <c r="E174" s="1">
        <v>-7.8628817781827107E-2</v>
      </c>
      <c r="F174" s="1">
        <v>-0.39858773411311099</v>
      </c>
      <c r="G174" s="1">
        <v>0.114533097182724</v>
      </c>
      <c r="H174" s="1">
        <v>0</v>
      </c>
      <c r="I174" s="1">
        <v>-0.135062533038592</v>
      </c>
      <c r="J174" s="1">
        <v>3.0442598924489601E-2</v>
      </c>
      <c r="K174" s="1">
        <v>1.3611699814813199E-2</v>
      </c>
      <c r="L174" s="1">
        <v>-3.06465544133603E-2</v>
      </c>
      <c r="M174" s="1">
        <v>0.22773811807069999</v>
      </c>
      <c r="N174" s="1">
        <v>-0.477216551894939</v>
      </c>
      <c r="O174" s="1">
        <v>0.23401741702574999</v>
      </c>
      <c r="P174" s="1">
        <v>2.7726177743268198E-4</v>
      </c>
      <c r="Q174" s="1">
        <v>0.29261712278129298</v>
      </c>
      <c r="R174" s="1">
        <v>0.48970868643863202</v>
      </c>
      <c r="S174" s="1">
        <v>-9.10082342992896E-2</v>
      </c>
      <c r="T174" s="1"/>
      <c r="U174" s="1"/>
      <c r="V174" s="1"/>
      <c r="W174" s="1"/>
      <c r="X174" s="1"/>
      <c r="Y174" s="1"/>
      <c r="Z174" s="1">
        <f t="shared" si="6"/>
        <v>0.76983367467623121</v>
      </c>
      <c r="AA174" s="1">
        <f t="shared" si="7"/>
        <v>319.716815490741</v>
      </c>
      <c r="AB174" s="1"/>
      <c r="AC174" s="1"/>
      <c r="AD174" s="1"/>
      <c r="AE174" s="1">
        <f t="shared" si="8"/>
        <v>-0.47721655189493811</v>
      </c>
      <c r="AF174" s="1"/>
      <c r="AG174" s="1"/>
      <c r="AH174" s="1"/>
    </row>
    <row r="175" spans="1:34" x14ac:dyDescent="0.2">
      <c r="A175">
        <v>1923.5</v>
      </c>
      <c r="B175" s="1">
        <v>0.51801552584996302</v>
      </c>
      <c r="C175" s="1">
        <v>0.18391922285047901</v>
      </c>
      <c r="D175" s="1">
        <v>5.4082853543989097E-2</v>
      </c>
      <c r="E175" s="1">
        <v>-8.5515567134598305E-2</v>
      </c>
      <c r="F175" s="1">
        <v>-0.44708285058489999</v>
      </c>
      <c r="G175" s="1">
        <v>0.121735200641392</v>
      </c>
      <c r="H175" s="1">
        <v>0</v>
      </c>
      <c r="I175" s="1">
        <v>-0.13623981143034</v>
      </c>
      <c r="J175" s="1">
        <v>3.5572234529366503E-2</v>
      </c>
      <c r="K175" s="1">
        <v>1.38770210476427E-2</v>
      </c>
      <c r="L175" s="1">
        <v>-3.4624703827422797E-2</v>
      </c>
      <c r="M175" s="1">
        <v>0.230675977091409</v>
      </c>
      <c r="N175" s="1">
        <v>-0.53259841771949901</v>
      </c>
      <c r="O175" s="1">
        <v>0.238323192919802</v>
      </c>
      <c r="P175" s="1">
        <v>3.2111652533385702E-4</v>
      </c>
      <c r="Q175" s="1">
        <v>0.25868494583832802</v>
      </c>
      <c r="R175" s="1">
        <v>0.45473621910231499</v>
      </c>
      <c r="S175" s="1">
        <v>-8.6790555853331494E-2</v>
      </c>
      <c r="T175" s="1"/>
      <c r="U175" s="1"/>
      <c r="V175" s="1"/>
      <c r="W175" s="1"/>
      <c r="X175" s="1"/>
      <c r="Y175" s="1"/>
      <c r="Z175" s="1">
        <f t="shared" si="6"/>
        <v>0.79128336355782614</v>
      </c>
      <c r="AA175" s="1">
        <f t="shared" si="7"/>
        <v>320.95835645330226</v>
      </c>
      <c r="AB175" s="1"/>
      <c r="AC175" s="1"/>
      <c r="AD175" s="1"/>
      <c r="AE175" s="1">
        <f t="shared" si="8"/>
        <v>-0.53259841771949834</v>
      </c>
      <c r="AF175" s="1"/>
      <c r="AG175" s="1"/>
      <c r="AH175" s="1"/>
    </row>
    <row r="176" spans="1:34" x14ac:dyDescent="0.2">
      <c r="A176">
        <v>1924.5</v>
      </c>
      <c r="B176" s="1">
        <v>0.52432986376695201</v>
      </c>
      <c r="C176" s="1">
        <v>0.186199267154811</v>
      </c>
      <c r="D176" s="1">
        <v>5.4591708943373299E-2</v>
      </c>
      <c r="E176" s="1">
        <v>-8.5848042394124996E-2</v>
      </c>
      <c r="F176" s="1">
        <v>-0.43509545936928101</v>
      </c>
      <c r="G176" s="1">
        <v>0.120516880121162</v>
      </c>
      <c r="H176" s="1">
        <v>0</v>
      </c>
      <c r="I176" s="1">
        <v>-0.137424776901718</v>
      </c>
      <c r="J176" s="1">
        <v>3.3891948812261603E-2</v>
      </c>
      <c r="K176" s="1">
        <v>1.40671629698735E-2</v>
      </c>
      <c r="L176" s="1">
        <v>-2.6902413788360301E-2</v>
      </c>
      <c r="M176" s="1">
        <v>-0.16602055407396099</v>
      </c>
      <c r="N176" s="1">
        <v>-0.52094350176340598</v>
      </c>
      <c r="O176" s="1">
        <v>0.24115679456577399</v>
      </c>
      <c r="P176" s="1">
        <v>3.6581846758897802E-4</v>
      </c>
      <c r="Q176" s="1">
        <v>0.2755943715709</v>
      </c>
      <c r="R176" s="1">
        <v>8.2671403708578603E-2</v>
      </c>
      <c r="S176" s="1">
        <v>-8.9465665119582996E-2</v>
      </c>
      <c r="T176" s="1"/>
      <c r="U176" s="1"/>
      <c r="V176" s="1"/>
      <c r="W176" s="1"/>
      <c r="X176" s="1"/>
      <c r="Y176" s="1"/>
      <c r="Z176" s="1">
        <f t="shared" si="6"/>
        <v>0.79653787333430437</v>
      </c>
      <c r="AA176" s="1">
        <f t="shared" si="7"/>
        <v>321.26323002310795</v>
      </c>
      <c r="AB176" s="1"/>
      <c r="AC176" s="1"/>
      <c r="AD176" s="1"/>
      <c r="AE176" s="1">
        <f t="shared" si="8"/>
        <v>-0.52094350176340598</v>
      </c>
      <c r="AF176" s="1"/>
      <c r="AG176" s="1"/>
      <c r="AH176" s="1"/>
    </row>
    <row r="177" spans="1:34" x14ac:dyDescent="0.2">
      <c r="A177">
        <v>1925.5</v>
      </c>
      <c r="B177" s="1">
        <v>0.52746640817797297</v>
      </c>
      <c r="C177" s="1">
        <v>0.187628370680887</v>
      </c>
      <c r="D177" s="1">
        <v>5.4779632904090603E-2</v>
      </c>
      <c r="E177" s="1">
        <v>-8.6353143881486294E-2</v>
      </c>
      <c r="F177" s="1">
        <v>-0.43848528163073802</v>
      </c>
      <c r="G177" s="1">
        <v>0.122537642984598</v>
      </c>
      <c r="H177" s="1">
        <v>0</v>
      </c>
      <c r="I177" s="1">
        <v>-0.138617830549528</v>
      </c>
      <c r="J177" s="1">
        <v>3.4398296815614599E-2</v>
      </c>
      <c r="K177" s="1">
        <v>1.41865210594739E-2</v>
      </c>
      <c r="L177" s="1">
        <v>-5.7636198430478002E-3</v>
      </c>
      <c r="M177" s="1">
        <v>-3.1615903274707598E-2</v>
      </c>
      <c r="N177" s="1">
        <v>-0.52483842551222404</v>
      </c>
      <c r="O177" s="1">
        <v>0.24282779499993401</v>
      </c>
      <c r="P177" s="1">
        <v>4.19791414956812E-4</v>
      </c>
      <c r="Q177" s="1">
        <v>0.27796040797584198</v>
      </c>
      <c r="R177" s="1">
        <v>0.24058088485808701</v>
      </c>
      <c r="S177" s="1">
        <v>-9.00330126744395E-2</v>
      </c>
      <c r="T177" s="1"/>
      <c r="U177" s="1"/>
      <c r="V177" s="1"/>
      <c r="W177" s="1"/>
      <c r="X177" s="1"/>
      <c r="Y177" s="1"/>
      <c r="Z177" s="1">
        <f t="shared" si="6"/>
        <v>0.80279883348806591</v>
      </c>
      <c r="AA177" s="1">
        <f t="shared" si="7"/>
        <v>321.62687730155295</v>
      </c>
      <c r="AB177" s="1"/>
      <c r="AC177" s="1"/>
      <c r="AD177" s="1"/>
      <c r="AE177" s="1">
        <f t="shared" si="8"/>
        <v>-0.52483842551222426</v>
      </c>
      <c r="AF177" s="1"/>
      <c r="AG177" s="1"/>
      <c r="AH177" s="1"/>
    </row>
    <row r="178" spans="1:34" x14ac:dyDescent="0.2">
      <c r="A178">
        <v>1926.5</v>
      </c>
      <c r="B178" s="1">
        <v>0.52984404750184699</v>
      </c>
      <c r="C178" s="1">
        <v>0.18838780518588799</v>
      </c>
      <c r="D178" s="1">
        <v>5.4944558722160301E-2</v>
      </c>
      <c r="E178" s="1">
        <v>-9.0500766921391307E-2</v>
      </c>
      <c r="F178" s="1">
        <v>-0.44138846276070998</v>
      </c>
      <c r="G178" s="1">
        <v>0.123139963465973</v>
      </c>
      <c r="H178" s="1">
        <v>0</v>
      </c>
      <c r="I178" s="1">
        <v>-0.13981935214077601</v>
      </c>
      <c r="J178" s="1">
        <v>3.3749119162040001E-2</v>
      </c>
      <c r="K178" s="1">
        <v>1.42500474551736E-2</v>
      </c>
      <c r="L178" s="1">
        <v>2.2551443633514599E-2</v>
      </c>
      <c r="M178" s="1">
        <v>-0.36800560556886702</v>
      </c>
      <c r="N178" s="1">
        <v>-0.53188922968210095</v>
      </c>
      <c r="O178" s="1">
        <v>0.243818847742755</v>
      </c>
      <c r="P178" s="1">
        <v>4.8648383470607602E-4</v>
      </c>
      <c r="Q178" s="1">
        <v>0.27309344350491199</v>
      </c>
      <c r="R178" s="1">
        <v>-7.2360718430439896E-2</v>
      </c>
      <c r="S178" s="1">
        <v>-9.18201855235624E-2</v>
      </c>
      <c r="T178" s="1"/>
      <c r="U178" s="1"/>
      <c r="V178" s="1"/>
      <c r="W178" s="1"/>
      <c r="X178" s="1"/>
      <c r="Y178" s="1"/>
      <c r="Z178" s="1">
        <f t="shared" si="6"/>
        <v>0.804982673187012</v>
      </c>
      <c r="AA178" s="1">
        <f t="shared" si="7"/>
        <v>321.75381525142978</v>
      </c>
      <c r="AB178" s="1"/>
      <c r="AC178" s="1"/>
      <c r="AD178" s="1"/>
      <c r="AE178" s="1">
        <f t="shared" si="8"/>
        <v>-0.53188922968210128</v>
      </c>
      <c r="AF178" s="1"/>
      <c r="AG178" s="1"/>
      <c r="AH178" s="1"/>
    </row>
    <row r="179" spans="1:34" x14ac:dyDescent="0.2">
      <c r="A179">
        <v>1927.5</v>
      </c>
      <c r="B179" s="1">
        <v>0.53369783704985496</v>
      </c>
      <c r="C179" s="1">
        <v>0.189530237482777</v>
      </c>
      <c r="D179" s="1">
        <v>5.51365680377311E-2</v>
      </c>
      <c r="E179" s="1">
        <v>-9.7212292819767898E-2</v>
      </c>
      <c r="F179" s="1">
        <v>-0.46221695553440301</v>
      </c>
      <c r="G179" s="1">
        <v>0.126865404305367</v>
      </c>
      <c r="H179" s="1">
        <v>0</v>
      </c>
      <c r="I179" s="1">
        <v>-0.14102972250632401</v>
      </c>
      <c r="J179" s="1">
        <v>3.5009294394210799E-2</v>
      </c>
      <c r="K179" s="1">
        <v>1.43456839176433E-2</v>
      </c>
      <c r="L179" s="1">
        <v>4.6248733672577098E-2</v>
      </c>
      <c r="M179" s="1">
        <v>-9.2402261041415107E-2</v>
      </c>
      <c r="N179" s="1">
        <v>-0.55942924835417096</v>
      </c>
      <c r="O179" s="1">
        <v>0.24520213453543299</v>
      </c>
      <c r="P179" s="1">
        <v>5.3532901492520297E-4</v>
      </c>
      <c r="Q179" s="1">
        <v>0.25466138334201499</v>
      </c>
      <c r="R179" s="1">
        <v>0.208507855973177</v>
      </c>
      <c r="S179" s="1">
        <v>-9.1674744194470803E-2</v>
      </c>
      <c r="T179" s="1"/>
      <c r="U179" s="1"/>
      <c r="V179" s="1"/>
      <c r="W179" s="1"/>
      <c r="X179" s="1"/>
      <c r="Y179" s="1"/>
      <c r="Z179" s="1">
        <f t="shared" si="6"/>
        <v>0.81409063169618534</v>
      </c>
      <c r="AA179" s="1">
        <f t="shared" si="7"/>
        <v>322.28376520743274</v>
      </c>
      <c r="AB179" s="1"/>
      <c r="AC179" s="1"/>
      <c r="AD179" s="1"/>
      <c r="AE179" s="1">
        <f t="shared" si="8"/>
        <v>-0.55942924835417096</v>
      </c>
      <c r="AF179" s="1"/>
      <c r="AG179" s="1"/>
      <c r="AH179" s="1"/>
    </row>
    <row r="180" spans="1:34" x14ac:dyDescent="0.2">
      <c r="A180">
        <v>1928.5</v>
      </c>
      <c r="B180" s="1">
        <v>0.53627101822242296</v>
      </c>
      <c r="C180" s="1">
        <v>0.19208587929234799</v>
      </c>
      <c r="D180" s="1">
        <v>5.5484866860670501E-2</v>
      </c>
      <c r="E180" s="1">
        <v>-9.9753777226760404E-2</v>
      </c>
      <c r="F180" s="1">
        <v>-0.46114558410666301</v>
      </c>
      <c r="G180" s="1">
        <v>0.12867413359067001</v>
      </c>
      <c r="H180" s="1">
        <v>0</v>
      </c>
      <c r="I180" s="1">
        <v>-0.14224938471746901</v>
      </c>
      <c r="J180" s="1">
        <v>3.4150046337277098E-2</v>
      </c>
      <c r="K180" s="1">
        <v>1.45600036521417E-2</v>
      </c>
      <c r="L180" s="1">
        <v>3.0710550078827101E-2</v>
      </c>
      <c r="M180" s="1">
        <v>0.179378494341386</v>
      </c>
      <c r="N180" s="1">
        <v>-0.560899361333423</v>
      </c>
      <c r="O180" s="1">
        <v>0.24817249606358799</v>
      </c>
      <c r="P180" s="1">
        <v>6.0174991057007003E-4</v>
      </c>
      <c r="Q180" s="1">
        <v>0.258678951815208</v>
      </c>
      <c r="R180" s="1">
        <v>0.46876799623542098</v>
      </c>
      <c r="S180" s="1">
        <v>-9.3539334728050899E-2</v>
      </c>
      <c r="T180" s="1"/>
      <c r="U180" s="1"/>
      <c r="V180" s="1"/>
      <c r="W180" s="1"/>
      <c r="X180" s="1"/>
      <c r="Y180" s="1"/>
      <c r="Z180" s="1">
        <f t="shared" si="6"/>
        <v>0.81957831314863128</v>
      </c>
      <c r="AA180" s="1">
        <f t="shared" si="7"/>
        <v>322.60348929514191</v>
      </c>
      <c r="AB180" s="1"/>
      <c r="AC180" s="1"/>
      <c r="AD180" s="1"/>
      <c r="AE180" s="1">
        <f t="shared" si="8"/>
        <v>-0.56089936133342344</v>
      </c>
      <c r="AF180" s="1"/>
      <c r="AG180" s="1"/>
      <c r="AH180" s="1"/>
    </row>
    <row r="181" spans="1:34" x14ac:dyDescent="0.2">
      <c r="A181">
        <v>1929.5</v>
      </c>
      <c r="B181" s="1">
        <v>0.53909541970285102</v>
      </c>
      <c r="C181" s="1">
        <v>0.19523617879621999</v>
      </c>
      <c r="D181" s="1">
        <v>5.5707137424311298E-2</v>
      </c>
      <c r="E181" s="1">
        <v>-0.109390258067707</v>
      </c>
      <c r="F181" s="1">
        <v>-0.485489147081829</v>
      </c>
      <c r="G181" s="1">
        <v>0.132473977668529</v>
      </c>
      <c r="H181" s="1">
        <v>0</v>
      </c>
      <c r="I181" s="1">
        <v>-0.14347866339716001</v>
      </c>
      <c r="J181" s="1">
        <v>3.50816636599122E-2</v>
      </c>
      <c r="K181" s="1">
        <v>1.4824890167370101E-2</v>
      </c>
      <c r="L181" s="1">
        <v>2.2754251250702101E-2</v>
      </c>
      <c r="M181" s="1">
        <v>0.19518769838380701</v>
      </c>
      <c r="N181" s="1">
        <v>-0.59487940514953697</v>
      </c>
      <c r="O181" s="1">
        <v>0.25163924548920502</v>
      </c>
      <c r="P181" s="1">
        <v>6.9592926867388595E-4</v>
      </c>
      <c r="Q181" s="1">
        <v>0.23475712814117</v>
      </c>
      <c r="R181" s="1">
        <v>0.45269907777567903</v>
      </c>
      <c r="S181" s="1">
        <v>-9.3572109569878104E-2</v>
      </c>
      <c r="T181" s="1"/>
      <c r="U181" s="1"/>
      <c r="V181" s="1"/>
      <c r="W181" s="1"/>
      <c r="X181" s="1"/>
      <c r="Y181" s="1"/>
      <c r="Z181" s="1">
        <f t="shared" si="6"/>
        <v>0.82963653329070752</v>
      </c>
      <c r="AA181" s="1">
        <f t="shared" si="7"/>
        <v>323.19032645170375</v>
      </c>
      <c r="AB181" s="1"/>
      <c r="AC181" s="1"/>
      <c r="AD181" s="1"/>
      <c r="AE181" s="1">
        <f t="shared" si="8"/>
        <v>-0.59487940514953597</v>
      </c>
      <c r="AF181" s="1"/>
      <c r="AG181" s="1"/>
      <c r="AH181" s="1"/>
    </row>
    <row r="182" spans="1:34" x14ac:dyDescent="0.2">
      <c r="A182">
        <v>1930.5</v>
      </c>
      <c r="B182" s="1">
        <v>0.54118078157122496</v>
      </c>
      <c r="C182" s="1">
        <v>0.198355470965839</v>
      </c>
      <c r="D182" s="1">
        <v>5.5890399913080799E-2</v>
      </c>
      <c r="E182" s="1">
        <v>-0.10271593258192099</v>
      </c>
      <c r="F182" s="1">
        <v>-0.47024219075280299</v>
      </c>
      <c r="G182" s="1">
        <v>0.13462665052911199</v>
      </c>
      <c r="H182" s="1">
        <v>0</v>
      </c>
      <c r="I182" s="1">
        <v>-0.14464337664453999</v>
      </c>
      <c r="J182" s="1">
        <v>3.4192821443428001E-2</v>
      </c>
      <c r="K182" s="1">
        <v>1.5088005610889301E-2</v>
      </c>
      <c r="L182" s="1">
        <v>2.29726594538271E-2</v>
      </c>
      <c r="M182" s="1">
        <v>0.209081726917619</v>
      </c>
      <c r="N182" s="1">
        <v>-0.57295812333472496</v>
      </c>
      <c r="O182" s="1">
        <v>0.25504669163569599</v>
      </c>
      <c r="P182" s="1">
        <v>8.0082075677546298E-4</v>
      </c>
      <c r="Q182" s="1">
        <v>0.26253345081108498</v>
      </c>
      <c r="R182" s="1">
        <v>0.49458783718253202</v>
      </c>
      <c r="S182" s="1">
        <v>-9.53625495902235E-2</v>
      </c>
      <c r="T182" s="1"/>
      <c r="U182" s="1"/>
      <c r="V182" s="1"/>
      <c r="W182" s="1"/>
      <c r="X182" s="1"/>
      <c r="Y182" s="1"/>
      <c r="Z182" s="1">
        <f t="shared" si="6"/>
        <v>0.83549157414580943</v>
      </c>
      <c r="AA182" s="1">
        <f t="shared" si="7"/>
        <v>323.532424608094</v>
      </c>
      <c r="AB182" s="1"/>
      <c r="AC182" s="1"/>
      <c r="AD182" s="1"/>
      <c r="AE182" s="1">
        <f t="shared" si="8"/>
        <v>-0.57295812333472396</v>
      </c>
      <c r="AF182" s="1"/>
      <c r="AG182" s="1"/>
      <c r="AH182" s="1"/>
    </row>
    <row r="183" spans="1:34" x14ac:dyDescent="0.2">
      <c r="A183">
        <v>1931.5</v>
      </c>
      <c r="B183" s="1">
        <v>0.54464893028924699</v>
      </c>
      <c r="C183" s="1">
        <v>0.20087588061596701</v>
      </c>
      <c r="D183" s="1">
        <v>5.6568244524849098E-2</v>
      </c>
      <c r="E183" s="1">
        <v>-8.8023231805596902E-2</v>
      </c>
      <c r="F183" s="1">
        <v>-0.41438121018155699</v>
      </c>
      <c r="G183" s="1">
        <v>0.130399219451588</v>
      </c>
      <c r="H183" s="1">
        <v>2.9376495039801999E-5</v>
      </c>
      <c r="I183" s="1">
        <v>-0.14574392809299799</v>
      </c>
      <c r="J183" s="1">
        <v>3.0380711399440801E-2</v>
      </c>
      <c r="K183" s="1">
        <v>1.53014559101854E-2</v>
      </c>
      <c r="L183" s="1">
        <v>7.4182449288959999E-4</v>
      </c>
      <c r="M183" s="1">
        <v>0.15707032411343</v>
      </c>
      <c r="N183" s="1">
        <v>-0.50240444198715395</v>
      </c>
      <c r="O183" s="1">
        <v>0.25836856117899998</v>
      </c>
      <c r="P183" s="1">
        <v>9.2443603818312598E-4</v>
      </c>
      <c r="Q183" s="1">
        <v>0.33097988464435002</v>
      </c>
      <c r="R183" s="1">
        <v>0.488792033250669</v>
      </c>
      <c r="S183" s="1">
        <v>-0.100032384288331</v>
      </c>
      <c r="T183" s="1"/>
      <c r="U183" s="1"/>
      <c r="V183" s="1"/>
      <c r="W183" s="1"/>
      <c r="X183" s="1"/>
      <c r="Y183" s="1"/>
      <c r="Z183" s="1">
        <f t="shared" si="6"/>
        <v>0.8333843266315023</v>
      </c>
      <c r="AA183" s="1">
        <f t="shared" si="7"/>
        <v>323.40926072135318</v>
      </c>
      <c r="AB183" s="1"/>
      <c r="AC183" s="1"/>
      <c r="AD183" s="1"/>
      <c r="AE183" s="1">
        <f t="shared" si="8"/>
        <v>-0.50240444198715384</v>
      </c>
      <c r="AF183" s="1"/>
      <c r="AG183" s="1"/>
      <c r="AH183" s="1"/>
    </row>
    <row r="184" spans="1:34" x14ac:dyDescent="0.2">
      <c r="A184">
        <v>1932.5</v>
      </c>
      <c r="B184" s="1">
        <v>0.54935541018601997</v>
      </c>
      <c r="C184" s="1">
        <v>0.20319444324900199</v>
      </c>
      <c r="D184" s="1">
        <v>5.6933723868510103E-2</v>
      </c>
      <c r="E184" s="1">
        <v>-7.6959829953555894E-2</v>
      </c>
      <c r="F184" s="1">
        <v>-0.39051290511394898</v>
      </c>
      <c r="G184" s="1">
        <v>0.132162374661801</v>
      </c>
      <c r="H184" s="1">
        <v>5.87529900796041E-5</v>
      </c>
      <c r="I184" s="1">
        <v>-0.146855316479271</v>
      </c>
      <c r="J184" s="1">
        <v>2.9880539220536299E-2</v>
      </c>
      <c r="K184" s="1">
        <v>1.5498193732811E-2</v>
      </c>
      <c r="L184" s="1">
        <v>-1.58103971867978E-2</v>
      </c>
      <c r="M184" s="1">
        <v>-0.229691141399155</v>
      </c>
      <c r="N184" s="1">
        <v>-0.46747273506750497</v>
      </c>
      <c r="O184" s="1">
        <v>0.26117646208577899</v>
      </c>
      <c r="P184" s="1">
        <v>1.0482949682670401E-3</v>
      </c>
      <c r="Q184" s="1">
        <v>0.37380368133025199</v>
      </c>
      <c r="R184" s="1">
        <v>0.12830214274429899</v>
      </c>
      <c r="S184" s="1">
        <v>-0.10141783053584399</v>
      </c>
      <c r="T184" s="1"/>
      <c r="U184" s="1"/>
      <c r="V184" s="1"/>
      <c r="W184" s="1"/>
      <c r="X184" s="1"/>
      <c r="Y184" s="1"/>
      <c r="Z184" s="1">
        <f t="shared" si="6"/>
        <v>0.84127641639775608</v>
      </c>
      <c r="AA184" s="1">
        <f t="shared" si="7"/>
        <v>323.87077682695514</v>
      </c>
      <c r="AB184" s="1"/>
      <c r="AC184" s="1"/>
      <c r="AD184" s="1"/>
      <c r="AE184" s="1">
        <f t="shared" si="8"/>
        <v>-0.46747273506750486</v>
      </c>
      <c r="AF184" s="1"/>
      <c r="AG184" s="1"/>
      <c r="AH184" s="1"/>
    </row>
    <row r="185" spans="1:34" x14ac:dyDescent="0.2">
      <c r="A185">
        <v>1933.5</v>
      </c>
      <c r="B185" s="1">
        <v>0.55473987606026198</v>
      </c>
      <c r="C185" s="1">
        <v>0.20556339069110099</v>
      </c>
      <c r="D185" s="1">
        <v>5.7479562359420699E-2</v>
      </c>
      <c r="E185" s="1">
        <v>-8.2800365102881898E-2</v>
      </c>
      <c r="F185" s="1">
        <v>-0.40053641791564198</v>
      </c>
      <c r="G185" s="1">
        <v>0.13276375902800899</v>
      </c>
      <c r="H185" s="1">
        <v>8.8129485119406203E-5</v>
      </c>
      <c r="I185" s="1">
        <v>-0.14797790658155799</v>
      </c>
      <c r="J185" s="1">
        <v>2.97233071893824E-2</v>
      </c>
      <c r="K185" s="1">
        <v>1.5699772484773399E-2</v>
      </c>
      <c r="L185" s="1">
        <v>-2.27370573430478E-2</v>
      </c>
      <c r="M185" s="1">
        <v>-0.49967968910027699</v>
      </c>
      <c r="N185" s="1">
        <v>-0.48333678301852401</v>
      </c>
      <c r="O185" s="1">
        <v>0.264219981606375</v>
      </c>
      <c r="P185" s="1">
        <v>1.17702855585335E-3</v>
      </c>
      <c r="Q185" s="1">
        <v>0.36592013625384001</v>
      </c>
      <c r="R185" s="1">
        <v>-0.15649661018948499</v>
      </c>
      <c r="S185" s="1">
        <v>-0.102466697422283</v>
      </c>
      <c r="T185" s="1"/>
      <c r="U185" s="1"/>
      <c r="V185" s="1"/>
      <c r="W185" s="1"/>
      <c r="X185" s="1"/>
      <c r="Y185" s="1"/>
      <c r="Z185" s="1">
        <f t="shared" si="6"/>
        <v>0.84925691927236324</v>
      </c>
      <c r="AA185" s="1">
        <f t="shared" si="7"/>
        <v>324.33813289348188</v>
      </c>
      <c r="AB185" s="1"/>
      <c r="AC185" s="1"/>
      <c r="AD185" s="1"/>
      <c r="AE185" s="1">
        <f t="shared" si="8"/>
        <v>-0.4833367830185239</v>
      </c>
      <c r="AF185" s="1"/>
      <c r="AG185" s="1"/>
      <c r="AH185" s="1"/>
    </row>
    <row r="186" spans="1:34" x14ac:dyDescent="0.2">
      <c r="A186">
        <v>1934.5</v>
      </c>
      <c r="B186" s="1">
        <v>0.56144692592510104</v>
      </c>
      <c r="C186" s="1">
        <v>0.20826245120123199</v>
      </c>
      <c r="D186" s="1">
        <v>5.7836065365723603E-2</v>
      </c>
      <c r="E186" s="1">
        <v>-9.3463858533297306E-2</v>
      </c>
      <c r="F186" s="1">
        <v>-0.438476341882653</v>
      </c>
      <c r="G186" s="1">
        <v>0.138028790669948</v>
      </c>
      <c r="H186" s="1">
        <v>1.175059801592E-4</v>
      </c>
      <c r="I186" s="1">
        <v>-0.14911210086584201</v>
      </c>
      <c r="J186" s="1">
        <v>3.2141833545347297E-2</v>
      </c>
      <c r="K186" s="1">
        <v>1.5929924526972401E-2</v>
      </c>
      <c r="L186" s="1">
        <v>-1.50303678899228E-2</v>
      </c>
      <c r="M186" s="1">
        <v>-3.62800972250703E-2</v>
      </c>
      <c r="N186" s="1">
        <v>-0.53194020041595003</v>
      </c>
      <c r="O186" s="1">
        <v>0.26742137655533499</v>
      </c>
      <c r="P186" s="1">
        <v>1.3228599883788499E-3</v>
      </c>
      <c r="Q186" s="1">
        <v>0.33403405592106999</v>
      </c>
      <c r="R186" s="1">
        <v>0.28272359080607701</v>
      </c>
      <c r="S186" s="1">
        <v>-0.100922836813363</v>
      </c>
      <c r="T186" s="1"/>
      <c r="U186" s="1"/>
      <c r="V186" s="1"/>
      <c r="W186" s="1"/>
      <c r="X186" s="1"/>
      <c r="Y186" s="1"/>
      <c r="Z186" s="1">
        <f t="shared" si="6"/>
        <v>0.86597425633702041</v>
      </c>
      <c r="AA186" s="1">
        <f t="shared" si="7"/>
        <v>325.31932467559585</v>
      </c>
      <c r="AB186" s="1"/>
      <c r="AC186" s="1"/>
      <c r="AD186" s="1"/>
      <c r="AE186" s="1">
        <f t="shared" si="8"/>
        <v>-0.53194020041595036</v>
      </c>
      <c r="AF186" s="1"/>
      <c r="AG186" s="1"/>
      <c r="AH186" s="1"/>
    </row>
    <row r="187" spans="1:34" x14ac:dyDescent="0.2">
      <c r="A187">
        <v>1935.5</v>
      </c>
      <c r="B187" s="1">
        <v>0.56920332975545596</v>
      </c>
      <c r="C187" s="1">
        <v>0.210994584149615</v>
      </c>
      <c r="D187" s="1">
        <v>5.8277026254676498E-2</v>
      </c>
      <c r="E187" s="1">
        <v>-0.10196949209282299</v>
      </c>
      <c r="F187" s="1">
        <v>-0.45615123455127599</v>
      </c>
      <c r="G187" s="1">
        <v>0.14012733547724701</v>
      </c>
      <c r="H187" s="1">
        <v>1.46882475199E-4</v>
      </c>
      <c r="I187" s="1">
        <v>-0.15025829802548399</v>
      </c>
      <c r="J187" s="1">
        <v>3.25050223824076E-2</v>
      </c>
      <c r="K187" s="1">
        <v>1.6163586511285501E-2</v>
      </c>
      <c r="L187" s="1">
        <v>1.1584231719452101E-2</v>
      </c>
      <c r="M187" s="1">
        <v>0.182152944150589</v>
      </c>
      <c r="N187" s="1">
        <v>-0.55812072664409895</v>
      </c>
      <c r="O187" s="1">
        <v>0.27077419857798202</v>
      </c>
      <c r="P187" s="1">
        <v>1.5025881736902701E-3</v>
      </c>
      <c r="Q187" s="1">
        <v>0.32054133050999301</v>
      </c>
      <c r="R187" s="1">
        <v>0.51427850638003503</v>
      </c>
      <c r="S187" s="1">
        <v>-0.101442806656592</v>
      </c>
      <c r="T187" s="1"/>
      <c r="U187" s="1"/>
      <c r="V187" s="1"/>
      <c r="W187" s="1"/>
      <c r="X187" s="1"/>
      <c r="Y187" s="1"/>
      <c r="Z187" s="1">
        <f t="shared" si="6"/>
        <v>0.87866205715409285</v>
      </c>
      <c r="AA187" s="1">
        <f t="shared" si="7"/>
        <v>326.06599145865874</v>
      </c>
      <c r="AB187" s="1"/>
      <c r="AC187" s="1"/>
      <c r="AD187" s="1"/>
      <c r="AE187" s="1">
        <f t="shared" si="8"/>
        <v>-0.55812072664409895</v>
      </c>
      <c r="AF187" s="1"/>
      <c r="AG187" s="1"/>
      <c r="AH187" s="1"/>
    </row>
    <row r="188" spans="1:34" x14ac:dyDescent="0.2">
      <c r="A188">
        <v>1936.5</v>
      </c>
      <c r="B188" s="1">
        <v>0.58308023667672104</v>
      </c>
      <c r="C188" s="1">
        <v>0.21343151287647699</v>
      </c>
      <c r="D188" s="1">
        <v>5.8858904524713901E-2</v>
      </c>
      <c r="E188" s="1">
        <v>-0.11035519026276699</v>
      </c>
      <c r="F188" s="1">
        <v>-0.488686058754839</v>
      </c>
      <c r="G188" s="1">
        <v>0.14564426969092101</v>
      </c>
      <c r="H188" s="1">
        <v>1.7625897023879999E-4</v>
      </c>
      <c r="I188" s="1">
        <v>-0.151416899881189</v>
      </c>
      <c r="J188" s="1">
        <v>3.5011434739323902E-2</v>
      </c>
      <c r="K188" s="1">
        <v>1.6372646699497E-2</v>
      </c>
      <c r="L188" s="1">
        <v>6.9243997344452093E-2</v>
      </c>
      <c r="M188" s="1">
        <v>0.22139775849069501</v>
      </c>
      <c r="N188" s="1">
        <v>-0.59904124901760603</v>
      </c>
      <c r="O188" s="1">
        <v>0.27402697013949101</v>
      </c>
      <c r="P188" s="1">
        <v>1.7365527382999699E-3</v>
      </c>
      <c r="Q188" s="1">
        <v>0.30385366801739699</v>
      </c>
      <c r="R188" s="1">
        <v>0.59449542385254495</v>
      </c>
      <c r="S188" s="1">
        <v>-9.9856559472129805E-2</v>
      </c>
      <c r="T188" s="1"/>
      <c r="U188" s="1"/>
      <c r="V188" s="1"/>
      <c r="W188" s="1"/>
      <c r="X188" s="1"/>
      <c r="Y188" s="1"/>
      <c r="Z188" s="1">
        <f t="shared" si="6"/>
        <v>0.90289491703500357</v>
      </c>
      <c r="AA188" s="1">
        <f t="shared" si="7"/>
        <v>327.49684119834779</v>
      </c>
      <c r="AB188" s="1"/>
      <c r="AC188" s="1"/>
      <c r="AD188" s="1"/>
      <c r="AE188" s="1">
        <f t="shared" si="8"/>
        <v>-0.59904124901760603</v>
      </c>
      <c r="AF188" s="1"/>
      <c r="AG188" s="1"/>
      <c r="AH188" s="1"/>
    </row>
    <row r="189" spans="1:34" x14ac:dyDescent="0.2">
      <c r="A189">
        <v>1937.5</v>
      </c>
      <c r="B189" s="1">
        <v>0.59633654790731405</v>
      </c>
      <c r="C189" s="1">
        <v>0.21572819947121399</v>
      </c>
      <c r="D189" s="1">
        <v>5.9596665279389498E-2</v>
      </c>
      <c r="E189" s="1">
        <v>-0.11994927551665401</v>
      </c>
      <c r="F189" s="1">
        <v>-0.50428274229554304</v>
      </c>
      <c r="G189" s="1">
        <v>0.147724952087572</v>
      </c>
      <c r="H189" s="1">
        <v>2.0563546527860001E-4</v>
      </c>
      <c r="I189" s="1">
        <v>-0.15258829108826399</v>
      </c>
      <c r="J189" s="1">
        <v>3.5115619032367797E-2</v>
      </c>
      <c r="K189" s="1">
        <v>1.6570248590441001E-2</v>
      </c>
      <c r="L189" s="1">
        <v>7.2535720977264601E-2</v>
      </c>
      <c r="M189" s="1">
        <v>0.19105459587920201</v>
      </c>
      <c r="N189" s="1">
        <v>-0.62423201781219795</v>
      </c>
      <c r="O189" s="1">
        <v>0.27731526990564198</v>
      </c>
      <c r="P189" s="1">
        <v>1.9904051550391402E-3</v>
      </c>
      <c r="Q189" s="1">
        <v>0.29644796408815399</v>
      </c>
      <c r="R189" s="1">
        <v>0.56003828094462105</v>
      </c>
      <c r="S189" s="1">
        <v>-0.10069678800017701</v>
      </c>
      <c r="T189" s="1"/>
      <c r="U189" s="1"/>
      <c r="V189" s="1"/>
      <c r="W189" s="1"/>
      <c r="X189" s="1"/>
      <c r="Y189" s="1"/>
      <c r="Z189" s="1">
        <f t="shared" si="6"/>
        <v>0.92067998190035205</v>
      </c>
      <c r="AA189" s="1">
        <f t="shared" si="7"/>
        <v>328.55096901819405</v>
      </c>
      <c r="AB189" s="1"/>
      <c r="AC189" s="1"/>
      <c r="AD189" s="1"/>
      <c r="AE189" s="1">
        <f t="shared" si="8"/>
        <v>-0.62423201781219706</v>
      </c>
      <c r="AF189" s="1"/>
      <c r="AG189" s="1"/>
      <c r="AH189" s="1"/>
    </row>
    <row r="190" spans="1:34" x14ac:dyDescent="0.2">
      <c r="A190">
        <v>1938.5</v>
      </c>
      <c r="B190" s="1">
        <v>0.60561379490053302</v>
      </c>
      <c r="C190" s="1">
        <v>0.21792748025009001</v>
      </c>
      <c r="D190" s="1">
        <v>6.0462321779046098E-2</v>
      </c>
      <c r="E190" s="1">
        <v>-0.110317530042781</v>
      </c>
      <c r="F190" s="1">
        <v>-0.47036759303602899</v>
      </c>
      <c r="G190" s="1">
        <v>0.145715226229159</v>
      </c>
      <c r="H190" s="1">
        <v>2.350119603184E-4</v>
      </c>
      <c r="I190" s="1">
        <v>-0.15377288496210001</v>
      </c>
      <c r="J190" s="1">
        <v>3.2827371138807099E-2</v>
      </c>
      <c r="K190" s="1">
        <v>1.6759987996374098E-2</v>
      </c>
      <c r="L190" s="1">
        <v>6.2098928985077101E-2</v>
      </c>
      <c r="M190" s="1">
        <v>0.19791973167265201</v>
      </c>
      <c r="N190" s="1">
        <v>-0.58068512307881004</v>
      </c>
      <c r="O190" s="1">
        <v>0.28063415121121499</v>
      </c>
      <c r="P190" s="1">
        <v>2.2443491820782202E-3</v>
      </c>
      <c r="Q190" s="1">
        <v>0.34732753539549499</v>
      </c>
      <c r="R190" s="1">
        <v>0.60734619605322504</v>
      </c>
      <c r="S190" s="1">
        <v>-0.10395051386660099</v>
      </c>
      <c r="T190" s="1"/>
      <c r="U190" s="1"/>
      <c r="V190" s="1"/>
      <c r="W190" s="1"/>
      <c r="X190" s="1"/>
      <c r="Y190" s="1"/>
      <c r="Z190" s="1">
        <f t="shared" si="6"/>
        <v>0.92801265847430603</v>
      </c>
      <c r="AA190" s="1">
        <f t="shared" si="7"/>
        <v>328.98656686184069</v>
      </c>
      <c r="AB190" s="1"/>
      <c r="AC190" s="1"/>
      <c r="AD190" s="1"/>
      <c r="AE190" s="1">
        <f t="shared" si="8"/>
        <v>-0.58068512307880993</v>
      </c>
      <c r="AF190" s="1"/>
      <c r="AG190" s="1"/>
      <c r="AH190" s="1"/>
    </row>
    <row r="191" spans="1:34" x14ac:dyDescent="0.2">
      <c r="A191">
        <v>1939.5</v>
      </c>
      <c r="B191" s="1">
        <v>0.61535717162316395</v>
      </c>
      <c r="C191" s="1">
        <v>0.22112392006155299</v>
      </c>
      <c r="D191" s="1">
        <v>6.1168698990802503E-2</v>
      </c>
      <c r="E191" s="1">
        <v>-0.119994807007235</v>
      </c>
      <c r="F191" s="1">
        <v>-0.50300165282217502</v>
      </c>
      <c r="G191" s="1">
        <v>0.15123070003935801</v>
      </c>
      <c r="H191" s="1">
        <v>2.6438845535819999E-4</v>
      </c>
      <c r="I191" s="1">
        <v>-0.154971042166617</v>
      </c>
      <c r="J191" s="1">
        <v>3.4904549077023998E-2</v>
      </c>
      <c r="K191" s="1">
        <v>1.7036257672494701E-2</v>
      </c>
      <c r="L191" s="1">
        <v>5.91972200007021E-2</v>
      </c>
      <c r="M191" s="1">
        <v>0.22191605908409501</v>
      </c>
      <c r="N191" s="1">
        <v>-0.62299645982941099</v>
      </c>
      <c r="O191" s="1">
        <v>0.28480479809256298</v>
      </c>
      <c r="P191" s="1">
        <v>2.5121790402070601E-3</v>
      </c>
      <c r="Q191" s="1">
        <v>0.32563036296393399</v>
      </c>
      <c r="R191" s="1">
        <v>0.60674364204873199</v>
      </c>
      <c r="S191" s="1">
        <v>-0.10276584696174</v>
      </c>
      <c r="T191" s="1"/>
      <c r="U191" s="1"/>
      <c r="V191" s="1"/>
      <c r="W191" s="1"/>
      <c r="X191" s="1"/>
      <c r="Y191" s="1"/>
      <c r="Z191" s="1">
        <f t="shared" si="6"/>
        <v>0.94862682279334443</v>
      </c>
      <c r="AA191" s="1">
        <f t="shared" si="7"/>
        <v>330.21424825106158</v>
      </c>
      <c r="AB191" s="1"/>
      <c r="AC191" s="1"/>
      <c r="AD191" s="1"/>
      <c r="AE191" s="1">
        <f t="shared" si="8"/>
        <v>-0.62299645982940999</v>
      </c>
      <c r="AF191" s="1"/>
      <c r="AG191" s="1"/>
      <c r="AH191" s="1"/>
    </row>
    <row r="192" spans="1:34" x14ac:dyDescent="0.2">
      <c r="A192">
        <v>1940.5</v>
      </c>
      <c r="B192" s="1">
        <v>0.62417926587734696</v>
      </c>
      <c r="C192" s="1">
        <v>0.222752744776926</v>
      </c>
      <c r="D192" s="1">
        <v>6.2006649731571301E-2</v>
      </c>
      <c r="E192" s="1">
        <v>-0.13312017378565399</v>
      </c>
      <c r="F192" s="1">
        <v>-0.52457096781740398</v>
      </c>
      <c r="G192" s="1">
        <v>0.15296371980590201</v>
      </c>
      <c r="H192" s="1">
        <v>2.9376495039800001E-4</v>
      </c>
      <c r="I192" s="1">
        <v>-0.15534715076776301</v>
      </c>
      <c r="J192" s="1">
        <v>3.5275156039051903E-2</v>
      </c>
      <c r="K192" s="1">
        <v>1.7177625353240401E-2</v>
      </c>
      <c r="L192" s="1">
        <v>3.9774490508514601E-2</v>
      </c>
      <c r="M192" s="1">
        <v>0.22690040221312499</v>
      </c>
      <c r="N192" s="1">
        <v>-0.65769114160305797</v>
      </c>
      <c r="O192" s="1">
        <v>0.28758025271375098</v>
      </c>
      <c r="P192" s="1">
        <v>2.8208582052543299E-3</v>
      </c>
      <c r="Q192" s="1">
        <v>0.30443149236887002</v>
      </c>
      <c r="R192" s="1">
        <v>0.57110638509051004</v>
      </c>
      <c r="S192" s="1">
        <v>-0.102600604425073</v>
      </c>
      <c r="T192" s="1"/>
      <c r="U192" s="1"/>
      <c r="V192" s="1"/>
      <c r="W192" s="1"/>
      <c r="X192" s="1"/>
      <c r="Y192" s="1"/>
      <c r="Z192" s="1">
        <f t="shared" si="6"/>
        <v>0.96212263397192788</v>
      </c>
      <c r="AA192" s="1">
        <f t="shared" si="7"/>
        <v>331.0204748731237</v>
      </c>
      <c r="AB192" s="1"/>
      <c r="AC192" s="1"/>
      <c r="AD192" s="1"/>
      <c r="AE192" s="1">
        <f t="shared" si="8"/>
        <v>-0.65769114160305797</v>
      </c>
      <c r="AF192" s="1"/>
      <c r="AG192" s="1"/>
      <c r="AH192" s="1"/>
    </row>
    <row r="193" spans="1:34" x14ac:dyDescent="0.2">
      <c r="A193">
        <v>1941.5</v>
      </c>
      <c r="B193" s="1">
        <v>0.63206747298427601</v>
      </c>
      <c r="C193" s="1">
        <v>0.22433275332719901</v>
      </c>
      <c r="D193" s="1">
        <v>6.2890313051611205E-2</v>
      </c>
      <c r="E193" s="1">
        <v>-0.13806289922867099</v>
      </c>
      <c r="F193" s="1">
        <v>-0.53574507260597004</v>
      </c>
      <c r="G193" s="1">
        <v>0.15476924433129099</v>
      </c>
      <c r="H193" s="1">
        <v>3.1665572575370003E-4</v>
      </c>
      <c r="I193" s="1">
        <v>-0.15490201022192299</v>
      </c>
      <c r="J193" s="1">
        <v>3.59559687309721E-2</v>
      </c>
      <c r="K193" s="1">
        <v>1.7315021539851198E-2</v>
      </c>
      <c r="L193" s="1">
        <v>2.40647004694521E-2</v>
      </c>
      <c r="M193" s="1">
        <v>0.22757256873194201</v>
      </c>
      <c r="N193" s="1">
        <v>-0.67380797183464103</v>
      </c>
      <c r="O193" s="1">
        <v>0.29040901552569498</v>
      </c>
      <c r="P193" s="1">
        <v>3.1859491468850601E-3</v>
      </c>
      <c r="Q193" s="1">
        <v>0.30212339678127498</v>
      </c>
      <c r="R193" s="1">
        <v>0.55376066598267004</v>
      </c>
      <c r="S193" s="1">
        <v>-0.101314364225346</v>
      </c>
      <c r="T193" s="1"/>
      <c r="U193" s="1"/>
      <c r="V193" s="1"/>
      <c r="W193" s="1"/>
      <c r="X193" s="1"/>
      <c r="Y193" s="1"/>
      <c r="Z193" s="1">
        <f t="shared" si="6"/>
        <v>0.97593136861591634</v>
      </c>
      <c r="AA193" s="1">
        <f t="shared" si="7"/>
        <v>331.84743269096907</v>
      </c>
      <c r="AB193" s="1"/>
      <c r="AC193" s="1"/>
      <c r="AD193" s="1"/>
      <c r="AE193" s="1">
        <f t="shared" si="8"/>
        <v>-0.67380797183464103</v>
      </c>
      <c r="AF193" s="1"/>
      <c r="AG193" s="1"/>
      <c r="AH193" s="1"/>
    </row>
    <row r="194" spans="1:34" x14ac:dyDescent="0.2">
      <c r="A194">
        <v>1942.5</v>
      </c>
      <c r="B194" s="1">
        <v>0.63829865448675704</v>
      </c>
      <c r="C194" s="1">
        <v>0.22683482136764299</v>
      </c>
      <c r="D194" s="1">
        <v>6.3873249270398294E-2</v>
      </c>
      <c r="E194" s="1">
        <v>-0.14217651720428101</v>
      </c>
      <c r="F194" s="1">
        <v>-0.55367015868439096</v>
      </c>
      <c r="G194" s="1">
        <v>0.15694923146998499</v>
      </c>
      <c r="H194" s="1">
        <v>3.433616303353E-4</v>
      </c>
      <c r="I194" s="1">
        <v>-0.15447328647910599</v>
      </c>
      <c r="J194" s="1">
        <v>3.7337893405546503E-2</v>
      </c>
      <c r="K194" s="1">
        <v>1.75328512164637E-2</v>
      </c>
      <c r="L194" s="1">
        <v>5.5936067194521004E-3</v>
      </c>
      <c r="M194" s="1">
        <v>0.22751127419966499</v>
      </c>
      <c r="N194" s="1">
        <v>-0.69584667588867199</v>
      </c>
      <c r="O194" s="1">
        <v>0.29435301490118498</v>
      </c>
      <c r="P194" s="1">
        <v>3.6449442631440298E-3</v>
      </c>
      <c r="Q194" s="1">
        <v>0.29449504474249499</v>
      </c>
      <c r="R194" s="1">
        <v>0.52759992566161196</v>
      </c>
      <c r="S194" s="1">
        <v>-9.9259180226761001E-2</v>
      </c>
      <c r="T194" s="1"/>
      <c r="U194" s="1"/>
      <c r="V194" s="1"/>
      <c r="W194" s="1"/>
      <c r="X194" s="1"/>
      <c r="Y194" s="1"/>
      <c r="Z194" s="1">
        <f t="shared" ref="Z194:Z257" si="9">K194+J194+I194+H194+G194+D194+C194+B194+P194</f>
        <v>0.99034172063116677</v>
      </c>
      <c r="AA194" s="1">
        <f t="shared" ref="AA194:AA257" si="10">10^((Z194+$V$100)/$V$99)</f>
        <v>332.71262227633349</v>
      </c>
      <c r="AB194" s="1"/>
      <c r="AC194" s="1"/>
      <c r="AD194" s="1"/>
      <c r="AE194" s="1">
        <f t="shared" ref="AE194:AE257" si="11">F194+E194</f>
        <v>-0.69584667588867199</v>
      </c>
      <c r="AF194" s="1"/>
      <c r="AG194" s="1"/>
      <c r="AH194" s="1"/>
    </row>
    <row r="195" spans="1:34" x14ac:dyDescent="0.2">
      <c r="A195">
        <v>1943.5</v>
      </c>
      <c r="B195" s="1">
        <v>0.64199133266853303</v>
      </c>
      <c r="C195" s="1">
        <v>0.22908080033804301</v>
      </c>
      <c r="D195" s="1">
        <v>6.6157802504355698E-2</v>
      </c>
      <c r="E195" s="1">
        <v>-0.14328200659464399</v>
      </c>
      <c r="F195" s="1">
        <v>-0.55635365572706397</v>
      </c>
      <c r="G195" s="1">
        <v>0.159806260470821</v>
      </c>
      <c r="H195" s="1">
        <v>3.7006753491690002E-4</v>
      </c>
      <c r="I195" s="1">
        <v>-0.15406285419395699</v>
      </c>
      <c r="J195" s="1">
        <v>3.77624154042338E-2</v>
      </c>
      <c r="K195" s="1">
        <v>1.7729589039089302E-2</v>
      </c>
      <c r="L195" s="1">
        <v>-1.3064694061797799E-2</v>
      </c>
      <c r="M195" s="1">
        <v>-0.38044860566180899</v>
      </c>
      <c r="N195" s="1">
        <v>-0.69963566232170904</v>
      </c>
      <c r="O195" s="1">
        <v>0.299434845045224</v>
      </c>
      <c r="P195" s="1">
        <v>4.1962422028256098E-3</v>
      </c>
      <c r="Q195" s="1">
        <v>0.30339599364715197</v>
      </c>
      <c r="R195" s="1">
        <v>-9.0117306076455198E-2</v>
      </c>
      <c r="S195" s="1">
        <v>-9.8200782215717902E-2</v>
      </c>
      <c r="T195" s="1"/>
      <c r="U195" s="1"/>
      <c r="V195" s="1"/>
      <c r="W195" s="1"/>
      <c r="X195" s="1"/>
      <c r="Y195" s="1"/>
      <c r="Z195" s="1">
        <f t="shared" si="9"/>
        <v>1.0030316559688615</v>
      </c>
      <c r="AA195" s="1">
        <f t="shared" si="10"/>
        <v>333.47638663362244</v>
      </c>
      <c r="AB195" s="1"/>
      <c r="AC195" s="1"/>
      <c r="AD195" s="1"/>
      <c r="AE195" s="1">
        <f t="shared" si="11"/>
        <v>-0.69963566232170793</v>
      </c>
      <c r="AF195" s="1"/>
      <c r="AG195" s="1"/>
      <c r="AH195" s="1"/>
    </row>
    <row r="196" spans="1:34" x14ac:dyDescent="0.2">
      <c r="A196">
        <v>1944.5</v>
      </c>
      <c r="B196" s="1">
        <v>0.64223548914096795</v>
      </c>
      <c r="C196" s="1">
        <v>0.230897415445496</v>
      </c>
      <c r="D196" s="1">
        <v>6.6948426775250994E-2</v>
      </c>
      <c r="E196" s="1">
        <v>-0.13891739474551801</v>
      </c>
      <c r="F196" s="1">
        <v>-0.55035836804608995</v>
      </c>
      <c r="G196" s="1">
        <v>0.162601634778199</v>
      </c>
      <c r="H196" s="1">
        <v>4.0058856872450001E-4</v>
      </c>
      <c r="I196" s="1">
        <v>-0.15367256205284799</v>
      </c>
      <c r="J196" s="1">
        <v>3.7920079820131097E-2</v>
      </c>
      <c r="K196" s="1">
        <v>1.78885117972882E-2</v>
      </c>
      <c r="L196" s="1">
        <v>-7.8696989446102993E-3</v>
      </c>
      <c r="M196" s="1">
        <v>-0.28536022900072799</v>
      </c>
      <c r="N196" s="1">
        <v>-0.68927576279160896</v>
      </c>
      <c r="O196" s="1">
        <v>0.30269682515219798</v>
      </c>
      <c r="P196" s="1">
        <v>4.85098293145147E-3</v>
      </c>
      <c r="Q196" s="1">
        <v>0.32079480441305203</v>
      </c>
      <c r="R196" s="1">
        <v>2.75648764677132E-2</v>
      </c>
      <c r="S196" s="1">
        <v>-9.7463381866704696E-2</v>
      </c>
      <c r="T196" s="1"/>
      <c r="U196" s="1"/>
      <c r="V196" s="1"/>
      <c r="W196" s="1"/>
      <c r="X196" s="1"/>
      <c r="Y196" s="1"/>
      <c r="Z196" s="1">
        <f t="shared" si="9"/>
        <v>1.010070567204661</v>
      </c>
      <c r="AA196" s="1">
        <f t="shared" si="10"/>
        <v>333.90079065065981</v>
      </c>
      <c r="AB196" s="1"/>
      <c r="AC196" s="1"/>
      <c r="AD196" s="1"/>
      <c r="AE196" s="1">
        <f t="shared" si="11"/>
        <v>-0.68927576279160796</v>
      </c>
      <c r="AF196" s="1"/>
      <c r="AG196" s="1"/>
      <c r="AH196" s="1"/>
    </row>
    <row r="197" spans="1:34" x14ac:dyDescent="0.2">
      <c r="A197">
        <v>1945.5</v>
      </c>
      <c r="B197" s="1">
        <v>0.64157787637785202</v>
      </c>
      <c r="C197" s="1">
        <v>0.23242924213713401</v>
      </c>
      <c r="D197" s="1">
        <v>6.7767846554643699E-2</v>
      </c>
      <c r="E197" s="1">
        <v>-0.119419053761757</v>
      </c>
      <c r="F197" s="1">
        <v>-0.49516552412859399</v>
      </c>
      <c r="G197" s="1">
        <v>0.161789179683342</v>
      </c>
      <c r="H197" s="1">
        <v>4.311096025321E-4</v>
      </c>
      <c r="I197" s="1">
        <v>-0.15330431268818601</v>
      </c>
      <c r="J197" s="1">
        <v>3.4518341304221101E-2</v>
      </c>
      <c r="K197" s="1">
        <v>1.80228327593864E-2</v>
      </c>
      <c r="L197" s="1">
        <v>2.7512429961639599E-2</v>
      </c>
      <c r="M197" s="1">
        <v>8.3939135820271002E-2</v>
      </c>
      <c r="N197" s="1">
        <v>-0.61458457789035104</v>
      </c>
      <c r="O197" s="1">
        <v>0.30566086194896702</v>
      </c>
      <c r="P197" s="1">
        <v>5.4637732571885898E-3</v>
      </c>
      <c r="Q197" s="1">
        <v>0.39411131109776298</v>
      </c>
      <c r="R197" s="1">
        <v>0.50556287687967405</v>
      </c>
      <c r="S197" s="1">
        <v>-0.10033202902204599</v>
      </c>
      <c r="T197" s="1"/>
      <c r="U197" s="1"/>
      <c r="V197" s="1"/>
      <c r="W197" s="1"/>
      <c r="X197" s="1"/>
      <c r="Y197" s="1"/>
      <c r="Z197" s="1">
        <f t="shared" si="9"/>
        <v>1.0086958889881139</v>
      </c>
      <c r="AA197" s="1">
        <f t="shared" si="10"/>
        <v>333.81786340079913</v>
      </c>
      <c r="AB197" s="1"/>
      <c r="AC197" s="1"/>
      <c r="AD197" s="1"/>
      <c r="AE197" s="1">
        <f t="shared" si="11"/>
        <v>-0.61458457789035104</v>
      </c>
      <c r="AF197" s="1"/>
      <c r="AG197" s="1"/>
      <c r="AH197" s="1"/>
    </row>
    <row r="198" spans="1:34" x14ac:dyDescent="0.2">
      <c r="A198">
        <v>1946.5</v>
      </c>
      <c r="B198" s="1">
        <v>0.641504162538027</v>
      </c>
      <c r="C198" s="1">
        <v>0.23460630834738699</v>
      </c>
      <c r="D198" s="1">
        <v>6.84893089930705E-2</v>
      </c>
      <c r="E198" s="1">
        <v>-0.11479815150391499</v>
      </c>
      <c r="F198" s="1">
        <v>-0.48248171614438101</v>
      </c>
      <c r="G198" s="1">
        <v>0.161451403523863</v>
      </c>
      <c r="H198" s="1">
        <v>4.6926089479160002E-4</v>
      </c>
      <c r="I198" s="1">
        <v>-0.15296001325956099</v>
      </c>
      <c r="J198" s="1">
        <v>3.4156761250280103E-2</v>
      </c>
      <c r="K198" s="1">
        <v>1.8213865584355698E-2</v>
      </c>
      <c r="L198" s="1">
        <v>4.4563870391327101E-2</v>
      </c>
      <c r="M198" s="1">
        <v>0.19213434662678799</v>
      </c>
      <c r="N198" s="1">
        <v>-0.59727986764829599</v>
      </c>
      <c r="O198" s="1">
        <v>0.30939366498014398</v>
      </c>
      <c r="P198" s="1">
        <v>6.2980476396868896E-3</v>
      </c>
      <c r="Q198" s="1">
        <v>0.41494923786360399</v>
      </c>
      <c r="R198" s="1">
        <v>0.65164745488172005</v>
      </c>
      <c r="S198" s="1">
        <v>-0.100120125530133</v>
      </c>
      <c r="T198" s="1"/>
      <c r="U198" s="1"/>
      <c r="V198" s="1"/>
      <c r="W198" s="1"/>
      <c r="X198" s="1"/>
      <c r="Y198" s="1"/>
      <c r="Z198" s="1">
        <f t="shared" si="9"/>
        <v>1.012229105511901</v>
      </c>
      <c r="AA198" s="1">
        <f t="shared" si="10"/>
        <v>334.03104571095679</v>
      </c>
      <c r="AB198" s="1"/>
      <c r="AC198" s="1"/>
      <c r="AD198" s="1"/>
      <c r="AE198" s="1">
        <f t="shared" si="11"/>
        <v>-0.59727986764829599</v>
      </c>
      <c r="AF198" s="1"/>
      <c r="AG198" s="1"/>
      <c r="AH198" s="1"/>
    </row>
    <row r="199" spans="1:34" x14ac:dyDescent="0.2">
      <c r="A199">
        <v>1947.5</v>
      </c>
      <c r="B199" s="1">
        <v>0.64304087031567603</v>
      </c>
      <c r="C199" s="1">
        <v>0.23760109451040801</v>
      </c>
      <c r="D199" s="1">
        <v>6.8798951900144401E-2</v>
      </c>
      <c r="E199" s="1">
        <v>-0.129482488932608</v>
      </c>
      <c r="F199" s="1">
        <v>-0.509374554648516</v>
      </c>
      <c r="G199" s="1">
        <v>0.16607238435246899</v>
      </c>
      <c r="H199" s="1">
        <v>5.0359705782510001E-4</v>
      </c>
      <c r="I199" s="1">
        <v>-0.15264151392575501</v>
      </c>
      <c r="J199" s="1">
        <v>3.4698369613447202E-2</v>
      </c>
      <c r="K199" s="1">
        <v>1.8476981027875001E-2</v>
      </c>
      <c r="L199" s="1">
        <v>9.0055178985077103E-2</v>
      </c>
      <c r="M199" s="1">
        <v>-8.3986051238603993E-3</v>
      </c>
      <c r="N199" s="1">
        <v>-0.63885704358112405</v>
      </c>
      <c r="O199" s="1">
        <v>0.31357291336315601</v>
      </c>
      <c r="P199" s="1">
        <v>7.1728669526032202E-3</v>
      </c>
      <c r="Q199" s="1">
        <v>0.38486655822356902</v>
      </c>
      <c r="R199" s="1">
        <v>0.46652313208478602</v>
      </c>
      <c r="S199" s="1">
        <v>-9.8962566226608498E-2</v>
      </c>
      <c r="T199" s="1"/>
      <c r="U199" s="1"/>
      <c r="V199" s="1"/>
      <c r="W199" s="1"/>
      <c r="X199" s="1"/>
      <c r="Y199" s="1"/>
      <c r="Z199" s="1">
        <f t="shared" si="9"/>
        <v>1.0237236018046929</v>
      </c>
      <c r="AA199" s="1">
        <f t="shared" si="10"/>
        <v>334.72552701226618</v>
      </c>
      <c r="AB199" s="1"/>
      <c r="AC199" s="1"/>
      <c r="AD199" s="1"/>
      <c r="AE199" s="1">
        <f t="shared" si="11"/>
        <v>-0.63885704358112405</v>
      </c>
      <c r="AF199" s="1"/>
      <c r="AG199" s="1"/>
      <c r="AH199" s="1"/>
    </row>
    <row r="200" spans="1:34" x14ac:dyDescent="0.2">
      <c r="A200">
        <v>1948.5</v>
      </c>
      <c r="B200" s="1">
        <v>0.64349906838612303</v>
      </c>
      <c r="C200" s="1">
        <v>0.24059274450929999</v>
      </c>
      <c r="D200" s="1">
        <v>6.8971521173129893E-2</v>
      </c>
      <c r="E200" s="1">
        <v>-0.13550683952949399</v>
      </c>
      <c r="F200" s="1">
        <v>-0.53169270311274497</v>
      </c>
      <c r="G200" s="1">
        <v>0.17231022055147199</v>
      </c>
      <c r="H200" s="1">
        <v>5.4556347931059999E-4</v>
      </c>
      <c r="I200" s="1">
        <v>-0.152350718011144</v>
      </c>
      <c r="J200" s="1">
        <v>3.6449450373658897E-2</v>
      </c>
      <c r="K200" s="1">
        <v>1.87405419227635E-2</v>
      </c>
      <c r="L200" s="1">
        <v>0.10562456375070201</v>
      </c>
      <c r="M200" s="1">
        <v>5.5896430253197703E-2</v>
      </c>
      <c r="N200" s="1">
        <v>-0.66719954264224002</v>
      </c>
      <c r="O200" s="1">
        <v>0.31768492208780902</v>
      </c>
      <c r="P200" s="1">
        <v>8.1206564053795203E-3</v>
      </c>
      <c r="Q200" s="1">
        <v>0.36967950614775302</v>
      </c>
      <c r="R200" s="1">
        <v>0.53120050015165299</v>
      </c>
      <c r="S200" s="1">
        <v>-9.6615162235411695E-2</v>
      </c>
      <c r="T200" s="1"/>
      <c r="U200" s="1"/>
      <c r="V200" s="1"/>
      <c r="W200" s="1"/>
      <c r="X200" s="1"/>
      <c r="Y200" s="1"/>
      <c r="Z200" s="1">
        <f t="shared" si="9"/>
        <v>1.0368790487899935</v>
      </c>
      <c r="AA200" s="1">
        <f t="shared" si="10"/>
        <v>335.52213272341129</v>
      </c>
      <c r="AB200" s="1"/>
      <c r="AC200" s="1"/>
      <c r="AD200" s="1"/>
      <c r="AE200" s="1">
        <f t="shared" si="11"/>
        <v>-0.66719954264223902</v>
      </c>
      <c r="AF200" s="1"/>
      <c r="AG200" s="1"/>
      <c r="AH200" s="1"/>
    </row>
    <row r="201" spans="1:34" x14ac:dyDescent="0.2">
      <c r="A201">
        <v>1949.5</v>
      </c>
      <c r="B201" s="1">
        <v>0.64530111777849697</v>
      </c>
      <c r="C201" s="1">
        <v>0.24294408650059399</v>
      </c>
      <c r="D201" s="1">
        <v>6.9135287165369499E-2</v>
      </c>
      <c r="E201" s="1">
        <v>-0.135850343636261</v>
      </c>
      <c r="F201" s="1">
        <v>-0.52613460805997103</v>
      </c>
      <c r="G201" s="1">
        <v>0.17169931795979201</v>
      </c>
      <c r="H201" s="1">
        <v>5.8752990079600001E-4</v>
      </c>
      <c r="I201" s="1">
        <v>-0.152089481272069</v>
      </c>
      <c r="J201" s="1">
        <v>3.5117023008485397E-2</v>
      </c>
      <c r="K201" s="1">
        <v>1.8948265756868001E-2</v>
      </c>
      <c r="L201" s="1">
        <v>9.0601199492889598E-2</v>
      </c>
      <c r="M201" s="1">
        <v>0.18929411327094001</v>
      </c>
      <c r="N201" s="1">
        <v>-0.66198495169623295</v>
      </c>
      <c r="O201" s="1">
        <v>0.32118212994448903</v>
      </c>
      <c r="P201" s="1">
        <v>9.1027562785254198E-3</v>
      </c>
      <c r="Q201" s="1">
        <v>0.37876095138062499</v>
      </c>
      <c r="R201" s="1">
        <v>0.65865626414445599</v>
      </c>
      <c r="S201" s="1">
        <v>-9.7436662605920293E-2</v>
      </c>
      <c r="T201" s="1"/>
      <c r="U201" s="1"/>
      <c r="V201" s="1"/>
      <c r="W201" s="1"/>
      <c r="X201" s="1"/>
      <c r="Y201" s="1"/>
      <c r="Z201" s="1">
        <f t="shared" si="9"/>
        <v>1.0407459030768584</v>
      </c>
      <c r="AA201" s="1">
        <f t="shared" si="10"/>
        <v>335.75664382734175</v>
      </c>
      <c r="AB201" s="1"/>
      <c r="AC201" s="1"/>
      <c r="AD201" s="1"/>
      <c r="AE201" s="1">
        <f t="shared" si="11"/>
        <v>-0.66198495169623206</v>
      </c>
      <c r="AF201" s="1"/>
      <c r="AG201" s="1"/>
      <c r="AH201" s="1"/>
    </row>
    <row r="202" spans="1:34" x14ac:dyDescent="0.2">
      <c r="A202">
        <v>1950.5</v>
      </c>
      <c r="B202" s="1">
        <v>0.64848113438551203</v>
      </c>
      <c r="C202" s="1">
        <v>0.244667669872317</v>
      </c>
      <c r="D202" s="1">
        <v>6.9648928728714005E-2</v>
      </c>
      <c r="E202" s="1">
        <v>-0.14784302901274399</v>
      </c>
      <c r="F202" s="1">
        <v>-0.56625558237176099</v>
      </c>
      <c r="G202" s="1">
        <v>0.179816245403769</v>
      </c>
      <c r="H202" s="1">
        <v>6.371265807333E-4</v>
      </c>
      <c r="I202" s="1">
        <v>-0.15274546215151999</v>
      </c>
      <c r="J202" s="1">
        <v>3.7904615923544202E-2</v>
      </c>
      <c r="K202" s="1">
        <v>1.9101064900461599E-2</v>
      </c>
      <c r="L202" s="1">
        <v>5.6950735625702097E-2</v>
      </c>
      <c r="M202" s="1">
        <v>0.21777804305107001</v>
      </c>
      <c r="N202" s="1">
        <v>-0.71409861138450403</v>
      </c>
      <c r="O202" s="1">
        <v>0.32442132135824397</v>
      </c>
      <c r="P202" s="1">
        <v>1.0104722757212799E-2</v>
      </c>
      <c r="Q202" s="1">
        <v>0.34351743501623999</v>
      </c>
      <c r="R202" s="1">
        <v>0.61824621369301203</v>
      </c>
      <c r="S202" s="1">
        <v>-9.5102654746781604E-2</v>
      </c>
      <c r="T202" s="1"/>
      <c r="U202" s="1"/>
      <c r="V202" s="1"/>
      <c r="W202" s="1"/>
      <c r="X202" s="1"/>
      <c r="Y202" s="1"/>
      <c r="Z202" s="1">
        <f t="shared" si="9"/>
        <v>1.057616046400744</v>
      </c>
      <c r="AA202" s="1">
        <f t="shared" si="10"/>
        <v>336.7816776047639</v>
      </c>
      <c r="AB202" s="1"/>
      <c r="AC202" s="1"/>
      <c r="AD202" s="1"/>
      <c r="AE202" s="1">
        <f t="shared" si="11"/>
        <v>-0.71409861138450492</v>
      </c>
      <c r="AF202" s="1"/>
      <c r="AG202" s="1"/>
      <c r="AH202" s="1"/>
    </row>
    <row r="203" spans="1:34" x14ac:dyDescent="0.2">
      <c r="A203">
        <v>1951.5</v>
      </c>
      <c r="B203" s="1">
        <v>0.65172972296057996</v>
      </c>
      <c r="C203" s="1">
        <v>0.24714115111162299</v>
      </c>
      <c r="D203" s="1">
        <v>7.0089329131017605E-2</v>
      </c>
      <c r="E203" s="1">
        <v>-0.15558507893262899</v>
      </c>
      <c r="F203" s="1">
        <v>-0.55258999134818998</v>
      </c>
      <c r="G203" s="1">
        <v>0.17795582213642</v>
      </c>
      <c r="H203" s="1">
        <v>6.8672326067059999E-4</v>
      </c>
      <c r="I203" s="1">
        <v>-0.154445423216754</v>
      </c>
      <c r="J203" s="1">
        <v>3.5300826829863297E-2</v>
      </c>
      <c r="K203" s="1">
        <v>1.9320644181246901E-2</v>
      </c>
      <c r="L203" s="1">
        <v>1.2457864531952099E-2</v>
      </c>
      <c r="M203" s="1">
        <v>0.103036721328748</v>
      </c>
      <c r="N203" s="1">
        <v>-0.70817507028081905</v>
      </c>
      <c r="O203" s="1">
        <v>0.32839557500792699</v>
      </c>
      <c r="P203" s="1">
        <v>1.11650947652868E-2</v>
      </c>
      <c r="Q203" s="1">
        <v>0.35076882087913502</v>
      </c>
      <c r="R203" s="1">
        <v>0.46626340673983602</v>
      </c>
      <c r="S203" s="1">
        <v>-9.9137228944973899E-2</v>
      </c>
      <c r="T203" s="1"/>
      <c r="U203" s="1"/>
      <c r="V203" s="1"/>
      <c r="W203" s="1"/>
      <c r="X203" s="1"/>
      <c r="Y203" s="1"/>
      <c r="Z203" s="1">
        <f t="shared" si="9"/>
        <v>1.0589438911599542</v>
      </c>
      <c r="AA203" s="1">
        <f t="shared" si="10"/>
        <v>336.86249048045528</v>
      </c>
      <c r="AB203" s="1"/>
      <c r="AC203" s="1"/>
      <c r="AD203" s="1"/>
      <c r="AE203" s="1">
        <f t="shared" si="11"/>
        <v>-0.70817507028081894</v>
      </c>
      <c r="AF203" s="1"/>
      <c r="AG203" s="1"/>
      <c r="AH203" s="1"/>
    </row>
    <row r="204" spans="1:34" x14ac:dyDescent="0.2">
      <c r="A204">
        <v>1952.5</v>
      </c>
      <c r="B204" s="1">
        <v>0.65735932844331602</v>
      </c>
      <c r="C204" s="1">
        <v>0.24986003709990101</v>
      </c>
      <c r="D204" s="1">
        <v>7.0682507343284406E-2</v>
      </c>
      <c r="E204" s="1">
        <v>-0.16165816761021101</v>
      </c>
      <c r="F204" s="1">
        <v>-0.56771797352832298</v>
      </c>
      <c r="G204" s="1">
        <v>0.18185979568444699</v>
      </c>
      <c r="H204" s="1">
        <v>7.401350698339E-4</v>
      </c>
      <c r="I204" s="1">
        <v>-0.156148278673475</v>
      </c>
      <c r="J204" s="1">
        <v>3.58739104301928E-2</v>
      </c>
      <c r="K204" s="1">
        <v>1.9562705338967E-2</v>
      </c>
      <c r="L204" s="1">
        <v>1.04453889460146E-2</v>
      </c>
      <c r="M204" s="1">
        <v>0.10033306864352499</v>
      </c>
      <c r="N204" s="1">
        <v>-0.72937614113853499</v>
      </c>
      <c r="O204" s="1">
        <v>0.33275921795232</v>
      </c>
      <c r="P204" s="1">
        <v>1.2216673509135001E-2</v>
      </c>
      <c r="Q204" s="1">
        <v>0.34263067310706702</v>
      </c>
      <c r="R204" s="1">
        <v>0.45340913069660699</v>
      </c>
      <c r="S204" s="1">
        <v>-9.9971527834481599E-2</v>
      </c>
      <c r="T204" s="1"/>
      <c r="U204" s="1"/>
      <c r="V204" s="1"/>
      <c r="W204" s="1"/>
      <c r="X204" s="1"/>
      <c r="Y204" s="1"/>
      <c r="Z204" s="1">
        <f t="shared" si="9"/>
        <v>1.0720068142456021</v>
      </c>
      <c r="AA204" s="1">
        <f t="shared" si="10"/>
        <v>337.6585368500098</v>
      </c>
      <c r="AB204" s="1"/>
      <c r="AC204" s="1"/>
      <c r="AD204" s="1"/>
      <c r="AE204" s="1">
        <f t="shared" si="11"/>
        <v>-0.729376141138534</v>
      </c>
      <c r="AF204" s="1"/>
      <c r="AG204" s="1"/>
      <c r="AH204" s="1"/>
    </row>
    <row r="205" spans="1:34" x14ac:dyDescent="0.2">
      <c r="A205">
        <v>1953.5</v>
      </c>
      <c r="B205" s="1">
        <v>0.66404028779976199</v>
      </c>
      <c r="C205" s="1">
        <v>0.25431448980789001</v>
      </c>
      <c r="D205" s="1">
        <v>7.1773961593615807E-2</v>
      </c>
      <c r="E205" s="1">
        <v>-0.16767371692293401</v>
      </c>
      <c r="F205" s="1">
        <v>-0.58503140173299095</v>
      </c>
      <c r="G205" s="1">
        <v>0.187916988893673</v>
      </c>
      <c r="H205" s="1">
        <v>8.0117713744909998E-4</v>
      </c>
      <c r="I205" s="1">
        <v>-0.15770565606311099</v>
      </c>
      <c r="J205" s="1">
        <v>3.6829661932726999E-2</v>
      </c>
      <c r="K205" s="1">
        <v>1.9960792547353001E-2</v>
      </c>
      <c r="L205" s="1">
        <v>-2.6123014836728002E-3</v>
      </c>
      <c r="M205" s="1">
        <v>0.15960154753765399</v>
      </c>
      <c r="N205" s="1">
        <v>-0.75270511865592404</v>
      </c>
      <c r="O205" s="1">
        <v>0.33949049602827802</v>
      </c>
      <c r="P205" s="1">
        <v>1.34020446267721E-2</v>
      </c>
      <c r="Q205" s="1">
        <v>0.33862862962020701</v>
      </c>
      <c r="R205" s="1">
        <v>0.49561787567418802</v>
      </c>
      <c r="S205" s="1">
        <v>-0.100114024445582</v>
      </c>
      <c r="T205" s="1"/>
      <c r="U205" s="1"/>
      <c r="V205" s="1"/>
      <c r="W205" s="1"/>
      <c r="X205" s="1"/>
      <c r="Y205" s="1"/>
      <c r="Z205" s="1">
        <f t="shared" si="9"/>
        <v>1.0913337482761312</v>
      </c>
      <c r="AA205" s="1">
        <f t="shared" si="10"/>
        <v>338.83975996126065</v>
      </c>
      <c r="AB205" s="1"/>
      <c r="AC205" s="1"/>
      <c r="AD205" s="1"/>
      <c r="AE205" s="1">
        <f t="shared" si="11"/>
        <v>-0.75270511865592493</v>
      </c>
      <c r="AF205" s="1"/>
      <c r="AG205" s="1"/>
      <c r="AH205" s="1"/>
    </row>
    <row r="206" spans="1:34" x14ac:dyDescent="0.2">
      <c r="A206">
        <v>1954.5</v>
      </c>
      <c r="B206" s="1">
        <v>0.67030946746647502</v>
      </c>
      <c r="C206" s="1">
        <v>0.25973968224354099</v>
      </c>
      <c r="D206" s="1">
        <v>7.25273902054306E-2</v>
      </c>
      <c r="E206" s="1">
        <v>-0.171914304171216</v>
      </c>
      <c r="F206" s="1">
        <v>-0.59509520392049398</v>
      </c>
      <c r="G206" s="1">
        <v>0.192234695388735</v>
      </c>
      <c r="H206" s="1">
        <v>8.6603433429020002E-4</v>
      </c>
      <c r="I206" s="1">
        <v>-0.15938663076283499</v>
      </c>
      <c r="J206" s="1">
        <v>3.7541538625619202E-2</v>
      </c>
      <c r="K206" s="1">
        <v>2.0447707052263502E-2</v>
      </c>
      <c r="L206" s="1">
        <v>-2.4562956242977999E-3</v>
      </c>
      <c r="M206" s="1">
        <v>0.19674125680635399</v>
      </c>
      <c r="N206" s="1">
        <v>-0.76700950809171098</v>
      </c>
      <c r="O206" s="1">
        <v>0.34702629476583002</v>
      </c>
      <c r="P206" s="1">
        <v>1.47592223168588E-2</v>
      </c>
      <c r="Q206" s="1">
        <v>0.34202959877866601</v>
      </c>
      <c r="R206" s="1">
        <v>0.53631455996072297</v>
      </c>
      <c r="S206" s="1">
        <v>-0.100531350750662</v>
      </c>
      <c r="T206" s="1"/>
      <c r="U206" s="1"/>
      <c r="V206" s="1"/>
      <c r="W206" s="1"/>
      <c r="X206" s="1"/>
      <c r="Y206" s="1"/>
      <c r="Z206" s="1">
        <f t="shared" si="9"/>
        <v>1.1090391068703784</v>
      </c>
      <c r="AA206" s="1">
        <f t="shared" si="10"/>
        <v>339.92550204028277</v>
      </c>
      <c r="AB206" s="1"/>
      <c r="AC206" s="1"/>
      <c r="AD206" s="1"/>
      <c r="AE206" s="1">
        <f t="shared" si="11"/>
        <v>-0.76700950809170998</v>
      </c>
      <c r="AF206" s="1"/>
      <c r="AG206" s="1"/>
      <c r="AH206" s="1"/>
    </row>
    <row r="207" spans="1:34" x14ac:dyDescent="0.2">
      <c r="A207">
        <v>1955.5</v>
      </c>
      <c r="B207" s="1">
        <v>0.67578007796641004</v>
      </c>
      <c r="C207" s="1">
        <v>0.26569286737036002</v>
      </c>
      <c r="D207" s="1">
        <v>7.3565611182970198E-2</v>
      </c>
      <c r="E207" s="1">
        <v>-0.18744168120226401</v>
      </c>
      <c r="F207" s="1">
        <v>-0.62326312110957205</v>
      </c>
      <c r="G207" s="1">
        <v>0.19994995224966</v>
      </c>
      <c r="H207" s="1">
        <v>9.3470666035729998E-4</v>
      </c>
      <c r="I207" s="1">
        <v>-0.161121903188678</v>
      </c>
      <c r="J207" s="1">
        <v>3.8680085224459301E-2</v>
      </c>
      <c r="K207" s="1">
        <v>2.0985188337903901E-2</v>
      </c>
      <c r="L207" s="1">
        <v>2.4844729766327098E-2</v>
      </c>
      <c r="M207" s="1">
        <v>0.19681370649260599</v>
      </c>
      <c r="N207" s="1">
        <v>-0.81070480231183595</v>
      </c>
      <c r="O207" s="1">
        <v>0.35556144050446398</v>
      </c>
      <c r="P207" s="1">
        <v>1.6302961951133298E-2</v>
      </c>
      <c r="Q207" s="1">
        <v>0.32006474544274</v>
      </c>
      <c r="R207" s="1">
        <v>0.54172318170167399</v>
      </c>
      <c r="S207" s="1">
        <v>-0.10052192296595799</v>
      </c>
      <c r="T207" s="1"/>
      <c r="U207" s="1"/>
      <c r="V207" s="1"/>
      <c r="W207" s="1"/>
      <c r="X207" s="1"/>
      <c r="Y207" s="1"/>
      <c r="Z207" s="1">
        <f t="shared" si="9"/>
        <v>1.1307695477545761</v>
      </c>
      <c r="AA207" s="1">
        <f t="shared" si="10"/>
        <v>341.26282987885401</v>
      </c>
      <c r="AB207" s="1"/>
      <c r="AC207" s="1"/>
      <c r="AD207" s="1"/>
      <c r="AE207" s="1">
        <f t="shared" si="11"/>
        <v>-0.81070480231183606</v>
      </c>
      <c r="AF207" s="1"/>
      <c r="AG207" s="1"/>
      <c r="AH207" s="1"/>
    </row>
    <row r="208" spans="1:34" x14ac:dyDescent="0.2">
      <c r="A208">
        <v>1956.5</v>
      </c>
      <c r="B208" s="1">
        <v>0.68059458430612996</v>
      </c>
      <c r="C208" s="1">
        <v>0.272686672053226</v>
      </c>
      <c r="D208" s="1">
        <v>7.4762944881488796E-2</v>
      </c>
      <c r="E208" s="1">
        <v>-0.20197715388500301</v>
      </c>
      <c r="F208" s="1">
        <v>-0.668283032234402</v>
      </c>
      <c r="G208" s="1">
        <v>0.20997732437639399</v>
      </c>
      <c r="H208" s="1">
        <v>1.0110092448763E-3</v>
      </c>
      <c r="I208" s="1">
        <v>-0.16267272161173801</v>
      </c>
      <c r="J208" s="1">
        <v>4.2019261722113899E-2</v>
      </c>
      <c r="K208" s="1">
        <v>2.1620701126071101E-2</v>
      </c>
      <c r="L208" s="1">
        <v>8.4984988555389607E-2</v>
      </c>
      <c r="M208" s="1">
        <v>-5.1924125703763903E-2</v>
      </c>
      <c r="N208" s="1">
        <v>-0.87026018611940603</v>
      </c>
      <c r="O208" s="1">
        <v>0.36552001847368598</v>
      </c>
      <c r="P208" s="1">
        <v>1.8070401538971E-2</v>
      </c>
      <c r="Q208" s="1">
        <v>0.28780999151812697</v>
      </c>
      <c r="R208" s="1">
        <v>0.32087085436975199</v>
      </c>
      <c r="S208" s="1">
        <v>-9.8021749518677107E-2</v>
      </c>
      <c r="T208" s="1"/>
      <c r="U208" s="1"/>
      <c r="V208" s="1"/>
      <c r="W208" s="1"/>
      <c r="X208" s="1"/>
      <c r="Y208" s="1"/>
      <c r="Z208" s="1">
        <f t="shared" si="9"/>
        <v>1.1580701776375331</v>
      </c>
      <c r="AA208" s="1">
        <f t="shared" si="10"/>
        <v>342.95041609438931</v>
      </c>
      <c r="AB208" s="1"/>
      <c r="AC208" s="1"/>
      <c r="AD208" s="1"/>
      <c r="AE208" s="1">
        <f t="shared" si="11"/>
        <v>-0.87026018611940503</v>
      </c>
      <c r="AF208" s="1"/>
      <c r="AG208" s="1"/>
      <c r="AH208" s="1"/>
    </row>
    <row r="209" spans="1:34" x14ac:dyDescent="0.2">
      <c r="A209">
        <v>1957.5</v>
      </c>
      <c r="B209" s="1">
        <v>0.68559893083304002</v>
      </c>
      <c r="C209" s="1">
        <v>0.27975214710287299</v>
      </c>
      <c r="D209" s="1">
        <v>7.5895199205111702E-2</v>
      </c>
      <c r="E209" s="1">
        <v>-0.20865086283161199</v>
      </c>
      <c r="F209" s="1">
        <v>-0.69617266740793105</v>
      </c>
      <c r="G209" s="1">
        <v>0.218166454665738</v>
      </c>
      <c r="H209" s="1">
        <v>1.0911269586212E-3</v>
      </c>
      <c r="I209" s="1">
        <v>-0.16409135221215801</v>
      </c>
      <c r="J209" s="1">
        <v>4.4583271368646503E-2</v>
      </c>
      <c r="K209" s="1">
        <v>2.2267178458181301E-2</v>
      </c>
      <c r="L209" s="1">
        <v>0.14092868972726399</v>
      </c>
      <c r="M209" s="1">
        <v>-7.8840104355248103E-2</v>
      </c>
      <c r="N209" s="1">
        <v>-0.90482353023954398</v>
      </c>
      <c r="O209" s="1">
        <v>0.37572449241781197</v>
      </c>
      <c r="P209" s="1">
        <v>2.0077146109827599E-2</v>
      </c>
      <c r="Q209" s="1">
        <v>0.27851657225033699</v>
      </c>
      <c r="R209" s="1">
        <v>0.34060515762235399</v>
      </c>
      <c r="S209" s="1">
        <v>-9.6149775426709203E-2</v>
      </c>
      <c r="T209" s="1"/>
      <c r="U209" s="1"/>
      <c r="V209" s="1"/>
      <c r="W209" s="1"/>
      <c r="X209" s="1"/>
      <c r="Y209" s="1"/>
      <c r="Z209" s="1">
        <f t="shared" si="9"/>
        <v>1.1833401024898815</v>
      </c>
      <c r="AA209" s="1">
        <f t="shared" si="10"/>
        <v>344.51991081293352</v>
      </c>
      <c r="AB209" s="1"/>
      <c r="AC209" s="1"/>
      <c r="AD209" s="1"/>
      <c r="AE209" s="1">
        <f t="shared" si="11"/>
        <v>-0.90482353023954309</v>
      </c>
      <c r="AF209" s="1"/>
      <c r="AG209" s="1"/>
      <c r="AH209" s="1"/>
    </row>
    <row r="210" spans="1:34" x14ac:dyDescent="0.2">
      <c r="A210">
        <v>1958.5</v>
      </c>
      <c r="B210" s="1">
        <v>0.69163498587122296</v>
      </c>
      <c r="C210" s="1">
        <v>0.28530316449127302</v>
      </c>
      <c r="D210" s="1">
        <v>7.6804357477177301E-2</v>
      </c>
      <c r="E210" s="1">
        <v>-0.20709008087481701</v>
      </c>
      <c r="F210" s="1">
        <v>-0.68013557536645197</v>
      </c>
      <c r="G210" s="1">
        <v>0.215495088435812</v>
      </c>
      <c r="H210" s="1">
        <v>1.178874930818E-3</v>
      </c>
      <c r="I210" s="1">
        <v>-0.16489121964051501</v>
      </c>
      <c r="J210" s="1">
        <v>4.3961970588094097E-2</v>
      </c>
      <c r="K210" s="1">
        <v>2.2778281509128102E-2</v>
      </c>
      <c r="L210" s="1">
        <v>0.14833896804757701</v>
      </c>
      <c r="M210" s="1">
        <v>0.13548545959467101</v>
      </c>
      <c r="N210" s="1">
        <v>-0.88722565624126903</v>
      </c>
      <c r="O210" s="1">
        <v>0.38431898919040303</v>
      </c>
      <c r="P210" s="1">
        <v>2.2211467221953302E-2</v>
      </c>
      <c r="Q210" s="1">
        <v>0.30725131464369398</v>
      </c>
      <c r="R210" s="1">
        <v>0.59107574228594295</v>
      </c>
      <c r="S210" s="1">
        <v>-9.69720926124754E-2</v>
      </c>
      <c r="T210" s="1"/>
      <c r="U210" s="1"/>
      <c r="V210" s="1"/>
      <c r="W210" s="1"/>
      <c r="X210" s="1"/>
      <c r="Y210" s="1"/>
      <c r="Z210" s="1">
        <f t="shared" si="9"/>
        <v>1.1944769708849639</v>
      </c>
      <c r="AA210" s="1">
        <f t="shared" si="10"/>
        <v>345.21389113524714</v>
      </c>
      <c r="AB210" s="1"/>
      <c r="AC210" s="1"/>
      <c r="AD210" s="1"/>
      <c r="AE210" s="1">
        <f t="shared" si="11"/>
        <v>-0.88722565624126903</v>
      </c>
      <c r="AF210" s="1"/>
      <c r="AG210" s="1"/>
      <c r="AH210" s="1"/>
    </row>
    <row r="211" spans="1:34" x14ac:dyDescent="0.2">
      <c r="A211">
        <v>1959.5</v>
      </c>
      <c r="B211" s="1">
        <v>0.69957619338299704</v>
      </c>
      <c r="C211" s="1">
        <v>0.29000883822462897</v>
      </c>
      <c r="D211" s="1">
        <v>7.7558326599142496E-2</v>
      </c>
      <c r="E211" s="1">
        <v>-0.21609353801999101</v>
      </c>
      <c r="F211" s="1">
        <v>-0.69607613936602797</v>
      </c>
      <c r="G211" s="1">
        <v>0.21852842760590699</v>
      </c>
      <c r="H211" s="1">
        <v>1.2704380322406999E-3</v>
      </c>
      <c r="I211" s="1">
        <v>-0.165036227187353</v>
      </c>
      <c r="J211" s="1">
        <v>4.5117496901830603E-2</v>
      </c>
      <c r="K211" s="1">
        <v>2.3213738330570499E-2</v>
      </c>
      <c r="L211" s="1">
        <v>0.116669778594452</v>
      </c>
      <c r="M211" s="1">
        <v>0.20527982719730301</v>
      </c>
      <c r="N211" s="1">
        <v>-0.91216967738601895</v>
      </c>
      <c r="O211" s="1">
        <v>0.392006002837406</v>
      </c>
      <c r="P211" s="1">
        <v>2.44388380136349E-2</v>
      </c>
      <c r="Q211" s="1">
        <v>0.30250639251758099</v>
      </c>
      <c r="R211" s="1">
        <v>0.62445599830933596</v>
      </c>
      <c r="S211" s="1">
        <v>-9.5434553922711204E-2</v>
      </c>
      <c r="T211" s="1"/>
      <c r="U211" s="1"/>
      <c r="V211" s="1"/>
      <c r="W211" s="1"/>
      <c r="X211" s="1"/>
      <c r="Y211" s="1"/>
      <c r="Z211" s="1">
        <f t="shared" si="9"/>
        <v>1.2146760699035992</v>
      </c>
      <c r="AA211" s="1">
        <f t="shared" si="10"/>
        <v>346.47614218081804</v>
      </c>
      <c r="AB211" s="1"/>
      <c r="AC211" s="1"/>
      <c r="AD211" s="1"/>
      <c r="AE211" s="1">
        <f t="shared" si="11"/>
        <v>-0.91216967738601895</v>
      </c>
      <c r="AF211" s="1"/>
      <c r="AG211" s="1"/>
      <c r="AH211" s="1"/>
    </row>
    <row r="212" spans="1:34" x14ac:dyDescent="0.2">
      <c r="A212">
        <v>1960.5</v>
      </c>
      <c r="B212" s="1">
        <v>0.71373400633749096</v>
      </c>
      <c r="C212" s="1">
        <v>0.29322514422041401</v>
      </c>
      <c r="D212" s="1">
        <v>7.8598239723294397E-2</v>
      </c>
      <c r="E212" s="1">
        <v>-0.22842486998168299</v>
      </c>
      <c r="F212" s="1">
        <v>-0.72020955250984897</v>
      </c>
      <c r="G212" s="1">
        <v>0.22346847333789099</v>
      </c>
      <c r="H212" s="1">
        <v>1.3734465213412999E-3</v>
      </c>
      <c r="I212" s="1">
        <v>-0.16530398505387001</v>
      </c>
      <c r="J212" s="1">
        <v>4.6808972974724097E-2</v>
      </c>
      <c r="K212" s="1">
        <v>2.3512908500575001E-2</v>
      </c>
      <c r="L212" s="1">
        <v>9.4969363555389597E-2</v>
      </c>
      <c r="M212" s="1">
        <v>0.22052083649513199</v>
      </c>
      <c r="N212" s="1">
        <v>-0.94863442249153196</v>
      </c>
      <c r="O212" s="1">
        <v>0.39879132154318198</v>
      </c>
      <c r="P212" s="1">
        <v>2.69679375994731E-2</v>
      </c>
      <c r="Q212" s="1">
        <v>0.29375072166980198</v>
      </c>
      <c r="R212" s="1">
        <v>0.60924092172032296</v>
      </c>
      <c r="S212" s="1">
        <v>-9.3608657057229996E-2</v>
      </c>
      <c r="T212" s="1"/>
      <c r="U212" s="1"/>
      <c r="V212" s="1"/>
      <c r="W212" s="1"/>
      <c r="X212" s="1"/>
      <c r="Y212" s="1"/>
      <c r="Z212" s="1">
        <f t="shared" si="9"/>
        <v>1.2423851441613341</v>
      </c>
      <c r="AA212" s="1">
        <f t="shared" si="10"/>
        <v>348.21520674180499</v>
      </c>
      <c r="AB212" s="1"/>
      <c r="AC212" s="1"/>
      <c r="AD212" s="1"/>
      <c r="AE212" s="1">
        <f t="shared" si="11"/>
        <v>-0.94863442249153196</v>
      </c>
      <c r="AF212" s="1"/>
      <c r="AG212" s="1"/>
      <c r="AH212" s="1"/>
    </row>
    <row r="213" spans="1:34" x14ac:dyDescent="0.2">
      <c r="A213">
        <v>1961.5</v>
      </c>
      <c r="B213" s="1">
        <v>0.72534598657067795</v>
      </c>
      <c r="C213" s="1">
        <v>0.29574268316394298</v>
      </c>
      <c r="D213" s="1">
        <v>7.9721088329529996E-2</v>
      </c>
      <c r="E213" s="1">
        <v>-0.240061254450534</v>
      </c>
      <c r="F213" s="1">
        <v>-0.74451816466582799</v>
      </c>
      <c r="G213" s="1">
        <v>0.23092647078696199</v>
      </c>
      <c r="H213" s="1">
        <v>1.5943870759348999E-3</v>
      </c>
      <c r="I213" s="1">
        <v>-0.165846335785861</v>
      </c>
      <c r="J213" s="1">
        <v>4.6852780478017497E-2</v>
      </c>
      <c r="K213" s="1">
        <v>2.37479712416028E-2</v>
      </c>
      <c r="L213" s="1">
        <v>4.6872757110077101E-2</v>
      </c>
      <c r="M213" s="1">
        <v>0.22322996459911401</v>
      </c>
      <c r="N213" s="1">
        <v>-0.98457941911636204</v>
      </c>
      <c r="O213" s="1">
        <v>0.40538028862990799</v>
      </c>
      <c r="P213" s="1">
        <v>2.99165171364347E-2</v>
      </c>
      <c r="Q213" s="1">
        <v>0.28342212988088</v>
      </c>
      <c r="R213" s="1">
        <v>0.55352485159007103</v>
      </c>
      <c r="S213" s="1">
        <v>-9.3651196990306301E-2</v>
      </c>
      <c r="T213" s="1"/>
      <c r="U213" s="1"/>
      <c r="V213" s="1"/>
      <c r="W213" s="1"/>
      <c r="X213" s="1"/>
      <c r="Y213" s="1"/>
      <c r="Z213" s="1">
        <f t="shared" si="9"/>
        <v>1.2680015489972418</v>
      </c>
      <c r="AA213" s="1">
        <f t="shared" si="10"/>
        <v>349.83069605807128</v>
      </c>
      <c r="AB213" s="1"/>
      <c r="AC213" s="1"/>
      <c r="AD213" s="1"/>
      <c r="AE213" s="1">
        <f t="shared" si="11"/>
        <v>-0.98457941911636193</v>
      </c>
      <c r="AF213" s="1"/>
      <c r="AG213" s="1"/>
      <c r="AH213" s="1"/>
    </row>
    <row r="214" spans="1:34" x14ac:dyDescent="0.2">
      <c r="A214">
        <v>1962.5</v>
      </c>
      <c r="B214" s="1">
        <v>0.73817301466812102</v>
      </c>
      <c r="C214" s="1">
        <v>0.30190361926212</v>
      </c>
      <c r="D214" s="1">
        <v>8.0910100132719306E-2</v>
      </c>
      <c r="E214" s="1">
        <v>-0.245863145110961</v>
      </c>
      <c r="F214" s="1">
        <v>-0.74577806309681605</v>
      </c>
      <c r="G214" s="1">
        <v>0.23437057975108999</v>
      </c>
      <c r="H214" s="1">
        <v>1.8521067767463999E-3</v>
      </c>
      <c r="I214" s="1">
        <v>-0.166816238128359</v>
      </c>
      <c r="J214" s="1">
        <v>4.6894452104444803E-2</v>
      </c>
      <c r="K214" s="1">
        <v>2.4324561010705101E-2</v>
      </c>
      <c r="L214" s="1">
        <v>1.3456302031952101E-2</v>
      </c>
      <c r="M214" s="1">
        <v>0.22353487865703101</v>
      </c>
      <c r="N214" s="1">
        <v>-0.99164120820777801</v>
      </c>
      <c r="O214" s="1">
        <v>0.41611943135505902</v>
      </c>
      <c r="P214" s="1">
        <v>3.3305711960219697E-2</v>
      </c>
      <c r="Q214" s="1">
        <v>0.30327669933002899</v>
      </c>
      <c r="R214" s="1">
        <v>0.54026788001901205</v>
      </c>
      <c r="S214" s="1">
        <v>-9.3745118236463407E-2</v>
      </c>
      <c r="T214" s="1"/>
      <c r="U214" s="1"/>
      <c r="V214" s="1"/>
      <c r="W214" s="1"/>
      <c r="X214" s="1"/>
      <c r="Y214" s="1"/>
      <c r="Z214" s="1">
        <f t="shared" si="9"/>
        <v>1.2949179075378074</v>
      </c>
      <c r="AA214" s="1">
        <f t="shared" si="10"/>
        <v>351.53624208304586</v>
      </c>
      <c r="AB214" s="1"/>
      <c r="AC214" s="1"/>
      <c r="AD214" s="1"/>
      <c r="AE214" s="1">
        <f t="shared" si="11"/>
        <v>-0.99164120820777701</v>
      </c>
      <c r="AF214" s="1"/>
      <c r="AG214" s="1"/>
      <c r="AH214" s="1"/>
    </row>
    <row r="215" spans="1:34" x14ac:dyDescent="0.2">
      <c r="A215">
        <v>1963.5</v>
      </c>
      <c r="B215" s="1">
        <v>0.74855592498294699</v>
      </c>
      <c r="C215" s="1">
        <v>0.31040628618604998</v>
      </c>
      <c r="D215" s="1">
        <v>8.2223466770952894E-2</v>
      </c>
      <c r="E215" s="1">
        <v>-0.26443188762134301</v>
      </c>
      <c r="F215" s="1">
        <v>-0.79608745720930096</v>
      </c>
      <c r="G215" s="1">
        <v>0.249355305935092</v>
      </c>
      <c r="H215" s="1">
        <v>2.0558658099780001E-3</v>
      </c>
      <c r="I215" s="1">
        <v>-0.16776277718851801</v>
      </c>
      <c r="J215" s="1">
        <v>4.96902389089953E-2</v>
      </c>
      <c r="K215" s="1">
        <v>2.51257924419813E-2</v>
      </c>
      <c r="L215" s="1">
        <v>1.8806672663271001E-3</v>
      </c>
      <c r="M215" s="1">
        <v>-0.95657473437866003</v>
      </c>
      <c r="N215" s="1">
        <v>-1.06051934483064</v>
      </c>
      <c r="O215" s="1">
        <v>0.42988703473738399</v>
      </c>
      <c r="P215" s="1">
        <v>3.7257281780380798E-2</v>
      </c>
      <c r="Q215" s="1">
        <v>0.27638804079721502</v>
      </c>
      <c r="R215" s="1">
        <v>-0.67830602631511705</v>
      </c>
      <c r="S215" s="1">
        <v>-9.0890880027563695E-2</v>
      </c>
      <c r="T215" s="1"/>
      <c r="U215" s="1"/>
      <c r="V215" s="1"/>
      <c r="W215" s="1"/>
      <c r="X215" s="1"/>
      <c r="Y215" s="1"/>
      <c r="Z215" s="1">
        <f t="shared" si="9"/>
        <v>1.3369073856278593</v>
      </c>
      <c r="AA215" s="1">
        <f t="shared" si="10"/>
        <v>354.21350999416217</v>
      </c>
      <c r="AB215" s="1"/>
      <c r="AC215" s="1"/>
      <c r="AD215" s="1"/>
      <c r="AE215" s="1">
        <f t="shared" si="11"/>
        <v>-1.060519344830644</v>
      </c>
      <c r="AF215" s="1"/>
      <c r="AG215" s="1"/>
      <c r="AH215" s="1"/>
    </row>
    <row r="216" spans="1:34" x14ac:dyDescent="0.2">
      <c r="A216">
        <v>1964.5</v>
      </c>
      <c r="B216" s="1">
        <v>0.76025755814580598</v>
      </c>
      <c r="C216" s="1">
        <v>0.318083065697223</v>
      </c>
      <c r="D216" s="1">
        <v>8.3454166457690701E-2</v>
      </c>
      <c r="E216" s="1">
        <v>-0.27446625881689801</v>
      </c>
      <c r="F216" s="1">
        <v>-0.78000414748963298</v>
      </c>
      <c r="G216" s="1">
        <v>0.25050013717827502</v>
      </c>
      <c r="H216" s="1">
        <v>2.2561460305714001E-3</v>
      </c>
      <c r="I216" s="1">
        <v>-0.16833303765791799</v>
      </c>
      <c r="J216" s="1">
        <v>4.7194334604983998E-2</v>
      </c>
      <c r="K216" s="1">
        <v>2.5854951988475299E-2</v>
      </c>
      <c r="L216" s="1">
        <v>-3.4859342961727998E-3</v>
      </c>
      <c r="M216" s="1">
        <v>-1.0808416022623599</v>
      </c>
      <c r="N216" s="1">
        <v>-1.05447040630653</v>
      </c>
      <c r="O216" s="1">
        <v>0.44336880184047001</v>
      </c>
      <c r="P216" s="1">
        <v>4.1831569685555903E-2</v>
      </c>
      <c r="Q216" s="1">
        <v>0.30662848582413299</v>
      </c>
      <c r="R216" s="1">
        <v>-0.77769905073440404</v>
      </c>
      <c r="S216" s="1">
        <v>-9.3027605033888003E-2</v>
      </c>
      <c r="T216" s="1"/>
      <c r="U216" s="1"/>
      <c r="V216" s="1"/>
      <c r="W216" s="1"/>
      <c r="X216" s="1"/>
      <c r="Y216" s="1"/>
      <c r="Z216" s="1">
        <f t="shared" si="9"/>
        <v>1.3610988921306633</v>
      </c>
      <c r="AA216" s="1">
        <f t="shared" si="10"/>
        <v>355.76521894570726</v>
      </c>
      <c r="AB216" s="1"/>
      <c r="AC216" s="1"/>
      <c r="AD216" s="1"/>
      <c r="AE216" s="1">
        <f t="shared" si="11"/>
        <v>-1.0544704063065309</v>
      </c>
      <c r="AF216" s="1"/>
      <c r="AG216" s="1"/>
      <c r="AH216" s="1"/>
    </row>
    <row r="217" spans="1:34" x14ac:dyDescent="0.2">
      <c r="A217">
        <v>1965.5</v>
      </c>
      <c r="B217" s="1">
        <v>0.76847223749954796</v>
      </c>
      <c r="C217" s="1">
        <v>0.32437727907757102</v>
      </c>
      <c r="D217" s="1">
        <v>8.4697196285946505E-2</v>
      </c>
      <c r="E217" s="1">
        <v>-0.28517074541354898</v>
      </c>
      <c r="F217" s="1">
        <v>-0.79405789726671405</v>
      </c>
      <c r="G217" s="1">
        <v>0.25852152939577999</v>
      </c>
      <c r="H217" s="1">
        <v>2.5247797644886E-3</v>
      </c>
      <c r="I217" s="1">
        <v>-0.168948295514768</v>
      </c>
      <c r="J217" s="1">
        <v>4.7352488020397099E-2</v>
      </c>
      <c r="K217" s="1">
        <v>2.6457045190184599E-2</v>
      </c>
      <c r="L217" s="1">
        <v>-4.906217961728E-4</v>
      </c>
      <c r="M217" s="1">
        <v>-0.14949924965147701</v>
      </c>
      <c r="N217" s="1">
        <v>-1.07922864268026</v>
      </c>
      <c r="O217" s="1">
        <v>0.45608689328004198</v>
      </c>
      <c r="P217" s="1">
        <v>4.7012417916524198E-2</v>
      </c>
      <c r="Q217" s="1">
        <v>0.31123803495540903</v>
      </c>
      <c r="R217" s="1">
        <v>0.161248163507759</v>
      </c>
      <c r="S217" s="1">
        <v>-9.2613982539698006E-2</v>
      </c>
      <c r="T217" s="1"/>
      <c r="U217" s="1"/>
      <c r="V217" s="1"/>
      <c r="W217" s="1"/>
      <c r="X217" s="1"/>
      <c r="Y217" s="1"/>
      <c r="Z217" s="1">
        <f t="shared" si="9"/>
        <v>1.390466677635672</v>
      </c>
      <c r="AA217" s="1">
        <f t="shared" si="10"/>
        <v>357.65808628548643</v>
      </c>
      <c r="AB217" s="1"/>
      <c r="AC217" s="1"/>
      <c r="AD217" s="1"/>
      <c r="AE217" s="1">
        <f t="shared" si="11"/>
        <v>-1.0792286426802631</v>
      </c>
      <c r="AF217" s="1"/>
      <c r="AG217" s="1"/>
      <c r="AH217" s="1"/>
    </row>
    <row r="218" spans="1:34" x14ac:dyDescent="0.2">
      <c r="A218">
        <v>1966.5</v>
      </c>
      <c r="B218" s="1">
        <v>0.78672210646627005</v>
      </c>
      <c r="C218" s="1">
        <v>0.32948621897971803</v>
      </c>
      <c r="D218" s="1">
        <v>8.6106766929456596E-2</v>
      </c>
      <c r="E218" s="1">
        <v>-0.29315293713707802</v>
      </c>
      <c r="F218" s="1">
        <v>-0.80104480216612794</v>
      </c>
      <c r="G218" s="1">
        <v>0.26317194191916399</v>
      </c>
      <c r="H218" s="1">
        <v>2.8594478033041998E-3</v>
      </c>
      <c r="I218" s="1">
        <v>-0.169471948954354</v>
      </c>
      <c r="J218" s="1">
        <v>4.7545598408177403E-2</v>
      </c>
      <c r="K218" s="1">
        <v>2.69488006244329E-2</v>
      </c>
      <c r="L218" s="1">
        <v>2.5141140899139599E-2</v>
      </c>
      <c r="M218" s="1">
        <v>5.04802740944768E-2</v>
      </c>
      <c r="N218" s="1">
        <v>-1.0941977393032001</v>
      </c>
      <c r="O218" s="1">
        <v>0.46837813962563302</v>
      </c>
      <c r="P218" s="1">
        <v>5.2785153716457998E-2</v>
      </c>
      <c r="Q218" s="1">
        <v>0.33195634658942003</v>
      </c>
      <c r="R218" s="1">
        <v>0.40757776158303699</v>
      </c>
      <c r="S218" s="1">
        <v>-9.2118102118440098E-2</v>
      </c>
      <c r="T218" s="1"/>
      <c r="U218" s="1"/>
      <c r="V218" s="1"/>
      <c r="W218" s="1"/>
      <c r="X218" s="1"/>
      <c r="Y218" s="1"/>
      <c r="Z218" s="1">
        <f t="shared" si="9"/>
        <v>1.4261540858926274</v>
      </c>
      <c r="AA218" s="1">
        <f t="shared" si="10"/>
        <v>359.97183797753064</v>
      </c>
      <c r="AB218" s="1"/>
      <c r="AC218" s="1"/>
      <c r="AD218" s="1"/>
      <c r="AE218" s="1">
        <f t="shared" si="11"/>
        <v>-1.0941977393032061</v>
      </c>
      <c r="AF218" s="1"/>
      <c r="AG218" s="1"/>
      <c r="AH218" s="1"/>
    </row>
    <row r="219" spans="1:34" x14ac:dyDescent="0.2">
      <c r="A219">
        <v>1967.5</v>
      </c>
      <c r="B219" s="1">
        <v>0.79691865478857205</v>
      </c>
      <c r="C219" s="1">
        <v>0.33495662244985902</v>
      </c>
      <c r="D219" s="1">
        <v>8.75119751663469E-2</v>
      </c>
      <c r="E219" s="1">
        <v>-0.29864307606254797</v>
      </c>
      <c r="F219" s="1">
        <v>-0.82189769578272298</v>
      </c>
      <c r="G219" s="1">
        <v>0.27397079370524902</v>
      </c>
      <c r="H219" s="1">
        <v>3.5189056772834001E-3</v>
      </c>
      <c r="I219" s="1">
        <v>-0.170941397328263</v>
      </c>
      <c r="J219" s="1">
        <v>4.9109277412816198E-2</v>
      </c>
      <c r="K219" s="1">
        <v>2.7477968606809299E-2</v>
      </c>
      <c r="L219" s="1">
        <v>5.6857132110077098E-2</v>
      </c>
      <c r="M219" s="1">
        <v>0.13090870508303401</v>
      </c>
      <c r="N219" s="1">
        <v>-1.12054077184527</v>
      </c>
      <c r="O219" s="1">
        <v>0.48171316682030402</v>
      </c>
      <c r="P219" s="1">
        <v>5.9244569204098901E-2</v>
      </c>
      <c r="Q219" s="1">
        <v>0.34122659783749998</v>
      </c>
      <c r="R219" s="1">
        <v>0.528992435030612</v>
      </c>
      <c r="S219" s="1">
        <v>-9.0835245631354297E-2</v>
      </c>
      <c r="T219" s="1"/>
      <c r="U219" s="1"/>
      <c r="V219" s="1"/>
      <c r="W219" s="1"/>
      <c r="X219" s="1"/>
      <c r="Y219" s="1"/>
      <c r="Z219" s="1">
        <f t="shared" si="9"/>
        <v>1.4617673696827718</v>
      </c>
      <c r="AA219" s="1">
        <f t="shared" si="10"/>
        <v>362.29570528505809</v>
      </c>
      <c r="AB219" s="1"/>
      <c r="AC219" s="1"/>
      <c r="AD219" s="1"/>
      <c r="AE219" s="1">
        <f t="shared" si="11"/>
        <v>-1.1205407718452709</v>
      </c>
      <c r="AF219" s="1"/>
      <c r="AG219" s="1"/>
      <c r="AH219" s="1"/>
    </row>
    <row r="220" spans="1:34" x14ac:dyDescent="0.2">
      <c r="A220">
        <v>1968.5</v>
      </c>
      <c r="B220" s="1">
        <v>0.81241707147430897</v>
      </c>
      <c r="C220" s="1">
        <v>0.34281247834209699</v>
      </c>
      <c r="D220" s="1">
        <v>8.8908173398652507E-2</v>
      </c>
      <c r="E220" s="1">
        <v>-0.31094396336453201</v>
      </c>
      <c r="F220" s="1">
        <v>-0.82965534904924498</v>
      </c>
      <c r="G220" s="1">
        <v>0.28017944464236</v>
      </c>
      <c r="H220" s="1">
        <v>4.1500110714310003E-3</v>
      </c>
      <c r="I220" s="1">
        <v>-0.17398264845508901</v>
      </c>
      <c r="J220" s="1">
        <v>4.9240724133311001E-2</v>
      </c>
      <c r="K220" s="1">
        <v>2.8242254408862098E-2</v>
      </c>
      <c r="L220" s="1">
        <v>7.3596560821014595E-2</v>
      </c>
      <c r="M220" s="1">
        <v>8.4227488936367098E-2</v>
      </c>
      <c r="N220" s="1">
        <v>-1.1405993124137701</v>
      </c>
      <c r="O220" s="1">
        <v>0.49822280659447599</v>
      </c>
      <c r="P220" s="1">
        <v>6.6502154853726195E-2</v>
      </c>
      <c r="Q220" s="1">
        <v>0.35787035145588197</v>
      </c>
      <c r="R220" s="1">
        <v>0.51569440121326304</v>
      </c>
      <c r="S220" s="1">
        <v>-9.2349658841485799E-2</v>
      </c>
      <c r="T220" s="1"/>
      <c r="U220" s="1"/>
      <c r="V220" s="1"/>
      <c r="W220" s="1"/>
      <c r="X220" s="1"/>
      <c r="Y220" s="1"/>
      <c r="Z220" s="1">
        <f t="shared" si="9"/>
        <v>1.4984696638696597</v>
      </c>
      <c r="AA220" s="1">
        <f t="shared" si="10"/>
        <v>364.70633193411061</v>
      </c>
      <c r="AB220" s="1"/>
      <c r="AC220" s="1"/>
      <c r="AD220" s="1"/>
      <c r="AE220" s="1">
        <f t="shared" si="11"/>
        <v>-1.140599312413777</v>
      </c>
      <c r="AF220" s="1"/>
      <c r="AG220" s="1"/>
      <c r="AH220" s="1"/>
    </row>
    <row r="221" spans="1:34" x14ac:dyDescent="0.2">
      <c r="A221">
        <v>1969.5</v>
      </c>
      <c r="B221" s="1">
        <v>0.82706961847909599</v>
      </c>
      <c r="C221" s="1">
        <v>0.35074928587781901</v>
      </c>
      <c r="D221" s="1">
        <v>9.0311925186465095E-2</v>
      </c>
      <c r="E221" s="1">
        <v>-0.32125886023704697</v>
      </c>
      <c r="F221" s="1">
        <v>-0.83788530035087205</v>
      </c>
      <c r="G221" s="1">
        <v>0.28566341249910798</v>
      </c>
      <c r="H221" s="1">
        <v>4.5176693830054002E-3</v>
      </c>
      <c r="I221" s="1">
        <v>-0.176217680619908</v>
      </c>
      <c r="J221" s="1">
        <v>4.9821722632640002E-2</v>
      </c>
      <c r="K221" s="1">
        <v>2.90202740669845E-2</v>
      </c>
      <c r="L221" s="1">
        <v>7.6576272735077097E-2</v>
      </c>
      <c r="M221" s="1">
        <v>1.32926058936773E-2</v>
      </c>
      <c r="N221" s="1">
        <v>-1.15914416058791</v>
      </c>
      <c r="O221" s="1">
        <v>0.51567293995180696</v>
      </c>
      <c r="P221" s="1">
        <v>7.4611728887522405E-2</v>
      </c>
      <c r="Q221" s="1">
        <v>0.37640379580481398</v>
      </c>
      <c r="R221" s="1">
        <v>0.46627267443356801</v>
      </c>
      <c r="S221" s="1">
        <v>-9.2858014537278294E-2</v>
      </c>
      <c r="T221" s="1"/>
      <c r="U221" s="1"/>
      <c r="V221" s="1"/>
      <c r="W221" s="1"/>
      <c r="X221" s="1"/>
      <c r="Y221" s="1"/>
      <c r="Z221" s="1">
        <f t="shared" si="9"/>
        <v>1.5355479563927323</v>
      </c>
      <c r="AA221" s="1">
        <f t="shared" si="10"/>
        <v>367.15794176673165</v>
      </c>
      <c r="AB221" s="1"/>
      <c r="AC221" s="1"/>
      <c r="AD221" s="1"/>
      <c r="AE221" s="1">
        <f t="shared" si="11"/>
        <v>-1.1591441605879189</v>
      </c>
      <c r="AF221" s="1"/>
      <c r="AG221" s="1"/>
      <c r="AH221" s="1"/>
    </row>
    <row r="222" spans="1:34" x14ac:dyDescent="0.2">
      <c r="A222">
        <v>1970.5</v>
      </c>
      <c r="B222" s="1">
        <v>0.85314873715480199</v>
      </c>
      <c r="C222" s="1">
        <v>0.36043152890021202</v>
      </c>
      <c r="D222" s="1">
        <v>9.1716911987514596E-2</v>
      </c>
      <c r="E222" s="1">
        <v>-0.34635414895682698</v>
      </c>
      <c r="F222" s="1">
        <v>-0.87945826958098805</v>
      </c>
      <c r="G222" s="1">
        <v>0.29919311069160598</v>
      </c>
      <c r="H222" s="1">
        <v>4.7018920548368001E-3</v>
      </c>
      <c r="I222" s="1">
        <v>-0.17764749174514299</v>
      </c>
      <c r="J222" s="1">
        <v>5.2019338840187203E-2</v>
      </c>
      <c r="K222" s="1">
        <v>2.9977118298861301E-2</v>
      </c>
      <c r="L222" s="1">
        <v>7.8510745391327103E-2</v>
      </c>
      <c r="M222" s="1">
        <v>0.161474706712044</v>
      </c>
      <c r="N222" s="1">
        <v>-1.2258124185378101</v>
      </c>
      <c r="O222" s="1">
        <v>0.53570084269848295</v>
      </c>
      <c r="P222" s="1">
        <v>8.35524018107561E-2</v>
      </c>
      <c r="Q222" s="1">
        <v>0.37128112945581898</v>
      </c>
      <c r="R222" s="1">
        <v>0.611266581559191</v>
      </c>
      <c r="S222" s="1">
        <v>-9.0949142551258202E-2</v>
      </c>
      <c r="T222" s="1"/>
      <c r="U222" s="1"/>
      <c r="V222" s="1"/>
      <c r="W222" s="1"/>
      <c r="X222" s="1"/>
      <c r="Y222" s="1"/>
      <c r="Z222" s="1">
        <f t="shared" si="9"/>
        <v>1.597093547993633</v>
      </c>
      <c r="AA222" s="1">
        <f t="shared" si="10"/>
        <v>371.26375917253347</v>
      </c>
      <c r="AB222" s="1"/>
      <c r="AC222" s="1"/>
      <c r="AD222" s="1"/>
      <c r="AE222" s="1">
        <f t="shared" si="11"/>
        <v>-1.225812418537815</v>
      </c>
      <c r="AF222" s="1"/>
      <c r="AG222" s="1"/>
      <c r="AH222" s="1"/>
    </row>
    <row r="223" spans="1:34" x14ac:dyDescent="0.2">
      <c r="A223">
        <v>1971.5</v>
      </c>
      <c r="B223" s="1">
        <v>0.86352532233209001</v>
      </c>
      <c r="C223" s="1">
        <v>0.36926122278121098</v>
      </c>
      <c r="D223" s="1">
        <v>9.3153281108966507E-2</v>
      </c>
      <c r="E223" s="1">
        <v>-0.34521536231836902</v>
      </c>
      <c r="F223" s="1">
        <v>-0.890472785611782</v>
      </c>
      <c r="G223" s="1">
        <v>0.306847442930964</v>
      </c>
      <c r="H223" s="1">
        <v>5.7512755412595998E-3</v>
      </c>
      <c r="I223" s="1">
        <v>-0.178494537248306</v>
      </c>
      <c r="J223" s="1">
        <v>5.4102891733888603E-2</v>
      </c>
      <c r="K223" s="1">
        <v>3.0857543469942902E-2</v>
      </c>
      <c r="L223" s="1">
        <v>4.9836868438202099E-2</v>
      </c>
      <c r="M223" s="1">
        <v>0.20991604656205001</v>
      </c>
      <c r="N223" s="1">
        <v>-1.23568814793015</v>
      </c>
      <c r="O223" s="1">
        <v>0.55563815272628403</v>
      </c>
      <c r="P223" s="1">
        <v>9.3223648836106399E-2</v>
      </c>
      <c r="Q223" s="1">
        <v>0.402539943555972</v>
      </c>
      <c r="R223" s="1">
        <v>0.66229285855622499</v>
      </c>
      <c r="S223" s="1">
        <v>-8.7782826503215006E-2</v>
      </c>
      <c r="T223" s="1"/>
      <c r="U223" s="1"/>
      <c r="V223" s="1"/>
      <c r="W223" s="1"/>
      <c r="X223" s="1"/>
      <c r="Y223" s="1"/>
      <c r="Z223" s="1">
        <f t="shared" si="9"/>
        <v>1.6382280914861231</v>
      </c>
      <c r="AA223" s="1">
        <f t="shared" si="10"/>
        <v>374.0334857830411</v>
      </c>
      <c r="AB223" s="1"/>
      <c r="AC223" s="1"/>
      <c r="AD223" s="1"/>
      <c r="AE223" s="1">
        <f t="shared" si="11"/>
        <v>-1.2356881479301509</v>
      </c>
      <c r="AF223" s="1"/>
      <c r="AG223" s="1"/>
      <c r="AH223" s="1"/>
    </row>
    <row r="224" spans="1:34" x14ac:dyDescent="0.2">
      <c r="A224">
        <v>1972.5</v>
      </c>
      <c r="B224" s="1">
        <v>0.89653027721470802</v>
      </c>
      <c r="C224" s="1">
        <v>0.37720955769032699</v>
      </c>
      <c r="D224" s="1">
        <v>9.4613310297380002E-2</v>
      </c>
      <c r="E224" s="1">
        <v>-0.35904348296160699</v>
      </c>
      <c r="F224" s="1">
        <v>-0.94560299872622899</v>
      </c>
      <c r="G224" s="1">
        <v>0.32281889702218802</v>
      </c>
      <c r="H224" s="1">
        <v>6.2692304018647999E-3</v>
      </c>
      <c r="I224" s="1">
        <v>-0.179062279856053</v>
      </c>
      <c r="J224" s="1">
        <v>5.8898453270419697E-2</v>
      </c>
      <c r="K224" s="1">
        <v>3.1656569111908901E-2</v>
      </c>
      <c r="L224" s="1">
        <v>4.8058401641327103E-2</v>
      </c>
      <c r="M224" s="1">
        <v>0.219643466065988</v>
      </c>
      <c r="N224" s="1">
        <v>-1.30464648168783</v>
      </c>
      <c r="O224" s="1">
        <v>0.57558523853087795</v>
      </c>
      <c r="P224" s="1">
        <v>0.10376237054317</v>
      </c>
      <c r="Q224" s="1">
        <v>0.408049904008078</v>
      </c>
      <c r="R224" s="1">
        <v>0.67575177171539402</v>
      </c>
      <c r="S224" s="1">
        <v>-8.2238027071859898E-2</v>
      </c>
      <c r="T224" s="1"/>
      <c r="U224" s="1"/>
      <c r="V224" s="1"/>
      <c r="W224" s="1"/>
      <c r="X224" s="1"/>
      <c r="Y224" s="1"/>
      <c r="Z224" s="1">
        <f t="shared" si="9"/>
        <v>1.7126963856959136</v>
      </c>
      <c r="AA224" s="1">
        <f t="shared" si="10"/>
        <v>379.10035530755056</v>
      </c>
      <c r="AB224" s="1"/>
      <c r="AC224" s="1"/>
      <c r="AD224" s="1"/>
      <c r="AE224" s="1">
        <f t="shared" si="11"/>
        <v>-1.304646481687836</v>
      </c>
      <c r="AF224" s="1"/>
      <c r="AG224" s="1"/>
      <c r="AH224" s="1"/>
    </row>
    <row r="225" spans="1:34" x14ac:dyDescent="0.2">
      <c r="A225">
        <v>1973.5</v>
      </c>
      <c r="B225" s="1">
        <v>0.93966337403042499</v>
      </c>
      <c r="C225" s="1">
        <v>0.38310386636772897</v>
      </c>
      <c r="D225" s="1">
        <v>9.6114871363454105E-2</v>
      </c>
      <c r="E225" s="1">
        <v>-0.370681035902723</v>
      </c>
      <c r="F225" s="1">
        <v>-0.93758298233622395</v>
      </c>
      <c r="G225" s="1">
        <v>0.32315103444099702</v>
      </c>
      <c r="H225" s="1">
        <v>6.7031811117068997E-3</v>
      </c>
      <c r="I225" s="1">
        <v>-0.18043751559511201</v>
      </c>
      <c r="J225" s="1">
        <v>5.8043128339378601E-2</v>
      </c>
      <c r="K225" s="1">
        <v>3.2253424234867198E-2</v>
      </c>
      <c r="L225" s="1">
        <v>1.9290921172577101E-2</v>
      </c>
      <c r="M225" s="1">
        <v>0.19542036893290299</v>
      </c>
      <c r="N225" s="1">
        <v>-1.30826401823894</v>
      </c>
      <c r="O225" s="1">
        <v>0.59473460819957802</v>
      </c>
      <c r="P225" s="1">
        <v>0.115515870468394</v>
      </c>
      <c r="Q225" s="1">
        <v>0.46584721652289302</v>
      </c>
      <c r="R225" s="1">
        <v>0.68055850662837303</v>
      </c>
      <c r="S225" s="1">
        <v>-8.34377819091595E-2</v>
      </c>
      <c r="T225" s="1"/>
      <c r="U225" s="1"/>
      <c r="V225" s="1"/>
      <c r="W225" s="1"/>
      <c r="X225" s="1"/>
      <c r="Y225" s="1"/>
      <c r="Z225" s="1">
        <f t="shared" si="9"/>
        <v>1.7741112347618397</v>
      </c>
      <c r="AA225" s="1">
        <f t="shared" si="10"/>
        <v>383.33066531999862</v>
      </c>
      <c r="AB225" s="1"/>
      <c r="AC225" s="1"/>
      <c r="AD225" s="1"/>
      <c r="AE225" s="1">
        <f t="shared" si="11"/>
        <v>-1.3082640182389469</v>
      </c>
      <c r="AF225" s="1"/>
      <c r="AG225" s="1"/>
      <c r="AH225" s="1"/>
    </row>
    <row r="226" spans="1:34" x14ac:dyDescent="0.2">
      <c r="A226">
        <v>1974.5</v>
      </c>
      <c r="B226" s="1">
        <v>0.953761981505167</v>
      </c>
      <c r="C226" s="1">
        <v>0.38883961783151</v>
      </c>
      <c r="D226" s="1">
        <v>9.76677414437358E-2</v>
      </c>
      <c r="E226" s="1">
        <v>-0.36429113664180102</v>
      </c>
      <c r="F226" s="1">
        <v>-0.93615191123767605</v>
      </c>
      <c r="G226" s="1">
        <v>0.32359140680102499</v>
      </c>
      <c r="H226" s="1">
        <v>6.7019161678206996E-3</v>
      </c>
      <c r="I226" s="1">
        <v>-0.18143814081013801</v>
      </c>
      <c r="J226" s="1">
        <v>5.9158445921743998E-2</v>
      </c>
      <c r="K226" s="1">
        <v>3.2837506173986397E-2</v>
      </c>
      <c r="L226" s="1">
        <v>5.1723908991396002E-3</v>
      </c>
      <c r="M226" s="1">
        <v>0.18937042038744401</v>
      </c>
      <c r="N226" s="1">
        <v>-1.30044304787947</v>
      </c>
      <c r="O226" s="1">
        <v>0.61502661908085599</v>
      </c>
      <c r="P226" s="1">
        <v>0.12851925980560899</v>
      </c>
      <c r="Q226" s="1">
        <v>0.50919668696098297</v>
      </c>
      <c r="R226" s="1">
        <v>0.70373949824756798</v>
      </c>
      <c r="S226" s="1">
        <v>-8.2740272546587501E-2</v>
      </c>
      <c r="T226" s="1"/>
      <c r="U226" s="1"/>
      <c r="V226" s="1"/>
      <c r="W226" s="1"/>
      <c r="X226" s="1"/>
      <c r="Y226" s="1"/>
      <c r="Z226" s="1">
        <f t="shared" si="9"/>
        <v>1.80963973484046</v>
      </c>
      <c r="AA226" s="1">
        <f t="shared" si="10"/>
        <v>385.7994197151146</v>
      </c>
      <c r="AB226" s="1"/>
      <c r="AC226" s="1"/>
      <c r="AD226" s="1"/>
      <c r="AE226" s="1">
        <f t="shared" si="11"/>
        <v>-1.3004430478794771</v>
      </c>
      <c r="AF226" s="1"/>
      <c r="AG226" s="1"/>
      <c r="AH226" s="1"/>
    </row>
    <row r="227" spans="1:34" x14ac:dyDescent="0.2">
      <c r="A227">
        <v>1975.5</v>
      </c>
      <c r="B227" s="1">
        <v>0.95479770307113299</v>
      </c>
      <c r="C227" s="1">
        <v>0.39553991950318201</v>
      </c>
      <c r="D227" s="1">
        <v>9.9269649973673005E-2</v>
      </c>
      <c r="E227" s="1">
        <v>-0.356716205803217</v>
      </c>
      <c r="F227" s="1">
        <v>-0.92442057323108295</v>
      </c>
      <c r="G227" s="1">
        <v>0.32205523841871098</v>
      </c>
      <c r="H227" s="1">
        <v>6.9279517460029E-3</v>
      </c>
      <c r="I227" s="1">
        <v>-0.18202111584351299</v>
      </c>
      <c r="J227" s="1">
        <v>5.9426198899570799E-2</v>
      </c>
      <c r="K227" s="1">
        <v>3.3523585742883499E-2</v>
      </c>
      <c r="L227" s="1">
        <v>5.4844026178895999E-3</v>
      </c>
      <c r="M227" s="1">
        <v>0.14410051622299</v>
      </c>
      <c r="N227" s="1">
        <v>-1.2811367790343</v>
      </c>
      <c r="O227" s="1">
        <v>0.63655671000847303</v>
      </c>
      <c r="P227" s="1">
        <v>0.14174714053161799</v>
      </c>
      <c r="Q227" s="1">
        <v>0.55012949300896097</v>
      </c>
      <c r="R227" s="1">
        <v>0.69971441184984096</v>
      </c>
      <c r="S227" s="1">
        <v>-8.2143379455056204E-2</v>
      </c>
      <c r="T227" s="1"/>
      <c r="U227" s="1"/>
      <c r="V227" s="1"/>
      <c r="W227" s="1"/>
      <c r="X227" s="1"/>
      <c r="Y227" s="1"/>
      <c r="Z227" s="1">
        <f t="shared" si="9"/>
        <v>1.8312662720432611</v>
      </c>
      <c r="AA227" s="1">
        <f t="shared" si="10"/>
        <v>387.30995222674358</v>
      </c>
      <c r="AB227" s="1"/>
      <c r="AC227" s="1"/>
      <c r="AD227" s="1"/>
      <c r="AE227" s="1">
        <f t="shared" si="11"/>
        <v>-1.2811367790343</v>
      </c>
      <c r="AF227" s="1"/>
      <c r="AG227" s="1"/>
      <c r="AH227" s="1"/>
    </row>
    <row r="228" spans="1:34" x14ac:dyDescent="0.2">
      <c r="A228">
        <v>1976.5</v>
      </c>
      <c r="B228" s="1">
        <v>0.96669723640939498</v>
      </c>
      <c r="C228" s="1">
        <v>0.402952251995285</v>
      </c>
      <c r="D228" s="1">
        <v>0.100918117463543</v>
      </c>
      <c r="E228" s="1">
        <v>-0.37450752483587002</v>
      </c>
      <c r="F228" s="1">
        <v>-0.974243348931636</v>
      </c>
      <c r="G228" s="1">
        <v>0.33355147915275901</v>
      </c>
      <c r="H228" s="1">
        <v>7.1477227160021001E-3</v>
      </c>
      <c r="I228" s="1">
        <v>-0.18271382561462701</v>
      </c>
      <c r="J228" s="1">
        <v>6.3950007883350604E-2</v>
      </c>
      <c r="K228" s="1">
        <v>3.4287479762406398E-2</v>
      </c>
      <c r="L228" s="1">
        <v>8.3542800851459998E-4</v>
      </c>
      <c r="M228" s="1">
        <v>0.145588761758353</v>
      </c>
      <c r="N228" s="1">
        <v>-1.3487508737675</v>
      </c>
      <c r="O228" s="1">
        <v>0.65857676975869395</v>
      </c>
      <c r="P228" s="1">
        <v>0.15470640029986599</v>
      </c>
      <c r="Q228" s="1">
        <v>0.53274599630047403</v>
      </c>
      <c r="R228" s="1">
        <v>0.67917018606734203</v>
      </c>
      <c r="S228" s="1">
        <v>-7.7328615252868604E-2</v>
      </c>
      <c r="T228" s="1"/>
      <c r="U228" s="1"/>
      <c r="V228" s="1"/>
      <c r="W228" s="1"/>
      <c r="X228" s="1"/>
      <c r="Y228" s="1"/>
      <c r="Z228" s="1">
        <f t="shared" si="9"/>
        <v>1.8814968700679799</v>
      </c>
      <c r="AA228" s="1">
        <f t="shared" si="10"/>
        <v>390.84123141564487</v>
      </c>
      <c r="AB228" s="1"/>
      <c r="AC228" s="1"/>
      <c r="AD228" s="1"/>
      <c r="AE228" s="1">
        <f t="shared" si="11"/>
        <v>-1.348750873767506</v>
      </c>
      <c r="AF228" s="1"/>
      <c r="AG228" s="1"/>
      <c r="AH228" s="1"/>
    </row>
    <row r="229" spans="1:34" x14ac:dyDescent="0.2">
      <c r="A229">
        <v>1977.5</v>
      </c>
      <c r="B229" s="1">
        <v>0.99679871560593802</v>
      </c>
      <c r="C229" s="1">
        <v>0.41082074855261602</v>
      </c>
      <c r="D229" s="1">
        <v>0.102610470253357</v>
      </c>
      <c r="E229" s="1">
        <v>-0.37408298618872499</v>
      </c>
      <c r="F229" s="1">
        <v>-0.98345573898067395</v>
      </c>
      <c r="G229" s="1">
        <v>0.33967392868472002</v>
      </c>
      <c r="H229" s="1">
        <v>7.8060803246344001E-3</v>
      </c>
      <c r="I229" s="1">
        <v>-0.18415934194876299</v>
      </c>
      <c r="J229" s="1">
        <v>6.6297896669615206E-2</v>
      </c>
      <c r="K229" s="1">
        <v>3.5104130251317402E-2</v>
      </c>
      <c r="L229" s="1">
        <v>3.0944558867889601E-2</v>
      </c>
      <c r="M229" s="1">
        <v>0.20599377926142901</v>
      </c>
      <c r="N229" s="1">
        <v>-1.3575387251694</v>
      </c>
      <c r="O229" s="1">
        <v>0.68103594187859795</v>
      </c>
      <c r="P229" s="1">
        <v>0.167604723072624</v>
      </c>
      <c r="Q229" s="1">
        <v>0.58501862629666002</v>
      </c>
      <c r="R229" s="1">
        <v>0.82195696442597999</v>
      </c>
      <c r="S229" s="1">
        <v>-7.4951234703196701E-2</v>
      </c>
      <c r="T229" s="1"/>
      <c r="U229" s="1"/>
      <c r="V229" s="1"/>
      <c r="W229" s="1"/>
      <c r="X229" s="1"/>
      <c r="Y229" s="1"/>
      <c r="Z229" s="1">
        <f t="shared" si="9"/>
        <v>1.942557351466059</v>
      </c>
      <c r="AA229" s="1">
        <f t="shared" si="10"/>
        <v>395.17725146908327</v>
      </c>
      <c r="AB229" s="1"/>
      <c r="AC229" s="1"/>
      <c r="AD229" s="1"/>
      <c r="AE229" s="1">
        <f t="shared" si="11"/>
        <v>-1.3575387251693989</v>
      </c>
      <c r="AF229" s="1"/>
      <c r="AG229" s="1"/>
      <c r="AH229" s="1"/>
    </row>
    <row r="230" spans="1:34" x14ac:dyDescent="0.2">
      <c r="A230">
        <v>1978.5</v>
      </c>
      <c r="B230" s="1">
        <v>1.02424457000581</v>
      </c>
      <c r="C230" s="1">
        <v>0.41890003514123803</v>
      </c>
      <c r="D230" s="1">
        <v>0.10437071296650099</v>
      </c>
      <c r="E230" s="1">
        <v>-0.37325910912709598</v>
      </c>
      <c r="F230" s="1">
        <v>-1.00314509477781</v>
      </c>
      <c r="G230" s="1">
        <v>0.34698941021286001</v>
      </c>
      <c r="H230" s="1">
        <v>8.2975069039629007E-3</v>
      </c>
      <c r="I230" s="1">
        <v>-0.18606275733237601</v>
      </c>
      <c r="J230" s="1">
        <v>7.0023202912174107E-2</v>
      </c>
      <c r="K230" s="1">
        <v>3.5948919312863398E-2</v>
      </c>
      <c r="L230" s="1">
        <v>7.7059890899139602E-2</v>
      </c>
      <c r="M230" s="1">
        <v>0.21829907860071801</v>
      </c>
      <c r="N230" s="1">
        <v>-1.37640420390491</v>
      </c>
      <c r="O230" s="1">
        <v>0.70363185842401799</v>
      </c>
      <c r="P230" s="1">
        <v>0.180361110316277</v>
      </c>
      <c r="Q230" s="1">
        <v>0.62666850653440198</v>
      </c>
      <c r="R230" s="1">
        <v>0.92202747603426105</v>
      </c>
      <c r="S230" s="1">
        <v>-7.1793128203376202E-2</v>
      </c>
      <c r="T230" s="1"/>
      <c r="U230" s="1"/>
      <c r="V230" s="1"/>
      <c r="W230" s="1"/>
      <c r="X230" s="1"/>
      <c r="Y230" s="1"/>
      <c r="Z230" s="1">
        <f t="shared" si="9"/>
        <v>2.0030727104393105</v>
      </c>
      <c r="AA230" s="1">
        <f t="shared" si="10"/>
        <v>399.52202163523964</v>
      </c>
      <c r="AB230" s="1"/>
      <c r="AC230" s="1"/>
      <c r="AD230" s="1"/>
      <c r="AE230" s="1">
        <f t="shared" si="11"/>
        <v>-1.376404203904906</v>
      </c>
      <c r="AF230" s="1"/>
      <c r="AG230" s="1"/>
      <c r="AH230" s="1"/>
    </row>
    <row r="231" spans="1:34" x14ac:dyDescent="0.2">
      <c r="A231">
        <v>1979.5</v>
      </c>
      <c r="B231" s="1">
        <v>1.0523948699868899</v>
      </c>
      <c r="C231" s="1">
        <v>0.42694340103862</v>
      </c>
      <c r="D231" s="1">
        <v>0.10620179201714899</v>
      </c>
      <c r="E231" s="1">
        <v>-0.38162595443414199</v>
      </c>
      <c r="F231" s="1">
        <v>-1.0171664822797499</v>
      </c>
      <c r="G231" s="1">
        <v>0.35193862025669698</v>
      </c>
      <c r="H231" s="1">
        <v>8.8555516907147993E-3</v>
      </c>
      <c r="I231" s="1">
        <v>-0.18685811775875</v>
      </c>
      <c r="J231" s="1">
        <v>7.1143042267814399E-2</v>
      </c>
      <c r="K231" s="1">
        <v>3.6796348881320801E-2</v>
      </c>
      <c r="L231" s="1">
        <v>0.115858548125702</v>
      </c>
      <c r="M231" s="1">
        <v>0.21882524122701399</v>
      </c>
      <c r="N231" s="1">
        <v>-1.39879243671389</v>
      </c>
      <c r="O231" s="1">
        <v>0.72527536322156605</v>
      </c>
      <c r="P231" s="1">
        <v>0.192130170165796</v>
      </c>
      <c r="Q231" s="1">
        <v>0.66075324183235795</v>
      </c>
      <c r="R231" s="1">
        <v>0.99543703118507498</v>
      </c>
      <c r="S231" s="1">
        <v>-7.0063174918900101E-2</v>
      </c>
      <c r="T231" s="1"/>
      <c r="U231" s="1"/>
      <c r="V231" s="1"/>
      <c r="W231" s="1"/>
      <c r="X231" s="1"/>
      <c r="Y231" s="1"/>
      <c r="Z231" s="1">
        <f t="shared" si="9"/>
        <v>2.0595456785462516</v>
      </c>
      <c r="AA231" s="1">
        <f t="shared" si="10"/>
        <v>403.6196418783141</v>
      </c>
      <c r="AB231" s="1"/>
      <c r="AC231" s="1"/>
      <c r="AD231" s="1"/>
      <c r="AE231" s="1">
        <f t="shared" si="11"/>
        <v>-1.398792436713892</v>
      </c>
      <c r="AF231" s="1"/>
      <c r="AG231" s="1"/>
      <c r="AH231" s="1"/>
    </row>
    <row r="232" spans="1:34" x14ac:dyDescent="0.2">
      <c r="A232">
        <v>1980.5</v>
      </c>
      <c r="B232" s="1">
        <v>1.08635045439061</v>
      </c>
      <c r="C232" s="1">
        <v>0.43471975230902998</v>
      </c>
      <c r="D232" s="1">
        <v>0.108439079899629</v>
      </c>
      <c r="E232" s="1">
        <v>-0.38447788860535997</v>
      </c>
      <c r="F232" s="1">
        <v>-1.0094464508252601</v>
      </c>
      <c r="G232" s="1">
        <v>0.35245698074248799</v>
      </c>
      <c r="H232" s="1">
        <v>9.1537125622436002E-3</v>
      </c>
      <c r="I232" s="1">
        <v>-0.18778328944523101</v>
      </c>
      <c r="J232" s="1">
        <v>6.9178782692066301E-2</v>
      </c>
      <c r="K232" s="1">
        <v>3.7622230410653698E-2</v>
      </c>
      <c r="L232" s="1">
        <v>0.108214261016327</v>
      </c>
      <c r="M232" s="1">
        <v>0.150960511949181</v>
      </c>
      <c r="N232" s="1">
        <v>-1.39392433943062</v>
      </c>
      <c r="O232" s="1">
        <v>0.74711149298631396</v>
      </c>
      <c r="P232" s="1">
        <v>0.20395266077765301</v>
      </c>
      <c r="Q232" s="1">
        <v>0.720166024908522</v>
      </c>
      <c r="R232" s="1">
        <v>0.97934079787403105</v>
      </c>
      <c r="S232" s="1">
        <v>-7.1828563780267599E-2</v>
      </c>
      <c r="T232" s="1"/>
      <c r="U232" s="1"/>
      <c r="V232" s="1"/>
      <c r="W232" s="1"/>
      <c r="X232" s="1"/>
      <c r="Y232" s="1"/>
      <c r="Z232" s="1">
        <f t="shared" si="9"/>
        <v>2.1140903643391424</v>
      </c>
      <c r="AA232" s="1">
        <f t="shared" si="10"/>
        <v>407.61724174667853</v>
      </c>
      <c r="AB232" s="1"/>
      <c r="AC232" s="1"/>
      <c r="AD232" s="1"/>
      <c r="AE232" s="1">
        <f t="shared" si="11"/>
        <v>-1.39392433943062</v>
      </c>
      <c r="AF232" s="1"/>
      <c r="AG232" s="1"/>
      <c r="AH232" s="1"/>
    </row>
    <row r="233" spans="1:34" x14ac:dyDescent="0.2">
      <c r="A233">
        <v>1981.5</v>
      </c>
      <c r="B233" s="1">
        <v>1.1060386804253699</v>
      </c>
      <c r="C233" s="1">
        <v>0.44199398751108399</v>
      </c>
      <c r="D233" s="1">
        <v>0.111243041460237</v>
      </c>
      <c r="E233" s="1">
        <v>-0.371569141176746</v>
      </c>
      <c r="F233" s="1">
        <v>-0.98286735290758798</v>
      </c>
      <c r="G233" s="1">
        <v>0.350365738516838</v>
      </c>
      <c r="H233" s="1">
        <v>9.1861866200275005E-3</v>
      </c>
      <c r="I233" s="1">
        <v>-0.18918510642497999</v>
      </c>
      <c r="J233" s="1">
        <v>6.7333955723362995E-2</v>
      </c>
      <c r="K233" s="1">
        <v>3.8401065835138998E-2</v>
      </c>
      <c r="L233" s="1">
        <v>0.11075715652413901</v>
      </c>
      <c r="M233" s="1">
        <v>9.9978665797079494E-2</v>
      </c>
      <c r="N233" s="1">
        <v>-1.3544364940843301</v>
      </c>
      <c r="O233" s="1">
        <v>0.76867826903286196</v>
      </c>
      <c r="P233" s="1">
        <v>0.215441240061541</v>
      </c>
      <c r="Q233" s="1">
        <v>0.79638229564428797</v>
      </c>
      <c r="R233" s="1">
        <v>1.0071181179655</v>
      </c>
      <c r="S233" s="1">
        <v>-7.4263898246450397E-2</v>
      </c>
      <c r="T233" s="1"/>
      <c r="U233" s="1"/>
      <c r="V233" s="1"/>
      <c r="W233" s="1"/>
      <c r="X233" s="1"/>
      <c r="Y233" s="1"/>
      <c r="Z233" s="1">
        <f t="shared" si="9"/>
        <v>2.1508187897286195</v>
      </c>
      <c r="AA233" s="1">
        <f t="shared" si="10"/>
        <v>410.33136419807391</v>
      </c>
      <c r="AB233" s="1"/>
      <c r="AC233" s="1"/>
      <c r="AD233" s="1"/>
      <c r="AE233" s="1">
        <f t="shared" si="11"/>
        <v>-1.3544364940843341</v>
      </c>
      <c r="AF233" s="1"/>
      <c r="AG233" s="1"/>
      <c r="AH233" s="1"/>
    </row>
    <row r="234" spans="1:34" x14ac:dyDescent="0.2">
      <c r="A234">
        <v>1982.5</v>
      </c>
      <c r="B234" s="1">
        <v>1.11830324905778</v>
      </c>
      <c r="C234" s="1">
        <v>0.44854001354200501</v>
      </c>
      <c r="D234" s="1">
        <v>0.115167061373896</v>
      </c>
      <c r="E234" s="1">
        <v>-0.37037971548820398</v>
      </c>
      <c r="F234" s="1">
        <v>-1.0226030133559401</v>
      </c>
      <c r="G234" s="1">
        <v>0.36291980053968398</v>
      </c>
      <c r="H234" s="1">
        <v>9.5825586901550994E-3</v>
      </c>
      <c r="I234" s="1">
        <v>-0.190190042333264</v>
      </c>
      <c r="J234" s="1">
        <v>7.17388425623295E-2</v>
      </c>
      <c r="K234" s="1">
        <v>3.9108242624906898E-2</v>
      </c>
      <c r="L234" s="1">
        <v>6.7418728789764598E-2</v>
      </c>
      <c r="M234" s="1">
        <v>-0.244035430288224</v>
      </c>
      <c r="N234" s="1">
        <v>-1.3929827288441501</v>
      </c>
      <c r="O234" s="1">
        <v>0.79046108220979405</v>
      </c>
      <c r="P234" s="1">
        <v>0.226754007293892</v>
      </c>
      <c r="Q234" s="1">
        <v>0.80894100450723805</v>
      </c>
      <c r="R234" s="1">
        <v>0.63232430300877895</v>
      </c>
      <c r="S234" s="1">
        <v>-6.9760398455873202E-2</v>
      </c>
      <c r="T234" s="1"/>
      <c r="U234" s="1"/>
      <c r="V234" s="1"/>
      <c r="W234" s="1"/>
      <c r="X234" s="1"/>
      <c r="Y234" s="1"/>
      <c r="Z234" s="1">
        <f t="shared" si="9"/>
        <v>2.2019237333513844</v>
      </c>
      <c r="AA234" s="1">
        <f t="shared" si="10"/>
        <v>414.13796237749773</v>
      </c>
      <c r="AB234" s="1"/>
      <c r="AC234" s="1"/>
      <c r="AD234" s="1"/>
      <c r="AE234" s="1">
        <f t="shared" si="11"/>
        <v>-1.3929827288441441</v>
      </c>
      <c r="AF234" s="1"/>
      <c r="AG234" s="1"/>
      <c r="AH234" s="1"/>
    </row>
    <row r="235" spans="1:34" x14ac:dyDescent="0.2">
      <c r="A235">
        <v>1983.5</v>
      </c>
      <c r="B235" s="1">
        <v>1.1455520375521899</v>
      </c>
      <c r="C235" s="1">
        <v>0.454180089065223</v>
      </c>
      <c r="D235" s="1">
        <v>0.117069288441006</v>
      </c>
      <c r="E235" s="1">
        <v>-0.35366691094852598</v>
      </c>
      <c r="F235" s="1">
        <v>-0.95639072526772995</v>
      </c>
      <c r="G235" s="1">
        <v>0.34902603034362101</v>
      </c>
      <c r="H235" s="1">
        <v>1.0008162901095999E-2</v>
      </c>
      <c r="I235" s="1">
        <v>-0.19135692967052401</v>
      </c>
      <c r="J235" s="1">
        <v>6.7060298773061702E-2</v>
      </c>
      <c r="K235" s="1">
        <v>3.9719116048785398E-2</v>
      </c>
      <c r="L235" s="1">
        <v>6.5593460235077103E-2</v>
      </c>
      <c r="M235" s="1">
        <v>-0.73701864621806101</v>
      </c>
      <c r="N235" s="1">
        <v>-1.3100576362162499</v>
      </c>
      <c r="O235" s="1">
        <v>0.809419610342341</v>
      </c>
      <c r="P235" s="1">
        <v>0.238170232836111</v>
      </c>
      <c r="Q235" s="1">
        <v>0.91937069007432304</v>
      </c>
      <c r="R235" s="1">
        <v>0.247945504091338</v>
      </c>
      <c r="S235" s="1">
        <v>-7.4569351947581602E-2</v>
      </c>
      <c r="T235" s="1"/>
      <c r="U235" s="1"/>
      <c r="V235" s="1"/>
      <c r="W235" s="1"/>
      <c r="X235" s="1"/>
      <c r="Y235" s="1"/>
      <c r="Z235" s="1">
        <f t="shared" si="9"/>
        <v>2.2294283262905701</v>
      </c>
      <c r="AA235" s="1">
        <f t="shared" si="10"/>
        <v>416.20126337392054</v>
      </c>
      <c r="AB235" s="1"/>
      <c r="AC235" s="1"/>
      <c r="AD235" s="1"/>
      <c r="AE235" s="1">
        <f t="shared" si="11"/>
        <v>-1.3100576362162559</v>
      </c>
      <c r="AF235" s="1"/>
      <c r="AG235" s="1"/>
      <c r="AH235" s="1"/>
    </row>
    <row r="236" spans="1:34" x14ac:dyDescent="0.2">
      <c r="A236">
        <v>1984.5</v>
      </c>
      <c r="B236" s="1">
        <v>1.1705715181801899</v>
      </c>
      <c r="C236" s="1">
        <v>0.459033853963706</v>
      </c>
      <c r="D236" s="1">
        <v>0.11935123001893901</v>
      </c>
      <c r="E236" s="1">
        <v>-0.35743243302098199</v>
      </c>
      <c r="F236" s="1">
        <v>-0.98006807477105096</v>
      </c>
      <c r="G236" s="1">
        <v>0.35646565040112699</v>
      </c>
      <c r="H236" s="1">
        <v>1.0930144928115001E-2</v>
      </c>
      <c r="I236" s="1">
        <v>-0.192385204985349</v>
      </c>
      <c r="J236" s="1">
        <v>7.0208374712585994E-2</v>
      </c>
      <c r="K236" s="1">
        <v>4.0248229288945697E-2</v>
      </c>
      <c r="L236" s="1">
        <v>1.4610745391327101E-2</v>
      </c>
      <c r="M236" s="1">
        <v>-0.287759153537549</v>
      </c>
      <c r="N236" s="1">
        <v>-1.3375005077920299</v>
      </c>
      <c r="O236" s="1">
        <v>0.82799913566356298</v>
      </c>
      <c r="P236" s="1">
        <v>0.24961405168091699</v>
      </c>
      <c r="Q236" s="1">
        <v>0.94653734039714998</v>
      </c>
      <c r="R236" s="1">
        <v>0.673388932250927</v>
      </c>
      <c r="S236" s="1">
        <v>-7.0998456055702305E-2</v>
      </c>
      <c r="T236" s="1"/>
      <c r="U236" s="1"/>
      <c r="V236" s="1"/>
      <c r="W236" s="1"/>
      <c r="X236" s="1"/>
      <c r="Y236" s="1"/>
      <c r="Z236" s="1">
        <f t="shared" si="9"/>
        <v>2.2840378481891768</v>
      </c>
      <c r="AA236" s="1">
        <f t="shared" si="10"/>
        <v>420.32840052800032</v>
      </c>
      <c r="AB236" s="1"/>
      <c r="AC236" s="1"/>
      <c r="AD236" s="1"/>
      <c r="AE236" s="1">
        <f t="shared" si="11"/>
        <v>-1.337500507792033</v>
      </c>
      <c r="AF236" s="1"/>
      <c r="AG236" s="1"/>
      <c r="AH236" s="1"/>
    </row>
    <row r="237" spans="1:34" x14ac:dyDescent="0.2">
      <c r="A237">
        <v>1985.5</v>
      </c>
      <c r="B237" s="1">
        <v>1.1943611286017199</v>
      </c>
      <c r="C237" s="1">
        <v>0.464103149796532</v>
      </c>
      <c r="D237" s="1">
        <v>0.121182342898891</v>
      </c>
      <c r="E237" s="1">
        <v>-0.359594123271958</v>
      </c>
      <c r="F237" s="1">
        <v>-0.99071103046481301</v>
      </c>
      <c r="G237" s="1">
        <v>0.36044041087112</v>
      </c>
      <c r="H237" s="1">
        <v>1.1542962766134099E-2</v>
      </c>
      <c r="I237" s="1">
        <v>-0.19314419764283</v>
      </c>
      <c r="J237" s="1">
        <v>7.1551604162905805E-2</v>
      </c>
      <c r="K237" s="1">
        <v>4.0802634413565998E-2</v>
      </c>
      <c r="L237" s="1">
        <v>-2.6123014836728002E-3</v>
      </c>
      <c r="M237" s="1">
        <v>8.6976050053186992E-3</v>
      </c>
      <c r="N237" s="1">
        <v>-1.3503051537367701</v>
      </c>
      <c r="O237" s="1">
        <v>0.84775883189952805</v>
      </c>
      <c r="P237" s="1">
        <v>0.26247333920410398</v>
      </c>
      <c r="Q237" s="1">
        <v>0.98300822133537902</v>
      </c>
      <c r="R237" s="1">
        <v>0.98909352485702495</v>
      </c>
      <c r="S237" s="1">
        <v>-6.9246996300224406E-2</v>
      </c>
      <c r="T237" s="1"/>
      <c r="U237" s="1"/>
      <c r="V237" s="1"/>
      <c r="W237" s="1"/>
      <c r="X237" s="1"/>
      <c r="Y237" s="1"/>
      <c r="Z237" s="1">
        <f t="shared" si="9"/>
        <v>2.3333133750721426</v>
      </c>
      <c r="AA237" s="1">
        <f t="shared" si="10"/>
        <v>424.08753214676881</v>
      </c>
      <c r="AB237" s="1"/>
      <c r="AC237" s="1"/>
      <c r="AD237" s="1"/>
      <c r="AE237" s="1">
        <f t="shared" si="11"/>
        <v>-1.350305153736771</v>
      </c>
      <c r="AF237" s="1"/>
      <c r="AG237" s="1"/>
      <c r="AH237" s="1"/>
    </row>
    <row r="238" spans="1:34" x14ac:dyDescent="0.2">
      <c r="A238">
        <v>1986.5</v>
      </c>
      <c r="B238" s="1">
        <v>1.2174107113649799</v>
      </c>
      <c r="C238" s="1">
        <v>0.46921414782203502</v>
      </c>
      <c r="D238" s="1">
        <v>0.124201056295161</v>
      </c>
      <c r="E238" s="1">
        <v>-0.35611452181918202</v>
      </c>
      <c r="F238" s="1">
        <v>-0.99592409615988697</v>
      </c>
      <c r="G238" s="1">
        <v>0.366479270429453</v>
      </c>
      <c r="H238" s="1">
        <v>1.2489887694995601E-2</v>
      </c>
      <c r="I238" s="1">
        <v>-0.193808423266882</v>
      </c>
      <c r="J238" s="1">
        <v>7.3654314719107994E-2</v>
      </c>
      <c r="K238" s="1">
        <v>4.1365832640876399E-2</v>
      </c>
      <c r="L238" s="1">
        <v>-4.906217961728E-4</v>
      </c>
      <c r="M238" s="1">
        <v>7.6320831090925002E-3</v>
      </c>
      <c r="N238" s="1">
        <v>-1.35203861797906</v>
      </c>
      <c r="O238" s="1">
        <v>0.86991983649624904</v>
      </c>
      <c r="P238" s="1">
        <v>0.27650463237905298</v>
      </c>
      <c r="Q238" s="1">
        <v>1.0354728120997101</v>
      </c>
      <c r="R238" s="1">
        <v>1.04261427341263</v>
      </c>
      <c r="S238" s="1">
        <v>-6.6298388211902703E-2</v>
      </c>
      <c r="T238" s="1"/>
      <c r="U238" s="1"/>
      <c r="V238" s="1"/>
      <c r="W238" s="1"/>
      <c r="X238" s="1"/>
      <c r="Y238" s="1"/>
      <c r="Z238" s="1">
        <f t="shared" si="9"/>
        <v>2.3875114300787796</v>
      </c>
      <c r="AA238" s="1">
        <f t="shared" si="10"/>
        <v>428.261029750131</v>
      </c>
      <c r="AB238" s="1"/>
      <c r="AC238" s="1"/>
      <c r="AD238" s="1"/>
      <c r="AE238" s="1">
        <f t="shared" si="11"/>
        <v>-1.3520386179790691</v>
      </c>
      <c r="AF238" s="1"/>
      <c r="AG238" s="1"/>
      <c r="AH238" s="1"/>
    </row>
    <row r="239" spans="1:34" x14ac:dyDescent="0.2">
      <c r="A239">
        <v>1987.5</v>
      </c>
      <c r="B239" s="1">
        <v>1.24487429401469</v>
      </c>
      <c r="C239" s="1">
        <v>0.47323219078941098</v>
      </c>
      <c r="D239" s="1">
        <v>0.124835261665727</v>
      </c>
      <c r="E239" s="1">
        <v>-0.36563313254867802</v>
      </c>
      <c r="F239" s="1">
        <v>-1.02773500785534</v>
      </c>
      <c r="G239" s="1">
        <v>0.373854999934017</v>
      </c>
      <c r="H239" s="1">
        <v>1.33522124969298E-2</v>
      </c>
      <c r="I239" s="1">
        <v>-0.194473422871031</v>
      </c>
      <c r="J239" s="1">
        <v>7.6548140004552595E-2</v>
      </c>
      <c r="K239" s="1">
        <v>4.18080597579258E-2</v>
      </c>
      <c r="L239" s="1">
        <v>1.03829866022646E-2</v>
      </c>
      <c r="M239" s="1">
        <v>8.8808071560643104E-2</v>
      </c>
      <c r="N239" s="1">
        <v>-1.3933681404040199</v>
      </c>
      <c r="O239" s="1">
        <v>0.88924017085829898</v>
      </c>
      <c r="P239" s="1">
        <v>0.291172718403161</v>
      </c>
      <c r="Q239" s="1">
        <v>1.05183631379137</v>
      </c>
      <c r="R239" s="1">
        <v>1.1510273719542701</v>
      </c>
      <c r="S239" s="1">
        <v>-6.2765010611622804E-2</v>
      </c>
      <c r="T239" s="1"/>
      <c r="U239" s="1"/>
      <c r="V239" s="1"/>
      <c r="W239" s="1"/>
      <c r="X239" s="1"/>
      <c r="Y239" s="1"/>
      <c r="Z239" s="1">
        <f t="shared" si="9"/>
        <v>2.445204454195383</v>
      </c>
      <c r="AA239" s="1">
        <f t="shared" si="10"/>
        <v>432.74879554129774</v>
      </c>
      <c r="AB239" s="1"/>
      <c r="AC239" s="1"/>
      <c r="AD239" s="1"/>
      <c r="AE239" s="1">
        <f t="shared" si="11"/>
        <v>-1.3933681404040179</v>
      </c>
      <c r="AF239" s="1"/>
      <c r="AG239" s="1"/>
      <c r="AH239" s="1"/>
    </row>
    <row r="240" spans="1:34" x14ac:dyDescent="0.2">
      <c r="A240">
        <v>1988.5</v>
      </c>
      <c r="B240" s="1">
        <v>1.2844839993814501</v>
      </c>
      <c r="C240" s="1">
        <v>0.47829855712166303</v>
      </c>
      <c r="D240" s="1">
        <v>0.127172963997112</v>
      </c>
      <c r="E240" s="1">
        <v>-0.36395019953123497</v>
      </c>
      <c r="F240" s="1">
        <v>-1.0368131209293601</v>
      </c>
      <c r="G240" s="1">
        <v>0.37982168805602801</v>
      </c>
      <c r="H240" s="1">
        <v>1.43333673696204E-2</v>
      </c>
      <c r="I240" s="1">
        <v>-0.19510405034523101</v>
      </c>
      <c r="J240" s="1">
        <v>7.9462845147396904E-2</v>
      </c>
      <c r="K240" s="1">
        <v>4.2370136864643297E-2</v>
      </c>
      <c r="L240" s="1">
        <v>5.5406277617889597E-2</v>
      </c>
      <c r="M240" s="1">
        <v>0.14466033135496101</v>
      </c>
      <c r="N240" s="1">
        <v>-1.4007633204606</v>
      </c>
      <c r="O240" s="1">
        <v>0.91236156816329095</v>
      </c>
      <c r="P240" s="1">
        <v>0.306890047044515</v>
      </c>
      <c r="Q240" s="1">
        <v>1.1169662341766</v>
      </c>
      <c r="R240" s="1">
        <v>1.31703284314945</v>
      </c>
      <c r="S240" s="1">
        <v>-5.8937700963570899E-2</v>
      </c>
      <c r="T240" s="1"/>
      <c r="U240" s="1"/>
      <c r="V240" s="1"/>
      <c r="W240" s="1"/>
      <c r="X240" s="1"/>
      <c r="Y240" s="1"/>
      <c r="Z240" s="1">
        <f t="shared" si="9"/>
        <v>2.5177295546371976</v>
      </c>
      <c r="AA240" s="1">
        <f t="shared" si="10"/>
        <v>438.45708023531921</v>
      </c>
      <c r="AB240" s="1"/>
      <c r="AC240" s="1"/>
      <c r="AD240" s="1"/>
      <c r="AE240" s="1">
        <f t="shared" si="11"/>
        <v>-1.4007633204605949</v>
      </c>
      <c r="AF240" s="1"/>
      <c r="AG240" s="1"/>
      <c r="AH240" s="1"/>
    </row>
    <row r="241" spans="1:34" x14ac:dyDescent="0.2">
      <c r="A241">
        <v>1989.5</v>
      </c>
      <c r="B241" s="1">
        <v>1.3103719423800599</v>
      </c>
      <c r="C241" s="1">
        <v>0.48371709003637198</v>
      </c>
      <c r="D241" s="1">
        <v>0.13066631028777101</v>
      </c>
      <c r="E241" s="1">
        <v>-0.360916621938563</v>
      </c>
      <c r="F241" s="1">
        <v>-1.0232147294493199</v>
      </c>
      <c r="G241" s="1">
        <v>0.38185729173021798</v>
      </c>
      <c r="H241" s="1">
        <v>1.5255774483701801E-2</v>
      </c>
      <c r="I241" s="1">
        <v>-0.195277671860761</v>
      </c>
      <c r="J241" s="1">
        <v>7.8780222753567802E-2</v>
      </c>
      <c r="K241" s="1">
        <v>4.2975607933137198E-2</v>
      </c>
      <c r="L241" s="1">
        <v>0.117262600860077</v>
      </c>
      <c r="M241" s="1">
        <v>0.18383423532792001</v>
      </c>
      <c r="N241" s="1">
        <v>-1.3841313513878799</v>
      </c>
      <c r="O241" s="1">
        <v>0.93517882791612095</v>
      </c>
      <c r="P241" s="1">
        <v>0.32079542759197699</v>
      </c>
      <c r="Q241" s="1">
        <v>1.18501064394816</v>
      </c>
      <c r="R241" s="1">
        <v>1.48610748013616</v>
      </c>
      <c r="S241" s="1">
        <v>-5.8266066690354501E-2</v>
      </c>
      <c r="T241" s="1"/>
      <c r="U241" s="1"/>
      <c r="V241" s="1"/>
      <c r="W241" s="1"/>
      <c r="X241" s="1"/>
      <c r="Y241" s="1"/>
      <c r="Z241" s="1">
        <f t="shared" si="9"/>
        <v>2.5691419953360435</v>
      </c>
      <c r="AA241" s="1">
        <f t="shared" si="10"/>
        <v>442.54918553537169</v>
      </c>
      <c r="AB241" s="1"/>
      <c r="AC241" s="1"/>
      <c r="AD241" s="1"/>
      <c r="AE241" s="1">
        <f t="shared" si="11"/>
        <v>-1.3841313513878828</v>
      </c>
      <c r="AF241" s="1"/>
      <c r="AG241" s="1"/>
      <c r="AH241" s="1"/>
    </row>
    <row r="242" spans="1:34" x14ac:dyDescent="0.2">
      <c r="A242">
        <v>1990.5</v>
      </c>
      <c r="B242" s="1">
        <v>1.33030798075079</v>
      </c>
      <c r="C242" s="1">
        <v>0.48672681554777503</v>
      </c>
      <c r="D242" s="1">
        <v>0.13373705344256501</v>
      </c>
      <c r="E242" s="1">
        <v>-0.36201447437965401</v>
      </c>
      <c r="F242" s="1">
        <v>-1.03739207962395</v>
      </c>
      <c r="G242" s="1">
        <v>0.38517228837260398</v>
      </c>
      <c r="H242" s="1">
        <v>1.56981285458834E-2</v>
      </c>
      <c r="I242" s="1">
        <v>-0.195453515256022</v>
      </c>
      <c r="J242" s="1">
        <v>8.0456589991954999E-2</v>
      </c>
      <c r="K242" s="1">
        <v>4.3314889800440501E-2</v>
      </c>
      <c r="L242" s="1">
        <v>0.105827371367889</v>
      </c>
      <c r="M242" s="1">
        <v>0.180287235122642</v>
      </c>
      <c r="N242" s="1">
        <v>-1.39940655400361</v>
      </c>
      <c r="O242" s="1">
        <v>0.95312795062998101</v>
      </c>
      <c r="P242" s="1">
        <v>0.33266408163963901</v>
      </c>
      <c r="Q242" s="1">
        <v>1.2132177588320301</v>
      </c>
      <c r="R242" s="1">
        <v>1.4993323653225601</v>
      </c>
      <c r="S242" s="1">
        <v>-5.5983906917743798E-2</v>
      </c>
      <c r="T242" s="1"/>
      <c r="U242" s="1"/>
      <c r="V242" s="1"/>
      <c r="W242" s="1"/>
      <c r="X242" s="1"/>
      <c r="Y242" s="1"/>
      <c r="Z242" s="1">
        <f t="shared" si="9"/>
        <v>2.6126243128356301</v>
      </c>
      <c r="AA242" s="1">
        <f t="shared" si="10"/>
        <v>446.03989840931564</v>
      </c>
      <c r="AB242" s="1"/>
      <c r="AC242" s="1"/>
      <c r="AD242" s="1"/>
      <c r="AE242" s="1">
        <f t="shared" si="11"/>
        <v>-1.399406554003604</v>
      </c>
      <c r="AF242" s="1"/>
      <c r="AG242" s="1"/>
      <c r="AH242" s="1"/>
    </row>
    <row r="243" spans="1:34" x14ac:dyDescent="0.2">
      <c r="A243">
        <v>1991.5</v>
      </c>
      <c r="B243" s="1">
        <v>1.3514441660271499</v>
      </c>
      <c r="C243" s="1">
        <v>0.49199512507054299</v>
      </c>
      <c r="D243" s="1">
        <v>0.136048399349014</v>
      </c>
      <c r="E243" s="1">
        <v>-0.37362526543971702</v>
      </c>
      <c r="F243" s="1">
        <v>-1.11526611550535</v>
      </c>
      <c r="G243" s="1">
        <v>0.41152189837863801</v>
      </c>
      <c r="H243" s="1">
        <v>1.558858235327E-2</v>
      </c>
      <c r="I243" s="1">
        <v>-0.194885384346454</v>
      </c>
      <c r="J243" s="1">
        <v>8.85784495797977E-2</v>
      </c>
      <c r="K243" s="1">
        <v>4.39065776804674E-2</v>
      </c>
      <c r="L243" s="1">
        <v>0.104111306914764</v>
      </c>
      <c r="M243" s="1">
        <v>-0.60501799173498605</v>
      </c>
      <c r="N243" s="1">
        <v>-1.4888913809450599</v>
      </c>
      <c r="O243" s="1">
        <v>0.97021569834594801</v>
      </c>
      <c r="P243" s="1">
        <v>0.34217217392638999</v>
      </c>
      <c r="Q243" s="1">
        <v>1.19747860707374</v>
      </c>
      <c r="R243" s="1">
        <v>0.69657192225352704</v>
      </c>
      <c r="S243" s="1">
        <v>-4.6811774732919198E-2</v>
      </c>
      <c r="T243" s="1"/>
      <c r="U243" s="1"/>
      <c r="V243" s="1"/>
      <c r="W243" s="1"/>
      <c r="X243" s="1"/>
      <c r="Y243" s="1"/>
      <c r="Z243" s="1">
        <f t="shared" si="9"/>
        <v>2.6863699880188157</v>
      </c>
      <c r="AA243" s="1">
        <f t="shared" si="10"/>
        <v>452.02318325565517</v>
      </c>
      <c r="AB243" s="1"/>
      <c r="AC243" s="1"/>
      <c r="AD243" s="1"/>
      <c r="AE243" s="1">
        <f t="shared" si="11"/>
        <v>-1.488891380945067</v>
      </c>
      <c r="AF243" s="1"/>
      <c r="AG243" s="1"/>
      <c r="AH243" s="1"/>
    </row>
    <row r="244" spans="1:34" x14ac:dyDescent="0.2">
      <c r="A244">
        <v>1992.5</v>
      </c>
      <c r="B244" s="1">
        <v>1.3624544384656401</v>
      </c>
      <c r="C244" s="1">
        <v>0.49496593106383002</v>
      </c>
      <c r="D244" s="1">
        <v>0.13777684387386399</v>
      </c>
      <c r="E244" s="1">
        <v>-0.33854327884609497</v>
      </c>
      <c r="F244" s="1">
        <v>-0.99448003878672597</v>
      </c>
      <c r="G244" s="1">
        <v>0.38778750543149998</v>
      </c>
      <c r="H244" s="1">
        <v>1.72155610255799E-2</v>
      </c>
      <c r="I244" s="1">
        <v>-0.19403294508840199</v>
      </c>
      <c r="J244" s="1">
        <v>7.8617629897780705E-2</v>
      </c>
      <c r="K244" s="1">
        <v>4.4242122479127302E-2</v>
      </c>
      <c r="L244" s="1">
        <v>8.3346927031952095E-2</v>
      </c>
      <c r="M244" s="1">
        <v>-1.8721178409435699</v>
      </c>
      <c r="N244" s="1">
        <v>-1.3330233176328199</v>
      </c>
      <c r="O244" s="1">
        <v>0.98303973958094004</v>
      </c>
      <c r="P244" s="1">
        <v>0.350296964643244</v>
      </c>
      <c r="Q244" s="1">
        <v>1.34630073415934</v>
      </c>
      <c r="R244" s="1">
        <v>-0.44247017975227998</v>
      </c>
      <c r="S244" s="1">
        <v>-5.3957631685914498E-2</v>
      </c>
      <c r="T244" s="1"/>
      <c r="U244" s="1"/>
      <c r="V244" s="1"/>
      <c r="W244" s="1"/>
      <c r="X244" s="1"/>
      <c r="Y244" s="1"/>
      <c r="Z244" s="1">
        <f t="shared" si="9"/>
        <v>2.6793240517921642</v>
      </c>
      <c r="AA244" s="1">
        <f t="shared" si="10"/>
        <v>451.44806693560332</v>
      </c>
      <c r="AB244" s="1"/>
      <c r="AC244" s="1">
        <v>1.3428868253188224</v>
      </c>
      <c r="AD244" s="1"/>
      <c r="AE244" s="1">
        <f t="shared" si="11"/>
        <v>-1.333023317632821</v>
      </c>
      <c r="AF244" s="1"/>
      <c r="AG244" s="1"/>
      <c r="AH244" s="1"/>
    </row>
    <row r="245" spans="1:34" x14ac:dyDescent="0.2">
      <c r="A245">
        <v>1993.5</v>
      </c>
      <c r="B245" s="1">
        <v>1.37407653239051</v>
      </c>
      <c r="C245" s="1">
        <v>0.49573445111654402</v>
      </c>
      <c r="D245" s="1">
        <v>0.138827472731125</v>
      </c>
      <c r="E245" s="1">
        <v>-0.332339223056768</v>
      </c>
      <c r="F245" s="1">
        <v>-1.0083307499402501</v>
      </c>
      <c r="G245" s="1">
        <v>0.39346552211423902</v>
      </c>
      <c r="H245" s="1">
        <v>1.8826640289323501E-2</v>
      </c>
      <c r="I245" s="1">
        <v>-0.193807705885614</v>
      </c>
      <c r="J245" s="1">
        <v>8.16552530826231E-2</v>
      </c>
      <c r="K245" s="1">
        <v>4.4329987557759701E-2</v>
      </c>
      <c r="L245" s="1">
        <v>3.4485891875702099E-2</v>
      </c>
      <c r="M245" s="1">
        <v>-0.81040123705341105</v>
      </c>
      <c r="N245" s="1">
        <v>-1.34066997299701</v>
      </c>
      <c r="O245" s="1">
        <v>0.98970164980801401</v>
      </c>
      <c r="P245" s="1">
        <v>0.35513972596034399</v>
      </c>
      <c r="Q245" s="1">
        <v>1.3675779063598299</v>
      </c>
      <c r="R245" s="1">
        <v>0.59166256118213001</v>
      </c>
      <c r="S245" s="1">
        <v>-4.8995824955908401E-2</v>
      </c>
      <c r="T245" s="1"/>
      <c r="U245" s="1"/>
      <c r="V245" s="1"/>
      <c r="W245" s="1"/>
      <c r="X245" s="1"/>
      <c r="Y245" s="1"/>
      <c r="Z245" s="1">
        <f t="shared" si="9"/>
        <v>2.7082478793568545</v>
      </c>
      <c r="AA245" s="1">
        <f t="shared" si="10"/>
        <v>453.81361413472285</v>
      </c>
      <c r="AB245" s="1"/>
      <c r="AC245" s="1">
        <v>1.3483003230103037</v>
      </c>
      <c r="AD245" s="1"/>
      <c r="AE245" s="1">
        <f t="shared" si="11"/>
        <v>-1.3406699729970182</v>
      </c>
      <c r="AF245" s="1"/>
      <c r="AG245" s="1"/>
      <c r="AH245" s="1"/>
    </row>
    <row r="246" spans="1:34" x14ac:dyDescent="0.2">
      <c r="A246">
        <v>1994.5</v>
      </c>
      <c r="B246" s="1">
        <v>1.39757018747599</v>
      </c>
      <c r="C246" s="1">
        <v>0.49789759053281601</v>
      </c>
      <c r="D246" s="1">
        <v>0.14061925691609301</v>
      </c>
      <c r="E246" s="1">
        <v>-0.335512137074651</v>
      </c>
      <c r="F246" s="1">
        <v>-1.06247456870955</v>
      </c>
      <c r="G246" s="1">
        <v>0.41102423201791899</v>
      </c>
      <c r="H246" s="1">
        <v>2.0049252665336401E-2</v>
      </c>
      <c r="I246" s="1">
        <v>-0.193644933307066</v>
      </c>
      <c r="J246" s="1">
        <v>8.8263155271136304E-2</v>
      </c>
      <c r="K246" s="1">
        <v>4.4575886674492499E-2</v>
      </c>
      <c r="L246" s="1">
        <v>4.9071809382020999E-3</v>
      </c>
      <c r="M246" s="1">
        <v>-6.8076628053867994E-2</v>
      </c>
      <c r="N246" s="1">
        <v>-1.3979867057841999</v>
      </c>
      <c r="O246" s="1">
        <v>0.99758465150283604</v>
      </c>
      <c r="P246" s="1">
        <v>0.35906780405392702</v>
      </c>
      <c r="Q246" s="1">
        <v>1.3674357265164401</v>
      </c>
      <c r="R246" s="1">
        <v>1.30426627940078</v>
      </c>
      <c r="S246" s="1">
        <v>-4.0756638696101501E-2</v>
      </c>
      <c r="T246" s="1"/>
      <c r="U246" s="1"/>
      <c r="V246" s="1"/>
      <c r="W246" s="1"/>
      <c r="X246" s="1"/>
      <c r="Y246" s="1"/>
      <c r="Z246" s="1">
        <f t="shared" si="9"/>
        <v>2.7654224323006442</v>
      </c>
      <c r="AA246" s="1">
        <f t="shared" si="10"/>
        <v>458.52618878166015</v>
      </c>
      <c r="AB246" s="1"/>
      <c r="AC246" s="1">
        <v>1.3582044307858609</v>
      </c>
      <c r="AD246" s="1"/>
      <c r="AE246" s="1">
        <f t="shared" si="11"/>
        <v>-1.397986705784201</v>
      </c>
      <c r="AF246" s="1"/>
      <c r="AG246" s="1"/>
      <c r="AH246" s="1"/>
    </row>
    <row r="247" spans="1:34" x14ac:dyDescent="0.2">
      <c r="A247">
        <v>1995.5</v>
      </c>
      <c r="B247" s="1">
        <v>1.42626998391466</v>
      </c>
      <c r="C247" s="1">
        <v>0.49982722403839502</v>
      </c>
      <c r="D247" s="1">
        <v>0.14259349362648099</v>
      </c>
      <c r="E247" s="1">
        <v>-0.31018014613718298</v>
      </c>
      <c r="F247" s="1">
        <v>-1.0170314140144701</v>
      </c>
      <c r="G247" s="1">
        <v>0.40454636274891598</v>
      </c>
      <c r="H247" s="1">
        <v>2.1408454212902099E-2</v>
      </c>
      <c r="I247" s="1">
        <v>-0.19330243015068799</v>
      </c>
      <c r="J247" s="1">
        <v>8.8198295572270505E-2</v>
      </c>
      <c r="K247" s="1">
        <v>4.4796241827910102E-2</v>
      </c>
      <c r="L247" s="1">
        <v>-7.0902999929780002E-4</v>
      </c>
      <c r="M247" s="1">
        <v>0.120676515122756</v>
      </c>
      <c r="N247" s="1">
        <v>-1.3272115601516501</v>
      </c>
      <c r="O247" s="1">
        <v>1.00506762893063</v>
      </c>
      <c r="P247" s="1">
        <v>0.36264691126576099</v>
      </c>
      <c r="Q247" s="1">
        <v>1.4697729769049499</v>
      </c>
      <c r="R247" s="1">
        <v>1.5897404620284099</v>
      </c>
      <c r="S247" s="1">
        <v>-3.8899438537605399E-2</v>
      </c>
      <c r="T247" s="1"/>
      <c r="U247" s="1"/>
      <c r="V247" s="1"/>
      <c r="W247" s="1"/>
      <c r="X247" s="1"/>
      <c r="Y247" s="1"/>
      <c r="Z247" s="1">
        <f t="shared" si="9"/>
        <v>2.7969845370566078</v>
      </c>
      <c r="AA247" s="1">
        <f t="shared" si="10"/>
        <v>461.14860588717909</v>
      </c>
      <c r="AB247" s="1"/>
      <c r="AC247" s="1">
        <v>1.3520554498171176</v>
      </c>
      <c r="AD247" s="1"/>
      <c r="AE247" s="1">
        <f t="shared" si="11"/>
        <v>-1.327211560151653</v>
      </c>
      <c r="AF247" s="1"/>
      <c r="AG247" s="1"/>
      <c r="AH247" s="1"/>
    </row>
    <row r="248" spans="1:34" x14ac:dyDescent="0.2">
      <c r="A248">
        <v>1996.5</v>
      </c>
      <c r="B248" s="1">
        <v>1.4535944353080601</v>
      </c>
      <c r="C248" s="1">
        <v>0.50062349807784201</v>
      </c>
      <c r="D248" s="1">
        <v>0.145422011355679</v>
      </c>
      <c r="E248" s="1">
        <v>-0.30185737238605298</v>
      </c>
      <c r="F248" s="1">
        <v>-0.987580737335084</v>
      </c>
      <c r="G248" s="1">
        <v>0.40480185862954698</v>
      </c>
      <c r="H248" s="1">
        <v>2.26605033477437E-2</v>
      </c>
      <c r="I248" s="1">
        <v>-0.193670317583271</v>
      </c>
      <c r="J248" s="1">
        <v>8.5075548793707503E-2</v>
      </c>
      <c r="K248" s="1">
        <v>4.4890371992209299E-2</v>
      </c>
      <c r="L248" s="1">
        <v>-1.2908688202422801E-2</v>
      </c>
      <c r="M248" s="1">
        <v>0.189889191010602</v>
      </c>
      <c r="N248" s="1">
        <v>-1.28943810972113</v>
      </c>
      <c r="O248" s="1">
        <v>1.01186774319789</v>
      </c>
      <c r="P248" s="1">
        <v>0.36582223376437301</v>
      </c>
      <c r="Q248" s="1">
        <v>1.5397820339647501</v>
      </c>
      <c r="R248" s="1">
        <v>1.71676253677293</v>
      </c>
      <c r="S248" s="1">
        <v>-4.1043893449611298E-2</v>
      </c>
      <c r="T248" s="1"/>
      <c r="U248" s="1"/>
      <c r="V248" s="1"/>
      <c r="W248" s="1"/>
      <c r="X248" s="1"/>
      <c r="Y248" s="1"/>
      <c r="Z248" s="1">
        <f t="shared" si="9"/>
        <v>2.8292201436858906</v>
      </c>
      <c r="AA248" s="1">
        <f t="shared" si="10"/>
        <v>463.84246491627749</v>
      </c>
      <c r="AB248" s="1"/>
      <c r="AC248" s="1">
        <v>1.3474787192782733</v>
      </c>
      <c r="AD248" s="1"/>
      <c r="AE248" s="1">
        <f t="shared" si="11"/>
        <v>-1.2894381097211369</v>
      </c>
      <c r="AF248" s="1"/>
      <c r="AG248" s="1"/>
      <c r="AH248" s="1"/>
    </row>
    <row r="249" spans="1:34" x14ac:dyDescent="0.2">
      <c r="A249">
        <v>1997.5</v>
      </c>
      <c r="B249" s="1">
        <v>1.4709156323283701</v>
      </c>
      <c r="C249" s="1">
        <v>0.50192406834796</v>
      </c>
      <c r="D249" s="1">
        <v>0.14818849754112401</v>
      </c>
      <c r="E249" s="1">
        <v>-0.33276817715565699</v>
      </c>
      <c r="F249" s="1">
        <v>-1.0945011204709401</v>
      </c>
      <c r="G249" s="1">
        <v>0.44223705448885697</v>
      </c>
      <c r="H249" s="1">
        <v>2.3816113946755101E-2</v>
      </c>
      <c r="I249" s="1">
        <v>-0.19428111256811001</v>
      </c>
      <c r="J249" s="1">
        <v>9.4372477125734405E-2</v>
      </c>
      <c r="K249" s="1">
        <v>4.5041437496427798E-2</v>
      </c>
      <c r="L249" s="1">
        <v>3.5031282038271E-3</v>
      </c>
      <c r="M249" s="1">
        <v>0.21325117034736599</v>
      </c>
      <c r="N249" s="1">
        <v>-1.4272692976265999</v>
      </c>
      <c r="O249" s="1">
        <v>1.01830072002535</v>
      </c>
      <c r="P249" s="1">
        <v>0.36818815413626699</v>
      </c>
      <c r="Q249" s="1">
        <v>1.47313302521679</v>
      </c>
      <c r="R249" s="1">
        <v>1.6898873237679799</v>
      </c>
      <c r="S249" s="1">
        <v>-3.1051083999193201E-2</v>
      </c>
      <c r="T249" s="1"/>
      <c r="U249" s="1"/>
      <c r="V249" s="1"/>
      <c r="W249" s="1"/>
      <c r="X249" s="1"/>
      <c r="Y249" s="1"/>
      <c r="Z249" s="1">
        <f t="shared" si="9"/>
        <v>2.9004023228433851</v>
      </c>
      <c r="AA249" s="1">
        <f t="shared" si="10"/>
        <v>469.84687572705957</v>
      </c>
      <c r="AB249" s="1"/>
      <c r="AC249" s="1">
        <v>1.3674510905988566</v>
      </c>
      <c r="AD249" s="1"/>
      <c r="AE249" s="1">
        <f t="shared" si="11"/>
        <v>-1.427269297626597</v>
      </c>
      <c r="AF249" s="1"/>
      <c r="AG249" s="1"/>
      <c r="AH249" s="1"/>
    </row>
    <row r="250" spans="1:34" x14ac:dyDescent="0.2">
      <c r="A250">
        <v>1998.5</v>
      </c>
      <c r="B250" s="1">
        <v>1.51172953254083</v>
      </c>
      <c r="C250" s="1">
        <v>0.50592697426017796</v>
      </c>
      <c r="D250" s="1">
        <v>0.15071093824899001</v>
      </c>
      <c r="E250" s="1">
        <v>-0.32342684524328402</v>
      </c>
      <c r="F250" s="1">
        <v>-1.0829683702139401</v>
      </c>
      <c r="G250" s="1">
        <v>0.43506242714831</v>
      </c>
      <c r="H250" s="1">
        <v>2.4777870039626601E-2</v>
      </c>
      <c r="I250" s="1">
        <v>-0.19468984761316299</v>
      </c>
      <c r="J250" s="1">
        <v>9.4741208087624304E-2</v>
      </c>
      <c r="K250" s="1">
        <v>4.5498371077726599E-2</v>
      </c>
      <c r="L250" s="1">
        <v>5.0398489531952098E-2</v>
      </c>
      <c r="M250" s="1">
        <v>0.21542688197263199</v>
      </c>
      <c r="N250" s="1">
        <v>-1.4063952154572199</v>
      </c>
      <c r="O250" s="1">
        <v>1.0271695076331999</v>
      </c>
      <c r="P250" s="1">
        <v>0.370531595124033</v>
      </c>
      <c r="Q250" s="1">
        <v>1.53789385345693</v>
      </c>
      <c r="R250" s="1">
        <v>1.8037192249615199</v>
      </c>
      <c r="S250" s="1">
        <v>-2.9672398408186001E-2</v>
      </c>
      <c r="T250" s="1"/>
      <c r="U250" s="1"/>
      <c r="V250" s="1"/>
      <c r="W250" s="1"/>
      <c r="X250" s="1"/>
      <c r="Y250" s="1"/>
      <c r="Z250" s="1">
        <f t="shared" si="9"/>
        <v>2.9442890689141552</v>
      </c>
      <c r="AA250" s="1">
        <f t="shared" si="10"/>
        <v>473.58751227911722</v>
      </c>
      <c r="AB250" s="1"/>
      <c r="AC250" s="1">
        <v>1.357836779755871</v>
      </c>
      <c r="AD250" s="1"/>
      <c r="AE250" s="1">
        <f t="shared" si="11"/>
        <v>-1.4063952154572241</v>
      </c>
      <c r="AF250" s="1"/>
      <c r="AG250" s="1"/>
      <c r="AH250" s="1"/>
    </row>
    <row r="251" spans="1:34" x14ac:dyDescent="0.2">
      <c r="A251">
        <v>1999.5</v>
      </c>
      <c r="B251" s="1">
        <v>1.5438782835565099</v>
      </c>
      <c r="C251" s="1">
        <v>0.50889232700662301</v>
      </c>
      <c r="D251" s="1">
        <v>0.15396041751952999</v>
      </c>
      <c r="E251" s="1">
        <v>-0.293799886124812</v>
      </c>
      <c r="F251" s="1">
        <v>-0.97256189846534002</v>
      </c>
      <c r="G251" s="1">
        <v>0.42037074858942802</v>
      </c>
      <c r="H251" s="1">
        <v>2.62782635901504E-2</v>
      </c>
      <c r="I251" s="1">
        <v>-0.19523861714384499</v>
      </c>
      <c r="J251" s="1">
        <v>8.2652763986877001E-2</v>
      </c>
      <c r="K251" s="1">
        <v>4.58401150137831E-2</v>
      </c>
      <c r="L251" s="1">
        <v>8.4906985625702106E-2</v>
      </c>
      <c r="M251" s="1">
        <v>0.219694637530091</v>
      </c>
      <c r="N251" s="1">
        <v>-1.26636178459015</v>
      </c>
      <c r="O251" s="1">
        <v>1.03557494112102</v>
      </c>
      <c r="P251" s="1">
        <v>0.37272219659487099</v>
      </c>
      <c r="Q251" s="1">
        <v>1.69299471412377</v>
      </c>
      <c r="R251" s="1">
        <v>1.99759633727957</v>
      </c>
      <c r="S251" s="1">
        <v>-4.0467474553035301E-2</v>
      </c>
      <c r="T251" s="1"/>
      <c r="U251" s="1"/>
      <c r="V251" s="1"/>
      <c r="W251" s="1"/>
      <c r="X251" s="1"/>
      <c r="Y251" s="1"/>
      <c r="Z251" s="1">
        <f t="shared" si="9"/>
        <v>2.9593564987139271</v>
      </c>
      <c r="AA251" s="1">
        <f t="shared" si="10"/>
        <v>474.87862286726227</v>
      </c>
      <c r="AB251" s="1"/>
      <c r="AC251" s="1">
        <v>1.3410589967936368</v>
      </c>
      <c r="AD251" s="1"/>
      <c r="AE251" s="1">
        <f t="shared" si="11"/>
        <v>-1.266361784590152</v>
      </c>
      <c r="AF251" s="1"/>
      <c r="AG251" s="1"/>
      <c r="AH251" s="1"/>
    </row>
    <row r="252" spans="1:34" x14ac:dyDescent="0.2">
      <c r="A252">
        <v>2000.5</v>
      </c>
      <c r="B252" s="1">
        <v>1.5615582458017401</v>
      </c>
      <c r="C252" s="1">
        <v>0.50935203372484505</v>
      </c>
      <c r="D252" s="1">
        <v>0.157210114849095</v>
      </c>
      <c r="E252" s="1">
        <v>-0.29025756483660298</v>
      </c>
      <c r="F252" s="1">
        <v>-0.92831526576997903</v>
      </c>
      <c r="G252" s="1">
        <v>0.41749282140466598</v>
      </c>
      <c r="H252" s="1">
        <v>2.83573150619565E-2</v>
      </c>
      <c r="I252" s="1">
        <v>-0.195791975125648</v>
      </c>
      <c r="J252" s="1">
        <v>7.6842402148730699E-2</v>
      </c>
      <c r="K252" s="1">
        <v>4.5897490008837E-2</v>
      </c>
      <c r="L252" s="1">
        <v>0.110008328399139</v>
      </c>
      <c r="M252" s="1">
        <v>0.22078028364604099</v>
      </c>
      <c r="N252" s="1">
        <v>-1.2185728306065799</v>
      </c>
      <c r="O252" s="1">
        <v>1.0413931736729301</v>
      </c>
      <c r="P252" s="1">
        <v>0.37483102509899402</v>
      </c>
      <c r="Q252" s="1">
        <v>1.75717664236664</v>
      </c>
      <c r="R252" s="1">
        <v>2.0879652544118201</v>
      </c>
      <c r="S252" s="1">
        <v>-4.4694767906124297E-2</v>
      </c>
      <c r="T252" s="1"/>
      <c r="U252" s="1"/>
      <c r="V252" s="1"/>
      <c r="W252" s="1"/>
      <c r="X252" s="1"/>
      <c r="Y252" s="1"/>
      <c r="Z252" s="1">
        <f t="shared" si="9"/>
        <v>2.9757494729732161</v>
      </c>
      <c r="AA252" s="1">
        <f t="shared" si="10"/>
        <v>476.28731612005026</v>
      </c>
      <c r="AB252" s="1"/>
      <c r="AC252" s="1">
        <v>1.3355424960360016</v>
      </c>
      <c r="AD252" s="1"/>
      <c r="AE252" s="1">
        <f t="shared" si="11"/>
        <v>-1.2185728306065819</v>
      </c>
      <c r="AF252" s="1"/>
      <c r="AG252" s="1"/>
      <c r="AH252" s="1"/>
    </row>
    <row r="253" spans="1:34" x14ac:dyDescent="0.2">
      <c r="A253">
        <v>2001.5</v>
      </c>
      <c r="B253" s="1">
        <v>1.58602576923831</v>
      </c>
      <c r="C253" s="1">
        <v>0.50874174915152404</v>
      </c>
      <c r="D253" s="1">
        <v>0.15965484101813401</v>
      </c>
      <c r="E253" s="1">
        <v>-0.28977525377826802</v>
      </c>
      <c r="F253" s="1">
        <v>-0.92932216604288498</v>
      </c>
      <c r="G253" s="1">
        <v>0.42069125192900902</v>
      </c>
      <c r="H253" s="1">
        <v>2.9015767727746299E-2</v>
      </c>
      <c r="I253" s="1">
        <v>-0.19552423123255</v>
      </c>
      <c r="J253" s="1">
        <v>7.7557609342844794E-2</v>
      </c>
      <c r="K253" s="1">
        <v>4.5831937428281198E-2</v>
      </c>
      <c r="L253" s="1">
        <v>9.9446731719452106E-2</v>
      </c>
      <c r="M253" s="1">
        <v>0.215175318136513</v>
      </c>
      <c r="N253" s="1">
        <v>-1.2190974198211499</v>
      </c>
      <c r="O253" s="1">
        <v>1.04513240717623</v>
      </c>
      <c r="P253" s="1">
        <v>0.37673581700657</v>
      </c>
      <c r="Q253" s="1">
        <v>1.78963309178871</v>
      </c>
      <c r="R253" s="1">
        <v>2.1042551416446802</v>
      </c>
      <c r="S253" s="1">
        <v>-4.3118916733677799E-2</v>
      </c>
      <c r="T253" s="1"/>
      <c r="U253" s="1"/>
      <c r="V253" s="1"/>
      <c r="W253" s="1"/>
      <c r="X253" s="1"/>
      <c r="Y253" s="1"/>
      <c r="Z253" s="1">
        <f t="shared" si="9"/>
        <v>3.008730511609869</v>
      </c>
      <c r="AA253" s="1">
        <f t="shared" si="10"/>
        <v>479.13414090810284</v>
      </c>
      <c r="AB253" s="1"/>
      <c r="AC253" s="1">
        <v>1.3345904324689137</v>
      </c>
      <c r="AD253" s="1"/>
      <c r="AE253" s="1">
        <f t="shared" si="11"/>
        <v>-1.219097419821153</v>
      </c>
      <c r="AF253" s="1"/>
      <c r="AG253" s="1"/>
      <c r="AH253" s="1"/>
    </row>
    <row r="254" spans="1:34" x14ac:dyDescent="0.2">
      <c r="A254">
        <v>2002.5</v>
      </c>
      <c r="B254" s="1">
        <v>1.6164442821818099</v>
      </c>
      <c r="C254" s="1">
        <v>0.50906117067434398</v>
      </c>
      <c r="D254" s="1">
        <v>0.16176431057171101</v>
      </c>
      <c r="E254" s="1">
        <v>-0.30472811348854101</v>
      </c>
      <c r="F254" s="1">
        <v>-0.99795680920596097</v>
      </c>
      <c r="G254" s="1">
        <v>0.43347805187744298</v>
      </c>
      <c r="H254" s="1">
        <v>2.8468965603090399E-2</v>
      </c>
      <c r="I254" s="1">
        <v>-0.194653131669104</v>
      </c>
      <c r="J254" s="1">
        <v>8.3177820888127696E-2</v>
      </c>
      <c r="K254" s="1">
        <v>4.5871594321414202E-2</v>
      </c>
      <c r="L254" s="1">
        <v>0.104735330352264</v>
      </c>
      <c r="M254" s="1">
        <v>0.22219952368448301</v>
      </c>
      <c r="N254" s="1">
        <v>-1.3026849226945001</v>
      </c>
      <c r="O254" s="1">
        <v>1.0492749578571401</v>
      </c>
      <c r="P254" s="1">
        <v>0.37844947661109102</v>
      </c>
      <c r="Q254" s="1">
        <v>1.7593776183654299</v>
      </c>
      <c r="R254" s="1">
        <v>2.08631247240218</v>
      </c>
      <c r="S254" s="1">
        <v>-3.7134750856472297E-2</v>
      </c>
      <c r="T254" s="1"/>
      <c r="U254" s="1"/>
      <c r="V254" s="1"/>
      <c r="W254" s="1"/>
      <c r="X254" s="1"/>
      <c r="Y254" s="1"/>
      <c r="Z254" s="1">
        <f t="shared" si="9"/>
        <v>3.0620625410599271</v>
      </c>
      <c r="AA254" s="1">
        <f t="shared" si="10"/>
        <v>483.77365134266751</v>
      </c>
      <c r="AB254" s="1"/>
      <c r="AC254" s="1">
        <v>1.3387413194632989</v>
      </c>
      <c r="AD254" s="1"/>
      <c r="AE254" s="1">
        <f t="shared" si="11"/>
        <v>-1.3026849226945019</v>
      </c>
      <c r="AF254" s="1"/>
      <c r="AG254" s="1"/>
      <c r="AH254" s="1"/>
    </row>
    <row r="255" spans="1:34" x14ac:dyDescent="0.2">
      <c r="A255">
        <v>2003.5</v>
      </c>
      <c r="B255" s="1">
        <v>1.65512706540646</v>
      </c>
      <c r="C255" s="1">
        <v>0.51064971754021904</v>
      </c>
      <c r="D255" s="1">
        <v>0.16405858608568799</v>
      </c>
      <c r="E255" s="1">
        <v>-0.31950420636471699</v>
      </c>
      <c r="F255" s="1">
        <v>-1.0234908216618199</v>
      </c>
      <c r="G255" s="1">
        <v>0.43664983145089997</v>
      </c>
      <c r="H255" s="1">
        <v>2.9491774355165701E-2</v>
      </c>
      <c r="I255" s="1">
        <v>-0.19413322095438701</v>
      </c>
      <c r="J255" s="1">
        <v>8.4352060984166005E-2</v>
      </c>
      <c r="K255" s="1">
        <v>4.6056051633098997E-2</v>
      </c>
      <c r="L255" s="1">
        <v>4.3362625274139602E-2</v>
      </c>
      <c r="M255" s="1">
        <v>0.20535269446804999</v>
      </c>
      <c r="N255" s="1">
        <v>-1.3429950280265399</v>
      </c>
      <c r="O255" s="1">
        <v>1.0546408738066699</v>
      </c>
      <c r="P255" s="1">
        <v>0.37993257018076898</v>
      </c>
      <c r="Q255" s="1">
        <v>1.76918940865554</v>
      </c>
      <c r="R255" s="1">
        <v>2.0179047283977298</v>
      </c>
      <c r="S255" s="1">
        <v>-3.42333339819565E-2</v>
      </c>
      <c r="T255" s="1"/>
      <c r="U255" s="1"/>
      <c r="V255" s="1"/>
      <c r="W255" s="1"/>
      <c r="X255" s="1"/>
      <c r="Y255" s="1"/>
      <c r="Z255" s="1">
        <f t="shared" si="9"/>
        <v>3.1121844366820799</v>
      </c>
      <c r="AA255" s="1">
        <f t="shared" si="10"/>
        <v>488.17484498285535</v>
      </c>
      <c r="AB255" s="1"/>
      <c r="AC255" s="1">
        <v>1.3357958583891874</v>
      </c>
      <c r="AD255" s="1"/>
      <c r="AE255" s="1">
        <f t="shared" si="11"/>
        <v>-1.3429950280265368</v>
      </c>
      <c r="AF255" s="1" t="s">
        <v>87</v>
      </c>
      <c r="AG255" s="1"/>
      <c r="AH255" s="1"/>
    </row>
    <row r="256" spans="1:34" x14ac:dyDescent="0.2">
      <c r="A256">
        <v>2004.5</v>
      </c>
      <c r="B256" s="1">
        <v>1.6820764781133499</v>
      </c>
      <c r="C256" s="1">
        <v>0.51037852509688597</v>
      </c>
      <c r="D256" s="1">
        <v>0.16619384887544</v>
      </c>
      <c r="E256" s="1">
        <v>-0.31931890698916698</v>
      </c>
      <c r="F256" s="1">
        <v>-1.0262717242955</v>
      </c>
      <c r="G256" s="1">
        <v>0.44477932035059198</v>
      </c>
      <c r="H256" s="1">
        <v>3.3543080113722402E-2</v>
      </c>
      <c r="I256" s="1">
        <v>-0.19399097999999901</v>
      </c>
      <c r="J256" s="1">
        <v>8.7103072912797799E-2</v>
      </c>
      <c r="K256" s="1">
        <v>4.6028551204435199E-2</v>
      </c>
      <c r="L256" s="1">
        <v>1.6576419219452101E-2</v>
      </c>
      <c r="M256" s="1">
        <v>0.21689557238585799</v>
      </c>
      <c r="N256" s="1">
        <v>-1.3455906312846699</v>
      </c>
      <c r="O256" s="1">
        <v>1.0581473712296601</v>
      </c>
      <c r="P256" s="1">
        <v>0.38157499725733302</v>
      </c>
      <c r="Q256" s="1">
        <v>1.81209626263988</v>
      </c>
      <c r="R256" s="1">
        <v>2.0455682542451901</v>
      </c>
      <c r="S256" s="1">
        <v>-2.7316275769044499E-2</v>
      </c>
      <c r="T256" s="1"/>
      <c r="U256" s="1"/>
      <c r="V256" s="1"/>
      <c r="W256" s="1"/>
      <c r="X256" s="1"/>
      <c r="Y256" s="1"/>
      <c r="Z256" s="1">
        <f t="shared" si="9"/>
        <v>3.1576868939245575</v>
      </c>
      <c r="AA256" s="1">
        <f t="shared" si="10"/>
        <v>492.20507204726249</v>
      </c>
      <c r="AB256" s="1"/>
      <c r="AC256" s="1">
        <v>1.3387693938130376</v>
      </c>
      <c r="AD256" s="1"/>
      <c r="AE256" s="1">
        <f t="shared" si="11"/>
        <v>-1.3455906312846668</v>
      </c>
      <c r="AF256" s="1">
        <v>0.46650563135521006</v>
      </c>
      <c r="AG256" s="1"/>
      <c r="AH256" s="1"/>
    </row>
    <row r="257" spans="1:34" x14ac:dyDescent="0.2">
      <c r="A257">
        <v>2005.5</v>
      </c>
      <c r="B257" s="1">
        <v>1.71233253067546</v>
      </c>
      <c r="C257" s="1">
        <v>0.50958088228488296</v>
      </c>
      <c r="D257" s="1">
        <v>0.16851318728210299</v>
      </c>
      <c r="E257" s="1">
        <v>-0.33349494449691602</v>
      </c>
      <c r="F257" s="1">
        <v>-1.0560029071604899</v>
      </c>
      <c r="G257" s="1">
        <v>0.45025395036975602</v>
      </c>
      <c r="H257" s="1">
        <v>3.5235940452188898E-2</v>
      </c>
      <c r="I257" s="1">
        <v>-0.193827728375396</v>
      </c>
      <c r="J257" s="1">
        <v>8.9966910411266102E-2</v>
      </c>
      <c r="K257" s="1">
        <v>4.5941411556774801E-2</v>
      </c>
      <c r="L257" s="1">
        <v>-9.8821745305478007E-3</v>
      </c>
      <c r="M257" s="1">
        <v>0.18971118557701599</v>
      </c>
      <c r="N257" s="1">
        <v>-1.3894978516574099</v>
      </c>
      <c r="O257" s="1">
        <v>1.06137738105723</v>
      </c>
      <c r="P257" s="1">
        <v>0.38328331149024902</v>
      </c>
      <c r="Q257" s="1">
        <v>1.8117825444898701</v>
      </c>
      <c r="R257" s="1">
        <v>1.9916115555363401</v>
      </c>
      <c r="S257" s="1">
        <v>-2.2683465955167001E-2</v>
      </c>
      <c r="T257" s="1"/>
      <c r="U257" s="1"/>
      <c r="V257" s="1"/>
      <c r="W257" s="1"/>
      <c r="X257" s="1"/>
      <c r="Y257" s="1"/>
      <c r="Z257" s="1">
        <f t="shared" si="9"/>
        <v>3.2012803961472849</v>
      </c>
      <c r="AA257" s="1">
        <f t="shared" si="10"/>
        <v>496.09742408768659</v>
      </c>
      <c r="AB257" s="1"/>
      <c r="AC257" s="1">
        <v>1.3392088239909139</v>
      </c>
      <c r="AD257" s="1"/>
      <c r="AE257" s="1">
        <f t="shared" si="11"/>
        <v>-1.3894978516574059</v>
      </c>
      <c r="AF257" s="1">
        <v>0.42228469283246017</v>
      </c>
      <c r="AG257" s="1"/>
      <c r="AH257" s="1"/>
    </row>
    <row r="258" spans="1:34" x14ac:dyDescent="0.2">
      <c r="A258">
        <v>2006.5</v>
      </c>
      <c r="B258" s="1">
        <v>1.74451416115827</v>
      </c>
      <c r="C258" s="1">
        <v>0.50962859619390899</v>
      </c>
      <c r="D258" s="1">
        <v>0.171248459255984</v>
      </c>
      <c r="E258" s="1">
        <v>-0.34417683472729799</v>
      </c>
      <c r="F258" s="1">
        <v>-1.07001073859572</v>
      </c>
      <c r="G258" s="1">
        <v>0.45662845982941302</v>
      </c>
      <c r="H258" s="1">
        <v>3.6701711761344499E-2</v>
      </c>
      <c r="I258" s="1">
        <v>-0.192803125248697</v>
      </c>
      <c r="J258" s="1">
        <v>8.9070783928886496E-2</v>
      </c>
      <c r="K258" s="1">
        <v>4.5951171900761E-2</v>
      </c>
      <c r="L258" s="1">
        <v>-1.5888400116485301E-2</v>
      </c>
      <c r="M258" s="1">
        <v>0.171699347145816</v>
      </c>
      <c r="N258" s="1">
        <v>-1.41418757332302</v>
      </c>
      <c r="O258" s="1">
        <v>1.0657731600704099</v>
      </c>
      <c r="P258" s="1">
        <v>0.38489610462052498</v>
      </c>
      <c r="Q258" s="1">
        <v>1.8316487500773699</v>
      </c>
      <c r="R258" s="1">
        <v>1.9874596971067</v>
      </c>
      <c r="S258" s="1">
        <v>-2.10794576577059E-2</v>
      </c>
      <c r="T258" s="1"/>
      <c r="U258" s="1"/>
      <c r="V258" s="1"/>
      <c r="W258" s="1"/>
      <c r="X258" s="1"/>
      <c r="Y258" s="1"/>
      <c r="Z258" s="1">
        <f t="shared" ref="Z258:Z276" si="12">K258+J258+I258+H258+G258+D258+C258+B258+P258</f>
        <v>3.245836323400396</v>
      </c>
      <c r="AA258" s="1">
        <f t="shared" ref="AA258:AA321" si="13">10^((Z258+$V$100)/$V$99)</f>
        <v>500.10751794474987</v>
      </c>
      <c r="AB258" s="1"/>
      <c r="AC258" s="1">
        <v>1.3382733066625023</v>
      </c>
      <c r="AD258" s="1"/>
      <c r="AE258" s="1">
        <f t="shared" ref="AE258:AE276" si="14">F258+E258</f>
        <v>-1.414187573323018</v>
      </c>
      <c r="AF258" s="1">
        <v>0.41746117675434991</v>
      </c>
      <c r="AG258" s="1"/>
      <c r="AH258" s="1"/>
    </row>
    <row r="259" spans="1:34" x14ac:dyDescent="0.2">
      <c r="A259">
        <v>2007.5</v>
      </c>
      <c r="B259" s="1">
        <v>1.77034685300192</v>
      </c>
      <c r="C259" s="1">
        <v>0.51226953668863695</v>
      </c>
      <c r="D259" s="1">
        <v>0.173658473256664</v>
      </c>
      <c r="E259" s="1">
        <v>-0.33057707955365601</v>
      </c>
      <c r="F259" s="1">
        <v>-1.05602911783377</v>
      </c>
      <c r="G259" s="1">
        <v>0.46132576595344599</v>
      </c>
      <c r="H259" s="1">
        <v>3.8577903200797299E-2</v>
      </c>
      <c r="I259" s="1">
        <v>-0.19175421150408301</v>
      </c>
      <c r="J259" s="1">
        <v>9.1431998351338806E-2</v>
      </c>
      <c r="K259" s="1">
        <v>4.6256006788275197E-2</v>
      </c>
      <c r="L259" s="1">
        <v>-2.7401632538360299E-2</v>
      </c>
      <c r="M259" s="1">
        <v>0.158918980412004</v>
      </c>
      <c r="N259" s="1">
        <v>-1.38660619738742</v>
      </c>
      <c r="O259" s="1">
        <v>1.07273721204031</v>
      </c>
      <c r="P259" s="1">
        <v>0.38680920209501701</v>
      </c>
      <c r="Q259" s="1">
        <v>1.9023153304445799</v>
      </c>
      <c r="R259" s="1">
        <v>2.0338326783182201</v>
      </c>
      <c r="S259" s="1">
        <v>-1.5488303163672499E-2</v>
      </c>
      <c r="T259" s="1"/>
      <c r="U259" s="1"/>
      <c r="V259" s="1"/>
      <c r="W259" s="1"/>
      <c r="X259" s="1"/>
      <c r="Y259" s="1"/>
      <c r="Z259" s="1">
        <f t="shared" si="12"/>
        <v>3.2889215278320125</v>
      </c>
      <c r="AA259" s="1">
        <f t="shared" si="13"/>
        <v>504.01606944438277</v>
      </c>
      <c r="AB259" s="1"/>
      <c r="AC259" s="1">
        <v>1.3389875772639386</v>
      </c>
      <c r="AD259" s="1"/>
      <c r="AE259" s="1">
        <f t="shared" si="14"/>
        <v>-1.386606197387426</v>
      </c>
      <c r="AF259" s="1">
        <v>0.51570913305715993</v>
      </c>
      <c r="AG259" s="1"/>
      <c r="AH259" s="1"/>
    </row>
    <row r="260" spans="1:34" x14ac:dyDescent="0.2">
      <c r="A260">
        <v>2008.5</v>
      </c>
      <c r="B260" s="1">
        <v>1.8015007636678899</v>
      </c>
      <c r="C260" s="1">
        <v>0.51471073842416204</v>
      </c>
      <c r="D260" s="1">
        <v>0.17657178358789899</v>
      </c>
      <c r="E260" s="1">
        <v>-0.31563116744265801</v>
      </c>
      <c r="F260" s="1">
        <v>-1.01561623888756</v>
      </c>
      <c r="G260" s="1">
        <v>0.45666989916318002</v>
      </c>
      <c r="H260" s="1">
        <v>3.9346345713622902E-2</v>
      </c>
      <c r="I260" s="1">
        <v>-0.19120704786375101</v>
      </c>
      <c r="J260" s="1">
        <v>8.7961750106681696E-2</v>
      </c>
      <c r="K260" s="1">
        <v>4.6539562367279103E-2</v>
      </c>
      <c r="L260" s="1">
        <v>-2.9882125702422799E-2</v>
      </c>
      <c r="M260" s="1">
        <v>0.17601340062605</v>
      </c>
      <c r="N260" s="1">
        <v>-1.33124740633022</v>
      </c>
      <c r="O260" s="1">
        <v>1.0801035414473701</v>
      </c>
      <c r="P260" s="1">
        <v>0.38882101943531</v>
      </c>
      <c r="Q260" s="1">
        <v>1.98966740827205</v>
      </c>
      <c r="R260" s="1">
        <v>2.1357986831956799</v>
      </c>
      <c r="S260" s="1">
        <v>-1.7359389676167999E-2</v>
      </c>
      <c r="T260" s="1"/>
      <c r="U260" s="1"/>
      <c r="V260" s="1"/>
      <c r="W260" s="1"/>
      <c r="X260" s="1"/>
      <c r="Y260" s="1"/>
      <c r="Z260" s="1">
        <f t="shared" si="12"/>
        <v>3.3209148146022733</v>
      </c>
      <c r="AA260" s="1">
        <f t="shared" si="13"/>
        <v>506.9381477015927</v>
      </c>
      <c r="AB260" s="1"/>
      <c r="AC260" s="1">
        <v>1.332211602059276</v>
      </c>
      <c r="AD260" s="1"/>
      <c r="AE260" s="1">
        <f t="shared" si="14"/>
        <v>-1.331247406330218</v>
      </c>
      <c r="AF260" s="1">
        <v>0.65842000194183004</v>
      </c>
      <c r="AG260" s="1"/>
      <c r="AH260" s="1"/>
    </row>
    <row r="261" spans="1:34" x14ac:dyDescent="0.2">
      <c r="A261">
        <v>2009.5</v>
      </c>
      <c r="B261" s="1">
        <v>1.8231577432539501</v>
      </c>
      <c r="C261" s="1">
        <v>0.51657563809377904</v>
      </c>
      <c r="D261" s="1">
        <v>0.17883647928794699</v>
      </c>
      <c r="E261" s="1">
        <v>-0.28796040866712702</v>
      </c>
      <c r="F261" s="1">
        <v>-0.96533828757532403</v>
      </c>
      <c r="G261" s="1">
        <v>0.44908218926152599</v>
      </c>
      <c r="H261" s="1">
        <v>3.8287852839907398E-2</v>
      </c>
      <c r="I261" s="1">
        <v>-0.19081649243599499</v>
      </c>
      <c r="J261" s="1">
        <v>8.4854560088841499E-2</v>
      </c>
      <c r="K261" s="1">
        <v>4.6756686055458102E-2</v>
      </c>
      <c r="L261" s="1">
        <v>-2.99445280461728E-2</v>
      </c>
      <c r="M261" s="1">
        <v>0.14656463280565901</v>
      </c>
      <c r="N261" s="1">
        <v>-1.2532986962424499</v>
      </c>
      <c r="O261" s="1">
        <v>1.08589361376799</v>
      </c>
      <c r="P261" s="1">
        <v>0.390481496386272</v>
      </c>
      <c r="Q261" s="1">
        <v>2.0839174565892402</v>
      </c>
      <c r="R261" s="1">
        <v>2.2005375613487299</v>
      </c>
      <c r="S261" s="1">
        <v>-2.0917393451787902E-2</v>
      </c>
      <c r="T261" s="1"/>
      <c r="U261" s="1"/>
      <c r="V261" s="1"/>
      <c r="W261" s="1"/>
      <c r="X261" s="1"/>
      <c r="Y261" s="1"/>
      <c r="Z261" s="1">
        <f t="shared" si="12"/>
        <v>3.3372161528316862</v>
      </c>
      <c r="AA261" s="1">
        <f t="shared" si="13"/>
        <v>508.43352468790721</v>
      </c>
      <c r="AB261" s="1"/>
      <c r="AC261" s="1">
        <v>1.3250441073686903</v>
      </c>
      <c r="AD261" s="1"/>
      <c r="AE261" s="1">
        <f t="shared" si="14"/>
        <v>-1.253298696242451</v>
      </c>
      <c r="AF261" s="1">
        <v>0.83061876034679027</v>
      </c>
      <c r="AG261" s="1">
        <v>0.75105830823435549</v>
      </c>
      <c r="AH261" s="1">
        <v>0.78555308448534511</v>
      </c>
    </row>
    <row r="262" spans="1:34" x14ac:dyDescent="0.2">
      <c r="A262">
        <v>2010.5</v>
      </c>
      <c r="B262" s="1">
        <v>1.85594512398329</v>
      </c>
      <c r="C262" s="1">
        <v>0.51854041373710902</v>
      </c>
      <c r="D262" s="1">
        <v>0.181661838931301</v>
      </c>
      <c r="E262" s="1">
        <v>-0.27885575396221002</v>
      </c>
      <c r="F262" s="1">
        <v>-0.99094178953754797</v>
      </c>
      <c r="G262" s="1">
        <v>0.45786561701424699</v>
      </c>
      <c r="H262" s="1">
        <v>4.24134288000175E-2</v>
      </c>
      <c r="I262" s="1">
        <v>-0.19019311691186799</v>
      </c>
      <c r="J262" s="1">
        <v>9.1162783344599999E-2</v>
      </c>
      <c r="K262" s="1">
        <v>4.6986581725294602E-2</v>
      </c>
      <c r="L262" s="1">
        <v>-7.7916960149227998E-3</v>
      </c>
      <c r="M262" s="1">
        <v>0.181680239068476</v>
      </c>
      <c r="N262" s="1">
        <v>-1.2697975434997499</v>
      </c>
      <c r="O262" s="1">
        <v>1.09256753147867</v>
      </c>
      <c r="P262" s="1">
        <v>0.39236527881026501</v>
      </c>
      <c r="Q262" s="1">
        <v>2.1269504059345001</v>
      </c>
      <c r="R262" s="1">
        <v>2.3008389489880501</v>
      </c>
      <c r="S262" s="1">
        <v>-9.6303230419566895E-3</v>
      </c>
      <c r="T262" s="1"/>
      <c r="U262" s="1"/>
      <c r="V262" s="1"/>
      <c r="W262" s="1"/>
      <c r="X262" s="1"/>
      <c r="Y262" s="1"/>
      <c r="Z262" s="1">
        <f t="shared" si="12"/>
        <v>3.3967479494342561</v>
      </c>
      <c r="AA262" s="1">
        <f t="shared" si="13"/>
        <v>513.93214541436362</v>
      </c>
      <c r="AB262" s="1"/>
      <c r="AC262" s="1">
        <v>1.3288545020763474</v>
      </c>
      <c r="AD262" s="1"/>
      <c r="AE262" s="1">
        <f t="shared" si="14"/>
        <v>-1.2697975434997579</v>
      </c>
      <c r="AF262" s="1">
        <v>0.8571528624347502</v>
      </c>
      <c r="AG262" s="1">
        <v>0.82004786073633473</v>
      </c>
      <c r="AH262" s="1"/>
    </row>
    <row r="263" spans="1:34" x14ac:dyDescent="0.2">
      <c r="A263">
        <v>2011.5</v>
      </c>
      <c r="B263" s="1">
        <v>1.88306090678133</v>
      </c>
      <c r="C263" s="1">
        <v>0.52056533516768499</v>
      </c>
      <c r="D263" s="1">
        <v>0.18490289244563801</v>
      </c>
      <c r="E263" s="1">
        <v>-0.28897693610935399</v>
      </c>
      <c r="F263" s="1">
        <v>-0.96780857820036703</v>
      </c>
      <c r="G263" s="1">
        <v>0.46086382608524501</v>
      </c>
      <c r="H263" s="1">
        <v>4.4480985940404699E-2</v>
      </c>
      <c r="I263" s="1">
        <v>-0.18924209826347799</v>
      </c>
      <c r="J263" s="1">
        <v>8.5423928414380498E-2</v>
      </c>
      <c r="K263" s="1">
        <v>4.7224501101336101E-2</v>
      </c>
      <c r="L263" s="1">
        <v>2.6576394805389598E-2</v>
      </c>
      <c r="M263" s="1">
        <v>0.140708161696492</v>
      </c>
      <c r="N263" s="1">
        <v>-1.25678551430972</v>
      </c>
      <c r="O263" s="1">
        <v>1.0996220534827901</v>
      </c>
      <c r="P263" s="1">
        <v>0.39415382586947201</v>
      </c>
      <c r="Q263" s="1">
        <v>2.1746485892323002</v>
      </c>
      <c r="R263" s="1">
        <v>2.3419331457341799</v>
      </c>
      <c r="S263" s="1">
        <v>-1.21126828073572E-2</v>
      </c>
      <c r="T263" s="1"/>
      <c r="U263" s="1"/>
      <c r="V263" s="1"/>
      <c r="W263" s="1"/>
      <c r="X263" s="1"/>
      <c r="Y263" s="1"/>
      <c r="Z263" s="1">
        <f t="shared" si="12"/>
        <v>3.4314341035420135</v>
      </c>
      <c r="AA263" s="1">
        <f t="shared" si="13"/>
        <v>517.16328929144686</v>
      </c>
      <c r="AB263" s="1"/>
      <c r="AC263" s="1">
        <v>1.3256308603783515</v>
      </c>
      <c r="AD263" s="1"/>
      <c r="AE263" s="1">
        <f t="shared" si="14"/>
        <v>-1.2567855143097211</v>
      </c>
      <c r="AF263" s="1">
        <v>0.91786307492258024</v>
      </c>
      <c r="AG263" s="1"/>
      <c r="AH263" s="1"/>
    </row>
    <row r="264" spans="1:34" x14ac:dyDescent="0.2">
      <c r="A264">
        <v>2012.5</v>
      </c>
      <c r="B264" s="1">
        <v>1.91237109913948</v>
      </c>
      <c r="C264" s="1">
        <v>0.52245305862413904</v>
      </c>
      <c r="D264" s="1">
        <v>0.18768847194108901</v>
      </c>
      <c r="E264" s="1">
        <v>-0.28781597588906899</v>
      </c>
      <c r="F264" s="1">
        <v>-0.99133367502873304</v>
      </c>
      <c r="G264" s="1">
        <v>0.466148021383958</v>
      </c>
      <c r="H264" s="1">
        <v>4.5436685065251503E-2</v>
      </c>
      <c r="I264" s="1">
        <v>-0.18876988205083101</v>
      </c>
      <c r="J264" s="1">
        <v>8.84712541231715E-2</v>
      </c>
      <c r="K264" s="1">
        <v>4.7446351082211097E-2</v>
      </c>
      <c r="L264" s="1">
        <v>4.0944534453827099E-2</v>
      </c>
      <c r="M264" s="1">
        <v>0.17946857219085099</v>
      </c>
      <c r="N264" s="1">
        <v>-1.2791496509178</v>
      </c>
      <c r="O264" s="1">
        <v>1.1058327493834701</v>
      </c>
      <c r="P264" s="1">
        <v>0.39569121881824898</v>
      </c>
      <c r="Q264" s="1">
        <v>2.1977866272089202</v>
      </c>
      <c r="R264" s="1">
        <v>2.4181997338536001</v>
      </c>
      <c r="S264" s="1">
        <v>-7.4155917801973998E-3</v>
      </c>
      <c r="T264" s="1"/>
      <c r="U264" s="1"/>
      <c r="V264" s="1"/>
      <c r="W264" s="1"/>
      <c r="X264" s="1"/>
      <c r="Y264" s="1"/>
      <c r="Z264" s="1">
        <f t="shared" si="12"/>
        <v>3.4769362781267183</v>
      </c>
      <c r="AA264" s="1">
        <f t="shared" si="13"/>
        <v>521.43280974282084</v>
      </c>
      <c r="AB264" s="1"/>
      <c r="AC264" s="1">
        <v>1.3258034446599472</v>
      </c>
      <c r="AD264" s="1"/>
      <c r="AE264" s="1">
        <f t="shared" si="14"/>
        <v>-1.279149650917802</v>
      </c>
      <c r="AF264" s="1">
        <v>0.91863697629112018</v>
      </c>
      <c r="AG264" s="1"/>
      <c r="AH264" s="1"/>
    </row>
    <row r="265" spans="1:34" x14ac:dyDescent="0.2">
      <c r="A265">
        <v>2013.5</v>
      </c>
      <c r="B265" s="1">
        <v>1.9518684792785299</v>
      </c>
      <c r="C265" s="1">
        <v>0.524466622287592</v>
      </c>
      <c r="D265" s="1">
        <v>0.19064721294182799</v>
      </c>
      <c r="E265" s="1">
        <v>-0.26771084925892003</v>
      </c>
      <c r="F265" s="1">
        <v>-0.93215679178988198</v>
      </c>
      <c r="G265" s="1">
        <v>0.45918644013709098</v>
      </c>
      <c r="H265" s="1">
        <v>4.6807938609504003E-2</v>
      </c>
      <c r="I265" s="1">
        <v>-0.18934523755176799</v>
      </c>
      <c r="J265" s="1">
        <v>8.3539558053712298E-2</v>
      </c>
      <c r="K265" s="1">
        <v>4.7683435113496903E-2</v>
      </c>
      <c r="L265" s="1">
        <v>4.9212845000702103E-2</v>
      </c>
      <c r="M265" s="1">
        <v>0.203357371821109</v>
      </c>
      <c r="N265" s="1">
        <v>-1.1998676410488001</v>
      </c>
      <c r="O265" s="1">
        <v>1.11259077521804</v>
      </c>
      <c r="P265" s="1">
        <v>0.39747693998862699</v>
      </c>
      <c r="Q265" s="1">
        <v>2.3124637478098098</v>
      </c>
      <c r="R265" s="1">
        <v>2.56503396463162</v>
      </c>
      <c r="S265" s="1">
        <v>-1.1314305775054901E-2</v>
      </c>
      <c r="T265" s="1"/>
      <c r="U265" s="1"/>
      <c r="V265" s="1"/>
      <c r="W265" s="1"/>
      <c r="X265" s="1"/>
      <c r="Y265" s="1"/>
      <c r="Z265" s="1">
        <f t="shared" si="12"/>
        <v>3.512331388858613</v>
      </c>
      <c r="AA265" s="1">
        <f t="shared" si="13"/>
        <v>524.77833136197432</v>
      </c>
      <c r="AB265" s="1"/>
      <c r="AC265" s="1">
        <v>1.3169683839866886</v>
      </c>
      <c r="AD265" s="1"/>
      <c r="AE265" s="1">
        <f t="shared" si="14"/>
        <v>-1.1998676410488021</v>
      </c>
      <c r="AF265" s="1">
        <v>1.1125961067610097</v>
      </c>
      <c r="AG265" s="1"/>
      <c r="AH265" s="1"/>
    </row>
    <row r="266" spans="1:34" x14ac:dyDescent="0.2">
      <c r="A266">
        <v>2014.5</v>
      </c>
      <c r="B266" s="1">
        <v>1.9795752374272999</v>
      </c>
      <c r="C266" s="1">
        <v>0.52789863270493698</v>
      </c>
      <c r="D266" s="1">
        <v>0.194210716990215</v>
      </c>
      <c r="E266" s="1">
        <v>-0.26480004989278699</v>
      </c>
      <c r="F266" s="1">
        <v>-0.94329576818095795</v>
      </c>
      <c r="G266" s="1">
        <v>0.46768259236308102</v>
      </c>
      <c r="H266" s="1">
        <v>4.8705699211503702E-2</v>
      </c>
      <c r="I266" s="1">
        <v>-0.18962885212716199</v>
      </c>
      <c r="J266" s="1">
        <v>8.4867229195518396E-2</v>
      </c>
      <c r="K266" s="1">
        <v>4.8086093268440197E-2</v>
      </c>
      <c r="L266" s="1">
        <v>5.9103616485077101E-2</v>
      </c>
      <c r="M266" s="1">
        <v>0.18433626707144701</v>
      </c>
      <c r="N266" s="1">
        <v>-1.20809581807374</v>
      </c>
      <c r="O266" s="1">
        <v>1.12129661068945</v>
      </c>
      <c r="P266" s="1">
        <v>0.39918726099429702</v>
      </c>
      <c r="Q266" s="1">
        <v>2.3524887919543902</v>
      </c>
      <c r="R266" s="1">
        <v>2.5959286755109101</v>
      </c>
      <c r="S266" s="1">
        <v>-7.9698304516996991E-3</v>
      </c>
      <c r="T266" s="1"/>
      <c r="U266" s="1"/>
      <c r="V266" s="1"/>
      <c r="W266" s="1"/>
      <c r="X266" s="1"/>
      <c r="Y266" s="1"/>
      <c r="Z266" s="1">
        <f t="shared" si="12"/>
        <v>3.5605846100281298</v>
      </c>
      <c r="AA266" s="1">
        <f t="shared" si="13"/>
        <v>529.37379732994873</v>
      </c>
      <c r="AB266" s="1"/>
      <c r="AC266" s="1">
        <v>1.3179127670933959</v>
      </c>
      <c r="AD266" s="1"/>
      <c r="AE266" s="1">
        <f t="shared" si="14"/>
        <v>-1.2080958180737449</v>
      </c>
      <c r="AF266" s="1">
        <v>1.1443929738806502</v>
      </c>
      <c r="AG266" s="1"/>
      <c r="AH266" s="1"/>
    </row>
    <row r="267" spans="1:34" x14ac:dyDescent="0.2">
      <c r="A267">
        <v>2015.5</v>
      </c>
      <c r="B267" s="1">
        <v>2.0124189705961899</v>
      </c>
      <c r="C267" s="1">
        <v>0.53205651143203803</v>
      </c>
      <c r="D267" s="1">
        <v>0.197143691049985</v>
      </c>
      <c r="E267" s="1">
        <v>-0.258298692110836</v>
      </c>
      <c r="F267" s="1">
        <v>-0.93595218684280301</v>
      </c>
      <c r="G267" s="1">
        <v>0.47676341152216301</v>
      </c>
      <c r="H267" s="1">
        <v>5.1189852329696597E-2</v>
      </c>
      <c r="I267" s="1">
        <v>-0.18955540017204001</v>
      </c>
      <c r="J267" s="1">
        <v>8.4498379222910799E-2</v>
      </c>
      <c r="K267" s="1">
        <v>4.8573341071263702E-2</v>
      </c>
      <c r="L267" s="1">
        <v>2.91972932428896E-2</v>
      </c>
      <c r="M267" s="1">
        <v>0.15391054355667799</v>
      </c>
      <c r="N267" s="1">
        <v>-1.1942508789536399</v>
      </c>
      <c r="O267" s="1">
        <v>1.1300039122140699</v>
      </c>
      <c r="P267" s="1">
        <v>0.40080370973205498</v>
      </c>
      <c r="Q267" s="1">
        <v>2.4196415878306201</v>
      </c>
      <c r="R267" s="1">
        <v>2.6027494246301899</v>
      </c>
      <c r="S267" s="1">
        <v>-5.29382754816911E-3</v>
      </c>
      <c r="T267" s="1"/>
      <c r="U267" s="1"/>
      <c r="V267" s="1"/>
      <c r="W267" s="1"/>
      <c r="X267" s="1"/>
      <c r="Y267" s="1"/>
      <c r="Z267" s="1">
        <f t="shared" si="12"/>
        <v>3.6138924667842622</v>
      </c>
      <c r="AA267" s="1">
        <f t="shared" si="13"/>
        <v>534.49744952106346</v>
      </c>
      <c r="AB267" s="1"/>
      <c r="AC267" s="1">
        <v>1.3181599042899477</v>
      </c>
      <c r="AD267" s="1"/>
      <c r="AE267" s="1">
        <f t="shared" si="14"/>
        <v>-1.194250878953639</v>
      </c>
      <c r="AF267" s="1">
        <v>1.2253907088769802</v>
      </c>
      <c r="AG267" s="1"/>
      <c r="AH267" s="1"/>
    </row>
    <row r="268" spans="1:34" x14ac:dyDescent="0.2">
      <c r="A268">
        <v>2016.5</v>
      </c>
      <c r="B268" s="1">
        <v>2.0606090817792402</v>
      </c>
      <c r="C268" s="1">
        <v>0.53510183535725497</v>
      </c>
      <c r="D268" s="1">
        <v>0.19970850860262501</v>
      </c>
      <c r="E268" s="1">
        <v>-0.23523601872651201</v>
      </c>
      <c r="F268" s="1">
        <v>-0.86186365495345896</v>
      </c>
      <c r="G268" s="1">
        <v>0.46401627622455999</v>
      </c>
      <c r="H268" s="1">
        <v>5.3790306528452E-2</v>
      </c>
      <c r="I268" s="1">
        <v>-0.189878136295873</v>
      </c>
      <c r="J268" s="1">
        <v>7.8376662893135093E-2</v>
      </c>
      <c r="K268" s="1">
        <v>4.8932143626539297E-2</v>
      </c>
      <c r="L268" s="1">
        <v>-7.5872260402230999E-3</v>
      </c>
      <c r="M268" s="1">
        <v>0.172762162185292</v>
      </c>
      <c r="N268" s="1">
        <v>-1.0970996736799701</v>
      </c>
      <c r="O268" s="1">
        <v>1.13738980089958</v>
      </c>
      <c r="P268" s="1">
        <v>0.40257945693970099</v>
      </c>
      <c r="Q268" s="1">
        <v>2.5561364619756701</v>
      </c>
      <c r="R268" s="1">
        <v>2.72131139812074</v>
      </c>
      <c r="S268" s="1">
        <v>-8.7790232477472797E-3</v>
      </c>
      <c r="T268" s="1"/>
      <c r="U268" s="1"/>
      <c r="V268" s="1"/>
      <c r="W268" s="1"/>
      <c r="X268" s="1"/>
      <c r="Y268" s="1"/>
      <c r="Z268" s="1">
        <f t="shared" si="12"/>
        <v>3.6532361356556344</v>
      </c>
      <c r="AA268" s="1">
        <f t="shared" si="13"/>
        <v>538.31072170186565</v>
      </c>
      <c r="AB268" s="1"/>
      <c r="AC268" s="1">
        <v>1.306865117276526</v>
      </c>
      <c r="AD268" s="1"/>
      <c r="AE268" s="1">
        <f t="shared" si="14"/>
        <v>-1.097099673679971</v>
      </c>
      <c r="AF268" s="1"/>
      <c r="AG268" s="1"/>
      <c r="AH268" s="1"/>
    </row>
    <row r="269" spans="1:34" x14ac:dyDescent="0.2">
      <c r="A269">
        <v>2017.5</v>
      </c>
      <c r="B269" s="1">
        <v>2.09093857550813</v>
      </c>
      <c r="C269" s="1">
        <v>0.53772345048146097</v>
      </c>
      <c r="D269" s="1">
        <v>0.202596237264458</v>
      </c>
      <c r="E269" s="1">
        <v>-0.226004053772972</v>
      </c>
      <c r="F269" s="1">
        <v>-0.84834290306541105</v>
      </c>
      <c r="G269" s="1">
        <v>0.46696179756034101</v>
      </c>
      <c r="H269" s="1">
        <v>5.6310549717799897E-2</v>
      </c>
      <c r="I269" s="1">
        <v>-0.19010653161264601</v>
      </c>
      <c r="J269" s="1">
        <v>7.8243062776863201E-2</v>
      </c>
      <c r="K269" s="1">
        <v>4.9242979806639602E-2</v>
      </c>
      <c r="L269" s="1">
        <v>-1.7466581034708599E-2</v>
      </c>
      <c r="M269" s="1">
        <v>0.198168431272709</v>
      </c>
      <c r="N269" s="1">
        <v>-1.0743469568383801</v>
      </c>
      <c r="O269" s="1">
        <v>1.14490005041441</v>
      </c>
      <c r="P269" s="1">
        <v>0.40458036266849701</v>
      </c>
      <c r="Q269" s="1">
        <v>2.6221435273331601</v>
      </c>
      <c r="R269" s="1">
        <v>2.8028453775711601</v>
      </c>
      <c r="S269" s="1">
        <v>-6.3099393113434004E-3</v>
      </c>
      <c r="T269" s="1"/>
      <c r="U269" s="1"/>
      <c r="V269" s="1"/>
      <c r="W269" s="1"/>
      <c r="X269" s="1"/>
      <c r="Y269" s="1"/>
      <c r="Z269" s="1">
        <f t="shared" si="12"/>
        <v>3.6964904841715436</v>
      </c>
      <c r="AA269" s="1">
        <f t="shared" si="13"/>
        <v>542.53442835543467</v>
      </c>
      <c r="AB269" s="1"/>
      <c r="AC269" s="1">
        <v>1.3055998925096495</v>
      </c>
      <c r="AD269" s="1"/>
      <c r="AE269" s="1">
        <f t="shared" si="14"/>
        <v>-1.074346956838383</v>
      </c>
      <c r="AF269" s="1"/>
      <c r="AG269" s="1"/>
      <c r="AH269" s="1"/>
    </row>
    <row r="270" spans="1:34" x14ac:dyDescent="0.2">
      <c r="A270">
        <v>2018.5</v>
      </c>
      <c r="B270" s="1">
        <v>2.1243278612918801</v>
      </c>
      <c r="C270" s="1">
        <v>0.54087957668132203</v>
      </c>
      <c r="D270" s="1">
        <v>0.20622172908116501</v>
      </c>
      <c r="E270" s="1">
        <v>-0.22324063469593899</v>
      </c>
      <c r="F270" s="1">
        <v>-0.83285150345933401</v>
      </c>
      <c r="G270" s="1">
        <v>0.46759884935421298</v>
      </c>
      <c r="H270" s="1">
        <v>5.6835523856832403E-2</v>
      </c>
      <c r="I270" s="1">
        <v>-0.190079589783653</v>
      </c>
      <c r="J270" s="1">
        <v>7.5921266719471095E-2</v>
      </c>
      <c r="K270" s="1">
        <v>4.9618467274270002E-2</v>
      </c>
      <c r="L270" s="1">
        <v>-2.1467554319714501E-2</v>
      </c>
      <c r="M270" s="1">
        <v>0.18027527556517101</v>
      </c>
      <c r="N270" s="1">
        <v>-1.0560921381552699</v>
      </c>
      <c r="O270" s="1">
        <v>1.1537085043455699</v>
      </c>
      <c r="P270" s="1">
        <v>0.40660719858308803</v>
      </c>
      <c r="Q270" s="1">
        <v>2.6818387449033101</v>
      </c>
      <c r="R270" s="1">
        <v>2.8406464661487698</v>
      </c>
      <c r="S270" s="1">
        <v>-7.7043319330798998E-3</v>
      </c>
      <c r="T270" s="1"/>
      <c r="U270" s="1"/>
      <c r="V270" s="1"/>
      <c r="W270" s="1"/>
      <c r="X270" s="1"/>
      <c r="Y270" s="1"/>
      <c r="Z270" s="1">
        <f t="shared" si="12"/>
        <v>3.7379308830585884</v>
      </c>
      <c r="AA270" s="1">
        <f t="shared" si="13"/>
        <v>546.61208740321592</v>
      </c>
      <c r="AB270" s="1"/>
      <c r="AC270" s="1">
        <v>1.3017667041716077</v>
      </c>
      <c r="AD270" s="1"/>
      <c r="AE270" s="1">
        <f t="shared" si="14"/>
        <v>-1.056092138155273</v>
      </c>
      <c r="AF270" s="1"/>
      <c r="AG270" s="1"/>
      <c r="AH270" s="1"/>
    </row>
    <row r="271" spans="1:34" x14ac:dyDescent="0.2">
      <c r="A271">
        <v>2019.5</v>
      </c>
      <c r="B271" s="1">
        <v>2.15852048699122</v>
      </c>
      <c r="C271" s="1">
        <v>0.54408796848510899</v>
      </c>
      <c r="D271" s="1">
        <v>0.20914351131974299</v>
      </c>
      <c r="E271" s="1">
        <v>-0.235360243914848</v>
      </c>
      <c r="F271" s="1">
        <v>-0.87755907908658903</v>
      </c>
      <c r="G271" s="1">
        <v>0.47919873825967702</v>
      </c>
      <c r="H271" s="1">
        <v>6.1541386114692502E-2</v>
      </c>
      <c r="I271" s="1">
        <v>-0.19063316505479999</v>
      </c>
      <c r="J271" s="1">
        <v>0.08</v>
      </c>
      <c r="K271" s="1">
        <v>0.05</v>
      </c>
      <c r="L271" s="1">
        <v>-2.2172871769407701E-2</v>
      </c>
      <c r="M271" s="1">
        <v>0.108442628377518</v>
      </c>
      <c r="N271" s="1">
        <v>-1.11291932300143</v>
      </c>
      <c r="O271" s="1">
        <v>1.1612750087380801</v>
      </c>
      <c r="P271" s="1">
        <v>0.40804352893323198</v>
      </c>
      <c r="Q271" s="1">
        <v>2.68698313204743</v>
      </c>
      <c r="R271" s="1">
        <v>2.7732528886555401</v>
      </c>
      <c r="S271" s="1">
        <v>9.0822105989180003E-4</v>
      </c>
      <c r="T271" s="1"/>
      <c r="U271" s="1"/>
      <c r="V271" s="1"/>
      <c r="W271" s="1"/>
      <c r="X271" s="1"/>
      <c r="Y271" s="1"/>
      <c r="Z271" s="1">
        <f t="shared" si="12"/>
        <v>3.7999024550488736</v>
      </c>
      <c r="AA271" s="1">
        <f t="shared" si="13"/>
        <v>552.76723176220753</v>
      </c>
      <c r="AB271" s="1"/>
      <c r="AC271" s="1">
        <v>1.3050227142904869</v>
      </c>
      <c r="AD271" s="1"/>
      <c r="AE271" s="1">
        <f t="shared" si="14"/>
        <v>-1.1129193230014369</v>
      </c>
      <c r="AF271" s="1"/>
      <c r="AG271" s="1"/>
      <c r="AH271" s="1"/>
    </row>
    <row r="272" spans="1:34" x14ac:dyDescent="0.2">
      <c r="A272">
        <v>2020.5</v>
      </c>
      <c r="B272" s="1">
        <v>2.1912845194862398</v>
      </c>
      <c r="C272" s="1">
        <v>0.54869191141787699</v>
      </c>
      <c r="D272" s="1">
        <v>0.21277959497993401</v>
      </c>
      <c r="E272" s="1">
        <v>-0.18794397149403999</v>
      </c>
      <c r="F272" s="1">
        <v>-0.76860448459348096</v>
      </c>
      <c r="G272" s="1">
        <v>0.46210993763399999</v>
      </c>
      <c r="H272" s="1">
        <v>3.0675970199307501E-2</v>
      </c>
      <c r="I272" s="1">
        <v>-0.19116768406749399</v>
      </c>
      <c r="J272" s="1">
        <v>7.4098500124026995E-2</v>
      </c>
      <c r="K272" s="1">
        <v>5.0548469780304299E-2</v>
      </c>
      <c r="L272" s="1">
        <v>-1.6968634131278901E-2</v>
      </c>
      <c r="M272" s="1">
        <v>7.4220309491306993E-2</v>
      </c>
      <c r="N272" s="1">
        <v>-0.95654845608752104</v>
      </c>
      <c r="O272" s="1">
        <v>1.1702882637857199</v>
      </c>
      <c r="P272" s="1">
        <v>0.40881675738791001</v>
      </c>
      <c r="Q272" s="1">
        <v>2.8312895208545799</v>
      </c>
      <c r="R272" s="1">
        <v>2.8885411962146099</v>
      </c>
      <c r="S272" s="1">
        <v>-3.5844743963855903E-2</v>
      </c>
      <c r="T272" s="1"/>
      <c r="U272" s="1"/>
      <c r="V272" s="1"/>
      <c r="W272" s="1"/>
      <c r="X272" s="1"/>
      <c r="Y272" s="1"/>
      <c r="Z272" s="1">
        <f t="shared" si="12"/>
        <v>3.7878379769421056</v>
      </c>
      <c r="AA272" s="1">
        <f t="shared" si="13"/>
        <v>551.56355395835828</v>
      </c>
      <c r="AB272" s="1"/>
      <c r="AC272" s="1">
        <v>1.2828144092290972</v>
      </c>
      <c r="AD272" s="1"/>
      <c r="AE272" s="1">
        <f t="shared" si="14"/>
        <v>-0.95654845608752093</v>
      </c>
      <c r="AF272" s="1"/>
      <c r="AG272" s="1"/>
      <c r="AH272" s="1"/>
    </row>
    <row r="273" spans="1:34" x14ac:dyDescent="0.2">
      <c r="A273">
        <v>2021.5</v>
      </c>
      <c r="B273" s="1">
        <v>2.2223692156599202</v>
      </c>
      <c r="C273" s="1">
        <v>0.55478321514689599</v>
      </c>
      <c r="D273" s="1">
        <v>0.21670637440384999</v>
      </c>
      <c r="E273" s="1">
        <v>-0.21299404219583401</v>
      </c>
      <c r="F273" s="1">
        <v>-0.82574634281174197</v>
      </c>
      <c r="G273" s="1">
        <v>0.47675603427755697</v>
      </c>
      <c r="H273" s="1">
        <v>3.6909062776841403E-2</v>
      </c>
      <c r="I273" s="1">
        <v>-0.19141430527827</v>
      </c>
      <c r="J273" s="1">
        <v>7.7541112982701305E-2</v>
      </c>
      <c r="K273" s="1">
        <v>5.1276099027922503E-2</v>
      </c>
      <c r="L273" s="1">
        <v>1.95572424081152E-2</v>
      </c>
      <c r="M273" s="1">
        <v>0.13240895393063001</v>
      </c>
      <c r="N273" s="1">
        <v>-1.03874038500757</v>
      </c>
      <c r="O273" s="1">
        <v>1.1813158367908001</v>
      </c>
      <c r="P273" s="1">
        <v>0.40982624724005401</v>
      </c>
      <c r="Q273" s="1">
        <v>2.8160126712298998</v>
      </c>
      <c r="R273" s="1">
        <v>2.9679788675686498</v>
      </c>
      <c r="S273" s="1">
        <v>-2.5688030490805501E-2</v>
      </c>
      <c r="T273" s="1"/>
      <c r="U273" s="1"/>
      <c r="V273" s="1"/>
      <c r="W273" s="1"/>
      <c r="X273" s="1"/>
      <c r="Y273" s="1"/>
      <c r="Z273" s="1">
        <f t="shared" si="12"/>
        <v>3.8547530562374721</v>
      </c>
      <c r="AA273" s="1">
        <f t="shared" si="13"/>
        <v>558.2729031924265</v>
      </c>
      <c r="AB273" s="1"/>
      <c r="AC273" s="1">
        <v>1.2875533908040224</v>
      </c>
      <c r="AD273" s="1"/>
      <c r="AE273" s="1">
        <f t="shared" si="14"/>
        <v>-1.038740385007576</v>
      </c>
      <c r="AF273" s="1"/>
      <c r="AG273" s="1"/>
      <c r="AH273" s="1">
        <v>2.2885385517140198</v>
      </c>
    </row>
    <row r="274" spans="1:34" x14ac:dyDescent="0.2">
      <c r="A274">
        <v>2022.5</v>
      </c>
      <c r="B274" s="1">
        <v>2.2549438356653599</v>
      </c>
      <c r="C274" s="1">
        <v>0.56075299467560302</v>
      </c>
      <c r="D274" s="1">
        <v>0.220700848405676</v>
      </c>
      <c r="E274" s="1">
        <v>-0.18683321684261001</v>
      </c>
      <c r="F274" s="1">
        <v>-0.73882328217355497</v>
      </c>
      <c r="G274" s="1">
        <v>0.47135545330205902</v>
      </c>
      <c r="H274" s="1">
        <v>4.6869746207138102E-2</v>
      </c>
      <c r="I274" s="1">
        <v>-0.19160250124282699</v>
      </c>
      <c r="J274" s="1">
        <v>7.0228327735431501E-2</v>
      </c>
      <c r="K274" s="1">
        <v>5.1993396379879597E-2</v>
      </c>
      <c r="L274" s="1">
        <v>5.9393060780893098E-2</v>
      </c>
      <c r="M274" s="1">
        <v>0.17170530555265701</v>
      </c>
      <c r="N274" s="1">
        <v>-0.92565649901616498</v>
      </c>
      <c r="O274" s="1">
        <v>1.19217144675047</v>
      </c>
      <c r="P274" s="1">
        <v>0.41071760366919702</v>
      </c>
      <c r="Q274" s="1">
        <v>2.9703032057813501</v>
      </c>
      <c r="R274" s="1">
        <v>3.2014015721149001</v>
      </c>
      <c r="S274" s="1">
        <v>-2.2511030920378199E-2</v>
      </c>
      <c r="T274" s="1"/>
      <c r="U274" s="1"/>
      <c r="V274" s="1"/>
      <c r="W274" s="1"/>
      <c r="X274" s="1"/>
      <c r="Y274" s="1"/>
      <c r="Z274" s="1">
        <f t="shared" si="12"/>
        <v>3.8959597047975172</v>
      </c>
      <c r="AA274" s="1">
        <f t="shared" si="13"/>
        <v>562.44509570489083</v>
      </c>
      <c r="AB274" s="1"/>
      <c r="AC274" s="1">
        <v>1.2830861161788556</v>
      </c>
      <c r="AD274" s="1"/>
      <c r="AE274" s="1">
        <f t="shared" si="14"/>
        <v>-0.92565649901616498</v>
      </c>
      <c r="AF274" s="1"/>
      <c r="AG274" s="1"/>
      <c r="AH274" s="1"/>
    </row>
    <row r="275" spans="1:34" x14ac:dyDescent="0.2">
      <c r="A275">
        <v>2023.5</v>
      </c>
      <c r="B275" s="1">
        <v>2.2860003274460299</v>
      </c>
      <c r="C275" s="1">
        <v>0.56449839238795796</v>
      </c>
      <c r="D275" s="1">
        <v>0.224001654041767</v>
      </c>
      <c r="E275" s="1">
        <v>-0.24245310616945201</v>
      </c>
      <c r="F275" s="1">
        <v>-0.88838907394498001</v>
      </c>
      <c r="G275" s="1">
        <v>0.50092579236652601</v>
      </c>
      <c r="H275" s="1">
        <v>5.1360314613640497E-2</v>
      </c>
      <c r="I275" s="1">
        <v>-0.19219637283082999</v>
      </c>
      <c r="J275" s="1">
        <v>8.3364666274604898E-2</v>
      </c>
      <c r="K275" s="1">
        <v>5.2446900651129197E-2</v>
      </c>
      <c r="L275" s="1">
        <v>8.1981597943763404E-2</v>
      </c>
      <c r="M275" s="1">
        <v>0.26497923257993</v>
      </c>
      <c r="N275" s="1">
        <v>-1.1308421801144299</v>
      </c>
      <c r="O275" s="1">
        <v>1.19956688653993</v>
      </c>
      <c r="P275" s="1">
        <v>0.411066840110206</v>
      </c>
      <c r="Q275" s="1">
        <v>2.8506263349465999</v>
      </c>
      <c r="R275" s="1">
        <v>3.1975871654702899</v>
      </c>
      <c r="S275" s="1">
        <v>-5.0244912914557101E-3</v>
      </c>
      <c r="T275" s="1"/>
      <c r="U275" s="1"/>
      <c r="V275" s="1"/>
      <c r="W275" s="1"/>
      <c r="X275" s="1"/>
      <c r="Y275" s="1"/>
      <c r="Z275" s="1">
        <f t="shared" si="12"/>
        <v>3.9814685150610316</v>
      </c>
      <c r="AA275" s="1">
        <f t="shared" si="13"/>
        <v>571.20265446718122</v>
      </c>
      <c r="AB275" s="1">
        <v>2.7500801342568515</v>
      </c>
      <c r="AC275" s="1">
        <v>1.2949969201148417</v>
      </c>
      <c r="AD275" s="1"/>
      <c r="AE275" s="1">
        <f t="shared" si="14"/>
        <v>-1.1308421801144319</v>
      </c>
      <c r="AF275" s="1"/>
      <c r="AG275" s="1"/>
      <c r="AH275" s="1"/>
    </row>
    <row r="276" spans="1:34" x14ac:dyDescent="0.2">
      <c r="A276">
        <v>2024.5</v>
      </c>
      <c r="B276" s="1">
        <v>2.3324569217008801</v>
      </c>
      <c r="C276" s="1">
        <v>0.56724224843179205</v>
      </c>
      <c r="D276" s="1">
        <v>0.22711607751237201</v>
      </c>
      <c r="E276" s="1">
        <v>-0.215552777424209</v>
      </c>
      <c r="F276" s="1">
        <v>-0.85066099557490504</v>
      </c>
      <c r="G276" s="1">
        <v>0.50258058338843403</v>
      </c>
      <c r="H276" s="1">
        <v>5.6384693217148903E-2</v>
      </c>
      <c r="I276" s="1">
        <v>-0.19256303950961801</v>
      </c>
      <c r="J276" s="1">
        <v>8.2753389301028005E-2</v>
      </c>
      <c r="K276" s="1">
        <v>5.2781478208493202E-2</v>
      </c>
      <c r="L276" s="1">
        <v>9.0837254260437594E-2</v>
      </c>
      <c r="M276" s="1">
        <v>0.23795422805692901</v>
      </c>
      <c r="N276" s="1">
        <v>-1.0662137729991099</v>
      </c>
      <c r="O276" s="1">
        <v>1.20585616452682</v>
      </c>
      <c r="P276" s="1">
        <v>0.41149783858265498</v>
      </c>
      <c r="Q276" s="1">
        <v>2.9740364178340699</v>
      </c>
      <c r="R276" s="1">
        <v>3.3028279001514398</v>
      </c>
      <c r="S276" s="1">
        <v>-6.43478782947987E-4</v>
      </c>
      <c r="T276" s="1"/>
      <c r="U276" s="1"/>
      <c r="V276" s="1"/>
      <c r="W276" s="1"/>
      <c r="X276" s="1"/>
      <c r="Y276" s="1"/>
      <c r="Z276" s="1">
        <f t="shared" si="12"/>
        <v>4.0402501908331852</v>
      </c>
      <c r="AA276" s="1">
        <f t="shared" si="13"/>
        <v>577.30186033078667</v>
      </c>
      <c r="AB276" s="1"/>
      <c r="AC276" s="1"/>
      <c r="AD276" s="1"/>
      <c r="AE276" s="1">
        <f t="shared" si="14"/>
        <v>-1.0662137729991141</v>
      </c>
      <c r="AF276" s="1"/>
      <c r="AG276" s="1"/>
      <c r="AH276" s="1"/>
    </row>
    <row r="280" spans="1:34" ht="48" customHeight="1" x14ac:dyDescent="0.2">
      <c r="A280" s="11" t="s">
        <v>88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</row>
  </sheetData>
  <mergeCells count="1">
    <mergeCell ref="A280:K28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7"/>
  <sheetViews>
    <sheetView workbookViewId="0"/>
  </sheetViews>
  <sheetFormatPr baseColWidth="10" defaultColWidth="8.83203125" defaultRowHeight="16" x14ac:dyDescent="0.2"/>
  <cols>
    <col min="1" max="9" width="18" customWidth="1"/>
  </cols>
  <sheetData>
    <row r="1" spans="1:9" ht="50.75" customHeight="1" x14ac:dyDescent="0.2">
      <c r="A1" s="10" t="s">
        <v>89</v>
      </c>
      <c r="B1" s="10" t="s">
        <v>90</v>
      </c>
      <c r="C1" s="10" t="s">
        <v>91</v>
      </c>
      <c r="D1" s="10" t="s">
        <v>92</v>
      </c>
      <c r="E1" s="10" t="s">
        <v>93</v>
      </c>
      <c r="F1" s="10" t="s">
        <v>94</v>
      </c>
      <c r="G1" s="10" t="s">
        <v>95</v>
      </c>
      <c r="H1" s="10" t="s">
        <v>96</v>
      </c>
      <c r="I1" s="10" t="s">
        <v>97</v>
      </c>
    </row>
    <row r="2" spans="1:9" x14ac:dyDescent="0.2">
      <c r="A2">
        <v>1850</v>
      </c>
      <c r="B2" s="1">
        <v>-0.42648311999999999</v>
      </c>
      <c r="C2" s="1">
        <v>8.6558442499999999E-2</v>
      </c>
      <c r="D2" s="1"/>
      <c r="E2" s="1"/>
      <c r="F2" s="1">
        <v>1361.7836</v>
      </c>
      <c r="G2" s="1"/>
      <c r="H2" s="1"/>
      <c r="I2" s="1"/>
    </row>
    <row r="3" spans="1:9" x14ac:dyDescent="0.2">
      <c r="A3">
        <v>1851</v>
      </c>
      <c r="B3" s="1">
        <v>-0.26351829999999998</v>
      </c>
      <c r="C3" s="1">
        <v>8.7122258750000001E-2</v>
      </c>
      <c r="D3" s="1"/>
      <c r="E3" s="1"/>
      <c r="F3" s="1">
        <v>1361.7212</v>
      </c>
      <c r="G3" s="1"/>
      <c r="H3" s="1"/>
      <c r="I3" s="1"/>
    </row>
    <row r="4" spans="1:9" x14ac:dyDescent="0.2">
      <c r="A4">
        <v>1852</v>
      </c>
      <c r="B4" s="1">
        <v>-0.22405294000000001</v>
      </c>
      <c r="C4" s="1">
        <v>8.2300038250000013E-2</v>
      </c>
      <c r="D4" s="1"/>
      <c r="E4" s="1"/>
      <c r="F4" s="1">
        <v>1361.6760999999999</v>
      </c>
      <c r="G4" s="1"/>
      <c r="H4" s="1"/>
      <c r="I4" s="1"/>
    </row>
    <row r="5" spans="1:9" x14ac:dyDescent="0.2">
      <c r="A5">
        <v>1853</v>
      </c>
      <c r="B5" s="1">
        <v>-0.26234877000000001</v>
      </c>
      <c r="C5" s="1">
        <v>7.9540538750000001E-2</v>
      </c>
      <c r="D5" s="1"/>
      <c r="E5" s="1"/>
      <c r="F5" s="1">
        <v>1361.5373999999999</v>
      </c>
      <c r="G5" s="1"/>
      <c r="H5" s="1"/>
      <c r="I5" s="1"/>
    </row>
    <row r="6" spans="1:9" x14ac:dyDescent="0.2">
      <c r="A6">
        <v>1854</v>
      </c>
      <c r="B6" s="1">
        <v>-0.29358404999999999</v>
      </c>
      <c r="C6" s="1">
        <v>6.8980705000000003E-2</v>
      </c>
      <c r="D6" s="1"/>
      <c r="E6" s="1"/>
      <c r="F6" s="1">
        <v>1361.3630000000001</v>
      </c>
      <c r="G6" s="1"/>
      <c r="H6" s="1"/>
      <c r="I6" s="1"/>
    </row>
    <row r="7" spans="1:9" x14ac:dyDescent="0.2">
      <c r="A7">
        <v>1855</v>
      </c>
      <c r="B7" s="1">
        <v>-0.29138646000000001</v>
      </c>
      <c r="C7" s="1">
        <v>6.7710674999999998E-2</v>
      </c>
      <c r="D7" s="1"/>
      <c r="E7" s="1"/>
      <c r="F7" s="1">
        <v>1361.1905999999999</v>
      </c>
      <c r="G7" s="1"/>
      <c r="H7" s="1"/>
      <c r="I7" s="1"/>
    </row>
    <row r="8" spans="1:9" x14ac:dyDescent="0.2">
      <c r="A8">
        <v>1856</v>
      </c>
      <c r="B8" s="1">
        <v>-0.32809033999999998</v>
      </c>
      <c r="C8" s="1">
        <v>7.2110574999999996E-2</v>
      </c>
      <c r="D8" s="1"/>
      <c r="E8" s="1"/>
      <c r="F8" s="1">
        <v>1361.155</v>
      </c>
      <c r="G8" s="1"/>
      <c r="H8" s="1"/>
      <c r="I8" s="1"/>
    </row>
    <row r="9" spans="1:9" x14ac:dyDescent="0.2">
      <c r="A9">
        <v>1857</v>
      </c>
      <c r="B9" s="1">
        <v>-0.46585592999999997</v>
      </c>
      <c r="C9" s="1">
        <v>7.5915982499999993E-2</v>
      </c>
      <c r="D9" s="1"/>
      <c r="E9" s="1"/>
      <c r="F9" s="1">
        <v>1361.3140000000001</v>
      </c>
      <c r="G9" s="1"/>
      <c r="H9" s="1"/>
      <c r="I9" s="1"/>
    </row>
    <row r="10" spans="1:9" x14ac:dyDescent="0.2">
      <c r="A10">
        <v>1858</v>
      </c>
      <c r="B10" s="1">
        <v>-0.3967561</v>
      </c>
      <c r="C10" s="1">
        <v>7.5354932499999999E-2</v>
      </c>
      <c r="D10" s="1"/>
      <c r="E10" s="1"/>
      <c r="F10" s="1">
        <v>1361.6183000000001</v>
      </c>
      <c r="G10" s="1"/>
      <c r="H10" s="1"/>
      <c r="I10" s="1"/>
    </row>
    <row r="11" spans="1:9" x14ac:dyDescent="0.2">
      <c r="A11">
        <v>1859</v>
      </c>
      <c r="B11" s="1">
        <v>-0.29197731999999998</v>
      </c>
      <c r="C11" s="1">
        <v>7.1113727500000001E-2</v>
      </c>
      <c r="D11" s="1"/>
      <c r="E11" s="1"/>
      <c r="F11" s="1">
        <v>1361.8894</v>
      </c>
      <c r="G11" s="1"/>
      <c r="H11" s="1"/>
      <c r="I11" s="1"/>
    </row>
    <row r="12" spans="1:9" x14ac:dyDescent="0.2">
      <c r="A12">
        <v>1860</v>
      </c>
      <c r="B12" s="1">
        <v>-0.40712935</v>
      </c>
      <c r="C12" s="1">
        <v>7.5532524999999989E-2</v>
      </c>
      <c r="D12" s="1"/>
      <c r="E12" s="1"/>
      <c r="F12" s="1">
        <v>1361.9712</v>
      </c>
      <c r="G12" s="1"/>
      <c r="H12" s="1"/>
      <c r="I12" s="1"/>
    </row>
    <row r="13" spans="1:9" x14ac:dyDescent="0.2">
      <c r="A13">
        <v>1861</v>
      </c>
      <c r="B13" s="1">
        <v>-0.46369660000000001</v>
      </c>
      <c r="C13" s="1">
        <v>8.5273840000000004E-2</v>
      </c>
      <c r="D13" s="1"/>
      <c r="E13" s="1"/>
      <c r="F13" s="1">
        <v>1361.8658</v>
      </c>
      <c r="G13" s="1"/>
      <c r="H13" s="1"/>
      <c r="I13" s="1"/>
    </row>
    <row r="14" spans="1:9" x14ac:dyDescent="0.2">
      <c r="A14">
        <v>1862</v>
      </c>
      <c r="B14" s="1">
        <v>-0.55482540000000002</v>
      </c>
      <c r="C14" s="1">
        <v>8.4488069999999998E-2</v>
      </c>
      <c r="D14" s="1"/>
      <c r="E14" s="1"/>
      <c r="F14" s="1">
        <v>1361.7764999999999</v>
      </c>
      <c r="G14" s="1"/>
      <c r="H14" s="1"/>
      <c r="I14" s="1"/>
    </row>
    <row r="15" spans="1:9" x14ac:dyDescent="0.2">
      <c r="A15">
        <v>1863</v>
      </c>
      <c r="B15" s="1">
        <v>-0.38284649999999998</v>
      </c>
      <c r="C15" s="1">
        <v>9.7560777500000001E-2</v>
      </c>
      <c r="D15" s="1"/>
      <c r="E15" s="1"/>
      <c r="F15" s="1">
        <v>1361.6113</v>
      </c>
      <c r="G15" s="1"/>
      <c r="H15" s="1"/>
      <c r="I15" s="1"/>
    </row>
    <row r="16" spans="1:9" x14ac:dyDescent="0.2">
      <c r="A16">
        <v>1864</v>
      </c>
      <c r="B16" s="1">
        <v>-0.49413699999999999</v>
      </c>
      <c r="C16" s="1">
        <v>9.3386605000000011E-2</v>
      </c>
      <c r="D16" s="1"/>
      <c r="E16" s="1"/>
      <c r="F16" s="1">
        <v>1361.5540000000001</v>
      </c>
      <c r="G16" s="1"/>
      <c r="H16" s="1"/>
      <c r="I16" s="1"/>
    </row>
    <row r="17" spans="1:9" x14ac:dyDescent="0.2">
      <c r="A17">
        <v>1865</v>
      </c>
      <c r="B17" s="1">
        <v>-0.39224165999999999</v>
      </c>
      <c r="C17" s="1">
        <v>9.9694870000000005E-2</v>
      </c>
      <c r="D17" s="1"/>
      <c r="E17" s="1"/>
      <c r="F17" s="1">
        <v>1361.4367999999999</v>
      </c>
      <c r="G17" s="1"/>
      <c r="H17" s="1"/>
      <c r="I17" s="1"/>
    </row>
    <row r="18" spans="1:9" x14ac:dyDescent="0.2">
      <c r="A18">
        <v>1866</v>
      </c>
      <c r="B18" s="1">
        <v>-0.40016190000000001</v>
      </c>
      <c r="C18" s="1">
        <v>9.8062295000000022E-2</v>
      </c>
      <c r="D18" s="1"/>
      <c r="E18" s="1"/>
      <c r="F18" s="1">
        <v>1361.3068000000001</v>
      </c>
      <c r="G18" s="1"/>
      <c r="H18" s="1"/>
      <c r="I18" s="1"/>
    </row>
    <row r="19" spans="1:9" x14ac:dyDescent="0.2">
      <c r="A19">
        <v>1867</v>
      </c>
      <c r="B19" s="1">
        <v>-0.39941457000000002</v>
      </c>
      <c r="C19" s="1">
        <v>0.10093698749999999</v>
      </c>
      <c r="D19" s="1"/>
      <c r="E19" s="1"/>
      <c r="F19" s="1">
        <v>1361.2005999999999</v>
      </c>
      <c r="G19" s="1"/>
      <c r="H19" s="1"/>
      <c r="I19" s="1"/>
    </row>
    <row r="20" spans="1:9" x14ac:dyDescent="0.2">
      <c r="A20">
        <v>1868</v>
      </c>
      <c r="B20" s="1">
        <v>-0.36312075999999999</v>
      </c>
      <c r="C20" s="1">
        <v>9.1737047500000002E-2</v>
      </c>
      <c r="D20" s="1"/>
      <c r="E20" s="1"/>
      <c r="F20" s="1">
        <v>1361.4070999999999</v>
      </c>
      <c r="G20" s="1"/>
      <c r="H20" s="1"/>
      <c r="I20" s="1"/>
    </row>
    <row r="21" spans="1:9" x14ac:dyDescent="0.2">
      <c r="A21">
        <v>1869</v>
      </c>
      <c r="B21" s="1">
        <v>-0.31852213000000001</v>
      </c>
      <c r="C21" s="1">
        <v>8.0809102500000007E-2</v>
      </c>
      <c r="D21" s="1"/>
      <c r="E21" s="1"/>
      <c r="F21" s="1">
        <v>1361.6912</v>
      </c>
      <c r="G21" s="1"/>
      <c r="H21" s="1"/>
      <c r="I21" s="1"/>
    </row>
    <row r="22" spans="1:9" x14ac:dyDescent="0.2">
      <c r="A22">
        <v>1870</v>
      </c>
      <c r="B22" s="1">
        <v>-0.32778122999999998</v>
      </c>
      <c r="C22" s="1">
        <v>7.3627264999999997E-2</v>
      </c>
      <c r="D22" s="1"/>
      <c r="E22" s="1"/>
      <c r="F22" s="1">
        <v>1362.048</v>
      </c>
      <c r="G22" s="1"/>
      <c r="H22" s="1"/>
      <c r="I22" s="1"/>
    </row>
    <row r="23" spans="1:9" x14ac:dyDescent="0.2">
      <c r="A23">
        <v>1871</v>
      </c>
      <c r="B23" s="1">
        <v>-0.37342322</v>
      </c>
      <c r="C23" s="1">
        <v>7.5082032499999993E-2</v>
      </c>
      <c r="D23" s="1"/>
      <c r="E23" s="1"/>
      <c r="F23" s="1">
        <v>1362.0317</v>
      </c>
      <c r="G23" s="1"/>
      <c r="H23" s="1"/>
      <c r="I23" s="1"/>
    </row>
    <row r="24" spans="1:9" x14ac:dyDescent="0.2">
      <c r="A24">
        <v>1872</v>
      </c>
      <c r="B24" s="1">
        <v>-0.30945122000000003</v>
      </c>
      <c r="C24" s="1">
        <v>6.8182329999999999E-2</v>
      </c>
      <c r="D24" s="1"/>
      <c r="E24" s="1"/>
      <c r="F24" s="1">
        <v>1361.9712999999999</v>
      </c>
      <c r="G24" s="1"/>
      <c r="H24" s="1"/>
      <c r="I24" s="1"/>
    </row>
    <row r="25" spans="1:9" x14ac:dyDescent="0.2">
      <c r="A25">
        <v>1873</v>
      </c>
      <c r="B25" s="1">
        <v>-0.32117823000000001</v>
      </c>
      <c r="C25" s="1">
        <v>6.510574999999999E-2</v>
      </c>
      <c r="D25" s="1"/>
      <c r="E25" s="1"/>
      <c r="F25" s="1">
        <v>1361.8027</v>
      </c>
      <c r="G25" s="1"/>
      <c r="H25" s="1"/>
      <c r="I25" s="1"/>
    </row>
    <row r="26" spans="1:9" x14ac:dyDescent="0.2">
      <c r="A26">
        <v>1874</v>
      </c>
      <c r="B26" s="1">
        <v>-0.36541121999999998</v>
      </c>
      <c r="C26" s="1">
        <v>6.6028365000000006E-2</v>
      </c>
      <c r="D26" s="1"/>
      <c r="E26" s="1"/>
      <c r="F26" s="1">
        <v>1361.575</v>
      </c>
      <c r="G26" s="1"/>
      <c r="H26" s="1"/>
      <c r="I26" s="1"/>
    </row>
    <row r="27" spans="1:9" x14ac:dyDescent="0.2">
      <c r="A27">
        <v>1875</v>
      </c>
      <c r="B27" s="1">
        <v>-0.36674760000000001</v>
      </c>
      <c r="C27" s="1">
        <v>6.8345514999999996E-2</v>
      </c>
      <c r="D27" s="1"/>
      <c r="E27" s="1"/>
      <c r="F27" s="1">
        <v>1361.3527999999999</v>
      </c>
      <c r="G27" s="1"/>
      <c r="H27" s="1"/>
      <c r="I27" s="1"/>
    </row>
    <row r="28" spans="1:9" x14ac:dyDescent="0.2">
      <c r="A28">
        <v>1876</v>
      </c>
      <c r="B28" s="1">
        <v>-0.41084635000000003</v>
      </c>
      <c r="C28" s="1">
        <v>6.9553074999999992E-2</v>
      </c>
      <c r="D28" s="1"/>
      <c r="E28" s="1"/>
      <c r="F28" s="1">
        <v>1361.2982999999999</v>
      </c>
      <c r="G28" s="1"/>
      <c r="H28" s="1"/>
      <c r="I28" s="1"/>
    </row>
    <row r="29" spans="1:9" x14ac:dyDescent="0.2">
      <c r="A29">
        <v>1877</v>
      </c>
      <c r="B29" s="1">
        <v>-8.2424335000000001E-2</v>
      </c>
      <c r="C29" s="1">
        <v>6.3936372000000005E-2</v>
      </c>
      <c r="D29" s="1"/>
      <c r="E29" s="1"/>
      <c r="F29" s="1">
        <v>1361.3105</v>
      </c>
      <c r="G29" s="1"/>
      <c r="H29" s="1"/>
      <c r="I29" s="1"/>
    </row>
    <row r="30" spans="1:9" x14ac:dyDescent="0.2">
      <c r="A30">
        <v>1878</v>
      </c>
      <c r="B30" s="1">
        <v>1.0314008E-2</v>
      </c>
      <c r="C30" s="1">
        <v>6.1555739999999998E-2</v>
      </c>
      <c r="D30" s="1"/>
      <c r="E30" s="1"/>
      <c r="F30" s="1">
        <v>1361.1797999999999</v>
      </c>
      <c r="G30" s="1"/>
      <c r="H30" s="1"/>
      <c r="I30" s="1"/>
    </row>
    <row r="31" spans="1:9" x14ac:dyDescent="0.2">
      <c r="A31">
        <v>1879</v>
      </c>
      <c r="B31" s="1">
        <v>-0.28873557</v>
      </c>
      <c r="C31" s="1">
        <v>6.5920580000000006E-2</v>
      </c>
      <c r="D31" s="1"/>
      <c r="E31" s="1"/>
      <c r="F31" s="1">
        <v>1361.2246</v>
      </c>
      <c r="G31" s="1"/>
      <c r="H31" s="1"/>
      <c r="I31" s="1"/>
    </row>
    <row r="32" spans="1:9" x14ac:dyDescent="0.2">
      <c r="A32">
        <v>1880</v>
      </c>
      <c r="B32" s="1">
        <v>-0.30317359999999999</v>
      </c>
      <c r="C32" s="1">
        <v>6.1261195000000004E-2</v>
      </c>
      <c r="D32" s="1"/>
      <c r="E32" s="1"/>
      <c r="F32" s="1">
        <v>1361.4937</v>
      </c>
      <c r="G32" s="1"/>
      <c r="H32" s="1"/>
      <c r="I32" s="1"/>
    </row>
    <row r="33" spans="1:9" x14ac:dyDescent="0.2">
      <c r="A33">
        <v>1881</v>
      </c>
      <c r="B33" s="1">
        <v>-0.21301129999999999</v>
      </c>
      <c r="C33" s="1">
        <v>6.2508651499999998E-2</v>
      </c>
      <c r="D33" s="1"/>
      <c r="E33" s="1"/>
      <c r="F33" s="1">
        <v>1361.7492999999999</v>
      </c>
      <c r="G33" s="1"/>
      <c r="H33" s="1"/>
      <c r="I33" s="1"/>
    </row>
    <row r="34" spans="1:9" x14ac:dyDescent="0.2">
      <c r="A34">
        <v>1882</v>
      </c>
      <c r="B34" s="1">
        <v>-0.27210786999999997</v>
      </c>
      <c r="C34" s="1">
        <v>6.25953125E-2</v>
      </c>
      <c r="D34" s="1"/>
      <c r="E34" s="1"/>
      <c r="F34" s="1">
        <v>1361.7172</v>
      </c>
      <c r="G34" s="1"/>
      <c r="H34" s="1"/>
      <c r="I34" s="1"/>
    </row>
    <row r="35" spans="1:9" x14ac:dyDescent="0.2">
      <c r="A35">
        <v>1883</v>
      </c>
      <c r="B35" s="1">
        <v>-0.32755711999999998</v>
      </c>
      <c r="C35" s="1">
        <v>5.5816837500000001E-2</v>
      </c>
      <c r="D35" s="1"/>
      <c r="E35" s="1"/>
      <c r="F35" s="1">
        <v>1361.6727000000001</v>
      </c>
      <c r="G35" s="1"/>
      <c r="H35" s="1"/>
      <c r="I35" s="1"/>
    </row>
    <row r="36" spans="1:9" x14ac:dyDescent="0.2">
      <c r="A36">
        <v>1884</v>
      </c>
      <c r="B36" s="1">
        <v>-0.47444913</v>
      </c>
      <c r="C36" s="1">
        <v>5.4527167499999987E-2</v>
      </c>
      <c r="D36" s="1"/>
      <c r="E36" s="1"/>
      <c r="F36" s="1">
        <v>1361.7357999999999</v>
      </c>
      <c r="G36" s="1"/>
      <c r="H36" s="1"/>
      <c r="I36" s="1"/>
    </row>
    <row r="37" spans="1:9" x14ac:dyDescent="0.2">
      <c r="A37">
        <v>1885</v>
      </c>
      <c r="B37" s="1">
        <v>-0.45813232999999998</v>
      </c>
      <c r="C37" s="1">
        <v>5.4673667499999995E-2</v>
      </c>
      <c r="D37" s="1"/>
      <c r="E37" s="1"/>
      <c r="F37" s="1">
        <v>1361.6375</v>
      </c>
      <c r="G37" s="1"/>
      <c r="H37" s="1"/>
      <c r="I37" s="1"/>
    </row>
    <row r="38" spans="1:9" x14ac:dyDescent="0.2">
      <c r="A38">
        <v>1886</v>
      </c>
      <c r="B38" s="1">
        <v>-0.40817369999999997</v>
      </c>
      <c r="C38" s="1">
        <v>5.2311524999999984E-2</v>
      </c>
      <c r="D38" s="1"/>
      <c r="E38" s="1"/>
      <c r="F38" s="1">
        <v>1361.3788999999999</v>
      </c>
      <c r="G38" s="1"/>
      <c r="H38" s="1"/>
      <c r="I38" s="1"/>
    </row>
    <row r="39" spans="1:9" x14ac:dyDescent="0.2">
      <c r="A39">
        <v>1887</v>
      </c>
      <c r="B39" s="1">
        <v>-0.48834157</v>
      </c>
      <c r="C39" s="1">
        <v>5.7341584999999987E-2</v>
      </c>
      <c r="D39" s="1"/>
      <c r="E39" s="1"/>
      <c r="F39" s="1">
        <v>1361.2672</v>
      </c>
      <c r="G39" s="1"/>
      <c r="H39" s="1"/>
      <c r="I39" s="1"/>
    </row>
    <row r="40" spans="1:9" x14ac:dyDescent="0.2">
      <c r="A40">
        <v>1888</v>
      </c>
      <c r="B40" s="1">
        <v>-0.37258717000000002</v>
      </c>
      <c r="C40" s="1">
        <v>5.8746569999999998E-2</v>
      </c>
      <c r="D40" s="1"/>
      <c r="E40" s="1"/>
      <c r="F40" s="1">
        <v>1361.2064</v>
      </c>
      <c r="G40" s="1"/>
      <c r="H40" s="1"/>
      <c r="I40" s="1"/>
    </row>
    <row r="41" spans="1:9" x14ac:dyDescent="0.2">
      <c r="A41">
        <v>1889</v>
      </c>
      <c r="B41" s="1">
        <v>-0.25040200000000001</v>
      </c>
      <c r="C41" s="1">
        <v>6.1829255000000007E-2</v>
      </c>
      <c r="D41" s="1"/>
      <c r="E41" s="1"/>
      <c r="F41" s="1">
        <v>1361.2009</v>
      </c>
      <c r="G41" s="1"/>
      <c r="H41" s="1"/>
      <c r="I41" s="1"/>
    </row>
    <row r="42" spans="1:9" x14ac:dyDescent="0.2">
      <c r="A42">
        <v>1890</v>
      </c>
      <c r="B42" s="1">
        <v>-0.50025010000000003</v>
      </c>
      <c r="C42" s="1">
        <v>6.2296785000000007E-2</v>
      </c>
      <c r="D42" s="1"/>
      <c r="E42" s="1"/>
      <c r="F42" s="1">
        <v>1361.2089000000001</v>
      </c>
      <c r="G42" s="1"/>
      <c r="H42" s="1"/>
      <c r="I42" s="1"/>
    </row>
    <row r="43" spans="1:9" x14ac:dyDescent="0.2">
      <c r="A43">
        <v>1891</v>
      </c>
      <c r="B43" s="1">
        <v>-0.39753339999999998</v>
      </c>
      <c r="C43" s="1">
        <v>6.8303450000000002E-2</v>
      </c>
      <c r="D43" s="1"/>
      <c r="E43" s="1"/>
      <c r="F43" s="1">
        <v>1361.5068000000001</v>
      </c>
      <c r="G43" s="1"/>
      <c r="H43" s="1"/>
      <c r="I43" s="1"/>
    </row>
    <row r="44" spans="1:9" x14ac:dyDescent="0.2">
      <c r="A44">
        <v>1892</v>
      </c>
      <c r="B44" s="1">
        <v>-0.50656800000000002</v>
      </c>
      <c r="C44" s="1">
        <v>6.9024450000000015E-2</v>
      </c>
      <c r="D44" s="1"/>
      <c r="E44" s="1"/>
      <c r="F44" s="1">
        <v>1361.8228999999999</v>
      </c>
      <c r="G44" s="1"/>
      <c r="H44" s="1"/>
      <c r="I44" s="1"/>
    </row>
    <row r="45" spans="1:9" x14ac:dyDescent="0.2">
      <c r="A45">
        <v>1893</v>
      </c>
      <c r="B45" s="1">
        <v>-0.49494614999999997</v>
      </c>
      <c r="C45" s="1">
        <v>6.7505502500000009E-2</v>
      </c>
      <c r="D45" s="1"/>
      <c r="E45" s="1"/>
      <c r="F45" s="1">
        <v>1361.9004</v>
      </c>
      <c r="G45" s="1"/>
      <c r="H45" s="1"/>
      <c r="I45" s="1"/>
    </row>
    <row r="46" spans="1:9" x14ac:dyDescent="0.2">
      <c r="A46">
        <v>1894</v>
      </c>
      <c r="B46" s="1">
        <v>-0.47874618000000002</v>
      </c>
      <c r="C46" s="1">
        <v>7.169632749999999E-2</v>
      </c>
      <c r="D46" s="1"/>
      <c r="E46" s="1"/>
      <c r="F46" s="1">
        <v>1361.8905999999999</v>
      </c>
      <c r="G46" s="1"/>
      <c r="H46" s="1"/>
      <c r="I46" s="1"/>
    </row>
    <row r="47" spans="1:9" x14ac:dyDescent="0.2">
      <c r="A47">
        <v>1895</v>
      </c>
      <c r="B47" s="1">
        <v>-0.44183642000000001</v>
      </c>
      <c r="C47" s="1">
        <v>6.9528025000000007E-2</v>
      </c>
      <c r="D47" s="1"/>
      <c r="E47" s="1"/>
      <c r="F47" s="1">
        <v>1361.7562</v>
      </c>
      <c r="G47" s="1"/>
      <c r="H47" s="1"/>
      <c r="I47" s="1"/>
    </row>
    <row r="48" spans="1:9" x14ac:dyDescent="0.2">
      <c r="A48">
        <v>1896</v>
      </c>
      <c r="B48" s="1">
        <v>-0.27859443</v>
      </c>
      <c r="C48" s="1">
        <v>6.59040075E-2</v>
      </c>
      <c r="D48" s="1"/>
      <c r="E48" s="1"/>
      <c r="F48" s="1">
        <v>1361.5944999999999</v>
      </c>
      <c r="G48" s="1"/>
      <c r="H48" s="1"/>
      <c r="I48" s="1"/>
    </row>
    <row r="49" spans="1:9" x14ac:dyDescent="0.2">
      <c r="A49">
        <v>1897</v>
      </c>
      <c r="B49" s="1">
        <v>-0.25465064999999998</v>
      </c>
      <c r="C49" s="1">
        <v>6.9010200000000008E-2</v>
      </c>
      <c r="D49" s="1"/>
      <c r="E49" s="1"/>
      <c r="F49" s="1">
        <v>1361.3389999999999</v>
      </c>
      <c r="G49" s="1"/>
      <c r="H49" s="1"/>
      <c r="I49" s="1"/>
    </row>
    <row r="50" spans="1:9" x14ac:dyDescent="0.2">
      <c r="A50">
        <v>1898</v>
      </c>
      <c r="B50" s="1">
        <v>-0.47404160000000001</v>
      </c>
      <c r="C50" s="1">
        <v>6.768207250000001E-2</v>
      </c>
      <c r="D50" s="1"/>
      <c r="E50" s="1"/>
      <c r="F50" s="1">
        <v>1361.3960999999999</v>
      </c>
      <c r="G50" s="1"/>
      <c r="H50" s="1"/>
      <c r="I50" s="1"/>
    </row>
    <row r="51" spans="1:9" x14ac:dyDescent="0.2">
      <c r="A51">
        <v>1899</v>
      </c>
      <c r="B51" s="1">
        <v>-0.34430692000000002</v>
      </c>
      <c r="C51" s="1">
        <v>6.51865425E-2</v>
      </c>
      <c r="D51" s="1"/>
      <c r="E51" s="1"/>
      <c r="F51" s="1">
        <v>1361.2693999999999</v>
      </c>
      <c r="G51" s="1"/>
      <c r="H51" s="1"/>
      <c r="I51" s="1"/>
    </row>
    <row r="52" spans="1:9" x14ac:dyDescent="0.2">
      <c r="A52">
        <v>1900</v>
      </c>
      <c r="B52" s="1">
        <v>-0.23016049999999999</v>
      </c>
      <c r="C52" s="1">
        <v>6.6774427499999997E-2</v>
      </c>
      <c r="D52" s="1"/>
      <c r="E52" s="1"/>
      <c r="F52" s="1">
        <v>1361.2484999999999</v>
      </c>
      <c r="G52" s="1"/>
      <c r="H52" s="1"/>
      <c r="I52" s="1"/>
    </row>
    <row r="53" spans="1:9" x14ac:dyDescent="0.2">
      <c r="A53">
        <v>1901</v>
      </c>
      <c r="B53" s="1">
        <v>-0.28715286000000001</v>
      </c>
      <c r="C53" s="1">
        <v>6.6201619999999989E-2</v>
      </c>
      <c r="D53" s="1"/>
      <c r="E53" s="1"/>
      <c r="F53" s="1">
        <v>1361.1497999999999</v>
      </c>
      <c r="G53" s="1"/>
      <c r="H53" s="1"/>
      <c r="I53" s="1"/>
    </row>
    <row r="54" spans="1:9" x14ac:dyDescent="0.2">
      <c r="A54">
        <v>1902</v>
      </c>
      <c r="B54" s="1">
        <v>-0.43739371999999999</v>
      </c>
      <c r="C54" s="1">
        <v>6.5893322500000004E-2</v>
      </c>
      <c r="D54" s="1"/>
      <c r="E54" s="1"/>
      <c r="F54" s="1">
        <v>1361.1782000000001</v>
      </c>
      <c r="G54" s="1"/>
      <c r="H54" s="1"/>
      <c r="I54" s="1"/>
    </row>
    <row r="55" spans="1:9" x14ac:dyDescent="0.2">
      <c r="A55">
        <v>1903</v>
      </c>
      <c r="B55" s="1">
        <v>-0.53521233999999995</v>
      </c>
      <c r="C55" s="1">
        <v>6.1378365000000004E-2</v>
      </c>
      <c r="D55" s="1"/>
      <c r="E55" s="1"/>
      <c r="F55" s="1">
        <v>1361.3846000000001</v>
      </c>
      <c r="G55" s="1"/>
      <c r="H55" s="1"/>
      <c r="I55" s="1"/>
    </row>
    <row r="56" spans="1:9" x14ac:dyDescent="0.2">
      <c r="A56">
        <v>1904</v>
      </c>
      <c r="B56" s="1">
        <v>-0.5970666</v>
      </c>
      <c r="C56" s="1">
        <v>6.3606920000000011E-2</v>
      </c>
      <c r="D56" s="1"/>
      <c r="E56" s="1"/>
      <c r="F56" s="1">
        <v>1361.6415999999999</v>
      </c>
      <c r="G56" s="1"/>
      <c r="H56" s="1"/>
      <c r="I56" s="1"/>
    </row>
    <row r="57" spans="1:9" x14ac:dyDescent="0.2">
      <c r="A57">
        <v>1905</v>
      </c>
      <c r="B57" s="1">
        <v>-0.40594429999999998</v>
      </c>
      <c r="C57" s="1">
        <v>5.9401744999999992E-2</v>
      </c>
      <c r="D57" s="1"/>
      <c r="E57" s="1"/>
      <c r="F57" s="1">
        <v>1361.6233999999999</v>
      </c>
      <c r="G57" s="1"/>
      <c r="H57" s="1"/>
      <c r="I57" s="1"/>
    </row>
    <row r="58" spans="1:9" x14ac:dyDescent="0.2">
      <c r="A58">
        <v>1906</v>
      </c>
      <c r="B58" s="1">
        <v>-0.3153704</v>
      </c>
      <c r="C58" s="1">
        <v>6.0745280000000006E-2</v>
      </c>
      <c r="D58" s="1"/>
      <c r="E58" s="1"/>
      <c r="F58" s="1">
        <v>1361.7118</v>
      </c>
      <c r="G58" s="1"/>
      <c r="H58" s="1"/>
      <c r="I58" s="1"/>
    </row>
    <row r="59" spans="1:9" x14ac:dyDescent="0.2">
      <c r="A59">
        <v>1907</v>
      </c>
      <c r="B59" s="1">
        <v>-0.49948095999999997</v>
      </c>
      <c r="C59" s="1">
        <v>5.9244210000000005E-2</v>
      </c>
      <c r="D59" s="1"/>
      <c r="E59" s="1"/>
      <c r="F59" s="1">
        <v>1361.6744000000001</v>
      </c>
      <c r="G59" s="1"/>
      <c r="H59" s="1"/>
      <c r="I59" s="1"/>
    </row>
    <row r="60" spans="1:9" x14ac:dyDescent="0.2">
      <c r="A60">
        <v>1908</v>
      </c>
      <c r="B60" s="1">
        <v>-0.50655300000000003</v>
      </c>
      <c r="C60" s="1">
        <v>5.9046205000000004E-2</v>
      </c>
      <c r="D60" s="1"/>
      <c r="E60" s="1"/>
      <c r="F60" s="1">
        <v>1361.6483000000001</v>
      </c>
      <c r="G60" s="1"/>
      <c r="H60" s="1"/>
      <c r="I60" s="1"/>
    </row>
    <row r="61" spans="1:9" x14ac:dyDescent="0.2">
      <c r="A61">
        <v>1909</v>
      </c>
      <c r="B61" s="1">
        <v>-0.53290320000000002</v>
      </c>
      <c r="C61" s="1">
        <v>5.5627400000000007E-2</v>
      </c>
      <c r="D61" s="1"/>
      <c r="E61" s="1"/>
      <c r="F61" s="1">
        <v>1361.5477000000001</v>
      </c>
      <c r="G61" s="1"/>
      <c r="H61" s="1"/>
      <c r="I61" s="1"/>
    </row>
    <row r="62" spans="1:9" x14ac:dyDescent="0.2">
      <c r="A62">
        <v>1910</v>
      </c>
      <c r="B62" s="1">
        <v>-0.52208275000000004</v>
      </c>
      <c r="C62" s="1">
        <v>5.6732750000000012E-2</v>
      </c>
      <c r="D62" s="1"/>
      <c r="E62" s="1"/>
      <c r="F62" s="1">
        <v>1361.3434999999999</v>
      </c>
      <c r="G62" s="1"/>
      <c r="H62" s="1"/>
      <c r="I62" s="1"/>
    </row>
    <row r="63" spans="1:9" x14ac:dyDescent="0.2">
      <c r="A63">
        <v>1911</v>
      </c>
      <c r="B63" s="1">
        <v>-0.53979619999999995</v>
      </c>
      <c r="C63" s="1">
        <v>5.4957574999999995E-2</v>
      </c>
      <c r="D63" s="1"/>
      <c r="E63" s="1"/>
      <c r="F63" s="1">
        <v>1361.1946</v>
      </c>
      <c r="G63" s="1"/>
      <c r="H63" s="1"/>
      <c r="I63" s="1"/>
    </row>
    <row r="64" spans="1:9" x14ac:dyDescent="0.2">
      <c r="A64">
        <v>1912</v>
      </c>
      <c r="B64" s="1">
        <v>-0.47614592</v>
      </c>
      <c r="C64" s="1">
        <v>5.0722724999999996E-2</v>
      </c>
      <c r="D64" s="1"/>
      <c r="E64" s="1"/>
      <c r="F64" s="1">
        <v>1361.1765</v>
      </c>
      <c r="G64" s="1"/>
      <c r="H64" s="1"/>
      <c r="I64" s="1"/>
    </row>
    <row r="65" spans="1:9" x14ac:dyDescent="0.2">
      <c r="A65">
        <v>1913</v>
      </c>
      <c r="B65" s="1">
        <v>-0.46351784000000001</v>
      </c>
      <c r="C65" s="1">
        <v>5.4694067500000013E-2</v>
      </c>
      <c r="D65" s="1"/>
      <c r="E65" s="1"/>
      <c r="F65" s="1">
        <v>1361.1561999999999</v>
      </c>
      <c r="G65" s="1"/>
      <c r="H65" s="1"/>
      <c r="I65" s="1"/>
    </row>
    <row r="66" spans="1:9" x14ac:dyDescent="0.2">
      <c r="A66">
        <v>1914</v>
      </c>
      <c r="B66" s="1">
        <v>-0.25945394999999999</v>
      </c>
      <c r="C66" s="1">
        <v>5.3900917499999992E-2</v>
      </c>
      <c r="D66" s="1"/>
      <c r="E66" s="1"/>
      <c r="F66" s="1">
        <v>1361.2394999999999</v>
      </c>
      <c r="G66" s="1"/>
      <c r="H66" s="1"/>
      <c r="I66" s="1"/>
    </row>
    <row r="67" spans="1:9" x14ac:dyDescent="0.2">
      <c r="A67">
        <v>1915</v>
      </c>
      <c r="B67" s="1">
        <v>-0.19058554</v>
      </c>
      <c r="C67" s="1">
        <v>5.8756657499999997E-2</v>
      </c>
      <c r="D67" s="1"/>
      <c r="E67" s="1"/>
      <c r="F67" s="1">
        <v>1361.6466</v>
      </c>
      <c r="G67" s="1"/>
      <c r="H67" s="1"/>
      <c r="I67" s="1"/>
    </row>
    <row r="68" spans="1:9" x14ac:dyDescent="0.2">
      <c r="A68">
        <v>1916</v>
      </c>
      <c r="B68" s="1">
        <v>-0.42022340000000002</v>
      </c>
      <c r="C68" s="1">
        <v>6.0195899999999997E-2</v>
      </c>
      <c r="D68" s="1"/>
      <c r="E68" s="1"/>
      <c r="F68" s="1">
        <v>1361.7913000000001</v>
      </c>
      <c r="G68" s="1"/>
      <c r="H68" s="1"/>
      <c r="I68" s="1"/>
    </row>
    <row r="69" spans="1:9" x14ac:dyDescent="0.2">
      <c r="A69">
        <v>1917</v>
      </c>
      <c r="B69" s="1">
        <v>-0.54389346000000005</v>
      </c>
      <c r="C69" s="1">
        <v>6.4740720000000002E-2</v>
      </c>
      <c r="D69" s="1"/>
      <c r="E69" s="1"/>
      <c r="F69" s="1">
        <v>1362.1729</v>
      </c>
      <c r="G69" s="1"/>
      <c r="H69" s="1"/>
      <c r="I69" s="1"/>
    </row>
    <row r="70" spans="1:9" x14ac:dyDescent="0.2">
      <c r="A70">
        <v>1918</v>
      </c>
      <c r="B70" s="1">
        <v>-0.42603204</v>
      </c>
      <c r="C70" s="1">
        <v>6.9351070000000001E-2</v>
      </c>
      <c r="D70" s="1"/>
      <c r="E70" s="1"/>
      <c r="F70" s="1">
        <v>1362.0409999999999</v>
      </c>
      <c r="G70" s="1"/>
      <c r="H70" s="1"/>
      <c r="I70" s="1"/>
    </row>
    <row r="71" spans="1:9" x14ac:dyDescent="0.2">
      <c r="A71">
        <v>1919</v>
      </c>
      <c r="B71" s="1">
        <v>-0.33239284000000002</v>
      </c>
      <c r="C71" s="1">
        <v>6.8432115000000002E-2</v>
      </c>
      <c r="D71" s="1"/>
      <c r="E71" s="1"/>
      <c r="F71" s="1">
        <v>1361.7354</v>
      </c>
      <c r="G71" s="1"/>
      <c r="H71" s="1"/>
      <c r="I71" s="1"/>
    </row>
    <row r="72" spans="1:9" x14ac:dyDescent="0.2">
      <c r="A72">
        <v>1920</v>
      </c>
      <c r="B72" s="1">
        <v>-0.30439319999999997</v>
      </c>
      <c r="C72" s="1">
        <v>6.4889777499999995E-2</v>
      </c>
      <c r="D72" s="1"/>
      <c r="E72" s="1"/>
      <c r="F72" s="1">
        <v>1361.472</v>
      </c>
      <c r="G72" s="1"/>
      <c r="H72" s="1"/>
      <c r="I72" s="1"/>
    </row>
    <row r="73" spans="1:9" x14ac:dyDescent="0.2">
      <c r="A73">
        <v>1921</v>
      </c>
      <c r="B73" s="1">
        <v>-0.24139357</v>
      </c>
      <c r="C73" s="1">
        <v>5.8747009999999995E-2</v>
      </c>
      <c r="D73" s="1"/>
      <c r="E73" s="1"/>
      <c r="F73" s="1">
        <v>1361.3773000000001</v>
      </c>
      <c r="G73" s="1"/>
      <c r="H73" s="1"/>
      <c r="I73" s="1"/>
    </row>
    <row r="74" spans="1:9" x14ac:dyDescent="0.2">
      <c r="A74">
        <v>1922</v>
      </c>
      <c r="B74" s="1">
        <v>-0.33813047000000002</v>
      </c>
      <c r="C74" s="1">
        <v>5.3823742499999994E-2</v>
      </c>
      <c r="D74" s="1"/>
      <c r="E74" s="1"/>
      <c r="F74" s="1">
        <v>1361.2399</v>
      </c>
      <c r="G74" s="1"/>
      <c r="H74" s="1"/>
      <c r="I74" s="1"/>
    </row>
    <row r="75" spans="1:9" x14ac:dyDescent="0.2">
      <c r="A75">
        <v>1923</v>
      </c>
      <c r="B75" s="1">
        <v>-0.31455242999999999</v>
      </c>
      <c r="C75" s="1">
        <v>5.2845402500000006E-2</v>
      </c>
      <c r="D75" s="1"/>
      <c r="E75" s="1"/>
      <c r="F75" s="1">
        <v>1361.2076</v>
      </c>
      <c r="G75" s="1"/>
      <c r="H75" s="1"/>
      <c r="I75" s="1"/>
    </row>
    <row r="76" spans="1:9" x14ac:dyDescent="0.2">
      <c r="A76">
        <v>1924</v>
      </c>
      <c r="B76" s="1">
        <v>-0.30850246999999997</v>
      </c>
      <c r="C76" s="1">
        <v>5.2762054999999995E-2</v>
      </c>
      <c r="D76" s="1"/>
      <c r="E76" s="1"/>
      <c r="F76" s="1">
        <v>1361.2931000000001</v>
      </c>
      <c r="G76" s="1"/>
      <c r="H76" s="1"/>
      <c r="I76" s="1"/>
    </row>
    <row r="77" spans="1:9" x14ac:dyDescent="0.2">
      <c r="A77">
        <v>1925</v>
      </c>
      <c r="B77" s="1">
        <v>-0.27959844</v>
      </c>
      <c r="C77" s="1">
        <v>5.386179E-2</v>
      </c>
      <c r="D77" s="1"/>
      <c r="E77" s="1"/>
      <c r="F77" s="1">
        <v>1361.5047999999999</v>
      </c>
      <c r="G77" s="1"/>
      <c r="H77" s="1"/>
      <c r="I77" s="1"/>
    </row>
    <row r="78" spans="1:9" x14ac:dyDescent="0.2">
      <c r="A78">
        <v>1926</v>
      </c>
      <c r="B78" s="1">
        <v>-0.12212841000000001</v>
      </c>
      <c r="C78" s="1">
        <v>5.4493026E-2</v>
      </c>
      <c r="D78" s="1"/>
      <c r="E78" s="1"/>
      <c r="F78" s="1">
        <v>1361.6922999999999</v>
      </c>
      <c r="G78" s="1"/>
      <c r="H78" s="1"/>
      <c r="I78" s="1"/>
    </row>
    <row r="79" spans="1:9" x14ac:dyDescent="0.2">
      <c r="A79">
        <v>1927</v>
      </c>
      <c r="B79" s="1">
        <v>-0.22583558000000001</v>
      </c>
      <c r="C79" s="1">
        <v>5.1657265000000001E-2</v>
      </c>
      <c r="D79" s="1"/>
      <c r="E79" s="1"/>
      <c r="F79" s="1">
        <v>1361.8634</v>
      </c>
      <c r="G79" s="1"/>
      <c r="H79" s="1"/>
      <c r="I79" s="1"/>
    </row>
    <row r="80" spans="1:9" x14ac:dyDescent="0.2">
      <c r="A80">
        <v>1928</v>
      </c>
      <c r="B80" s="1">
        <v>-0.20841403</v>
      </c>
      <c r="C80" s="1">
        <v>5.4574214999999995E-2</v>
      </c>
      <c r="D80" s="1"/>
      <c r="E80" s="1"/>
      <c r="F80" s="1">
        <v>1361.8317</v>
      </c>
      <c r="G80" s="1"/>
      <c r="H80" s="1"/>
      <c r="I80" s="1"/>
    </row>
    <row r="81" spans="1:9" x14ac:dyDescent="0.2">
      <c r="A81">
        <v>1929</v>
      </c>
      <c r="B81" s="1">
        <v>-0.39031282</v>
      </c>
      <c r="C81" s="1">
        <v>5.3866332500000003E-2</v>
      </c>
      <c r="D81" s="1"/>
      <c r="E81" s="1"/>
      <c r="F81" s="1">
        <v>1361.6455000000001</v>
      </c>
      <c r="G81" s="1"/>
      <c r="H81" s="1"/>
      <c r="I81" s="1"/>
    </row>
    <row r="82" spans="1:9" x14ac:dyDescent="0.2">
      <c r="A82">
        <v>1930</v>
      </c>
      <c r="B82" s="1">
        <v>-0.16988263000000001</v>
      </c>
      <c r="C82" s="1">
        <v>5.3374137500000002E-2</v>
      </c>
      <c r="D82" s="1"/>
      <c r="E82" s="1"/>
      <c r="F82" s="1">
        <v>1361.5673999999999</v>
      </c>
      <c r="G82" s="1"/>
      <c r="H82" s="1"/>
      <c r="I82" s="1"/>
    </row>
    <row r="83" spans="1:9" x14ac:dyDescent="0.2">
      <c r="A83">
        <v>1931</v>
      </c>
      <c r="B83" s="1">
        <v>-0.1058187</v>
      </c>
      <c r="C83" s="1">
        <v>5.281013775E-2</v>
      </c>
      <c r="D83" s="1"/>
      <c r="E83" s="1"/>
      <c r="F83" s="1">
        <v>1361.4019000000001</v>
      </c>
      <c r="G83" s="1"/>
      <c r="H83" s="1"/>
      <c r="I83" s="1"/>
    </row>
    <row r="84" spans="1:9" x14ac:dyDescent="0.2">
      <c r="A84">
        <v>1932</v>
      </c>
      <c r="B84" s="1">
        <v>-0.14998207999999999</v>
      </c>
      <c r="C84" s="1">
        <v>4.9629290499999999E-2</v>
      </c>
      <c r="D84" s="1"/>
      <c r="E84" s="1"/>
      <c r="F84" s="1">
        <v>1361.2981</v>
      </c>
      <c r="G84" s="1"/>
      <c r="H84" s="1"/>
      <c r="I84" s="1"/>
    </row>
    <row r="85" spans="1:9" x14ac:dyDescent="0.2">
      <c r="A85">
        <v>1933</v>
      </c>
      <c r="B85" s="1">
        <v>-0.32830995000000002</v>
      </c>
      <c r="C85" s="1">
        <v>4.7671352500000007E-2</v>
      </c>
      <c r="D85" s="1"/>
      <c r="E85" s="1"/>
      <c r="F85" s="1">
        <v>1361.2361000000001</v>
      </c>
      <c r="G85" s="1"/>
      <c r="H85" s="1"/>
      <c r="I85" s="1"/>
    </row>
    <row r="86" spans="1:9" x14ac:dyDescent="0.2">
      <c r="A86">
        <v>1934</v>
      </c>
      <c r="B86" s="1">
        <v>-0.17704633</v>
      </c>
      <c r="C86" s="1">
        <v>4.774655500000001E-2</v>
      </c>
      <c r="D86" s="1"/>
      <c r="E86" s="1"/>
      <c r="F86" s="1">
        <v>1361.2887000000001</v>
      </c>
      <c r="G86" s="1"/>
      <c r="H86" s="1"/>
      <c r="I86" s="1"/>
    </row>
    <row r="87" spans="1:9" x14ac:dyDescent="0.2">
      <c r="A87">
        <v>1935</v>
      </c>
      <c r="B87" s="1">
        <v>-0.21286960999999999</v>
      </c>
      <c r="C87" s="1">
        <v>4.6151442500000001E-2</v>
      </c>
      <c r="D87" s="1"/>
      <c r="E87" s="1"/>
      <c r="F87" s="1">
        <v>1361.5372</v>
      </c>
      <c r="G87" s="1"/>
      <c r="H87" s="1"/>
      <c r="I87" s="1"/>
    </row>
    <row r="88" spans="1:9" x14ac:dyDescent="0.2">
      <c r="A88">
        <v>1936</v>
      </c>
      <c r="B88" s="1">
        <v>-0.17097212000000001</v>
      </c>
      <c r="C88" s="1">
        <v>4.7664359999999996E-2</v>
      </c>
      <c r="D88" s="1"/>
      <c r="E88" s="1"/>
      <c r="F88" s="1">
        <v>1362.0518999999999</v>
      </c>
      <c r="G88" s="1"/>
      <c r="H88" s="1"/>
      <c r="I88" s="1"/>
    </row>
    <row r="89" spans="1:9" x14ac:dyDescent="0.2">
      <c r="A89">
        <v>1937</v>
      </c>
      <c r="B89" s="1">
        <v>-1.6047624999999999E-2</v>
      </c>
      <c r="C89" s="1">
        <v>4.6781542499999995E-2</v>
      </c>
      <c r="D89" s="1"/>
      <c r="E89" s="1"/>
      <c r="F89" s="1">
        <v>1362.2073</v>
      </c>
      <c r="G89" s="1"/>
      <c r="H89" s="1"/>
      <c r="I89" s="1"/>
    </row>
    <row r="90" spans="1:9" x14ac:dyDescent="0.2">
      <c r="A90">
        <v>1938</v>
      </c>
      <c r="B90" s="1">
        <v>-1.2892605999999999E-2</v>
      </c>
      <c r="C90" s="1">
        <v>4.7137278500000004E-2</v>
      </c>
      <c r="D90" s="1"/>
      <c r="E90" s="1"/>
      <c r="F90" s="1">
        <v>1362.1183000000001</v>
      </c>
      <c r="G90" s="1"/>
      <c r="H90" s="1"/>
      <c r="I90" s="1"/>
    </row>
    <row r="91" spans="1:9" x14ac:dyDescent="0.2">
      <c r="A91">
        <v>1939</v>
      </c>
      <c r="B91" s="1">
        <v>-4.1802097000000003E-2</v>
      </c>
      <c r="C91" s="1">
        <v>4.7293132499999994E-2</v>
      </c>
      <c r="D91" s="1"/>
      <c r="E91" s="1"/>
      <c r="F91" s="1">
        <v>1361.9938999999999</v>
      </c>
      <c r="G91" s="1"/>
      <c r="H91" s="1"/>
      <c r="I91" s="1"/>
    </row>
    <row r="92" spans="1:9" x14ac:dyDescent="0.2">
      <c r="A92">
        <v>1940</v>
      </c>
      <c r="B92" s="1">
        <v>7.3825379999999996E-2</v>
      </c>
      <c r="C92" s="1">
        <v>5.8915820000000001E-2</v>
      </c>
      <c r="D92" s="1"/>
      <c r="E92" s="1"/>
      <c r="F92" s="1">
        <v>1361.8454999999999</v>
      </c>
      <c r="G92" s="1"/>
      <c r="H92" s="1"/>
      <c r="I92" s="1"/>
    </row>
    <row r="93" spans="1:9" x14ac:dyDescent="0.2">
      <c r="A93">
        <v>1941</v>
      </c>
      <c r="B93" s="1">
        <v>3.4352899999999999E-2</v>
      </c>
      <c r="C93" s="1">
        <v>0.103222095</v>
      </c>
      <c r="D93" s="1"/>
      <c r="E93" s="1"/>
      <c r="F93" s="1">
        <v>1361.7234000000001</v>
      </c>
      <c r="G93" s="1"/>
      <c r="H93" s="1"/>
      <c r="I93" s="1"/>
    </row>
    <row r="94" spans="1:9" x14ac:dyDescent="0.2">
      <c r="A94">
        <v>1942</v>
      </c>
      <c r="B94" s="1">
        <v>-5.1121499999999998E-4</v>
      </c>
      <c r="C94" s="1">
        <v>0.1043671525</v>
      </c>
      <c r="D94" s="1"/>
      <c r="E94" s="1"/>
      <c r="F94" s="1">
        <v>1361.5128</v>
      </c>
      <c r="G94" s="1"/>
      <c r="H94" s="1"/>
      <c r="I94" s="1"/>
    </row>
    <row r="95" spans="1:9" x14ac:dyDescent="0.2">
      <c r="A95">
        <v>1943</v>
      </c>
      <c r="B95" s="1">
        <v>6.3595639999999998E-3</v>
      </c>
      <c r="C95" s="1">
        <v>0.10157941500000001</v>
      </c>
      <c r="D95" s="1"/>
      <c r="E95" s="1"/>
      <c r="F95" s="1">
        <v>1361.3308999999999</v>
      </c>
      <c r="G95" s="1"/>
      <c r="H95" s="1"/>
      <c r="I95" s="1"/>
    </row>
    <row r="96" spans="1:9" x14ac:dyDescent="0.2">
      <c r="A96">
        <v>1944</v>
      </c>
      <c r="B96" s="1">
        <v>0.14462823999999999</v>
      </c>
      <c r="C96" s="1">
        <v>0.10248756199999999</v>
      </c>
      <c r="D96" s="1"/>
      <c r="E96" s="1"/>
      <c r="F96" s="1">
        <v>1361.318</v>
      </c>
      <c r="G96" s="1"/>
      <c r="H96" s="1"/>
      <c r="I96" s="1"/>
    </row>
    <row r="97" spans="1:9" x14ac:dyDescent="0.2">
      <c r="A97">
        <v>1945</v>
      </c>
      <c r="B97" s="1">
        <v>4.2905577E-2</v>
      </c>
      <c r="C97" s="1">
        <v>0.10038816</v>
      </c>
      <c r="D97" s="1"/>
      <c r="E97" s="1"/>
      <c r="F97" s="1">
        <v>1361.6187</v>
      </c>
      <c r="G97" s="1"/>
      <c r="H97" s="1"/>
      <c r="I97" s="1"/>
    </row>
    <row r="98" spans="1:9" x14ac:dyDescent="0.2">
      <c r="A98">
        <v>1946</v>
      </c>
      <c r="B98" s="1">
        <v>-0.12273554</v>
      </c>
      <c r="C98" s="1">
        <v>7.0993586499999997E-2</v>
      </c>
      <c r="D98" s="1"/>
      <c r="E98" s="1"/>
      <c r="F98" s="1">
        <v>1361.9385</v>
      </c>
      <c r="G98" s="1"/>
      <c r="H98" s="1"/>
      <c r="I98" s="1"/>
    </row>
    <row r="99" spans="1:9" x14ac:dyDescent="0.2">
      <c r="A99">
        <v>1947</v>
      </c>
      <c r="B99" s="1">
        <v>-9.599444E-2</v>
      </c>
      <c r="C99" s="1">
        <v>6.736292599999999E-2</v>
      </c>
      <c r="D99" s="1"/>
      <c r="E99" s="1"/>
      <c r="F99" s="1">
        <v>1362.1898000000001</v>
      </c>
      <c r="G99" s="1"/>
      <c r="H99" s="1"/>
      <c r="I99" s="1"/>
    </row>
    <row r="100" spans="1:9" x14ac:dyDescent="0.2">
      <c r="A100">
        <v>1948</v>
      </c>
      <c r="B100" s="1">
        <v>-0.12916892999999999</v>
      </c>
      <c r="C100" s="1">
        <v>6.261241775000001E-2</v>
      </c>
      <c r="D100" s="1"/>
      <c r="E100" s="1"/>
      <c r="F100" s="1">
        <v>1362.3062</v>
      </c>
      <c r="G100" s="1"/>
      <c r="H100" s="1"/>
      <c r="I100" s="1"/>
    </row>
    <row r="101" spans="1:9" x14ac:dyDescent="0.2">
      <c r="A101">
        <v>1949</v>
      </c>
      <c r="B101" s="1">
        <v>-0.15387155</v>
      </c>
      <c r="C101" s="1">
        <v>5.6948573500000009E-2</v>
      </c>
      <c r="D101" s="1"/>
      <c r="E101" s="1"/>
      <c r="F101" s="1">
        <v>1362.1643999999999</v>
      </c>
      <c r="G101" s="1"/>
      <c r="H101" s="1"/>
      <c r="I101" s="1"/>
    </row>
    <row r="102" spans="1:9" x14ac:dyDescent="0.2">
      <c r="A102">
        <v>1950</v>
      </c>
      <c r="B102" s="1">
        <v>-0.23965623999999999</v>
      </c>
      <c r="C102" s="1">
        <v>5.0750017499999994E-2</v>
      </c>
      <c r="D102" s="1"/>
      <c r="E102" s="1"/>
      <c r="F102" s="1">
        <v>1361.8706999999999</v>
      </c>
      <c r="G102" s="1"/>
      <c r="H102" s="1"/>
      <c r="I102" s="1"/>
    </row>
    <row r="103" spans="1:9" x14ac:dyDescent="0.2">
      <c r="A103">
        <v>1951</v>
      </c>
      <c r="B103" s="1">
        <v>-7.1880794999999997E-2</v>
      </c>
      <c r="C103" s="1">
        <v>4.596352225E-2</v>
      </c>
      <c r="D103" s="1"/>
      <c r="E103" s="1"/>
      <c r="F103" s="1">
        <v>1361.6532999999999</v>
      </c>
      <c r="G103" s="1"/>
      <c r="H103" s="1"/>
      <c r="I103" s="1"/>
    </row>
    <row r="104" spans="1:9" x14ac:dyDescent="0.2">
      <c r="A104">
        <v>1952</v>
      </c>
      <c r="B104" s="1">
        <v>1.0809038E-2</v>
      </c>
      <c r="C104" s="1">
        <v>4.9993856000000003E-2</v>
      </c>
      <c r="D104" s="1"/>
      <c r="E104" s="1"/>
      <c r="F104" s="1">
        <v>1361.4713999999999</v>
      </c>
      <c r="G104" s="1"/>
      <c r="H104" s="1"/>
      <c r="I104" s="1"/>
    </row>
    <row r="105" spans="1:9" x14ac:dyDescent="0.2">
      <c r="A105">
        <v>1953</v>
      </c>
      <c r="B105" s="1">
        <v>7.6973155000000001E-2</v>
      </c>
      <c r="C105" s="1">
        <v>4.9558155749999999E-2</v>
      </c>
      <c r="D105" s="1"/>
      <c r="E105" s="1"/>
      <c r="F105" s="1">
        <v>1361.3472999999999</v>
      </c>
      <c r="G105" s="1"/>
      <c r="H105" s="1"/>
      <c r="I105" s="1"/>
    </row>
    <row r="106" spans="1:9" x14ac:dyDescent="0.2">
      <c r="A106">
        <v>1954</v>
      </c>
      <c r="B106" s="1">
        <v>-0.11753129</v>
      </c>
      <c r="C106" s="1">
        <v>4.4672405499999998E-2</v>
      </c>
      <c r="D106" s="1"/>
      <c r="E106" s="1"/>
      <c r="F106" s="1">
        <v>1361.2745</v>
      </c>
      <c r="G106" s="1"/>
      <c r="H106" s="1"/>
      <c r="I106" s="1"/>
    </row>
    <row r="107" spans="1:9" x14ac:dyDescent="0.2">
      <c r="A107">
        <v>1955</v>
      </c>
      <c r="B107" s="1">
        <v>-0.19868241</v>
      </c>
      <c r="C107" s="1">
        <v>4.5058057499999998E-2</v>
      </c>
      <c r="D107" s="1"/>
      <c r="E107" s="1"/>
      <c r="F107" s="1">
        <v>1361.4337</v>
      </c>
      <c r="G107" s="1"/>
      <c r="H107" s="1"/>
      <c r="I107" s="1"/>
    </row>
    <row r="108" spans="1:9" x14ac:dyDescent="0.2">
      <c r="A108">
        <v>1956</v>
      </c>
      <c r="B108" s="1">
        <v>-0.26496819999999999</v>
      </c>
      <c r="C108" s="1">
        <v>3.8264092499999999E-2</v>
      </c>
      <c r="D108" s="1"/>
      <c r="E108" s="1"/>
      <c r="F108" s="1">
        <v>1361.9767999999999</v>
      </c>
      <c r="G108" s="1"/>
      <c r="H108" s="1"/>
      <c r="I108" s="1"/>
    </row>
    <row r="109" spans="1:9" x14ac:dyDescent="0.2">
      <c r="A109">
        <v>1957</v>
      </c>
      <c r="B109" s="1">
        <v>-3.4916759999999998E-2</v>
      </c>
      <c r="C109" s="1">
        <v>3.3541781499999999E-2</v>
      </c>
      <c r="D109" s="1"/>
      <c r="E109" s="1"/>
      <c r="F109" s="1">
        <v>1362.4329</v>
      </c>
      <c r="G109" s="1"/>
      <c r="H109" s="1"/>
      <c r="I109" s="1"/>
    </row>
    <row r="110" spans="1:9" x14ac:dyDescent="0.2">
      <c r="A110">
        <v>1958</v>
      </c>
      <c r="B110" s="1">
        <v>-1.647502E-2</v>
      </c>
      <c r="C110" s="1">
        <v>3.2122699249999997E-2</v>
      </c>
      <c r="D110" s="1"/>
      <c r="E110" s="1"/>
      <c r="F110" s="1">
        <v>1362.4039</v>
      </c>
      <c r="G110" s="1"/>
      <c r="H110" s="1"/>
      <c r="I110" s="1"/>
    </row>
    <row r="111" spans="1:9" x14ac:dyDescent="0.2">
      <c r="A111">
        <v>1959</v>
      </c>
      <c r="B111" s="1">
        <v>-4.6526893999999999E-2</v>
      </c>
      <c r="C111" s="1">
        <v>3.2763927999999998E-2</v>
      </c>
      <c r="D111" s="1"/>
      <c r="E111" s="1"/>
      <c r="F111" s="1">
        <v>1362.0961</v>
      </c>
      <c r="G111" s="1"/>
      <c r="H111" s="1"/>
      <c r="I111" s="1"/>
    </row>
    <row r="112" spans="1:9" x14ac:dyDescent="0.2">
      <c r="A112">
        <v>1960</v>
      </c>
      <c r="B112" s="1">
        <v>-0.11337057</v>
      </c>
      <c r="C112" s="1">
        <v>2.774339E-2</v>
      </c>
      <c r="D112" s="1"/>
      <c r="E112" s="1"/>
      <c r="F112" s="1">
        <v>1361.9429</v>
      </c>
      <c r="G112" s="1"/>
      <c r="H112" s="1"/>
      <c r="I112" s="1"/>
    </row>
    <row r="113" spans="1:9" x14ac:dyDescent="0.2">
      <c r="A113">
        <v>1961</v>
      </c>
      <c r="B113" s="1">
        <v>-1.4400931E-2</v>
      </c>
      <c r="C113" s="1">
        <v>2.5186208749999998E-2</v>
      </c>
      <c r="D113" s="1"/>
      <c r="E113" s="1"/>
      <c r="F113" s="1">
        <v>1361.557</v>
      </c>
      <c r="G113" s="1"/>
      <c r="H113" s="1"/>
      <c r="I113" s="1"/>
    </row>
    <row r="114" spans="1:9" x14ac:dyDescent="0.2">
      <c r="A114">
        <v>1962</v>
      </c>
      <c r="B114" s="1">
        <v>-5.8836039999999999E-2</v>
      </c>
      <c r="C114" s="1">
        <v>2.686750425E-2</v>
      </c>
      <c r="D114" s="1"/>
      <c r="E114" s="1"/>
      <c r="F114" s="1">
        <v>1361.3755000000001</v>
      </c>
      <c r="G114" s="1"/>
      <c r="H114" s="1"/>
      <c r="I114" s="1"/>
    </row>
    <row r="115" spans="1:9" x14ac:dyDescent="0.2">
      <c r="A115">
        <v>1963</v>
      </c>
      <c r="B115" s="1">
        <v>-3.1402844999999999E-2</v>
      </c>
      <c r="C115" s="1">
        <v>2.6330818499999999E-2</v>
      </c>
      <c r="D115" s="1"/>
      <c r="E115" s="1"/>
      <c r="F115" s="1">
        <v>1361.3163999999999</v>
      </c>
      <c r="G115" s="1"/>
      <c r="H115" s="1"/>
      <c r="I115" s="1"/>
    </row>
    <row r="116" spans="1:9" x14ac:dyDescent="0.2">
      <c r="A116">
        <v>1964</v>
      </c>
      <c r="B116" s="1">
        <v>-0.30211916999999999</v>
      </c>
      <c r="C116" s="1">
        <v>2.3590497499999988E-2</v>
      </c>
      <c r="D116" s="1"/>
      <c r="E116" s="1"/>
      <c r="F116" s="1">
        <v>1361.2968000000001</v>
      </c>
      <c r="G116" s="1"/>
      <c r="H116" s="1"/>
      <c r="I116" s="1"/>
    </row>
    <row r="117" spans="1:9" x14ac:dyDescent="0.2">
      <c r="A117">
        <v>1965</v>
      </c>
      <c r="B117" s="1">
        <v>-0.20229820000000001</v>
      </c>
      <c r="C117" s="1">
        <v>2.59639625E-2</v>
      </c>
      <c r="D117" s="1"/>
      <c r="E117" s="1"/>
      <c r="F117" s="1">
        <v>1361.3314</v>
      </c>
      <c r="G117" s="1"/>
      <c r="H117" s="1"/>
      <c r="I117" s="1"/>
    </row>
    <row r="118" spans="1:9" x14ac:dyDescent="0.2">
      <c r="A118">
        <v>1966</v>
      </c>
      <c r="B118" s="1">
        <v>-0.14536367</v>
      </c>
      <c r="C118" s="1">
        <v>2.4799857500000001E-2</v>
      </c>
      <c r="D118" s="1"/>
      <c r="E118" s="1"/>
      <c r="F118" s="1">
        <v>1361.5266999999999</v>
      </c>
      <c r="G118" s="1"/>
      <c r="H118" s="1"/>
      <c r="I118" s="1"/>
    </row>
    <row r="119" spans="1:9" x14ac:dyDescent="0.2">
      <c r="A119">
        <v>1967</v>
      </c>
      <c r="B119" s="1">
        <v>-0.11570757</v>
      </c>
      <c r="C119" s="1">
        <v>2.2387319999999995E-2</v>
      </c>
      <c r="D119" s="1"/>
      <c r="E119" s="1"/>
      <c r="F119" s="1">
        <v>1361.7355</v>
      </c>
      <c r="G119" s="1"/>
      <c r="H119" s="1"/>
      <c r="I119" s="1"/>
    </row>
    <row r="120" spans="1:9" x14ac:dyDescent="0.2">
      <c r="A120">
        <v>1968</v>
      </c>
      <c r="B120" s="1">
        <v>-0.16396338999999999</v>
      </c>
      <c r="C120" s="1">
        <v>2.3177322500000003E-2</v>
      </c>
      <c r="D120" s="1"/>
      <c r="E120" s="1"/>
      <c r="F120" s="1">
        <v>1361.7905000000001</v>
      </c>
      <c r="G120" s="1"/>
      <c r="H120" s="1"/>
      <c r="I120" s="1"/>
    </row>
    <row r="121" spans="1:9" x14ac:dyDescent="0.2">
      <c r="A121">
        <v>1969</v>
      </c>
      <c r="B121" s="1">
        <v>-2.7795328000000001E-2</v>
      </c>
      <c r="C121" s="1">
        <v>2.0196911250000001E-2</v>
      </c>
      <c r="D121" s="1"/>
      <c r="E121" s="1"/>
      <c r="F121" s="1">
        <v>1361.8584000000001</v>
      </c>
      <c r="G121" s="1"/>
      <c r="H121" s="1"/>
      <c r="I121" s="1"/>
    </row>
    <row r="122" spans="1:9" x14ac:dyDescent="0.2">
      <c r="A122">
        <v>1970</v>
      </c>
      <c r="B122" s="1">
        <v>-8.4015599999999996E-2</v>
      </c>
      <c r="C122" s="1">
        <v>1.9164750500000001E-2</v>
      </c>
      <c r="D122" s="1"/>
      <c r="E122" s="1"/>
      <c r="F122" s="1">
        <v>1361.8505</v>
      </c>
      <c r="G122" s="1"/>
      <c r="H122" s="1"/>
      <c r="I122" s="1"/>
    </row>
    <row r="123" spans="1:9" x14ac:dyDescent="0.2">
      <c r="A123">
        <v>1971</v>
      </c>
      <c r="B123" s="1">
        <v>-0.20408149</v>
      </c>
      <c r="C123" s="1">
        <v>1.9112114999999999E-2</v>
      </c>
      <c r="D123" s="1"/>
      <c r="E123" s="1"/>
      <c r="F123" s="1">
        <v>1361.5586000000001</v>
      </c>
      <c r="G123" s="1"/>
      <c r="H123" s="1"/>
      <c r="I123" s="1"/>
    </row>
    <row r="124" spans="1:9" x14ac:dyDescent="0.2">
      <c r="A124">
        <v>1972</v>
      </c>
      <c r="B124" s="1">
        <v>-9.0178590000000003E-2</v>
      </c>
      <c r="C124" s="1">
        <v>1.8438670000000004E-2</v>
      </c>
      <c r="D124" s="1"/>
      <c r="E124" s="1"/>
      <c r="F124" s="1">
        <v>1361.6414</v>
      </c>
      <c r="G124" s="1"/>
      <c r="H124" s="1"/>
      <c r="I124" s="1"/>
    </row>
    <row r="125" spans="1:9" x14ac:dyDescent="0.2">
      <c r="A125">
        <v>1973</v>
      </c>
      <c r="B125" s="1">
        <v>5.2476740000000001E-2</v>
      </c>
      <c r="C125" s="1">
        <v>1.9014436249999999E-2</v>
      </c>
      <c r="D125" s="1"/>
      <c r="E125" s="1"/>
      <c r="F125" s="1">
        <v>1361.4154000000001</v>
      </c>
      <c r="G125" s="1"/>
      <c r="H125" s="1"/>
      <c r="I125" s="1"/>
    </row>
    <row r="126" spans="1:9" x14ac:dyDescent="0.2">
      <c r="A126">
        <v>1974</v>
      </c>
      <c r="B126" s="1">
        <v>-0.16868283000000001</v>
      </c>
      <c r="C126" s="1">
        <v>1.9099612500000002E-2</v>
      </c>
      <c r="D126" s="1"/>
      <c r="E126" s="1"/>
      <c r="F126" s="1">
        <v>1361.3394000000001</v>
      </c>
      <c r="G126" s="1"/>
      <c r="H126" s="1"/>
      <c r="I126" s="1"/>
    </row>
    <row r="127" spans="1:9" x14ac:dyDescent="0.2">
      <c r="A127">
        <v>1975</v>
      </c>
      <c r="B127" s="1">
        <v>-0.105973646</v>
      </c>
      <c r="C127" s="1">
        <v>1.8759545000000002E-2</v>
      </c>
      <c r="D127" s="1"/>
      <c r="E127" s="1"/>
      <c r="F127" s="1">
        <v>1361.2781</v>
      </c>
      <c r="G127" s="1"/>
      <c r="H127" s="1"/>
      <c r="I127" s="1"/>
    </row>
    <row r="128" spans="1:9" x14ac:dyDescent="0.2">
      <c r="A128">
        <v>1976</v>
      </c>
      <c r="B128" s="1">
        <v>-0.21080547999999999</v>
      </c>
      <c r="C128" s="1">
        <v>2.0603552499999997E-2</v>
      </c>
      <c r="D128" s="1"/>
      <c r="E128" s="1"/>
      <c r="F128" s="1">
        <v>1361.2561000000001</v>
      </c>
      <c r="G128" s="1"/>
      <c r="H128" s="1"/>
      <c r="I128" s="1"/>
    </row>
    <row r="129" spans="1:9" x14ac:dyDescent="0.2">
      <c r="A129">
        <v>1977</v>
      </c>
      <c r="B129" s="1">
        <v>0.105095536</v>
      </c>
      <c r="C129" s="1">
        <v>2.1061668750000002E-2</v>
      </c>
      <c r="D129" s="1"/>
      <c r="E129" s="1"/>
      <c r="F129" s="1">
        <v>1361.4287999999999</v>
      </c>
      <c r="G129" s="1"/>
      <c r="H129" s="1"/>
      <c r="I129" s="1"/>
    </row>
    <row r="130" spans="1:9" x14ac:dyDescent="0.2">
      <c r="A130">
        <v>1978</v>
      </c>
      <c r="B130" s="1">
        <v>5.5047739999999996E-3</v>
      </c>
      <c r="C130" s="1">
        <v>1.9832049499999997E-2</v>
      </c>
      <c r="D130" s="1"/>
      <c r="E130" s="1"/>
      <c r="F130" s="1">
        <v>1361.8116</v>
      </c>
      <c r="G130" s="1"/>
      <c r="H130" s="1"/>
      <c r="I130" s="1"/>
    </row>
    <row r="131" spans="1:9" x14ac:dyDescent="0.2">
      <c r="A131">
        <v>1979</v>
      </c>
      <c r="B131" s="1">
        <v>8.8103899999999999E-2</v>
      </c>
      <c r="C131" s="1">
        <v>1.442663175E-2</v>
      </c>
      <c r="D131" s="1"/>
      <c r="E131" s="1"/>
      <c r="F131" s="1">
        <v>1362.1751999999999</v>
      </c>
      <c r="G131" s="1">
        <v>5.4729999999999999</v>
      </c>
      <c r="H131" s="1"/>
      <c r="I131" s="1"/>
    </row>
    <row r="132" spans="1:9" x14ac:dyDescent="0.2">
      <c r="A132">
        <v>1980</v>
      </c>
      <c r="B132" s="1">
        <v>0.19152240000000001</v>
      </c>
      <c r="C132" s="1">
        <v>1.6284182500000001E-2</v>
      </c>
      <c r="D132" s="1"/>
      <c r="E132" s="1"/>
      <c r="F132" s="1">
        <v>1362.2012</v>
      </c>
      <c r="G132" s="1">
        <v>7.6379999999999999</v>
      </c>
      <c r="H132" s="1"/>
      <c r="I132" s="1"/>
    </row>
    <row r="133" spans="1:9" x14ac:dyDescent="0.2">
      <c r="A133">
        <v>1981</v>
      </c>
      <c r="B133" s="1">
        <v>0.24696657</v>
      </c>
      <c r="C133" s="1">
        <v>1.5620054999999994E-2</v>
      </c>
      <c r="D133" s="1"/>
      <c r="E133" s="1"/>
      <c r="F133" s="1">
        <v>1362.2484999999999</v>
      </c>
      <c r="G133" s="1">
        <v>9.386000000000001</v>
      </c>
      <c r="H133" s="1"/>
      <c r="I133" s="1"/>
    </row>
    <row r="134" spans="1:9" x14ac:dyDescent="0.2">
      <c r="A134">
        <v>1982</v>
      </c>
      <c r="B134" s="1">
        <v>3.0967088E-2</v>
      </c>
      <c r="C134" s="1">
        <v>2.0248185250000002E-2</v>
      </c>
      <c r="D134" s="1"/>
      <c r="E134" s="1"/>
      <c r="F134" s="1">
        <v>1361.8069</v>
      </c>
      <c r="G134" s="1">
        <v>28.96</v>
      </c>
      <c r="H134" s="1"/>
      <c r="I134" s="1"/>
    </row>
    <row r="135" spans="1:9" x14ac:dyDescent="0.2">
      <c r="A135">
        <v>1983</v>
      </c>
      <c r="B135" s="1">
        <v>0.22084606000000001</v>
      </c>
      <c r="C135" s="1">
        <v>1.7762304999999992E-2</v>
      </c>
      <c r="D135" s="1"/>
      <c r="E135" s="1"/>
      <c r="F135" s="1">
        <v>1361.8101999999999</v>
      </c>
      <c r="G135" s="1">
        <v>48.222000000000001</v>
      </c>
      <c r="H135" s="1"/>
      <c r="I135" s="1"/>
    </row>
    <row r="136" spans="1:9" x14ac:dyDescent="0.2">
      <c r="A136">
        <v>1984</v>
      </c>
      <c r="B136" s="1">
        <v>4.6037830000000002E-2</v>
      </c>
      <c r="C136" s="1">
        <v>1.6992838E-2</v>
      </c>
      <c r="D136" s="1"/>
      <c r="E136" s="1"/>
      <c r="F136" s="1">
        <v>1361.4021</v>
      </c>
      <c r="G136" s="1">
        <v>28.373999999999999</v>
      </c>
      <c r="H136" s="1"/>
      <c r="I136" s="1"/>
    </row>
    <row r="137" spans="1:9" x14ac:dyDescent="0.2">
      <c r="A137">
        <v>1985</v>
      </c>
      <c r="B137" s="1">
        <v>4.5988216999999998E-2</v>
      </c>
      <c r="C137" s="1">
        <v>1.6537193499999998E-2</v>
      </c>
      <c r="D137" s="1"/>
      <c r="E137" s="1"/>
      <c r="F137" s="1">
        <v>1361.2556999999999</v>
      </c>
      <c r="G137" s="1">
        <v>14.164</v>
      </c>
      <c r="H137" s="1"/>
      <c r="I137" s="1"/>
    </row>
    <row r="138" spans="1:9" x14ac:dyDescent="0.2">
      <c r="A138">
        <v>1986</v>
      </c>
      <c r="B138" s="1">
        <v>9.2321009999999995E-2</v>
      </c>
      <c r="C138" s="1">
        <v>1.6175331250000001E-2</v>
      </c>
      <c r="D138" s="1"/>
      <c r="E138" s="1"/>
      <c r="F138" s="1">
        <v>1361.2617</v>
      </c>
      <c r="G138" s="1">
        <v>15.938999999999998</v>
      </c>
      <c r="H138" s="1"/>
      <c r="I138" s="1"/>
    </row>
    <row r="139" spans="1:9" x14ac:dyDescent="0.2">
      <c r="A139">
        <v>1987</v>
      </c>
      <c r="B139" s="1">
        <v>0.23820166000000001</v>
      </c>
      <c r="C139" s="1">
        <v>1.5366890000000008E-2</v>
      </c>
      <c r="D139" s="1"/>
      <c r="E139" s="1"/>
      <c r="F139" s="1">
        <v>1361.3965000000001</v>
      </c>
      <c r="G139" s="1">
        <v>10.815999999999999</v>
      </c>
      <c r="H139" s="1"/>
      <c r="I139" s="1"/>
    </row>
    <row r="140" spans="1:9" x14ac:dyDescent="0.2">
      <c r="A140">
        <v>1988</v>
      </c>
      <c r="B140" s="1">
        <v>0.27761187999999998</v>
      </c>
      <c r="C140" s="1">
        <v>1.7482004999999995E-2</v>
      </c>
      <c r="D140" s="1"/>
      <c r="E140" s="1"/>
      <c r="F140" s="1">
        <v>1361.7025000000001</v>
      </c>
      <c r="G140" s="1">
        <v>7.926000000000001</v>
      </c>
      <c r="H140" s="1"/>
      <c r="I140" s="1"/>
    </row>
    <row r="141" spans="1:9" x14ac:dyDescent="0.2">
      <c r="A141">
        <v>1989</v>
      </c>
      <c r="B141" s="1">
        <v>0.17489623000000001</v>
      </c>
      <c r="C141" s="1">
        <v>1.7683965000000003E-2</v>
      </c>
      <c r="D141" s="1"/>
      <c r="E141" s="1"/>
      <c r="F141" s="1">
        <v>1362.2012</v>
      </c>
      <c r="G141" s="1">
        <v>6.0020000000000007</v>
      </c>
      <c r="H141" s="1"/>
      <c r="I141" s="1"/>
    </row>
    <row r="142" spans="1:9" x14ac:dyDescent="0.2">
      <c r="A142">
        <v>1990</v>
      </c>
      <c r="B142" s="1">
        <v>0.35504322999999999</v>
      </c>
      <c r="C142" s="1">
        <v>1.7601674999999997E-2</v>
      </c>
      <c r="D142" s="1"/>
      <c r="E142" s="1"/>
      <c r="F142" s="1">
        <v>1362.12</v>
      </c>
      <c r="G142" s="1">
        <v>6.3559999999999999</v>
      </c>
      <c r="H142" s="1"/>
      <c r="I142" s="1"/>
    </row>
    <row r="143" spans="1:9" x14ac:dyDescent="0.2">
      <c r="A143">
        <v>1991</v>
      </c>
      <c r="B143" s="1">
        <v>0.33380959999999998</v>
      </c>
      <c r="C143" s="1">
        <v>1.7801807499999989E-2</v>
      </c>
      <c r="D143" s="1"/>
      <c r="E143" s="1"/>
      <c r="F143" s="1">
        <v>1362.0125</v>
      </c>
      <c r="G143" s="1">
        <v>50.011000000000003</v>
      </c>
      <c r="H143" s="1"/>
      <c r="I143" s="1"/>
    </row>
    <row r="144" spans="1:9" x14ac:dyDescent="0.2">
      <c r="A144">
        <v>1992</v>
      </c>
      <c r="B144" s="1">
        <v>0.12002607999999999</v>
      </c>
      <c r="C144" s="1">
        <v>1.6781300000000002E-2</v>
      </c>
      <c r="D144" s="1">
        <v>-200.625</v>
      </c>
      <c r="E144" s="1">
        <v>16.95485017</v>
      </c>
      <c r="F144" s="1">
        <v>1361.8813</v>
      </c>
      <c r="G144" s="1">
        <v>112.42699999999999</v>
      </c>
      <c r="H144" s="1"/>
      <c r="I144" s="1"/>
    </row>
    <row r="145" spans="1:9" x14ac:dyDescent="0.2">
      <c r="A145">
        <v>1993</v>
      </c>
      <c r="B145" s="1">
        <v>0.16109135999999999</v>
      </c>
      <c r="C145" s="1">
        <v>1.9168385000000003E-2</v>
      </c>
      <c r="D145" s="1">
        <v>-205.97499999999999</v>
      </c>
      <c r="E145" s="1">
        <v>14.9689911</v>
      </c>
      <c r="F145" s="1">
        <v>1361.6143999999999</v>
      </c>
      <c r="G145" s="1">
        <v>56.225999999999999</v>
      </c>
      <c r="H145" s="1"/>
      <c r="I145" s="1"/>
    </row>
    <row r="146" spans="1:9" x14ac:dyDescent="0.2">
      <c r="A146">
        <v>1994</v>
      </c>
      <c r="B146" s="1">
        <v>0.22744027</v>
      </c>
      <c r="C146" s="1">
        <v>1.8191189999999996E-2</v>
      </c>
      <c r="D146" s="1">
        <v>-180.94166670000001</v>
      </c>
      <c r="E146" s="1">
        <v>14.16111166</v>
      </c>
      <c r="F146" s="1">
        <v>1361.3958</v>
      </c>
      <c r="G146" s="1">
        <v>17.943000000000001</v>
      </c>
      <c r="H146" s="1"/>
      <c r="I146" s="1"/>
    </row>
    <row r="147" spans="1:9" x14ac:dyDescent="0.2">
      <c r="A147">
        <v>1995</v>
      </c>
      <c r="B147" s="1">
        <v>0.37113267</v>
      </c>
      <c r="C147" s="1">
        <v>1.6589597500000011E-2</v>
      </c>
      <c r="D147" s="1">
        <v>-178.8583333</v>
      </c>
      <c r="E147" s="1">
        <v>13.839845349999999</v>
      </c>
      <c r="F147" s="1">
        <v>1361.3113000000001</v>
      </c>
      <c r="G147" s="1">
        <v>8.73</v>
      </c>
      <c r="H147" s="1"/>
      <c r="I147" s="1"/>
    </row>
    <row r="148" spans="1:9" x14ac:dyDescent="0.2">
      <c r="A148">
        <v>1996</v>
      </c>
      <c r="B148" s="1">
        <v>0.27083950000000001</v>
      </c>
      <c r="C148" s="1">
        <v>1.6127012500000003E-2</v>
      </c>
      <c r="D148" s="1">
        <v>-155.02500000000001</v>
      </c>
      <c r="E148" s="1">
        <v>14.45696439</v>
      </c>
      <c r="F148" s="1">
        <v>1361.2351000000001</v>
      </c>
      <c r="G148" s="1">
        <v>5.5830000000000002</v>
      </c>
      <c r="H148" s="1"/>
      <c r="I148" s="1"/>
    </row>
    <row r="149" spans="1:9" x14ac:dyDescent="0.2">
      <c r="A149">
        <v>1997</v>
      </c>
      <c r="B149" s="1">
        <v>0.41507134000000001</v>
      </c>
      <c r="C149" s="1">
        <v>1.6238032499999999E-2</v>
      </c>
      <c r="D149" s="1">
        <v>-165.02500000000001</v>
      </c>
      <c r="E149" s="1">
        <v>14.642048470000001</v>
      </c>
      <c r="F149" s="1">
        <v>1361.3571999999999</v>
      </c>
      <c r="G149" s="1">
        <v>4.53</v>
      </c>
      <c r="H149" s="1"/>
      <c r="I149" s="1"/>
    </row>
    <row r="150" spans="1:9" x14ac:dyDescent="0.2">
      <c r="A150">
        <v>1998</v>
      </c>
      <c r="B150" s="1">
        <v>0.57196100000000005</v>
      </c>
      <c r="C150" s="1">
        <v>1.6523115000000005E-2</v>
      </c>
      <c r="D150" s="1">
        <v>-147.53333330000001</v>
      </c>
      <c r="E150" s="1">
        <v>13.828460489999999</v>
      </c>
      <c r="F150" s="1">
        <v>1361.7025000000001</v>
      </c>
      <c r="G150" s="1">
        <v>4.423</v>
      </c>
      <c r="H150" s="1"/>
      <c r="I150" s="1"/>
    </row>
    <row r="151" spans="1:9" x14ac:dyDescent="0.2">
      <c r="A151">
        <v>1999</v>
      </c>
      <c r="B151" s="1">
        <v>0.31803779999999998</v>
      </c>
      <c r="C151" s="1">
        <v>1.6307562499999997E-2</v>
      </c>
      <c r="D151" s="1">
        <v>-126.54166669999999</v>
      </c>
      <c r="E151" s="1">
        <v>14.391235399999999</v>
      </c>
      <c r="F151" s="1">
        <v>1361.9730999999999</v>
      </c>
      <c r="G151" s="1">
        <v>4.25</v>
      </c>
      <c r="H151" s="1"/>
      <c r="I151" s="1"/>
    </row>
    <row r="152" spans="1:9" x14ac:dyDescent="0.2">
      <c r="A152">
        <v>2000</v>
      </c>
      <c r="B152" s="1">
        <v>0.32550883000000003</v>
      </c>
      <c r="C152" s="1">
        <v>1.6370007500000006E-2</v>
      </c>
      <c r="D152" s="1">
        <v>-127.5333333</v>
      </c>
      <c r="E152" s="1">
        <v>13.958592660000001</v>
      </c>
      <c r="F152" s="1">
        <v>1362.2537</v>
      </c>
      <c r="G152" s="1">
        <v>4.24</v>
      </c>
      <c r="H152" s="1">
        <v>369.71</v>
      </c>
      <c r="I152" s="1">
        <f>toyKFmodelData8c!C151/H152</f>
        <v>1.2882727438263781</v>
      </c>
    </row>
    <row r="153" spans="1:9" x14ac:dyDescent="0.2">
      <c r="A153">
        <v>2001</v>
      </c>
      <c r="B153" s="1">
        <v>0.48345043999999998</v>
      </c>
      <c r="C153" s="1">
        <v>1.6896537499999989E-2</v>
      </c>
      <c r="D153" s="1">
        <v>-122.8083333</v>
      </c>
      <c r="E153" s="1">
        <v>13.13606478</v>
      </c>
      <c r="F153" s="1">
        <v>1362.0814</v>
      </c>
      <c r="G153" s="1">
        <v>4.399</v>
      </c>
      <c r="H153" s="1">
        <v>371.32</v>
      </c>
      <c r="I153" s="1">
        <f>toyKFmodelData8c!C152/H153</f>
        <v>1.2903537135303857</v>
      </c>
    </row>
    <row r="154" spans="1:9" x14ac:dyDescent="0.2">
      <c r="A154">
        <v>2002</v>
      </c>
      <c r="B154" s="1">
        <v>0.53715889999999999</v>
      </c>
      <c r="C154" s="1">
        <v>1.5111949999999985E-2</v>
      </c>
      <c r="D154" s="1">
        <v>-91.174999999999997</v>
      </c>
      <c r="E154" s="1">
        <v>12.04758217</v>
      </c>
      <c r="F154" s="1">
        <v>1362.1905999999999</v>
      </c>
      <c r="G154" s="1">
        <v>4.1770000000000005</v>
      </c>
      <c r="H154" s="1">
        <v>373.45</v>
      </c>
      <c r="I154" s="1">
        <f>toyKFmodelData8c!C153/H154</f>
        <v>1.2954174624251373</v>
      </c>
    </row>
    <row r="155" spans="1:9" x14ac:dyDescent="0.2">
      <c r="A155">
        <v>2003</v>
      </c>
      <c r="B155" s="1">
        <v>0.53827950000000002</v>
      </c>
      <c r="C155" s="1">
        <v>1.6733572500000016E-2</v>
      </c>
      <c r="D155" s="1">
        <v>-59.825000000000003</v>
      </c>
      <c r="E155" s="1">
        <v>10.555893729999999</v>
      </c>
      <c r="F155" s="1">
        <v>1361.6907000000001</v>
      </c>
      <c r="G155" s="1">
        <v>4.9579999999999993</v>
      </c>
      <c r="H155" s="1">
        <v>375.98</v>
      </c>
      <c r="I155" s="1">
        <f>toyKFmodelData8c!C154/H155</f>
        <v>1.2984064178489689</v>
      </c>
    </row>
    <row r="156" spans="1:9" x14ac:dyDescent="0.2">
      <c r="A156">
        <v>2004</v>
      </c>
      <c r="B156" s="1">
        <v>0.46242514000000001</v>
      </c>
      <c r="C156" s="1">
        <v>1.518427E-2</v>
      </c>
      <c r="D156" s="1">
        <v>-62.816666669999996</v>
      </c>
      <c r="E156" s="1">
        <v>8.1851618800000008</v>
      </c>
      <c r="F156" s="1">
        <v>1361.4706000000001</v>
      </c>
      <c r="G156" s="1">
        <v>4.4349999999999996</v>
      </c>
      <c r="H156" s="1">
        <v>377.7</v>
      </c>
      <c r="I156" s="1">
        <f>toyKFmodelData8c!C155/H156</f>
        <v>1.3031640774351667</v>
      </c>
    </row>
    <row r="157" spans="1:9" x14ac:dyDescent="0.2">
      <c r="A157">
        <v>2005</v>
      </c>
      <c r="B157" s="1">
        <v>0.60230726000000001</v>
      </c>
      <c r="C157" s="1">
        <v>1.5619224999999987E-2</v>
      </c>
      <c r="D157" s="1">
        <v>-58.4</v>
      </c>
      <c r="E157" s="1">
        <v>6.612393666</v>
      </c>
      <c r="F157" s="1">
        <v>1361.2625</v>
      </c>
      <c r="G157" s="1">
        <v>6.1230000000000002</v>
      </c>
      <c r="H157" s="1">
        <v>379.98</v>
      </c>
      <c r="I157" s="1">
        <f>toyKFmodelData8c!C156/H157</f>
        <v>1.3055882522440301</v>
      </c>
    </row>
    <row r="158" spans="1:9" x14ac:dyDescent="0.2">
      <c r="A158">
        <v>2006</v>
      </c>
      <c r="B158" s="1">
        <v>0.56632439999999995</v>
      </c>
      <c r="C158" s="1">
        <v>1.5654622499999993E-2</v>
      </c>
      <c r="D158" s="1">
        <v>-37.941666669999996</v>
      </c>
      <c r="E158" s="1">
        <v>6.8631159909999999</v>
      </c>
      <c r="F158" s="1">
        <v>1361.2357999999999</v>
      </c>
      <c r="G158" s="1">
        <v>7.3020000000000005</v>
      </c>
      <c r="H158" s="1">
        <v>382.09</v>
      </c>
      <c r="I158" s="1">
        <f>toyKFmodelData8c!C157/H158</f>
        <v>1.3088736107847625</v>
      </c>
    </row>
    <row r="159" spans="1:9" x14ac:dyDescent="0.2">
      <c r="A159">
        <v>2007</v>
      </c>
      <c r="B159" s="1">
        <v>0.58551410000000004</v>
      </c>
      <c r="C159" s="1">
        <v>1.5970814999999999E-2</v>
      </c>
      <c r="D159" s="1">
        <v>-45.024999999999999</v>
      </c>
      <c r="E159" s="1">
        <v>5.6842130309999996</v>
      </c>
      <c r="F159" s="1">
        <v>1361.1686</v>
      </c>
      <c r="G159" s="1">
        <v>7.8540000000000001</v>
      </c>
      <c r="H159" s="1">
        <v>384.02</v>
      </c>
      <c r="I159" s="1">
        <f>toyKFmodelData8c!C158/H159</f>
        <v>1.3124734895171679</v>
      </c>
    </row>
    <row r="160" spans="1:9" x14ac:dyDescent="0.2">
      <c r="A160">
        <v>2008</v>
      </c>
      <c r="B160" s="1">
        <v>0.45918967999999999</v>
      </c>
      <c r="C160" s="1">
        <v>1.6234189999999996E-2</v>
      </c>
      <c r="D160" s="1">
        <v>-25.541666670000001</v>
      </c>
      <c r="E160" s="1">
        <v>4.9112965019999999</v>
      </c>
      <c r="F160" s="1">
        <v>1361.1967999999999</v>
      </c>
      <c r="G160" s="1">
        <v>6.7470000000000008</v>
      </c>
      <c r="H160" s="1">
        <v>385.83</v>
      </c>
      <c r="I160" s="1">
        <f>toyKFmodelData8c!C159/H160</f>
        <v>1.3138899196578615</v>
      </c>
    </row>
    <row r="161" spans="1:9" x14ac:dyDescent="0.2">
      <c r="A161">
        <v>2009</v>
      </c>
      <c r="B161" s="1">
        <v>0.59000766000000004</v>
      </c>
      <c r="C161" s="1">
        <v>1.543288750000002E-2</v>
      </c>
      <c r="D161" s="1">
        <v>-18.791666670000001</v>
      </c>
      <c r="E161" s="1">
        <v>4.3323416330000004</v>
      </c>
      <c r="F161" s="1">
        <v>1361.191</v>
      </c>
      <c r="G161" s="1">
        <v>8.1150000000000002</v>
      </c>
      <c r="H161" s="1">
        <v>387.64</v>
      </c>
      <c r="I161" s="1">
        <f>toyKFmodelData8c!C160/H161</f>
        <v>1.3116126423689691</v>
      </c>
    </row>
    <row r="162" spans="1:9" x14ac:dyDescent="0.2">
      <c r="A162">
        <v>2010</v>
      </c>
      <c r="B162" s="1">
        <v>0.67364745999999998</v>
      </c>
      <c r="C162" s="1">
        <v>1.5316107499999981E-2</v>
      </c>
      <c r="D162" s="1">
        <v>-17.649999999999999</v>
      </c>
      <c r="E162" s="1">
        <v>3.37411511</v>
      </c>
      <c r="F162" s="1">
        <v>1361.3396</v>
      </c>
      <c r="G162" s="1">
        <v>6.5329999999999995</v>
      </c>
      <c r="H162" s="1">
        <v>390.1</v>
      </c>
      <c r="I162" s="1">
        <f>toyKFmodelData8c!C161/H162</f>
        <v>1.3174369274913191</v>
      </c>
    </row>
    <row r="163" spans="1:9" x14ac:dyDescent="0.2">
      <c r="A163">
        <v>2011</v>
      </c>
      <c r="B163" s="1">
        <v>0.53261703000000005</v>
      </c>
      <c r="C163" s="1">
        <v>1.5460147499999993E-2</v>
      </c>
      <c r="D163" s="1">
        <v>0.84166666700000003</v>
      </c>
      <c r="E163" s="1">
        <v>2.5074195459999999</v>
      </c>
      <c r="F163" s="1">
        <v>1361.6063999999999</v>
      </c>
      <c r="G163" s="1">
        <v>8.6539999999999999</v>
      </c>
      <c r="H163" s="1">
        <v>391.85</v>
      </c>
      <c r="I163" s="1">
        <f>toyKFmodelData8c!C162/H163</f>
        <v>1.3197991305128156</v>
      </c>
    </row>
    <row r="164" spans="1:9" x14ac:dyDescent="0.2">
      <c r="A164">
        <v>2012</v>
      </c>
      <c r="B164" s="1">
        <v>0.57151169999999996</v>
      </c>
      <c r="C164" s="1">
        <v>1.5849427500000013E-2</v>
      </c>
      <c r="D164" s="1">
        <v>15.21666667</v>
      </c>
      <c r="E164" s="1">
        <v>2.0066080070000001</v>
      </c>
      <c r="F164" s="1">
        <v>1361.7682</v>
      </c>
      <c r="G164" s="1">
        <v>6.6499999999999995</v>
      </c>
      <c r="H164" s="1">
        <v>394.06</v>
      </c>
      <c r="I164" s="1">
        <f>toyKFmodelData8c!C163/H164</f>
        <v>1.3232320198518521</v>
      </c>
    </row>
    <row r="165" spans="1:9" x14ac:dyDescent="0.2">
      <c r="A165">
        <v>2013</v>
      </c>
      <c r="B165" s="1">
        <v>0.61864330000000001</v>
      </c>
      <c r="C165" s="1">
        <v>1.7741740000000006E-2</v>
      </c>
      <c r="D165" s="1">
        <v>28.2</v>
      </c>
      <c r="E165" s="1">
        <v>1.9123365939999999</v>
      </c>
      <c r="F165" s="1">
        <v>1361.8130000000001</v>
      </c>
      <c r="G165" s="1">
        <v>5.3810000000000002</v>
      </c>
      <c r="H165" s="1">
        <v>396.74</v>
      </c>
      <c r="I165" s="1">
        <f>toyKFmodelData8c!C164/H165</f>
        <v>1.322726045677205</v>
      </c>
    </row>
    <row r="166" spans="1:9" x14ac:dyDescent="0.2">
      <c r="A166">
        <v>2014</v>
      </c>
      <c r="B166" s="1">
        <v>0.66785910000000004</v>
      </c>
      <c r="C166" s="1">
        <v>1.6245812500000012E-2</v>
      </c>
      <c r="D166" s="1">
        <v>40.108333330000001</v>
      </c>
      <c r="E166" s="1">
        <v>2.8416911040000001</v>
      </c>
      <c r="F166" s="1">
        <v>1361.8887</v>
      </c>
      <c r="G166" s="1">
        <v>6.6290000000000004</v>
      </c>
      <c r="H166" s="1">
        <v>398.81</v>
      </c>
      <c r="I166" s="1">
        <f>toyKFmodelData8c!C165/H166</f>
        <v>1.3273834591157412</v>
      </c>
    </row>
    <row r="167" spans="1:9" x14ac:dyDescent="0.2">
      <c r="A167">
        <v>2015</v>
      </c>
      <c r="B167" s="1">
        <v>0.81795050000000002</v>
      </c>
      <c r="C167" s="1">
        <v>1.6828675000000015E-2</v>
      </c>
      <c r="D167" s="1">
        <v>60.35</v>
      </c>
      <c r="E167" s="1">
        <v>2.4123812579999999</v>
      </c>
      <c r="F167" s="1">
        <v>1361.9490000000001</v>
      </c>
      <c r="G167" s="1">
        <v>8.1579999999999995</v>
      </c>
      <c r="H167" s="1">
        <v>401.01</v>
      </c>
      <c r="I167" s="1">
        <f>toyKFmodelData8c!C166/H167</f>
        <v>1.3328781065835353</v>
      </c>
    </row>
    <row r="168" spans="1:9" x14ac:dyDescent="0.2">
      <c r="A168">
        <v>2016</v>
      </c>
      <c r="B168" s="1">
        <v>0.92481922999999999</v>
      </c>
      <c r="C168" s="1">
        <v>1.5637399999999996E-2</v>
      </c>
      <c r="D168" s="1">
        <v>59.108333330000001</v>
      </c>
      <c r="E168" s="1">
        <v>2.3654229419999999</v>
      </c>
      <c r="F168" s="1">
        <v>1361.4648</v>
      </c>
      <c r="G168" s="1">
        <v>7.0140000000000002</v>
      </c>
      <c r="H168" s="1">
        <v>404.41</v>
      </c>
      <c r="I168" s="1">
        <f>toyKFmodelData8c!C167/H168</f>
        <v>1.3311014111962256</v>
      </c>
    </row>
    <row r="169" spans="1:9" x14ac:dyDescent="0.2">
      <c r="A169">
        <v>2017</v>
      </c>
      <c r="B169" s="1">
        <v>0.8364568</v>
      </c>
      <c r="C169" s="1">
        <v>1.6015615000000011E-2</v>
      </c>
      <c r="D169" s="1">
        <v>88.724999999999994</v>
      </c>
      <c r="E169" s="1">
        <v>2.3142823460000002</v>
      </c>
      <c r="F169" s="1">
        <v>1361.2914000000001</v>
      </c>
      <c r="G169" s="1">
        <v>5.6719999999999997</v>
      </c>
      <c r="H169" s="1">
        <v>406.76</v>
      </c>
      <c r="I169" s="1">
        <f>toyKFmodelData8c!C168/H169</f>
        <v>1.3337949364623727</v>
      </c>
    </row>
    <row r="170" spans="1:9" x14ac:dyDescent="0.2">
      <c r="A170">
        <v>2018</v>
      </c>
      <c r="B170" s="1">
        <v>0.75319855999999996</v>
      </c>
      <c r="C170" s="1">
        <v>1.5726574999999993E-2</v>
      </c>
      <c r="D170" s="1">
        <v>92.474999999999994</v>
      </c>
      <c r="E170" s="1">
        <v>2.4324663119999999</v>
      </c>
      <c r="F170" s="1">
        <v>1361.2625</v>
      </c>
      <c r="G170" s="1">
        <v>6.9080000000000004</v>
      </c>
      <c r="H170" s="1">
        <v>408.72</v>
      </c>
      <c r="I170" s="1">
        <f>toyKFmodelData8c!C169/H170</f>
        <v>1.3373754340458404</v>
      </c>
    </row>
    <row r="171" spans="1:9" x14ac:dyDescent="0.2">
      <c r="A171">
        <v>2019</v>
      </c>
      <c r="B171" s="1">
        <v>0.8873432</v>
      </c>
      <c r="C171" s="1">
        <v>1.6651750000000021E-2</v>
      </c>
      <c r="D171" s="1">
        <v>115.5333333</v>
      </c>
      <c r="E171" s="1">
        <v>2.431809597</v>
      </c>
      <c r="F171" s="1">
        <v>1361.2555</v>
      </c>
      <c r="G171" s="1">
        <v>10.699</v>
      </c>
      <c r="H171" s="1">
        <v>411.65</v>
      </c>
      <c r="I171" s="1">
        <f>toyKFmodelData8c!C170/H171</f>
        <v>1.3428087738666525</v>
      </c>
    </row>
    <row r="172" spans="1:9" x14ac:dyDescent="0.2">
      <c r="A172">
        <v>2020</v>
      </c>
      <c r="B172" s="1">
        <v>0.91624384999999997</v>
      </c>
      <c r="C172" s="1">
        <v>1.7094264999999997E-2</v>
      </c>
      <c r="D172" s="1">
        <v>127.7</v>
      </c>
      <c r="E172" s="1">
        <v>1.889614342</v>
      </c>
      <c r="F172" s="1">
        <v>1361.3227999999999</v>
      </c>
      <c r="G172" s="1">
        <v>12.349</v>
      </c>
      <c r="H172" s="1">
        <v>414.21</v>
      </c>
      <c r="I172" s="1">
        <f>toyKFmodelData8c!C171/H172</f>
        <v>1.3316036647071734</v>
      </c>
    </row>
    <row r="173" spans="1:9" x14ac:dyDescent="0.2">
      <c r="A173">
        <v>2021</v>
      </c>
      <c r="B173" s="1">
        <v>0.76731269999999996</v>
      </c>
      <c r="C173" s="1">
        <v>1.7463982500000003E-2</v>
      </c>
      <c r="D173" s="1">
        <v>145.18333329999999</v>
      </c>
      <c r="E173" s="1">
        <v>1.863469174</v>
      </c>
      <c r="F173" s="1">
        <v>1361.4893999999999</v>
      </c>
      <c r="G173" s="1">
        <v>9.488999999999999</v>
      </c>
      <c r="H173" s="1">
        <v>416.41</v>
      </c>
      <c r="I173" s="1">
        <f>toyKFmodelData8c!C172/H173</f>
        <v>1.3406808270512871</v>
      </c>
    </row>
    <row r="174" spans="1:9" x14ac:dyDescent="0.2">
      <c r="A174">
        <v>2022</v>
      </c>
      <c r="B174" s="1">
        <v>0.80184334999999995</v>
      </c>
      <c r="C174" s="1">
        <v>1.8522812499999985E-2</v>
      </c>
      <c r="D174" s="1">
        <v>165.6083333</v>
      </c>
      <c r="E174" s="1">
        <v>2.1528606610000001</v>
      </c>
      <c r="F174" s="1">
        <v>1361.9811</v>
      </c>
      <c r="G174" s="1">
        <v>16.356999999999999</v>
      </c>
      <c r="H174" s="1">
        <v>418.53</v>
      </c>
      <c r="I174" s="1">
        <f>toyKFmodelData8c!C173/H174</f>
        <v>1.3438584945043148</v>
      </c>
    </row>
    <row r="175" spans="1:9" x14ac:dyDescent="0.2">
      <c r="A175">
        <v>2023</v>
      </c>
      <c r="B175" s="1">
        <v>1.1098045000000001</v>
      </c>
      <c r="C175" s="1">
        <v>1.8480124999999958E-2</v>
      </c>
      <c r="D175" s="1">
        <v>183.02500000000001</v>
      </c>
      <c r="E175" s="1">
        <v>2.7190429279999999</v>
      </c>
      <c r="F175" s="1">
        <v>1362.4476</v>
      </c>
      <c r="G175" s="1">
        <v>12.46</v>
      </c>
      <c r="H175" s="1">
        <v>421.08</v>
      </c>
      <c r="I175" s="1">
        <f>toyKFmodelData8c!C174/H175</f>
        <v>1.3565181306810612</v>
      </c>
    </row>
    <row r="176" spans="1:9" x14ac:dyDescent="0.2">
      <c r="A176">
        <v>2024</v>
      </c>
      <c r="B176" s="1">
        <v>1.1690052</v>
      </c>
      <c r="C176" s="1">
        <v>1.9584975000000004E-2</v>
      </c>
      <c r="D176" s="1">
        <v>195.85</v>
      </c>
      <c r="E176" s="1">
        <v>2.679176387</v>
      </c>
      <c r="F176" s="1">
        <v>1362.5648000000001</v>
      </c>
      <c r="G176" s="1">
        <v>12.285</v>
      </c>
      <c r="H176" s="1">
        <v>424.61</v>
      </c>
      <c r="I176" s="1">
        <f>toyKFmodelData8c!C175/H176</f>
        <v>1.3596049559143371</v>
      </c>
    </row>
    <row r="177" spans="1:9" x14ac:dyDescent="0.2">
      <c r="A177">
        <v>2025</v>
      </c>
      <c r="B177" s="1">
        <v>1.0480304</v>
      </c>
      <c r="C177" s="1">
        <v>1.9697524999999994E-2</v>
      </c>
      <c r="D177" s="1">
        <v>219.5</v>
      </c>
      <c r="E177" s="1">
        <v>3.2274242609999999</v>
      </c>
      <c r="F177" s="1">
        <v>1362.4159</v>
      </c>
      <c r="G177" s="1">
        <v>11.795999999999999</v>
      </c>
      <c r="H177" s="1">
        <v>427.35</v>
      </c>
      <c r="I1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toyKFmodelData8c</vt:lpstr>
      <vt:lpstr>ERF source</vt:lpstr>
      <vt:lpstr>Extension 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Nicklas</cp:lastModifiedBy>
  <dcterms:created xsi:type="dcterms:W3CDTF">2026-10-17T05:40:41Z</dcterms:created>
  <dcterms:modified xsi:type="dcterms:W3CDTF">2026-10-17T06:03:08Z</dcterms:modified>
</cp:coreProperties>
</file>