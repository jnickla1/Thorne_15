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Common_Data/"/>
    </mc:Choice>
  </mc:AlternateContent>
  <xr:revisionPtr revIDLastSave="0" documentId="13_ncr:1_{DF27DCEE-710A-2441-A5D1-5DCEDFE946A6}" xr6:coauthVersionLast="47" xr6:coauthVersionMax="47" xr10:uidLastSave="{00000000-0000-0000-0000-000000000000}"/>
  <bookViews>
    <workbookView xWindow="6420" yWindow="3980" windowWidth="28060" windowHeight="17460" xr2:uid="{00000000-000D-0000-FFFF-FFFF00000000}"/>
  </bookViews>
  <sheets>
    <sheet name="toyKFmodelData8c" sheetId="1" r:id="rId1"/>
  </sheets>
  <definedNames>
    <definedName name="solver_adj" localSheetId="0" hidden="1">toyKFmodelData8c!$J$81:$K$81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toyKFmodelData8c!$K$82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6" i="1" l="1"/>
  <c r="C176" i="1"/>
  <c r="U50" i="1"/>
  <c r="A247" i="1" l="1"/>
  <c r="B247" i="1"/>
  <c r="A243" i="1"/>
  <c r="B243" i="1"/>
  <c r="A244" i="1"/>
  <c r="B244" i="1"/>
  <c r="A245" i="1"/>
  <c r="B245" i="1"/>
  <c r="A246" i="1"/>
  <c r="B246" i="1"/>
  <c r="A240" i="1"/>
  <c r="B240" i="1"/>
  <c r="A241" i="1"/>
  <c r="B241" i="1"/>
  <c r="A242" i="1"/>
  <c r="B242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B201" i="1"/>
  <c r="A201" i="1"/>
  <c r="H175" i="1"/>
  <c r="H176" i="1"/>
  <c r="H174" i="1"/>
  <c r="K175" i="1"/>
  <c r="K174" i="1"/>
  <c r="K172" i="1"/>
  <c r="K173" i="1"/>
  <c r="G175" i="1"/>
  <c r="G176" i="1"/>
  <c r="F170" i="1" a="1"/>
  <c r="F170" i="1" s="1"/>
  <c r="AM35" i="1"/>
  <c r="AO25" i="1"/>
  <c r="AO33" i="1" s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I1" i="1" a="1"/>
  <c r="I1" i="1" s="1"/>
  <c r="W43" i="1"/>
  <c r="X43" i="1"/>
  <c r="Y43" i="1"/>
  <c r="Z43" i="1"/>
  <c r="AA43" i="1"/>
  <c r="AB43" i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DM43" i="1" s="1"/>
  <c r="DN43" i="1" s="1"/>
  <c r="DO43" i="1" s="1"/>
  <c r="DP43" i="1" s="1"/>
  <c r="DQ43" i="1" s="1"/>
  <c r="DR43" i="1" s="1"/>
  <c r="DS43" i="1" s="1"/>
  <c r="DT43" i="1" s="1"/>
  <c r="DU43" i="1" s="1"/>
  <c r="DV43" i="1" s="1"/>
  <c r="DW43" i="1" s="1"/>
  <c r="DX43" i="1" s="1"/>
  <c r="DY43" i="1" s="1"/>
  <c r="DZ43" i="1" s="1"/>
  <c r="EA43" i="1" s="1"/>
  <c r="EB43" i="1" s="1"/>
  <c r="EC43" i="1" s="1"/>
  <c r="ED43" i="1" s="1"/>
  <c r="EE43" i="1" s="1"/>
  <c r="EF43" i="1" s="1"/>
  <c r="EG43" i="1" s="1"/>
  <c r="EH43" i="1" s="1"/>
  <c r="EI43" i="1" s="1"/>
  <c r="EJ43" i="1" s="1"/>
  <c r="EK43" i="1" s="1"/>
  <c r="EL43" i="1" s="1"/>
  <c r="EM43" i="1" s="1"/>
  <c r="EN43" i="1" s="1"/>
  <c r="EO43" i="1" s="1"/>
  <c r="EP43" i="1" s="1"/>
  <c r="EQ43" i="1" s="1"/>
  <c r="ER43" i="1" s="1"/>
  <c r="ES43" i="1" s="1"/>
  <c r="ET43" i="1" s="1"/>
  <c r="EU43" i="1" s="1"/>
  <c r="EV43" i="1" s="1"/>
  <c r="EW43" i="1" s="1"/>
  <c r="EX43" i="1" s="1"/>
  <c r="EY43" i="1" s="1"/>
  <c r="EZ43" i="1" s="1"/>
  <c r="FA43" i="1" s="1"/>
  <c r="FB43" i="1" s="1"/>
  <c r="FC43" i="1" s="1"/>
  <c r="FD43" i="1" s="1"/>
  <c r="FE43" i="1" s="1"/>
  <c r="FF43" i="1" s="1"/>
  <c r="FG43" i="1" s="1"/>
  <c r="FH43" i="1" s="1"/>
  <c r="FI43" i="1" s="1"/>
  <c r="FJ43" i="1" s="1"/>
  <c r="FK43" i="1" s="1"/>
  <c r="FL43" i="1" s="1"/>
  <c r="FM43" i="1" s="1"/>
  <c r="FN43" i="1" s="1"/>
  <c r="FO43" i="1" s="1"/>
  <c r="FP43" i="1" s="1"/>
  <c r="FQ43" i="1" s="1"/>
  <c r="FR43" i="1" s="1"/>
  <c r="FS43" i="1" s="1"/>
  <c r="FT43" i="1" s="1"/>
  <c r="FU43" i="1" s="1"/>
  <c r="FV43" i="1" s="1"/>
  <c r="FW43" i="1" s="1"/>
  <c r="FX43" i="1" s="1"/>
  <c r="FY43" i="1" s="1"/>
  <c r="FZ43" i="1" s="1"/>
  <c r="GA43" i="1" s="1"/>
  <c r="GB43" i="1" s="1"/>
  <c r="GC43" i="1" s="1"/>
  <c r="GD43" i="1" s="1"/>
  <c r="GE43" i="1" s="1"/>
  <c r="GF43" i="1" s="1"/>
  <c r="GG43" i="1" s="1"/>
  <c r="GH43" i="1" s="1"/>
  <c r="GI43" i="1" s="1"/>
  <c r="GJ43" i="1" s="1"/>
  <c r="GK43" i="1" s="1"/>
  <c r="GL43" i="1" s="1"/>
  <c r="GM43" i="1" s="1"/>
  <c r="GN43" i="1" s="1"/>
  <c r="GO43" i="1" s="1"/>
  <c r="GP43" i="1" s="1"/>
  <c r="GQ43" i="1" s="1"/>
  <c r="GR43" i="1" s="1"/>
  <c r="GS43" i="1" s="1"/>
  <c r="GT43" i="1" s="1"/>
  <c r="GU43" i="1" s="1"/>
  <c r="GV43" i="1" s="1"/>
  <c r="GW43" i="1" s="1"/>
  <c r="GX43" i="1" s="1"/>
  <c r="GY43" i="1" s="1"/>
  <c r="GZ43" i="1" s="1"/>
  <c r="HA43" i="1" s="1"/>
  <c r="HB43" i="1" s="1"/>
  <c r="HC43" i="1" s="1"/>
  <c r="HD43" i="1" s="1"/>
  <c r="HE43" i="1" s="1"/>
  <c r="HF43" i="1" s="1"/>
  <c r="HG43" i="1" s="1"/>
  <c r="HH43" i="1" s="1"/>
  <c r="HI43" i="1" s="1"/>
  <c r="HJ43" i="1" s="1"/>
  <c r="HK43" i="1" s="1"/>
  <c r="HL43" i="1" s="1"/>
  <c r="HM43" i="1" s="1"/>
  <c r="HN43" i="1" s="1"/>
  <c r="HO43" i="1" s="1"/>
  <c r="HP43" i="1" s="1"/>
  <c r="HQ43" i="1" s="1"/>
  <c r="HR43" i="1" s="1"/>
  <c r="HS43" i="1" s="1"/>
  <c r="HT43" i="1" s="1"/>
  <c r="HU43" i="1" s="1"/>
  <c r="HV43" i="1" s="1"/>
  <c r="HW43" i="1" s="1"/>
  <c r="HX43" i="1" s="1"/>
  <c r="HY43" i="1" s="1"/>
  <c r="HZ43" i="1" s="1"/>
  <c r="IA43" i="1" s="1"/>
  <c r="IB43" i="1" s="1"/>
  <c r="IC43" i="1" s="1"/>
  <c r="ID43" i="1" s="1"/>
  <c r="IE43" i="1" s="1"/>
  <c r="IF43" i="1" s="1"/>
  <c r="IG43" i="1" s="1"/>
  <c r="IH43" i="1" s="1"/>
  <c r="II43" i="1" s="1"/>
  <c r="IJ43" i="1" s="1"/>
  <c r="IK43" i="1" s="1"/>
  <c r="IL43" i="1" s="1"/>
  <c r="IM43" i="1" s="1"/>
  <c r="IN43" i="1" s="1"/>
  <c r="IO43" i="1" s="1"/>
  <c r="IP43" i="1" s="1"/>
  <c r="IQ43" i="1" s="1"/>
  <c r="IR43" i="1" s="1"/>
  <c r="IS43" i="1" s="1"/>
  <c r="IT43" i="1" s="1"/>
  <c r="IU43" i="1" s="1"/>
  <c r="IV43" i="1" s="1"/>
  <c r="IW43" i="1" s="1"/>
  <c r="IX43" i="1" s="1"/>
  <c r="IY43" i="1" s="1"/>
  <c r="IZ43" i="1" s="1"/>
  <c r="JA43" i="1" s="1"/>
  <c r="V43" i="1"/>
  <c r="AJ35" i="1"/>
  <c r="AJ25" i="1"/>
  <c r="AN25" i="1"/>
  <c r="AN33" i="1" s="1"/>
  <c r="K52" i="1"/>
  <c r="K56" i="1"/>
  <c r="K57" i="1"/>
  <c r="K58" i="1"/>
  <c r="K59" i="1"/>
  <c r="K60" i="1"/>
  <c r="K61" i="1"/>
  <c r="K62" i="1"/>
  <c r="K63" i="1"/>
  <c r="K64" i="1"/>
  <c r="K65" i="1"/>
  <c r="K66" i="1"/>
  <c r="K67" i="1"/>
  <c r="K72" i="1"/>
  <c r="K73" i="1"/>
  <c r="K74" i="1"/>
  <c r="K75" i="1"/>
  <c r="K76" i="1"/>
  <c r="K51" i="1"/>
  <c r="K113" i="1"/>
  <c r="K114" i="1"/>
  <c r="K11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J114" i="1"/>
  <c r="J115" i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Q176" i="1"/>
  <c r="P175" i="1"/>
  <c r="Q175" i="1"/>
  <c r="D196" i="1"/>
  <c r="H184" i="1" a="1"/>
  <c r="H184" i="1" s="1"/>
  <c r="K71" i="1" l="1"/>
  <c r="K55" i="1"/>
  <c r="K70" i="1"/>
  <c r="K54" i="1"/>
  <c r="K69" i="1"/>
  <c r="K53" i="1"/>
  <c r="K68" i="1"/>
  <c r="K127" i="1" a="1"/>
  <c r="K127" i="1" s="1"/>
  <c r="D195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51" i="1"/>
  <c r="GC44" i="1"/>
  <c r="FQ44" i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GD40" i="1" s="1"/>
  <c r="GE40" i="1" s="1"/>
  <c r="GF40" i="1" s="1"/>
  <c r="GG40" i="1" s="1"/>
  <c r="GH40" i="1" s="1"/>
  <c r="GI40" i="1" s="1"/>
  <c r="GJ40" i="1" s="1"/>
  <c r="GK40" i="1" s="1"/>
  <c r="GL40" i="1" s="1"/>
  <c r="AL35" i="1"/>
  <c r="AK35" i="1"/>
  <c r="V33" i="1"/>
  <c r="AI25" i="1"/>
  <c r="AI33" i="1" s="1"/>
  <c r="AJ33" i="1"/>
  <c r="AK25" i="1"/>
  <c r="AK33" i="1" s="1"/>
  <c r="AL25" i="1"/>
  <c r="AL33" i="1" s="1"/>
  <c r="AM25" i="1"/>
  <c r="AM33" i="1" s="1"/>
  <c r="W25" i="1"/>
  <c r="X25" i="1"/>
  <c r="Y25" i="1"/>
  <c r="Z25" i="1"/>
  <c r="AA25" i="1"/>
  <c r="AB25" i="1"/>
  <c r="AC25" i="1"/>
  <c r="AD25" i="1"/>
  <c r="AE25" i="1"/>
  <c r="AF25" i="1"/>
  <c r="AG25" i="1"/>
  <c r="AH25" i="1"/>
  <c r="V25" i="1"/>
  <c r="AI27" i="1"/>
  <c r="W28" i="1"/>
  <c r="X28" i="1"/>
  <c r="W29" i="1" s="1"/>
  <c r="Y28" i="1"/>
  <c r="Z28" i="1"/>
  <c r="AA28" i="1"/>
  <c r="AB28" i="1"/>
  <c r="AC28" i="1"/>
  <c r="AD28" i="1"/>
  <c r="AE28" i="1"/>
  <c r="AF28" i="1"/>
  <c r="AE29" i="1" s="1"/>
  <c r="AG28" i="1"/>
  <c r="AH28" i="1"/>
  <c r="AI28" i="1"/>
  <c r="V28" i="1"/>
  <c r="FL17" i="1"/>
  <c r="FK17" i="1" s="1"/>
  <c r="V23" i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G21" i="1" a="1"/>
  <c r="G21" i="1" s="1"/>
  <c r="F21" i="1" a="1"/>
  <c r="F21" i="1" s="1"/>
  <c r="G179" i="1"/>
  <c r="E186" i="1"/>
  <c r="E187" i="1" s="1"/>
  <c r="E179" i="1"/>
  <c r="GL41" i="1" l="1"/>
  <c r="K82" i="1" a="1"/>
  <c r="K82" i="1" s="1"/>
  <c r="X29" i="1"/>
  <c r="P179" i="1" a="1"/>
  <c r="P179" i="1" s="1"/>
  <c r="AH29" i="1"/>
  <c r="AC29" i="1"/>
  <c r="AA29" i="1"/>
  <c r="AD29" i="1"/>
  <c r="V29" i="1"/>
  <c r="AG29" i="1"/>
  <c r="V34" i="1"/>
  <c r="U36" i="1" s="1"/>
  <c r="H195" i="1"/>
  <c r="H196" i="1"/>
  <c r="AB29" i="1"/>
  <c r="Y29" i="1"/>
  <c r="AJ28" i="1"/>
  <c r="AK28" i="1" s="1"/>
  <c r="AL28" i="1" s="1"/>
  <c r="AM28" i="1" s="1"/>
  <c r="AN28" i="1" s="1"/>
  <c r="AO28" i="1" s="1"/>
  <c r="AP28" i="1" s="1"/>
  <c r="FJ17" i="1"/>
  <c r="AG27" i="1"/>
  <c r="AH27" i="1"/>
  <c r="AF29" i="1"/>
  <c r="Z29" i="1"/>
  <c r="G34" i="1"/>
  <c r="G30" i="1"/>
  <c r="G36" i="1"/>
  <c r="G115" i="1"/>
  <c r="G98" i="1"/>
  <c r="G145" i="1"/>
  <c r="G128" i="1"/>
  <c r="G29" i="1"/>
  <c r="G148" i="1"/>
  <c r="G51" i="1"/>
  <c r="G146" i="1"/>
  <c r="G113" i="1"/>
  <c r="G64" i="1"/>
  <c r="G47" i="1"/>
  <c r="G142" i="1"/>
  <c r="G141" i="1"/>
  <c r="G28" i="1"/>
  <c r="G164" i="1"/>
  <c r="G84" i="1"/>
  <c r="G163" i="1"/>
  <c r="G66" i="1"/>
  <c r="G129" i="1"/>
  <c r="G48" i="1"/>
  <c r="G63" i="1"/>
  <c r="G126" i="1"/>
  <c r="G157" i="1"/>
  <c r="G45" i="1"/>
  <c r="G124" i="1"/>
  <c r="G155" i="1"/>
  <c r="G139" i="1"/>
  <c r="G123" i="1"/>
  <c r="G107" i="1"/>
  <c r="G91" i="1"/>
  <c r="G75" i="1"/>
  <c r="G59" i="1"/>
  <c r="G43" i="1"/>
  <c r="G27" i="1"/>
  <c r="G52" i="1"/>
  <c r="G147" i="1"/>
  <c r="G82" i="1"/>
  <c r="G49" i="1"/>
  <c r="G80" i="1"/>
  <c r="G159" i="1"/>
  <c r="G79" i="1"/>
  <c r="G62" i="1"/>
  <c r="G125" i="1"/>
  <c r="G140" i="1"/>
  <c r="G60" i="1"/>
  <c r="G154" i="1"/>
  <c r="G138" i="1"/>
  <c r="G122" i="1"/>
  <c r="G106" i="1"/>
  <c r="G90" i="1"/>
  <c r="G74" i="1"/>
  <c r="G58" i="1"/>
  <c r="G42" i="1"/>
  <c r="G26" i="1"/>
  <c r="G132" i="1"/>
  <c r="G99" i="1"/>
  <c r="G114" i="1"/>
  <c r="G97" i="1"/>
  <c r="G144" i="1"/>
  <c r="G31" i="1"/>
  <c r="G94" i="1"/>
  <c r="G77" i="1"/>
  <c r="G76" i="1"/>
  <c r="G169" i="1"/>
  <c r="G153" i="1"/>
  <c r="G137" i="1"/>
  <c r="G121" i="1"/>
  <c r="G105" i="1"/>
  <c r="G89" i="1"/>
  <c r="G73" i="1"/>
  <c r="G57" i="1"/>
  <c r="G41" i="1"/>
  <c r="G25" i="1"/>
  <c r="G68" i="1"/>
  <c r="G83" i="1"/>
  <c r="G162" i="1"/>
  <c r="G33" i="1"/>
  <c r="G160" i="1"/>
  <c r="G96" i="1"/>
  <c r="G127" i="1"/>
  <c r="G95" i="1"/>
  <c r="G46" i="1"/>
  <c r="G109" i="1"/>
  <c r="G156" i="1"/>
  <c r="G44" i="1"/>
  <c r="G104" i="1"/>
  <c r="G24" i="1"/>
  <c r="G100" i="1"/>
  <c r="G67" i="1"/>
  <c r="G130" i="1"/>
  <c r="G65" i="1"/>
  <c r="G32" i="1"/>
  <c r="G111" i="1"/>
  <c r="G158" i="1"/>
  <c r="G78" i="1"/>
  <c r="G93" i="1"/>
  <c r="G108" i="1"/>
  <c r="G23" i="1"/>
  <c r="G35" i="1"/>
  <c r="G161" i="1"/>
  <c r="G110" i="1"/>
  <c r="G61" i="1"/>
  <c r="G92" i="1"/>
  <c r="G152" i="1"/>
  <c r="G120" i="1"/>
  <c r="G72" i="1"/>
  <c r="G56" i="1"/>
  <c r="G167" i="1"/>
  <c r="G135" i="1"/>
  <c r="G103" i="1"/>
  <c r="G71" i="1"/>
  <c r="G55" i="1"/>
  <c r="G166" i="1"/>
  <c r="G150" i="1"/>
  <c r="G134" i="1"/>
  <c r="G118" i="1"/>
  <c r="G102" i="1"/>
  <c r="G86" i="1"/>
  <c r="G70" i="1"/>
  <c r="G54" i="1"/>
  <c r="G38" i="1"/>
  <c r="G22" i="1"/>
  <c r="G116" i="1"/>
  <c r="G131" i="1"/>
  <c r="G50" i="1"/>
  <c r="G81" i="1"/>
  <c r="G112" i="1"/>
  <c r="G143" i="1"/>
  <c r="G168" i="1"/>
  <c r="G136" i="1"/>
  <c r="G88" i="1"/>
  <c r="G40" i="1"/>
  <c r="G151" i="1"/>
  <c r="G119" i="1"/>
  <c r="G87" i="1"/>
  <c r="G39" i="1"/>
  <c r="G165" i="1"/>
  <c r="G149" i="1"/>
  <c r="G133" i="1"/>
  <c r="G117" i="1"/>
  <c r="G101" i="1"/>
  <c r="G85" i="1"/>
  <c r="G69" i="1"/>
  <c r="G53" i="1"/>
  <c r="G37" i="1"/>
  <c r="F132" i="1"/>
  <c r="F36" i="1"/>
  <c r="F163" i="1"/>
  <c r="F147" i="1"/>
  <c r="F131" i="1"/>
  <c r="F115" i="1"/>
  <c r="F99" i="1"/>
  <c r="F83" i="1"/>
  <c r="F67" i="1"/>
  <c r="F51" i="1"/>
  <c r="F35" i="1"/>
  <c r="F162" i="1"/>
  <c r="F146" i="1"/>
  <c r="F130" i="1"/>
  <c r="F114" i="1"/>
  <c r="F98" i="1"/>
  <c r="F82" i="1"/>
  <c r="F66" i="1"/>
  <c r="F50" i="1"/>
  <c r="F34" i="1"/>
  <c r="F33" i="1"/>
  <c r="F32" i="1"/>
  <c r="F68" i="1"/>
  <c r="F129" i="1"/>
  <c r="F81" i="1"/>
  <c r="F160" i="1"/>
  <c r="F96" i="1"/>
  <c r="F159" i="1"/>
  <c r="F143" i="1"/>
  <c r="F127" i="1"/>
  <c r="F111" i="1"/>
  <c r="F95" i="1"/>
  <c r="F79" i="1"/>
  <c r="F63" i="1"/>
  <c r="F47" i="1"/>
  <c r="F31" i="1"/>
  <c r="F84" i="1"/>
  <c r="F161" i="1"/>
  <c r="F97" i="1"/>
  <c r="F144" i="1"/>
  <c r="F80" i="1"/>
  <c r="F158" i="1"/>
  <c r="F142" i="1"/>
  <c r="F126" i="1"/>
  <c r="F110" i="1"/>
  <c r="F94" i="1"/>
  <c r="F78" i="1"/>
  <c r="F62" i="1"/>
  <c r="F46" i="1"/>
  <c r="F30" i="1"/>
  <c r="F52" i="1"/>
  <c r="F113" i="1"/>
  <c r="F65" i="1"/>
  <c r="F112" i="1"/>
  <c r="F64" i="1"/>
  <c r="F157" i="1"/>
  <c r="F141" i="1"/>
  <c r="F125" i="1"/>
  <c r="F109" i="1"/>
  <c r="F93" i="1"/>
  <c r="F77" i="1"/>
  <c r="F61" i="1"/>
  <c r="F45" i="1"/>
  <c r="F29" i="1"/>
  <c r="F116" i="1"/>
  <c r="F145" i="1"/>
  <c r="F49" i="1"/>
  <c r="F128" i="1"/>
  <c r="F48" i="1"/>
  <c r="F156" i="1"/>
  <c r="F140" i="1"/>
  <c r="F124" i="1"/>
  <c r="F108" i="1"/>
  <c r="F92" i="1"/>
  <c r="F76" i="1"/>
  <c r="F60" i="1"/>
  <c r="F44" i="1"/>
  <c r="F28" i="1"/>
  <c r="F155" i="1"/>
  <c r="F139" i="1"/>
  <c r="F123" i="1"/>
  <c r="F107" i="1"/>
  <c r="F91" i="1"/>
  <c r="F75" i="1"/>
  <c r="F59" i="1"/>
  <c r="F43" i="1"/>
  <c r="F27" i="1"/>
  <c r="F154" i="1"/>
  <c r="F138" i="1"/>
  <c r="F122" i="1"/>
  <c r="F106" i="1"/>
  <c r="F90" i="1"/>
  <c r="F74" i="1"/>
  <c r="F58" i="1"/>
  <c r="F42" i="1"/>
  <c r="F26" i="1"/>
  <c r="F100" i="1"/>
  <c r="F169" i="1"/>
  <c r="AI36" i="1" s="1"/>
  <c r="AI35" i="1" s="1"/>
  <c r="F105" i="1"/>
  <c r="F89" i="1"/>
  <c r="F73" i="1"/>
  <c r="F57" i="1"/>
  <c r="F41" i="1"/>
  <c r="F25" i="1"/>
  <c r="F24" i="1"/>
  <c r="F148" i="1"/>
  <c r="F137" i="1"/>
  <c r="F136" i="1"/>
  <c r="F40" i="1"/>
  <c r="F167" i="1"/>
  <c r="F151" i="1"/>
  <c r="F135" i="1"/>
  <c r="F119" i="1"/>
  <c r="F103" i="1"/>
  <c r="F87" i="1"/>
  <c r="F71" i="1"/>
  <c r="F55" i="1"/>
  <c r="F39" i="1"/>
  <c r="F23" i="1"/>
  <c r="F121" i="1"/>
  <c r="F152" i="1"/>
  <c r="F104" i="1"/>
  <c r="F56" i="1"/>
  <c r="F166" i="1"/>
  <c r="F150" i="1"/>
  <c r="F134" i="1"/>
  <c r="F118" i="1"/>
  <c r="F102" i="1"/>
  <c r="F86" i="1"/>
  <c r="F70" i="1"/>
  <c r="F54" i="1"/>
  <c r="F38" i="1"/>
  <c r="F22" i="1"/>
  <c r="F164" i="1"/>
  <c r="F153" i="1"/>
  <c r="F168" i="1"/>
  <c r="F120" i="1"/>
  <c r="F88" i="1"/>
  <c r="F72" i="1"/>
  <c r="F165" i="1"/>
  <c r="F149" i="1"/>
  <c r="F133" i="1"/>
  <c r="F117" i="1"/>
  <c r="F101" i="1"/>
  <c r="F85" i="1"/>
  <c r="F69" i="1"/>
  <c r="F53" i="1"/>
  <c r="F37" i="1"/>
  <c r="I194" i="1" l="1"/>
  <c r="G184" i="1"/>
  <c r="FI17" i="1"/>
  <c r="AF27" i="1"/>
  <c r="G187" i="1"/>
  <c r="I193" i="1" l="1"/>
  <c r="G171" i="1"/>
  <c r="G172" i="1"/>
  <c r="G173" i="1"/>
  <c r="G174" i="1"/>
  <c r="G170" i="1"/>
  <c r="FH17" i="1"/>
  <c r="AE27" i="1"/>
  <c r="G10" i="1"/>
  <c r="G11" i="1"/>
  <c r="G12" i="1"/>
  <c r="G13" i="1"/>
  <c r="G14" i="1"/>
  <c r="G16" i="1"/>
  <c r="G1" i="1"/>
  <c r="G18" i="1"/>
  <c r="G4" i="1"/>
  <c r="G2" i="1"/>
  <c r="G19" i="1"/>
  <c r="G6" i="1"/>
  <c r="G7" i="1"/>
  <c r="G8" i="1"/>
  <c r="G9" i="1"/>
  <c r="G15" i="1"/>
  <c r="G17" i="1"/>
  <c r="G3" i="1"/>
  <c r="G20" i="1"/>
  <c r="G5" i="1"/>
  <c r="FG17" i="1" l="1"/>
  <c r="AD27" i="1"/>
  <c r="FF17" i="1" l="1"/>
  <c r="AC27" i="1"/>
  <c r="FE17" i="1" l="1"/>
  <c r="AB27" i="1"/>
  <c r="FD17" i="1" l="1"/>
  <c r="AA27" i="1"/>
  <c r="FC17" i="1" l="1"/>
  <c r="Z27" i="1"/>
  <c r="FB17" i="1" l="1"/>
  <c r="Y27" i="1"/>
  <c r="FA17" i="1" l="1"/>
  <c r="X27" i="1"/>
  <c r="W27" i="1" l="1"/>
  <c r="EZ17" i="1"/>
  <c r="V27" i="1" s="1"/>
  <c r="C175" i="1" l="1"/>
  <c r="C196" i="1"/>
  <c r="C174" i="1"/>
  <c r="C1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<sst xmlns="http://schemas.openxmlformats.org/spreadsheetml/2006/main" count="62" uniqueCount="56">
  <si>
    <t>GMST</t>
  </si>
  <si>
    <t>https://www.metoffice.gov.uk/hadobs/hadcrut5/data/HadCRUT.5.0.2.0/download.html</t>
  </si>
  <si>
    <t>eCO2</t>
  </si>
  <si>
    <t>OHCA</t>
  </si>
  <si>
    <t>Zanna 2018</t>
  </si>
  <si>
    <t>https://zenodo.org/records/4603700#.ZDuFNxXMI88</t>
  </si>
  <si>
    <t>after 2018</t>
  </si>
  <si>
    <t>TSI</t>
  </si>
  <si>
    <t>anthro_clouds</t>
  </si>
  <si>
    <t>ROC_tvar</t>
  </si>
  <si>
    <t>opt_depth</t>
  </si>
  <si>
    <t>R_Tvar</t>
  </si>
  <si>
    <t>upper-lower</t>
  </si>
  <si>
    <t>eg: 2022</t>
  </si>
  <si>
    <t>stdev</t>
  </si>
  <si>
    <t>09 to 18 avg</t>
  </si>
  <si>
    <t>before 1870</t>
  </si>
  <si>
    <t>70 to 89 avg</t>
  </si>
  <si>
    <t>https://www.ncei.noaa.gov/data/oceans/ncei/archive/data/0164586/derived/</t>
  </si>
  <si>
    <t>heat_content_anomaly_0-2000_yearly.nc</t>
  </si>
  <si>
    <t>https://www.ncei.noaa.gov/products/climate-data-records/global-ocean-heat-content</t>
  </si>
  <si>
    <t>Boyer NOAA</t>
  </si>
  <si>
    <t>change from</t>
  </si>
  <si>
    <t>Rep Zanna18</t>
  </si>
  <si>
    <t>Confirmed in AR6 fig 2.26</t>
  </si>
  <si>
    <t>much larger 2005-2018 in Boyer NOAA - nearly double</t>
  </si>
  <si>
    <t>GISS climate model from 1850 – 1978</t>
  </si>
  <si>
    <t>https://data.giss.nasa.gov/modelforce/strataer/tau.line_2012.12.txt</t>
  </si>
  <si>
    <r>
      <t>AOD</t>
    </r>
    <r>
      <rPr>
        <vertAlign val="subscript"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 at 550nm</t>
    </r>
  </si>
  <si>
    <t xml:space="preserve">GloSSAC_V2 satellite measurement product </t>
  </si>
  <si>
    <t>1979 – 2023</t>
  </si>
  <si>
    <t>https://asdc.larc.nasa.gov/project/GloSSAC/GloSSAC_2.0</t>
  </si>
  <si>
    <r>
      <t>AOD</t>
    </r>
    <r>
      <rPr>
        <vertAlign val="subscript"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 at 525nm</t>
    </r>
  </si>
  <si>
    <t>Coddington2017</t>
  </si>
  <si>
    <t>https://www.ncei.noaa.gov/data/total-solar-irradiance/access/yearly/</t>
  </si>
  <si>
    <t>must run ncl</t>
  </si>
  <si>
    <t>*1000</t>
  </si>
  <si>
    <t>averaging script</t>
  </si>
  <si>
    <t>found avg trend</t>
  </si>
  <si>
    <t>Forster22</t>
  </si>
  <si>
    <t>https://github.com/ClimateIndicator/forcing-timeseries/tree/main/output</t>
  </si>
  <si>
    <t>ERF_best_1750-2022.csv</t>
  </si>
  <si>
    <t>mona loa</t>
  </si>
  <si>
    <t>inferred</t>
  </si>
  <si>
    <t>see my version</t>
  </si>
  <si>
    <t>Ice Dome</t>
  </si>
  <si>
    <t>Latest 2024 extrapolation of Mona Loa</t>
  </si>
  <si>
    <t>CO2 Source Original</t>
  </si>
  <si>
    <t>NASA GISS climate model 1850-1979 (https://data.giss.nasa.gov/modelforce/ghgases/Fig1A.ext.txt)</t>
  </si>
  <si>
    <t>NOAA global averages from 1980-2021 https://gml.noaa.gov/webdata/ccgg/trends/co2/co2_annmean_gl.txt</t>
  </si>
  <si>
    <t>Light adjustment</t>
  </si>
  <si>
    <t>Raw area average</t>
  </si>
  <si>
    <t>change</t>
  </si>
  <si>
    <t>unsure this check?</t>
  </si>
  <si>
    <t>HADCRUT5.2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</si>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</sst>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0"/>
      <color theme="1"/>
      <name val="Arial Unicode MS"/>
      <family val="2"/>
    </font>
    <font>
      <sz val="10"/>
      <color theme="1"/>
      <name val="Courier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42"/>
    <xf numFmtId="0" fontId="19" fillId="0" borderId="0" xfId="0" applyFont="1"/>
    <xf numFmtId="0" fontId="21" fillId="0" borderId="0" xfId="0" applyFont="1"/>
    <xf numFmtId="2" fontId="0" fillId="0" borderId="0" xfId="0" applyNumberFormat="1"/>
    <xf numFmtId="1" fontId="0" fillId="0" borderId="0" xfId="0" applyNumberFormat="1"/>
    <xf numFmtId="1" fontId="22" fillId="0" borderId="0" xfId="0" applyNumberFormat="1" applyFont="1"/>
    <xf numFmtId="11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toyKFmodelData8c!$A$131:$A$174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xVal>
          <c:yVal>
            <c:numRef>
              <c:f>toyKFmodelData8c!$D$131:$D$174</c:f>
              <c:numCache>
                <c:formatCode>General</c:formatCode>
                <c:ptCount val="44"/>
                <c:pt idx="0">
                  <c:v>7.6379999999999999</c:v>
                </c:pt>
                <c:pt idx="1">
                  <c:v>9.3859999999999992</c:v>
                </c:pt>
                <c:pt idx="2">
                  <c:v>28.96</c:v>
                </c:pt>
                <c:pt idx="3">
                  <c:v>48.222000000000001</c:v>
                </c:pt>
                <c:pt idx="4">
                  <c:v>28.373999999999999</c:v>
                </c:pt>
                <c:pt idx="5">
                  <c:v>14.164</c:v>
                </c:pt>
                <c:pt idx="6">
                  <c:v>15.939</c:v>
                </c:pt>
                <c:pt idx="7">
                  <c:v>10.816000000000001</c:v>
                </c:pt>
                <c:pt idx="8">
                  <c:v>7.9260000000000002</c:v>
                </c:pt>
                <c:pt idx="9">
                  <c:v>6.0019999999999998</c:v>
                </c:pt>
                <c:pt idx="10">
                  <c:v>6.3559999999999999</c:v>
                </c:pt>
                <c:pt idx="11">
                  <c:v>50.011000000000003</c:v>
                </c:pt>
                <c:pt idx="12">
                  <c:v>112.42700000000001</c:v>
                </c:pt>
                <c:pt idx="13">
                  <c:v>56.225999999999999</c:v>
                </c:pt>
                <c:pt idx="14">
                  <c:v>17.943000000000001</c:v>
                </c:pt>
                <c:pt idx="15">
                  <c:v>8.73</c:v>
                </c:pt>
                <c:pt idx="16">
                  <c:v>5.5830000000000002</c:v>
                </c:pt>
                <c:pt idx="17">
                  <c:v>4.53</c:v>
                </c:pt>
                <c:pt idx="18">
                  <c:v>4.423</c:v>
                </c:pt>
                <c:pt idx="19">
                  <c:v>4.25</c:v>
                </c:pt>
                <c:pt idx="20">
                  <c:v>4.24</c:v>
                </c:pt>
                <c:pt idx="21">
                  <c:v>4.399</c:v>
                </c:pt>
                <c:pt idx="22">
                  <c:v>4.1770000000000005</c:v>
                </c:pt>
                <c:pt idx="23">
                  <c:v>4.9579999999999993</c:v>
                </c:pt>
                <c:pt idx="24">
                  <c:v>4.4349999999999996</c:v>
                </c:pt>
                <c:pt idx="25">
                  <c:v>6.1230000000000002</c:v>
                </c:pt>
                <c:pt idx="26">
                  <c:v>7.3020000000000005</c:v>
                </c:pt>
                <c:pt idx="27">
                  <c:v>7.8540000000000001</c:v>
                </c:pt>
                <c:pt idx="28">
                  <c:v>6.7470000000000008</c:v>
                </c:pt>
                <c:pt idx="29">
                  <c:v>8.1150000000000002</c:v>
                </c:pt>
                <c:pt idx="30">
                  <c:v>6.5329999999999995</c:v>
                </c:pt>
                <c:pt idx="31">
                  <c:v>8.6539999999999999</c:v>
                </c:pt>
                <c:pt idx="32">
                  <c:v>6.6499999999999995</c:v>
                </c:pt>
                <c:pt idx="33">
                  <c:v>5.3810000000000002</c:v>
                </c:pt>
                <c:pt idx="34">
                  <c:v>6.6290000000000004</c:v>
                </c:pt>
                <c:pt idx="35">
                  <c:v>8.1579999999999995</c:v>
                </c:pt>
                <c:pt idx="36">
                  <c:v>7.0140000000000002</c:v>
                </c:pt>
                <c:pt idx="37">
                  <c:v>5.6719999999999997</c:v>
                </c:pt>
                <c:pt idx="38">
                  <c:v>6.9080000000000004</c:v>
                </c:pt>
                <c:pt idx="39">
                  <c:v>10.699</c:v>
                </c:pt>
                <c:pt idx="40">
                  <c:v>12.349</c:v>
                </c:pt>
                <c:pt idx="41">
                  <c:v>9.488999999999999</c:v>
                </c:pt>
                <c:pt idx="42">
                  <c:v>16.356999999999999</c:v>
                </c:pt>
                <c:pt idx="43">
                  <c:v>12.46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B9-C644-BD04-7D76B811AF8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toyKFmodelData8c!$A$131:$A$156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xVal>
          <c:yVal>
            <c:numRef>
              <c:f>toyKFmodelData8c!$K$51:$K$76</c:f>
              <c:numCache>
                <c:formatCode>0.00E+00</c:formatCode>
                <c:ptCount val="26"/>
                <c:pt idx="0">
                  <c:v>6.552795639757937</c:v>
                </c:pt>
                <c:pt idx="1">
                  <c:v>6.2446641009671877</c:v>
                </c:pt>
                <c:pt idx="2">
                  <c:v>52.56878694989161</c:v>
                </c:pt>
                <c:pt idx="3">
                  <c:v>60.11692635106418</c:v>
                </c:pt>
                <c:pt idx="4">
                  <c:v>25.39634214083868</c:v>
                </c:pt>
                <c:pt idx="5">
                  <c:v>13.409755236196679</c:v>
                </c:pt>
                <c:pt idx="6">
                  <c:v>13.861493699514348</c:v>
                </c:pt>
                <c:pt idx="7">
                  <c:v>11.64879954530431</c:v>
                </c:pt>
                <c:pt idx="8">
                  <c:v>9.8563922255799596</c:v>
                </c:pt>
                <c:pt idx="9">
                  <c:v>8.2770676981459825</c:v>
                </c:pt>
                <c:pt idx="10">
                  <c:v>9.1041944432854756</c:v>
                </c:pt>
                <c:pt idx="11">
                  <c:v>57.305472891323632</c:v>
                </c:pt>
                <c:pt idx="12">
                  <c:v>94.998816734190044</c:v>
                </c:pt>
                <c:pt idx="13">
                  <c:v>39.066071742357266</c:v>
                </c:pt>
                <c:pt idx="14">
                  <c:v>18.947490849701207</c:v>
                </c:pt>
                <c:pt idx="15">
                  <c:v>9.9481839763418147</c:v>
                </c:pt>
                <c:pt idx="16">
                  <c:v>7.4145909326255595</c:v>
                </c:pt>
                <c:pt idx="17">
                  <c:v>6.1918973498871024</c:v>
                </c:pt>
                <c:pt idx="18">
                  <c:v>2.9179527394997571</c:v>
                </c:pt>
                <c:pt idx="19">
                  <c:v>3.0409944737621424</c:v>
                </c:pt>
                <c:pt idx="20">
                  <c:v>4.148137311643751</c:v>
                </c:pt>
                <c:pt idx="21">
                  <c:v>2.3659683351441414</c:v>
                </c:pt>
                <c:pt idx="22">
                  <c:v>2.9163542759454142</c:v>
                </c:pt>
                <c:pt idx="23">
                  <c:v>3.075754873707961</c:v>
                </c:pt>
                <c:pt idx="24">
                  <c:v>2.3466136607189569</c:v>
                </c:pt>
                <c:pt idx="25">
                  <c:v>4.2939612413405106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B9-C644-BD04-7D76B811AF81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toyKFmodelData8c!$A$131:$A$156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xVal>
          <c:yVal>
            <c:numRef>
              <c:f>toyKFmodelData8c!$K$96:$K$121</c:f>
              <c:numCache>
                <c:formatCode>0.00E+00</c:formatCode>
                <c:ptCount val="26"/>
                <c:pt idx="0">
                  <c:v>6.1117859205055796</c:v>
                </c:pt>
                <c:pt idx="1">
                  <c:v>6.0383590534773708</c:v>
                </c:pt>
                <c:pt idx="2">
                  <c:v>55.768729709188577</c:v>
                </c:pt>
                <c:pt idx="3">
                  <c:v>59.392997949596747</c:v>
                </c:pt>
                <c:pt idx="4">
                  <c:v>24.798201563728355</c:v>
                </c:pt>
                <c:pt idx="5">
                  <c:v>12.354754820094072</c:v>
                </c:pt>
                <c:pt idx="6">
                  <c:v>13.567553618164874</c:v>
                </c:pt>
                <c:pt idx="7">
                  <c:v>11.247095001877716</c:v>
                </c:pt>
                <c:pt idx="8">
                  <c:v>9.4063699768962454</c:v>
                </c:pt>
                <c:pt idx="9">
                  <c:v>7.8783287126490249</c:v>
                </c:pt>
                <c:pt idx="10">
                  <c:v>9.1696897152253776</c:v>
                </c:pt>
                <c:pt idx="11">
                  <c:v>58.914588544919148</c:v>
                </c:pt>
                <c:pt idx="12">
                  <c:v>91.966168717274343</c:v>
                </c:pt>
                <c:pt idx="13">
                  <c:v>36.886267788932649</c:v>
                </c:pt>
                <c:pt idx="14">
                  <c:v>18.562608929092352</c:v>
                </c:pt>
                <c:pt idx="15">
                  <c:v>9.7200697824112172</c:v>
                </c:pt>
                <c:pt idx="16">
                  <c:v>7.4032859140681104</c:v>
                </c:pt>
                <c:pt idx="17">
                  <c:v>6.4814403595756591</c:v>
                </c:pt>
                <c:pt idx="18">
                  <c:v>3.508631996636733</c:v>
                </c:pt>
                <c:pt idx="19">
                  <c:v>3.7655042793454676</c:v>
                </c:pt>
                <c:pt idx="20">
                  <c:v>4.894361056716674</c:v>
                </c:pt>
                <c:pt idx="21">
                  <c:v>2.9659296007961222</c:v>
                </c:pt>
                <c:pt idx="22">
                  <c:v>3.4812022158532452</c:v>
                </c:pt>
                <c:pt idx="23">
                  <c:v>3.701361355500747</c:v>
                </c:pt>
                <c:pt idx="24">
                  <c:v>3.0272399522592135</c:v>
                </c:pt>
                <c:pt idx="25">
                  <c:v>5.0005968867492463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B9-C644-BD04-7D76B811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442704"/>
        <c:axId val="1329222896"/>
      </c:scatterChart>
      <c:valAx>
        <c:axId val="13294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22896"/>
        <c:crosses val="autoZero"/>
        <c:crossBetween val="midCat"/>
      </c:valAx>
      <c:valAx>
        <c:axId val="13292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4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457273</xdr:colOff>
      <xdr:row>131</xdr:row>
      <xdr:rowOff>125266</xdr:rowOff>
    </xdr:from>
    <xdr:to>
      <xdr:col>9</xdr:col>
      <xdr:colOff>3184</xdr:colOff>
      <xdr:row>145</xdr:row>
      <xdr:rowOff>56235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CBD67-DEE0-7F68-A749-2CBFAE603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asdc.larc.nasa.gov/project/GloSSAC/GloSSAC_2.0" TargetMode="External"/><Relationship Id="rId7" Type="http://schemas.openxmlformats.org/officeDocument/2006/relationships/hyperlink" Target="https://www.ncei.noaa.gov/data/oceans/ncei/archive/data/0164586/derived/" TargetMode="External"/><Relationship Id="rId2" Type="http://schemas.openxmlformats.org/officeDocument/2006/relationships/hyperlink" Target="https://data.giss.nasa.gov/modelforce/strataer/tau.line_2012.12.txt" TargetMode="External"/><Relationship Id="rId1" Type="http://schemas.openxmlformats.org/officeDocument/2006/relationships/hyperlink" Target="https://www.ncei.noaa.gov/data/oceans/ncei/archive/data/0164586/derived/heat_content_anomaly_0-2000_yearly.nc" TargetMode="External"/><Relationship Id="rId6" Type="http://schemas.openxmlformats.org/officeDocument/2006/relationships/hyperlink" Target="https://www.ncei.noaa.gov/products/climate-data-records/global-ocean-heat-content" TargetMode="External"/><Relationship Id="rId5" Type="http://schemas.openxmlformats.org/officeDocument/2006/relationships/hyperlink" Target="https://www.ncei.noaa.gov/products/climate-data-records/global-ocean-heat-content" TargetMode="External"/><Relationship Id="rId4" Type="http://schemas.openxmlformats.org/officeDocument/2006/relationships/hyperlink" Target="https://www.ncei.noaa.gov/data/total-solar-irradiance/access/year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T247"/>
  <sheetViews>
    <sheetView tabSelected="1" topLeftCell="A162" zoomScale="125" zoomScaleNormal="181" workbookViewId="0">
      <selection activeCell="C175" sqref="C175"/>
    </sheetView>
  </sheetViews>
  <sheetFormatPr baseColWidth="10" defaultRowHeight="16"/>
  <sheetData>
    <row r="1" spans="1:17">
      <c r="A1">
        <v>1850</v>
      </c>
      <c r="B1">
        <v>-0.42648311999999999</v>
      </c>
      <c r="C1">
        <v>287.97225070000002</v>
      </c>
      <c r="D1">
        <v>3.6</v>
      </c>
      <c r="E1">
        <v>8.6558442499999999E-2</v>
      </c>
      <c r="F1">
        <v>0</v>
      </c>
      <c r="G1">
        <f t="shared" ref="G1:G20" si="0">G$184</f>
        <v>50.219410949999997</v>
      </c>
      <c r="H1">
        <v>-6.2887652000000002E-2</v>
      </c>
      <c r="I1" cm="1">
        <f t="array" ref="I1:I178">TRANSPOSE(U50:GP50)/4</f>
        <v>340.44589250000001</v>
      </c>
      <c r="P1" t="s">
        <v>47</v>
      </c>
      <c r="Q1">
        <v>285.2</v>
      </c>
    </row>
    <row r="2" spans="1:17">
      <c r="A2">
        <v>1851</v>
      </c>
      <c r="B2">
        <v>-0.26351829999999998</v>
      </c>
      <c r="C2">
        <v>287.93133230000001</v>
      </c>
      <c r="D2">
        <v>2.5083333329999999</v>
      </c>
      <c r="E2">
        <v>8.7122258750000001E-2</v>
      </c>
      <c r="F2">
        <v>0</v>
      </c>
      <c r="G2">
        <f t="shared" si="0"/>
        <v>50.219410949999997</v>
      </c>
      <c r="H2">
        <v>-5.7516705000000001E-2</v>
      </c>
      <c r="I2">
        <v>340.43029749999999</v>
      </c>
      <c r="Q2">
        <v>285.10000000000002</v>
      </c>
    </row>
    <row r="3" spans="1:17">
      <c r="A3">
        <v>1852</v>
      </c>
      <c r="B3">
        <v>-0.22405294000000001</v>
      </c>
      <c r="C3">
        <v>287.99988739999998</v>
      </c>
      <c r="D3">
        <v>1.441666667</v>
      </c>
      <c r="E3">
        <v>8.2300038250000013E-2</v>
      </c>
      <c r="F3">
        <v>0</v>
      </c>
      <c r="G3">
        <f t="shared" si="0"/>
        <v>50.219410949999997</v>
      </c>
      <c r="H3">
        <v>-5.5636842999999998E-2</v>
      </c>
      <c r="I3">
        <v>340.4190375</v>
      </c>
      <c r="Q3">
        <v>285</v>
      </c>
    </row>
    <row r="4" spans="1:17">
      <c r="A4">
        <v>1853</v>
      </c>
      <c r="B4">
        <v>-0.26234877000000001</v>
      </c>
      <c r="C4">
        <v>288.19014420000002</v>
      </c>
      <c r="D4">
        <v>0.61666666699999995</v>
      </c>
      <c r="E4">
        <v>7.9540538750000001E-2</v>
      </c>
      <c r="F4">
        <v>0</v>
      </c>
      <c r="G4">
        <f t="shared" si="0"/>
        <v>50.219410949999997</v>
      </c>
      <c r="H4">
        <v>-5.8647818999999997E-2</v>
      </c>
      <c r="I4">
        <v>340.38433750000002</v>
      </c>
      <c r="N4" s="3" t="s">
        <v>48</v>
      </c>
      <c r="Q4">
        <v>285</v>
      </c>
    </row>
    <row r="5" spans="1:17">
      <c r="A5">
        <v>1854</v>
      </c>
      <c r="B5">
        <v>-0.29358404999999999</v>
      </c>
      <c r="C5">
        <v>288.52727579999998</v>
      </c>
      <c r="D5">
        <v>0.28333333300000002</v>
      </c>
      <c r="E5">
        <v>6.8980705000000003E-2</v>
      </c>
      <c r="F5">
        <v>0</v>
      </c>
      <c r="G5">
        <f t="shared" si="0"/>
        <v>50.219410949999997</v>
      </c>
      <c r="H5">
        <v>-7.0431593000000001E-2</v>
      </c>
      <c r="I5">
        <v>340.34075999999999</v>
      </c>
      <c r="N5" t="s">
        <v>49</v>
      </c>
      <c r="Q5">
        <v>284.89999999999998</v>
      </c>
    </row>
    <row r="6" spans="1:17">
      <c r="A6">
        <v>1855</v>
      </c>
      <c r="B6">
        <v>-0.29138646000000001</v>
      </c>
      <c r="C6">
        <v>288.60337120000003</v>
      </c>
      <c r="D6">
        <v>2.0333333329999999</v>
      </c>
      <c r="E6">
        <v>6.7710674999999998E-2</v>
      </c>
      <c r="F6">
        <v>0</v>
      </c>
      <c r="G6">
        <f t="shared" si="0"/>
        <v>50.219410949999997</v>
      </c>
      <c r="H6">
        <v>-6.7354626000000001E-2</v>
      </c>
      <c r="I6">
        <v>340.29763750000001</v>
      </c>
      <c r="Q6">
        <v>285.10000000000002</v>
      </c>
    </row>
    <row r="7" spans="1:17">
      <c r="A7">
        <v>1856</v>
      </c>
      <c r="B7">
        <v>-0.32809033999999998</v>
      </c>
      <c r="C7">
        <v>288.65762339999998</v>
      </c>
      <c r="D7">
        <v>38.658333329999998</v>
      </c>
      <c r="E7">
        <v>7.2110574999999996E-2</v>
      </c>
      <c r="F7">
        <v>0</v>
      </c>
      <c r="G7">
        <f t="shared" si="0"/>
        <v>50.219410949999997</v>
      </c>
      <c r="H7">
        <v>-6.8452904999999994E-2</v>
      </c>
      <c r="I7">
        <v>340.28875749999997</v>
      </c>
      <c r="Q7">
        <v>285.39999999999998</v>
      </c>
    </row>
    <row r="8" spans="1:17">
      <c r="A8">
        <v>1857</v>
      </c>
      <c r="B8">
        <v>-0.46585592999999997</v>
      </c>
      <c r="C8">
        <v>289.04429119999998</v>
      </c>
      <c r="D8">
        <v>60.166666669999998</v>
      </c>
      <c r="E8">
        <v>7.5915982499999993E-2</v>
      </c>
      <c r="F8">
        <v>0</v>
      </c>
      <c r="G8">
        <f t="shared" si="0"/>
        <v>50.219410949999997</v>
      </c>
      <c r="H8">
        <v>-7.3980859999999996E-2</v>
      </c>
      <c r="I8">
        <v>340.32848999999999</v>
      </c>
      <c r="Q8">
        <v>285.60000000000002</v>
      </c>
    </row>
    <row r="9" spans="1:17">
      <c r="A9">
        <v>1858</v>
      </c>
      <c r="B9">
        <v>-0.3967561</v>
      </c>
      <c r="C9">
        <v>289.32865190000001</v>
      </c>
      <c r="D9">
        <v>29</v>
      </c>
      <c r="E9">
        <v>7.5354932499999999E-2</v>
      </c>
      <c r="F9">
        <v>0</v>
      </c>
      <c r="G9">
        <f t="shared" si="0"/>
        <v>50.219410949999997</v>
      </c>
      <c r="H9">
        <v>-7.7154830999999993E-2</v>
      </c>
      <c r="I9">
        <v>340.40457249999997</v>
      </c>
      <c r="Q9">
        <v>285.89999999999998</v>
      </c>
    </row>
    <row r="10" spans="1:17">
      <c r="A10">
        <v>1859</v>
      </c>
      <c r="B10">
        <v>-0.29197731999999998</v>
      </c>
      <c r="C10">
        <v>289.50250590000002</v>
      </c>
      <c r="D10">
        <v>11.18333333</v>
      </c>
      <c r="E10">
        <v>7.1113727500000001E-2</v>
      </c>
      <c r="F10">
        <v>0</v>
      </c>
      <c r="G10">
        <f t="shared" si="0"/>
        <v>50.219410949999997</v>
      </c>
      <c r="H10">
        <v>-7.8996355000000004E-2</v>
      </c>
      <c r="I10">
        <v>340.47235000000001</v>
      </c>
      <c r="Q10">
        <v>286.10000000000002</v>
      </c>
    </row>
    <row r="11" spans="1:17">
      <c r="A11">
        <v>1860</v>
      </c>
      <c r="B11">
        <v>-0.40712935</v>
      </c>
      <c r="C11">
        <v>289.74171510000002</v>
      </c>
      <c r="D11">
        <v>4.5916666670000001</v>
      </c>
      <c r="E11">
        <v>7.5532524999999989E-2</v>
      </c>
      <c r="F11">
        <v>0</v>
      </c>
      <c r="G11">
        <f t="shared" si="0"/>
        <v>50.219410949999997</v>
      </c>
      <c r="H11">
        <v>-8.2724539E-2</v>
      </c>
      <c r="I11">
        <v>340.49279749999999</v>
      </c>
      <c r="Q11">
        <v>286.39999999999998</v>
      </c>
    </row>
    <row r="12" spans="1:17">
      <c r="A12">
        <v>1861</v>
      </c>
      <c r="B12">
        <v>-0.46369660000000001</v>
      </c>
      <c r="C12">
        <v>290.08305159999998</v>
      </c>
      <c r="D12">
        <v>3.4083333329999999</v>
      </c>
      <c r="E12">
        <v>8.5273840000000004E-2</v>
      </c>
      <c r="F12">
        <v>0</v>
      </c>
      <c r="G12">
        <f t="shared" si="0"/>
        <v>50.219410949999997</v>
      </c>
      <c r="H12">
        <v>-8.4286903999999996E-2</v>
      </c>
      <c r="I12">
        <v>340.46645999999998</v>
      </c>
      <c r="Q12">
        <v>286.60000000000002</v>
      </c>
    </row>
    <row r="13" spans="1:17">
      <c r="A13">
        <v>1862</v>
      </c>
      <c r="B13">
        <v>-0.55482540000000002</v>
      </c>
      <c r="C13">
        <v>290.27877810000001</v>
      </c>
      <c r="D13">
        <v>13.65833333</v>
      </c>
      <c r="E13">
        <v>8.4488069999999998E-2</v>
      </c>
      <c r="F13">
        <v>0</v>
      </c>
      <c r="G13">
        <f t="shared" si="0"/>
        <v>50.219410949999997</v>
      </c>
      <c r="H13">
        <v>-8.4119749999999993E-2</v>
      </c>
      <c r="I13">
        <v>340.44412249999999</v>
      </c>
      <c r="Q13">
        <v>286.7</v>
      </c>
    </row>
    <row r="14" spans="1:17">
      <c r="A14">
        <v>1863</v>
      </c>
      <c r="B14">
        <v>-0.38284649999999998</v>
      </c>
      <c r="C14">
        <v>290.48338749999999</v>
      </c>
      <c r="D14">
        <v>10.016666669999999</v>
      </c>
      <c r="E14">
        <v>9.7560777500000001E-2</v>
      </c>
      <c r="F14">
        <v>0</v>
      </c>
      <c r="G14">
        <f t="shared" si="0"/>
        <v>50.219410949999997</v>
      </c>
      <c r="H14">
        <v>-8.2858313000000003E-2</v>
      </c>
      <c r="I14">
        <v>340.40283249999999</v>
      </c>
      <c r="Q14">
        <v>286.8</v>
      </c>
    </row>
    <row r="15" spans="1:17">
      <c r="A15">
        <v>1864</v>
      </c>
      <c r="B15">
        <v>-0.49413699999999999</v>
      </c>
      <c r="C15">
        <v>290.89839899999998</v>
      </c>
      <c r="D15">
        <v>4.6333333330000004</v>
      </c>
      <c r="E15">
        <v>9.3386605000000011E-2</v>
      </c>
      <c r="F15">
        <v>0</v>
      </c>
      <c r="G15">
        <f t="shared" si="0"/>
        <v>50.219410949999997</v>
      </c>
      <c r="H15">
        <v>-8.7039164000000002E-2</v>
      </c>
      <c r="I15">
        <v>340.38848999999999</v>
      </c>
      <c r="Q15">
        <v>286.89999999999998</v>
      </c>
    </row>
    <row r="16" spans="1:17">
      <c r="A16">
        <v>1865</v>
      </c>
      <c r="B16">
        <v>-0.39224165999999999</v>
      </c>
      <c r="C16">
        <v>291.34524870000001</v>
      </c>
      <c r="D16">
        <v>2</v>
      </c>
      <c r="E16">
        <v>9.9694870000000005E-2</v>
      </c>
      <c r="F16">
        <v>0</v>
      </c>
      <c r="G16">
        <f t="shared" si="0"/>
        <v>50.219410949999997</v>
      </c>
      <c r="H16">
        <v>-9.6378847000000004E-2</v>
      </c>
      <c r="I16">
        <v>340.35919250000001</v>
      </c>
      <c r="Q16">
        <v>287.10000000000002</v>
      </c>
    </row>
    <row r="17" spans="1:169">
      <c r="A17">
        <v>1866</v>
      </c>
      <c r="B17">
        <v>-0.40016190000000001</v>
      </c>
      <c r="C17">
        <v>291.62362589999998</v>
      </c>
      <c r="D17">
        <v>0.82499999999999996</v>
      </c>
      <c r="E17">
        <v>9.8062295000000022E-2</v>
      </c>
      <c r="F17">
        <v>0</v>
      </c>
      <c r="G17">
        <f t="shared" si="0"/>
        <v>50.219410949999997</v>
      </c>
      <c r="H17">
        <v>-9.5175359000000001E-2</v>
      </c>
      <c r="I17">
        <v>340.32668999999999</v>
      </c>
      <c r="Q17">
        <v>287.2</v>
      </c>
      <c r="EZ17">
        <f t="shared" ref="EZ17:FL17" si="1">FA17-1</f>
        <v>2005</v>
      </c>
      <c r="FA17">
        <f t="shared" si="1"/>
        <v>2006</v>
      </c>
      <c r="FB17">
        <f t="shared" si="1"/>
        <v>2007</v>
      </c>
      <c r="FC17">
        <f t="shared" si="1"/>
        <v>2008</v>
      </c>
      <c r="FD17">
        <f t="shared" si="1"/>
        <v>2009</v>
      </c>
      <c r="FE17">
        <f t="shared" si="1"/>
        <v>2010</v>
      </c>
      <c r="FF17">
        <f t="shared" si="1"/>
        <v>2011</v>
      </c>
      <c r="FG17">
        <f t="shared" si="1"/>
        <v>2012</v>
      </c>
      <c r="FH17">
        <f t="shared" si="1"/>
        <v>2013</v>
      </c>
      <c r="FI17">
        <f t="shared" si="1"/>
        <v>2014</v>
      </c>
      <c r="FJ17">
        <f t="shared" si="1"/>
        <v>2015</v>
      </c>
      <c r="FK17">
        <f t="shared" si="1"/>
        <v>2016</v>
      </c>
      <c r="FL17">
        <f t="shared" si="1"/>
        <v>2017</v>
      </c>
      <c r="FM17">
        <v>2018</v>
      </c>
    </row>
    <row r="18" spans="1:169">
      <c r="A18">
        <v>1867</v>
      </c>
      <c r="B18">
        <v>-0.39941457000000002</v>
      </c>
      <c r="C18">
        <v>292.1055897</v>
      </c>
      <c r="D18">
        <v>0.366666667</v>
      </c>
      <c r="E18">
        <v>0.10093698749999999</v>
      </c>
      <c r="F18">
        <v>0</v>
      </c>
      <c r="G18">
        <f t="shared" si="0"/>
        <v>50.219410949999997</v>
      </c>
      <c r="H18">
        <v>-0.10449473400000001</v>
      </c>
      <c r="I18">
        <v>340.30014</v>
      </c>
      <c r="Q18">
        <v>287.3</v>
      </c>
      <c r="T18" t="s">
        <v>4</v>
      </c>
      <c r="U18">
        <v>0</v>
      </c>
      <c r="V18">
        <v>1.152174</v>
      </c>
      <c r="W18">
        <v>3.0554480000000002</v>
      </c>
      <c r="X18">
        <v>1.7135260000000001</v>
      </c>
      <c r="Y18">
        <v>1.624636</v>
      </c>
      <c r="Z18">
        <v>1.6767000000000001E-2</v>
      </c>
      <c r="AA18">
        <v>3.4703580000000001</v>
      </c>
      <c r="AB18">
        <v>9.0728749999999998</v>
      </c>
      <c r="AC18">
        <v>13.960433</v>
      </c>
      <c r="AD18">
        <v>17.407888</v>
      </c>
      <c r="AE18">
        <v>21.636983000000001</v>
      </c>
      <c r="AF18">
        <v>19.125768000000001</v>
      </c>
      <c r="AG18">
        <v>16.527455</v>
      </c>
      <c r="AH18">
        <v>15.617732999999999</v>
      </c>
      <c r="AI18">
        <v>14.757101</v>
      </c>
      <c r="AJ18">
        <v>14.922197000000001</v>
      </c>
      <c r="AK18">
        <v>16.212654000000001</v>
      </c>
      <c r="AL18">
        <v>17.683049</v>
      </c>
      <c r="AM18">
        <v>18.085829</v>
      </c>
      <c r="AN18">
        <v>17.171817999999998</v>
      </c>
      <c r="AO18">
        <v>16.535898</v>
      </c>
      <c r="AP18">
        <v>15.380051</v>
      </c>
      <c r="AQ18">
        <v>13.848699999999999</v>
      </c>
      <c r="AR18">
        <v>12.512435999999999</v>
      </c>
      <c r="AS18">
        <v>15.250814</v>
      </c>
      <c r="AT18">
        <v>19.174388</v>
      </c>
      <c r="AU18">
        <v>22.765411</v>
      </c>
      <c r="AV18">
        <v>25.369513000000001</v>
      </c>
      <c r="AW18">
        <v>30.661798000000001</v>
      </c>
      <c r="AX18">
        <v>32.826909000000001</v>
      </c>
      <c r="AY18">
        <v>29.906303000000001</v>
      </c>
      <c r="AZ18">
        <v>24.750119000000002</v>
      </c>
      <c r="BA18">
        <v>16.52974</v>
      </c>
      <c r="BB18">
        <v>6.202032</v>
      </c>
      <c r="BC18">
        <v>-2.9728089999999998</v>
      </c>
      <c r="BD18">
        <v>-10.435316</v>
      </c>
      <c r="BE18">
        <v>-17.455490000000001</v>
      </c>
      <c r="BF18">
        <v>-21.520154000000002</v>
      </c>
      <c r="BG18">
        <v>-26.003014</v>
      </c>
      <c r="BH18">
        <v>-32.254264999999997</v>
      </c>
      <c r="BI18">
        <v>-37.908706000000002</v>
      </c>
      <c r="BJ18">
        <v>-40.699373000000001</v>
      </c>
      <c r="BK18">
        <v>-42.468966999999999</v>
      </c>
      <c r="BL18">
        <v>-39.558380999999997</v>
      </c>
      <c r="BM18">
        <v>-33.405565000000003</v>
      </c>
      <c r="BN18">
        <v>-29.332003</v>
      </c>
      <c r="BO18">
        <v>-25.898116000000002</v>
      </c>
      <c r="BP18">
        <v>-23.093302999999999</v>
      </c>
      <c r="BQ18">
        <v>-22.862689</v>
      </c>
      <c r="BR18">
        <v>-25.094346999999999</v>
      </c>
      <c r="BS18">
        <v>-25.852485999999999</v>
      </c>
      <c r="BT18">
        <v>-28.246202</v>
      </c>
      <c r="BU18">
        <v>-29.848146</v>
      </c>
      <c r="BV18">
        <v>-32.924574</v>
      </c>
      <c r="BW18">
        <v>-32.588191999999999</v>
      </c>
      <c r="BX18">
        <v>-28.764911000000001</v>
      </c>
      <c r="BY18">
        <v>-23.708613</v>
      </c>
      <c r="BZ18">
        <v>-19.774636999999998</v>
      </c>
      <c r="CA18">
        <v>-15.226844</v>
      </c>
      <c r="CB18">
        <v>-11.349959999999999</v>
      </c>
      <c r="CC18">
        <v>-8.9577860000000005</v>
      </c>
      <c r="CD18">
        <v>-5.6613819999999997</v>
      </c>
      <c r="CE18">
        <v>-1.364168</v>
      </c>
      <c r="CF18">
        <v>2.7931849999999998</v>
      </c>
      <c r="CG18">
        <v>5.8693179999999998</v>
      </c>
      <c r="CH18">
        <v>11.234539</v>
      </c>
      <c r="CI18">
        <v>19.853909000000002</v>
      </c>
      <c r="CJ18">
        <v>30.033242999999999</v>
      </c>
      <c r="CK18">
        <v>39.926426999999997</v>
      </c>
      <c r="CL18">
        <v>49.824919000000001</v>
      </c>
      <c r="CM18">
        <v>59.743277999999997</v>
      </c>
      <c r="CN18">
        <v>67.517431000000002</v>
      </c>
      <c r="CO18">
        <v>77.938090000000003</v>
      </c>
      <c r="CP18">
        <v>92.961552999999995</v>
      </c>
      <c r="CQ18">
        <v>105.09257599999999</v>
      </c>
      <c r="CR18">
        <v>107.77882200000001</v>
      </c>
      <c r="CS18">
        <v>108.859725</v>
      </c>
      <c r="CT18">
        <v>107.21289400000001</v>
      </c>
      <c r="CU18">
        <v>101.696867</v>
      </c>
      <c r="CV18">
        <v>99.013981999999999</v>
      </c>
      <c r="CW18">
        <v>105.475943</v>
      </c>
      <c r="CX18">
        <v>115.275858</v>
      </c>
      <c r="CY18">
        <v>122.903325</v>
      </c>
      <c r="CZ18">
        <v>126.504701</v>
      </c>
      <c r="DA18">
        <v>128.335488</v>
      </c>
      <c r="DB18">
        <v>129.66936899999999</v>
      </c>
      <c r="DC18">
        <v>133.232091</v>
      </c>
      <c r="DD18">
        <v>138.870553</v>
      </c>
      <c r="DE18">
        <v>147.99471299999999</v>
      </c>
      <c r="DF18">
        <v>158.04931099999999</v>
      </c>
      <c r="DG18">
        <v>166.67938699999999</v>
      </c>
      <c r="DH18">
        <v>170.15124</v>
      </c>
      <c r="DI18">
        <v>170.21561600000001</v>
      </c>
      <c r="DJ18">
        <v>166.12663699999999</v>
      </c>
      <c r="DK18">
        <v>163.16832600000001</v>
      </c>
      <c r="DL18">
        <v>160.953045</v>
      </c>
      <c r="DM18">
        <v>159.307535</v>
      </c>
      <c r="DN18">
        <v>161.726911</v>
      </c>
      <c r="DO18">
        <v>170.265096</v>
      </c>
      <c r="DP18">
        <v>173.85687899999999</v>
      </c>
      <c r="DQ18">
        <v>174.009648</v>
      </c>
      <c r="DR18">
        <v>176.929665</v>
      </c>
      <c r="DS18">
        <v>177.009771</v>
      </c>
      <c r="DT18">
        <v>172.98574099999999</v>
      </c>
      <c r="DU18">
        <v>171.970731</v>
      </c>
      <c r="DV18">
        <v>175.808502</v>
      </c>
      <c r="DW18">
        <v>180.62355600000001</v>
      </c>
      <c r="DX18">
        <v>187.51975100000001</v>
      </c>
      <c r="DY18">
        <v>200.028919</v>
      </c>
      <c r="DZ18">
        <v>214.228228</v>
      </c>
      <c r="EA18">
        <v>224.420455</v>
      </c>
      <c r="EB18">
        <v>229.07345900000001</v>
      </c>
      <c r="EC18">
        <v>234.39847499999999</v>
      </c>
      <c r="ED18">
        <v>235.26142899999999</v>
      </c>
      <c r="EE18">
        <v>235.10500400000001</v>
      </c>
      <c r="EF18">
        <v>238.012641</v>
      </c>
      <c r="EG18">
        <v>246.14991000000001</v>
      </c>
      <c r="EH18">
        <v>252.45115200000001</v>
      </c>
      <c r="EI18">
        <v>260.93967600000002</v>
      </c>
      <c r="EJ18">
        <v>270.28614099999999</v>
      </c>
      <c r="EK18">
        <v>275.88284199999998</v>
      </c>
      <c r="EL18">
        <v>276.58821499999999</v>
      </c>
      <c r="EM18">
        <v>279.07423299999999</v>
      </c>
      <c r="EN18">
        <v>282.20069100000001</v>
      </c>
      <c r="EO18">
        <v>286.932726</v>
      </c>
      <c r="EP18">
        <v>296.39127000000002</v>
      </c>
      <c r="EQ18">
        <v>312.10352399999999</v>
      </c>
      <c r="ER18">
        <v>325.80344100000002</v>
      </c>
      <c r="ES18">
        <v>334.27249399999999</v>
      </c>
      <c r="ET18">
        <v>341.25048800000002</v>
      </c>
      <c r="EU18">
        <v>348.03345200000001</v>
      </c>
      <c r="EV18">
        <v>351.257723</v>
      </c>
      <c r="EW18">
        <v>357.03792900000002</v>
      </c>
      <c r="EX18">
        <v>367.89013499999999</v>
      </c>
      <c r="EY18">
        <v>378.32559400000002</v>
      </c>
      <c r="EZ18">
        <v>385.509615</v>
      </c>
      <c r="FA18">
        <v>389.38556799999998</v>
      </c>
      <c r="FB18">
        <v>391.97981600000003</v>
      </c>
      <c r="FC18">
        <v>395.58442400000001</v>
      </c>
      <c r="FD18">
        <v>399.40767099999999</v>
      </c>
      <c r="FE18">
        <v>403.10555199999999</v>
      </c>
      <c r="FF18">
        <v>409.976023</v>
      </c>
      <c r="FG18">
        <v>417.51569899999998</v>
      </c>
      <c r="FH18">
        <v>425.15174400000001</v>
      </c>
      <c r="FI18">
        <v>433.95852500000001</v>
      </c>
      <c r="FJ18">
        <v>444.16807799999998</v>
      </c>
      <c r="FK18">
        <v>453.15947499999999</v>
      </c>
      <c r="FL18">
        <v>460.30364900000001</v>
      </c>
      <c r="FM18">
        <v>463.99002999999999</v>
      </c>
    </row>
    <row r="19" spans="1:169">
      <c r="A19">
        <v>1868</v>
      </c>
      <c r="B19">
        <v>-0.36312075999999999</v>
      </c>
      <c r="C19">
        <v>292.57783430000001</v>
      </c>
      <c r="D19">
        <v>0.20833333300000001</v>
      </c>
      <c r="E19">
        <v>9.1737047500000002E-2</v>
      </c>
      <c r="F19">
        <v>0</v>
      </c>
      <c r="G19">
        <f t="shared" si="0"/>
        <v>50.219410949999997</v>
      </c>
      <c r="H19">
        <v>-0.11296933100000001</v>
      </c>
      <c r="I19">
        <v>340.35177499999998</v>
      </c>
      <c r="Q19">
        <v>287.39999999999998</v>
      </c>
      <c r="T19" t="s">
        <v>5</v>
      </c>
      <c r="U19">
        <v>47.877713999999997</v>
      </c>
      <c r="V19">
        <v>47.296132</v>
      </c>
      <c r="W19">
        <v>49.162492999999998</v>
      </c>
      <c r="X19">
        <v>52.026752000000002</v>
      </c>
      <c r="Y19">
        <v>52.084695000000004</v>
      </c>
      <c r="Z19">
        <v>56.097727999999996</v>
      </c>
      <c r="AA19">
        <v>49.577995999999999</v>
      </c>
      <c r="AB19">
        <v>49.734915000000001</v>
      </c>
      <c r="AC19">
        <v>49.318905999999998</v>
      </c>
      <c r="AD19">
        <v>50.905977999999998</v>
      </c>
      <c r="AE19">
        <v>50.942965000000001</v>
      </c>
      <c r="AF19">
        <v>48.384265999999997</v>
      </c>
      <c r="AG19">
        <v>51.583947000000002</v>
      </c>
      <c r="AH19">
        <v>47.446891000000001</v>
      </c>
      <c r="AI19">
        <v>48.134172</v>
      </c>
      <c r="AJ19">
        <v>50.271923000000001</v>
      </c>
      <c r="AK19">
        <v>53.832245999999998</v>
      </c>
      <c r="AL19">
        <v>49.341672000000003</v>
      </c>
      <c r="AM19">
        <v>50.638702000000002</v>
      </c>
      <c r="AN19">
        <v>49.728126000000003</v>
      </c>
      <c r="AO19">
        <v>51.957317000000003</v>
      </c>
      <c r="AP19">
        <v>50.066094</v>
      </c>
      <c r="AQ19">
        <v>54.553120999999997</v>
      </c>
      <c r="AR19">
        <v>49.335889999999999</v>
      </c>
      <c r="AS19">
        <v>51.153911000000001</v>
      </c>
      <c r="AT19">
        <v>48.515118000000001</v>
      </c>
      <c r="AU19">
        <v>58.411088999999997</v>
      </c>
      <c r="AV19">
        <v>51.211100999999999</v>
      </c>
      <c r="AW19">
        <v>48.897539000000002</v>
      </c>
      <c r="AX19">
        <v>47.410651000000001</v>
      </c>
      <c r="AY19">
        <v>55.610861</v>
      </c>
      <c r="AZ19">
        <v>50.779744999999998</v>
      </c>
      <c r="BA19">
        <v>48.623297000000001</v>
      </c>
      <c r="BB19">
        <v>50.851571999999997</v>
      </c>
      <c r="BC19">
        <v>53.647176999999999</v>
      </c>
      <c r="BD19">
        <v>46.205308000000002</v>
      </c>
      <c r="BE19">
        <v>54.434851000000002</v>
      </c>
      <c r="BF19">
        <v>47.731118000000002</v>
      </c>
      <c r="BG19">
        <v>52.426805999999999</v>
      </c>
      <c r="BH19">
        <v>51.183776000000002</v>
      </c>
      <c r="BI19">
        <v>49.505870999999999</v>
      </c>
      <c r="BJ19">
        <v>51.733893000000002</v>
      </c>
      <c r="BK19">
        <v>48.463394000000001</v>
      </c>
      <c r="BL19">
        <v>47.801648</v>
      </c>
      <c r="BM19">
        <v>53.261487000000002</v>
      </c>
      <c r="BN19">
        <v>51.317435000000003</v>
      </c>
      <c r="BO19">
        <v>49.731985000000002</v>
      </c>
      <c r="BP19">
        <v>50.709682000000001</v>
      </c>
      <c r="BQ19">
        <v>50.593136000000001</v>
      </c>
      <c r="BR19">
        <v>49.813271</v>
      </c>
      <c r="BS19">
        <v>48.289881999999999</v>
      </c>
      <c r="BT19">
        <v>38.332554999999999</v>
      </c>
      <c r="BU19">
        <v>36.775418999999999</v>
      </c>
      <c r="BV19">
        <v>35.377609</v>
      </c>
      <c r="BW19">
        <v>40.943997000000003</v>
      </c>
      <c r="BX19">
        <v>41.31503</v>
      </c>
      <c r="BY19">
        <v>38.726613999999998</v>
      </c>
      <c r="BZ19">
        <v>39.926903000000003</v>
      </c>
      <c r="CA19">
        <v>39.685720000000003</v>
      </c>
      <c r="CB19">
        <v>37.050845000000002</v>
      </c>
      <c r="CC19">
        <v>36.781007000000002</v>
      </c>
      <c r="CD19">
        <v>37.912699000000003</v>
      </c>
      <c r="CE19">
        <v>38.055422</v>
      </c>
      <c r="CF19">
        <v>37.68018</v>
      </c>
      <c r="CG19">
        <v>41.302841000000001</v>
      </c>
      <c r="CH19">
        <v>35.018914000000002</v>
      </c>
      <c r="CI19">
        <v>38.775016000000001</v>
      </c>
      <c r="CJ19">
        <v>35.837446</v>
      </c>
      <c r="CK19">
        <v>40.31908</v>
      </c>
      <c r="CL19">
        <v>38.963684999999998</v>
      </c>
      <c r="CM19">
        <v>36.418633</v>
      </c>
      <c r="CN19">
        <v>38.579852000000002</v>
      </c>
      <c r="CO19">
        <v>37.244672999999999</v>
      </c>
      <c r="CP19">
        <v>37.659891000000002</v>
      </c>
      <c r="CQ19">
        <v>36.081150000000001</v>
      </c>
      <c r="CR19">
        <v>34.400258999999998</v>
      </c>
      <c r="CS19">
        <v>40.178642000000004</v>
      </c>
      <c r="CT19">
        <v>37.147046000000003</v>
      </c>
      <c r="CU19">
        <v>37.950192000000001</v>
      </c>
      <c r="CV19">
        <v>36.549624999999999</v>
      </c>
      <c r="CW19">
        <v>37.305273999999997</v>
      </c>
      <c r="CX19">
        <v>37.817529</v>
      </c>
      <c r="CY19">
        <v>38.384177000000001</v>
      </c>
      <c r="CZ19">
        <v>40.473965</v>
      </c>
      <c r="DA19">
        <v>37.595399999999998</v>
      </c>
      <c r="DB19">
        <v>34.225225999999999</v>
      </c>
      <c r="DC19">
        <v>36.874388000000003</v>
      </c>
      <c r="DD19">
        <v>39.492299000000003</v>
      </c>
      <c r="DE19">
        <v>41.305689000000001</v>
      </c>
      <c r="DF19">
        <v>37.915106000000002</v>
      </c>
      <c r="DG19">
        <v>38.643113999999997</v>
      </c>
      <c r="DH19">
        <v>38.403931999999998</v>
      </c>
      <c r="DI19">
        <v>38.867451000000003</v>
      </c>
      <c r="DJ19">
        <v>39.016264</v>
      </c>
      <c r="DK19">
        <v>39.950173999999997</v>
      </c>
      <c r="DL19">
        <v>36.976562000000001</v>
      </c>
      <c r="DM19">
        <v>40.128588999999998</v>
      </c>
      <c r="DN19">
        <v>40.475253000000002</v>
      </c>
      <c r="DO19">
        <v>39.266278999999997</v>
      </c>
      <c r="DP19">
        <v>39.494076</v>
      </c>
      <c r="DQ19">
        <v>25.001082</v>
      </c>
      <c r="DR19">
        <v>25.240618000000001</v>
      </c>
      <c r="DS19">
        <v>25.880512</v>
      </c>
      <c r="DT19">
        <v>26.163758000000001</v>
      </c>
      <c r="DU19">
        <v>26.129287999999999</v>
      </c>
      <c r="DV19">
        <v>25.307863000000001</v>
      </c>
      <c r="DW19">
        <v>24.080273999999999</v>
      </c>
      <c r="DX19">
        <v>24.397352000000001</v>
      </c>
      <c r="DY19">
        <v>26.478677999999999</v>
      </c>
      <c r="DZ19">
        <v>24.964442999999999</v>
      </c>
      <c r="EA19">
        <v>26.393549</v>
      </c>
      <c r="EB19">
        <v>26.34393</v>
      </c>
      <c r="EC19">
        <v>26.269539000000002</v>
      </c>
      <c r="ED19">
        <v>25.639737</v>
      </c>
      <c r="EE19">
        <v>25.283626999999999</v>
      </c>
      <c r="EF19">
        <v>25.716422999999999</v>
      </c>
      <c r="EG19">
        <v>25.471305000000001</v>
      </c>
      <c r="EH19">
        <v>24.145945000000001</v>
      </c>
      <c r="EI19">
        <v>24.556968000000001</v>
      </c>
      <c r="EJ19">
        <v>26.405666</v>
      </c>
      <c r="EK19">
        <v>24.162634000000001</v>
      </c>
      <c r="EL19">
        <v>25.433071000000002</v>
      </c>
      <c r="EM19">
        <v>28.731781000000002</v>
      </c>
      <c r="EN19">
        <v>23.850376000000001</v>
      </c>
      <c r="EO19">
        <v>23.981631</v>
      </c>
      <c r="EP19">
        <v>25.697914999999998</v>
      </c>
      <c r="EQ19">
        <v>25.636693000000001</v>
      </c>
      <c r="ER19">
        <v>25.646369</v>
      </c>
      <c r="ES19">
        <v>26.810634</v>
      </c>
      <c r="ET19">
        <v>23.972168</v>
      </c>
      <c r="EU19">
        <v>25.699831</v>
      </c>
      <c r="EV19">
        <v>24.638421000000001</v>
      </c>
      <c r="EW19">
        <v>24.003786999999999</v>
      </c>
      <c r="EX19">
        <v>25.470210999999999</v>
      </c>
      <c r="EY19">
        <v>26.016722999999999</v>
      </c>
      <c r="EZ19">
        <v>25.435932999999999</v>
      </c>
      <c r="FA19">
        <v>25.604416000000001</v>
      </c>
      <c r="FB19">
        <v>23.583463999999999</v>
      </c>
      <c r="FC19">
        <v>26.338853</v>
      </c>
      <c r="FD19">
        <v>25.861284999999999</v>
      </c>
      <c r="FE19">
        <v>26.677226999999998</v>
      </c>
      <c r="FF19">
        <v>26.216131000000001</v>
      </c>
      <c r="FG19">
        <v>23.723237000000001</v>
      </c>
      <c r="FH19">
        <v>24.557424999999999</v>
      </c>
      <c r="FI19">
        <v>26.02901</v>
      </c>
      <c r="FJ19">
        <v>24.026637000000001</v>
      </c>
      <c r="FK19">
        <v>24.026688</v>
      </c>
      <c r="FL19">
        <v>26.532468999999999</v>
      </c>
      <c r="FM19">
        <v>24.110208</v>
      </c>
    </row>
    <row r="20" spans="1:169">
      <c r="A20">
        <v>1869</v>
      </c>
      <c r="B20">
        <v>-0.31852213000000001</v>
      </c>
      <c r="C20">
        <v>292.68680590000002</v>
      </c>
      <c r="D20">
        <v>0.6</v>
      </c>
      <c r="E20">
        <v>8.0809102500000007E-2</v>
      </c>
      <c r="F20">
        <v>0</v>
      </c>
      <c r="G20">
        <f t="shared" si="0"/>
        <v>50.219410949999997</v>
      </c>
      <c r="H20">
        <v>-0.111543774</v>
      </c>
      <c r="I20">
        <v>340.42279000000002</v>
      </c>
      <c r="Q20">
        <v>287.5</v>
      </c>
    </row>
    <row r="21" spans="1:169">
      <c r="A21">
        <v>1870</v>
      </c>
      <c r="B21">
        <v>-0.32778122999999998</v>
      </c>
      <c r="C21">
        <v>293.01916899999998</v>
      </c>
      <c r="D21">
        <v>0.60833333300000003</v>
      </c>
      <c r="E21">
        <v>7.3627264999999997E-2</v>
      </c>
      <c r="F21">
        <f t="array" ref="F21:F169">TRANSPOSE(U18:FM18)</f>
        <v>0</v>
      </c>
      <c r="G21">
        <f t="array" ref="G21:G169">TRANSPOSE(U19:FM19)</f>
        <v>47.877713999999997</v>
      </c>
      <c r="H21">
        <v>-0.11790650799999999</v>
      </c>
      <c r="I21">
        <v>340.51199250000002</v>
      </c>
      <c r="Q21">
        <v>287.7</v>
      </c>
    </row>
    <row r="22" spans="1:169">
      <c r="A22">
        <v>1871</v>
      </c>
      <c r="B22">
        <v>-0.37342322</v>
      </c>
      <c r="C22">
        <v>293.11206700000002</v>
      </c>
      <c r="D22">
        <v>0.59166666700000003</v>
      </c>
      <c r="E22">
        <v>7.5082032499999993E-2</v>
      </c>
      <c r="F22">
        <v>1.152174</v>
      </c>
      <c r="G22">
        <v>47.296132</v>
      </c>
      <c r="H22">
        <v>-0.116782573</v>
      </c>
      <c r="I22">
        <v>340.50793499999997</v>
      </c>
      <c r="Q22">
        <v>287.89999999999998</v>
      </c>
    </row>
    <row r="23" spans="1:169">
      <c r="A23">
        <v>1872</v>
      </c>
      <c r="B23">
        <v>-0.30945122000000003</v>
      </c>
      <c r="C23">
        <v>293.22038420000001</v>
      </c>
      <c r="D23">
        <v>1.316666667</v>
      </c>
      <c r="E23">
        <v>6.8182329999999999E-2</v>
      </c>
      <c r="F23">
        <v>3.0554480000000002</v>
      </c>
      <c r="G23" s="1">
        <v>49.162492999999998</v>
      </c>
      <c r="H23">
        <v>-0.118351945</v>
      </c>
      <c r="I23">
        <v>340.49282749999998</v>
      </c>
      <c r="Q23">
        <v>288</v>
      </c>
      <c r="T23" t="s">
        <v>21</v>
      </c>
      <c r="U23" s="2" t="s">
        <v>19</v>
      </c>
      <c r="V23">
        <f>1955+606/12</f>
        <v>2005.5</v>
      </c>
      <c r="W23">
        <f t="shared" ref="W23:AP23" si="2">V23+1</f>
        <v>2006.5</v>
      </c>
      <c r="X23">
        <f t="shared" si="2"/>
        <v>2007.5</v>
      </c>
      <c r="Y23">
        <f t="shared" si="2"/>
        <v>2008.5</v>
      </c>
      <c r="Z23">
        <f t="shared" si="2"/>
        <v>2009.5</v>
      </c>
      <c r="AA23">
        <f t="shared" si="2"/>
        <v>2010.5</v>
      </c>
      <c r="AB23">
        <f t="shared" si="2"/>
        <v>2011.5</v>
      </c>
      <c r="AC23">
        <f t="shared" si="2"/>
        <v>2012.5</v>
      </c>
      <c r="AD23">
        <f t="shared" si="2"/>
        <v>2013.5</v>
      </c>
      <c r="AE23">
        <f t="shared" si="2"/>
        <v>2014.5</v>
      </c>
      <c r="AF23">
        <f t="shared" si="2"/>
        <v>2015.5</v>
      </c>
      <c r="AG23">
        <f t="shared" si="2"/>
        <v>2016.5</v>
      </c>
      <c r="AH23">
        <f t="shared" si="2"/>
        <v>2017.5</v>
      </c>
      <c r="AI23">
        <f t="shared" si="2"/>
        <v>2018.5</v>
      </c>
      <c r="AJ23">
        <f t="shared" si="2"/>
        <v>2019.5</v>
      </c>
      <c r="AK23">
        <f t="shared" si="2"/>
        <v>2020.5</v>
      </c>
      <c r="AL23">
        <f t="shared" si="2"/>
        <v>2021.5</v>
      </c>
      <c r="AM23">
        <f t="shared" si="2"/>
        <v>2022.5</v>
      </c>
      <c r="AN23">
        <f t="shared" si="2"/>
        <v>2023.5</v>
      </c>
      <c r="AO23">
        <f t="shared" si="2"/>
        <v>2024.5</v>
      </c>
      <c r="AP23">
        <f t="shared" si="2"/>
        <v>2025.5</v>
      </c>
    </row>
    <row r="24" spans="1:169">
      <c r="A24">
        <v>1873</v>
      </c>
      <c r="B24">
        <v>-0.32117823000000001</v>
      </c>
      <c r="C24">
        <v>293.628063</v>
      </c>
      <c r="D24">
        <v>3.0083333329999999</v>
      </c>
      <c r="E24">
        <v>6.510574999999999E-2</v>
      </c>
      <c r="F24">
        <v>1.7135260000000001</v>
      </c>
      <c r="G24">
        <v>52.026752000000002</v>
      </c>
      <c r="H24">
        <v>-0.13051178999999999</v>
      </c>
      <c r="I24">
        <v>340.45068250000003</v>
      </c>
      <c r="Q24">
        <v>288.2</v>
      </c>
      <c r="T24" s="2" t="s">
        <v>20</v>
      </c>
      <c r="U24" s="2" t="s">
        <v>18</v>
      </c>
      <c r="V24">
        <v>10.170999999999999</v>
      </c>
      <c r="W24">
        <v>12.638</v>
      </c>
      <c r="X24">
        <v>12.394</v>
      </c>
      <c r="Y24">
        <v>13.257</v>
      </c>
      <c r="Z24">
        <v>13.430999999999999</v>
      </c>
      <c r="AA24">
        <v>14.537000000000001</v>
      </c>
      <c r="AB24">
        <v>15.394</v>
      </c>
      <c r="AC24">
        <v>16.187000000000001</v>
      </c>
      <c r="AD24">
        <v>18.649999999999999</v>
      </c>
      <c r="AE24">
        <v>20.110001</v>
      </c>
      <c r="AF24">
        <v>22.400998999999999</v>
      </c>
      <c r="AG24">
        <v>20.798999999999999</v>
      </c>
      <c r="AH24">
        <v>23.589001</v>
      </c>
      <c r="AI24">
        <v>24.059000000000001</v>
      </c>
      <c r="AJ24">
        <v>25.436001000000001</v>
      </c>
      <c r="AK24">
        <v>25.524999999999999</v>
      </c>
      <c r="AL24">
        <v>27.280000999999999</v>
      </c>
      <c r="AM24">
        <v>28.191998999999999</v>
      </c>
      <c r="AN24">
        <v>29.22</v>
      </c>
      <c r="AO24">
        <v>30.315999999999999</v>
      </c>
      <c r="AP24">
        <v>32.533000000000001</v>
      </c>
    </row>
    <row r="25" spans="1:169">
      <c r="A25">
        <v>1874</v>
      </c>
      <c r="B25">
        <v>-0.36541121999999998</v>
      </c>
      <c r="C25">
        <v>293.96878390000001</v>
      </c>
      <c r="D25">
        <v>1.9583333329999999</v>
      </c>
      <c r="E25">
        <v>6.6028365000000006E-2</v>
      </c>
      <c r="F25">
        <v>1.624636</v>
      </c>
      <c r="G25">
        <v>52.084695000000004</v>
      </c>
      <c r="H25">
        <v>-0.13341630900000001</v>
      </c>
      <c r="I25">
        <v>340.39373749999999</v>
      </c>
      <c r="Q25">
        <v>288.39999999999998</v>
      </c>
      <c r="U25" t="s">
        <v>52</v>
      </c>
      <c r="V25">
        <f t="shared" ref="V25:AM25" si="3">(W24-V24)*10</f>
        <v>24.670000000000005</v>
      </c>
      <c r="W25">
        <f t="shared" si="3"/>
        <v>-2.4399999999999977</v>
      </c>
      <c r="X25">
        <f t="shared" si="3"/>
        <v>8.6299999999999955</v>
      </c>
      <c r="Y25">
        <f t="shared" si="3"/>
        <v>1.7399999999999949</v>
      </c>
      <c r="Z25">
        <f t="shared" si="3"/>
        <v>11.060000000000016</v>
      </c>
      <c r="AA25">
        <f t="shared" si="3"/>
        <v>8.5699999999999932</v>
      </c>
      <c r="AB25">
        <f t="shared" si="3"/>
        <v>7.9300000000000104</v>
      </c>
      <c r="AC25">
        <f t="shared" si="3"/>
        <v>24.629999999999974</v>
      </c>
      <c r="AD25">
        <f t="shared" si="3"/>
        <v>14.600010000000019</v>
      </c>
      <c r="AE25">
        <f t="shared" si="3"/>
        <v>22.909979999999983</v>
      </c>
      <c r="AF25">
        <f t="shared" si="3"/>
        <v>-16.019989999999993</v>
      </c>
      <c r="AG25">
        <f t="shared" si="3"/>
        <v>27.900010000000002</v>
      </c>
      <c r="AH25">
        <f t="shared" si="3"/>
        <v>4.6999900000000139</v>
      </c>
      <c r="AI25">
        <f t="shared" si="3"/>
        <v>13.770009999999999</v>
      </c>
      <c r="AJ25">
        <f>(AK24-AJ24)*10</f>
        <v>0.88998999999997608</v>
      </c>
      <c r="AK25">
        <f t="shared" si="3"/>
        <v>17.55001</v>
      </c>
      <c r="AL25">
        <f t="shared" si="3"/>
        <v>9.1199800000000053</v>
      </c>
      <c r="AM25">
        <f t="shared" si="3"/>
        <v>10.280009999999997</v>
      </c>
      <c r="AN25">
        <f t="shared" ref="AN25:AO25" si="4">(AO24-AN24)*10</f>
        <v>10.96</v>
      </c>
      <c r="AO25">
        <f t="shared" si="4"/>
        <v>22.170000000000023</v>
      </c>
    </row>
    <row r="26" spans="1:169">
      <c r="A26">
        <v>1875</v>
      </c>
      <c r="B26">
        <v>-0.36674760000000001</v>
      </c>
      <c r="C26">
        <v>294.1348916</v>
      </c>
      <c r="D26">
        <v>1.2916666670000001</v>
      </c>
      <c r="E26">
        <v>6.8345514999999996E-2</v>
      </c>
      <c r="F26">
        <v>1.6767000000000001E-2</v>
      </c>
      <c r="G26">
        <v>56.097727999999996</v>
      </c>
      <c r="H26">
        <v>-0.131618023</v>
      </c>
      <c r="I26">
        <v>340.33819499999998</v>
      </c>
      <c r="Q26">
        <v>288.60000000000002</v>
      </c>
    </row>
    <row r="27" spans="1:169">
      <c r="A27">
        <v>1876</v>
      </c>
      <c r="B27">
        <v>-0.41084635000000003</v>
      </c>
      <c r="C27">
        <v>294.40777459999998</v>
      </c>
      <c r="D27">
        <v>6.2</v>
      </c>
      <c r="E27">
        <v>6.9553074999999992E-2</v>
      </c>
      <c r="F27">
        <v>3.4703580000000001</v>
      </c>
      <c r="G27">
        <v>49.577995999999999</v>
      </c>
      <c r="H27">
        <v>-0.13615659399999999</v>
      </c>
      <c r="I27">
        <v>340.32458500000001</v>
      </c>
      <c r="Q27">
        <v>288.7</v>
      </c>
      <c r="V27">
        <f t="shared" ref="V27:AI27" si="5">EZ17</f>
        <v>2005</v>
      </c>
      <c r="W27">
        <f t="shared" si="5"/>
        <v>2006</v>
      </c>
      <c r="X27">
        <f t="shared" si="5"/>
        <v>2007</v>
      </c>
      <c r="Y27">
        <f t="shared" si="5"/>
        <v>2008</v>
      </c>
      <c r="Z27">
        <f t="shared" si="5"/>
        <v>2009</v>
      </c>
      <c r="AA27">
        <f t="shared" si="5"/>
        <v>2010</v>
      </c>
      <c r="AB27">
        <f t="shared" si="5"/>
        <v>2011</v>
      </c>
      <c r="AC27">
        <f t="shared" si="5"/>
        <v>2012</v>
      </c>
      <c r="AD27">
        <f t="shared" si="5"/>
        <v>2013</v>
      </c>
      <c r="AE27">
        <f t="shared" si="5"/>
        <v>2014</v>
      </c>
      <c r="AF27">
        <f t="shared" si="5"/>
        <v>2015</v>
      </c>
      <c r="AG27">
        <f t="shared" si="5"/>
        <v>2016</v>
      </c>
      <c r="AH27">
        <f t="shared" si="5"/>
        <v>2017</v>
      </c>
      <c r="AI27">
        <f t="shared" si="5"/>
        <v>2018</v>
      </c>
    </row>
    <row r="28" spans="1:169">
      <c r="A28">
        <v>1877</v>
      </c>
      <c r="B28">
        <v>-8.2424335000000001E-2</v>
      </c>
      <c r="C28">
        <v>294.78779420000001</v>
      </c>
      <c r="D28">
        <v>5.266666667</v>
      </c>
      <c r="E28">
        <v>6.3936372000000005E-2</v>
      </c>
      <c r="F28">
        <v>9.0728749999999998</v>
      </c>
      <c r="G28">
        <v>49.734915000000001</v>
      </c>
      <c r="H28">
        <v>-0.14074376899999999</v>
      </c>
      <c r="I28">
        <v>340.32763749999998</v>
      </c>
      <c r="Q28">
        <v>288.89999999999998</v>
      </c>
      <c r="T28" t="s">
        <v>23</v>
      </c>
      <c r="V28">
        <f t="shared" ref="V28:AI28" si="6">EZ18</f>
        <v>385.509615</v>
      </c>
      <c r="W28">
        <f t="shared" si="6"/>
        <v>389.38556799999998</v>
      </c>
      <c r="X28">
        <f t="shared" si="6"/>
        <v>391.97981600000003</v>
      </c>
      <c r="Y28">
        <f t="shared" si="6"/>
        <v>395.58442400000001</v>
      </c>
      <c r="Z28">
        <f t="shared" si="6"/>
        <v>399.40767099999999</v>
      </c>
      <c r="AA28">
        <f t="shared" si="6"/>
        <v>403.10555199999999</v>
      </c>
      <c r="AB28">
        <f t="shared" si="6"/>
        <v>409.976023</v>
      </c>
      <c r="AC28">
        <f t="shared" si="6"/>
        <v>417.51569899999998</v>
      </c>
      <c r="AD28">
        <f t="shared" si="6"/>
        <v>425.15174400000001</v>
      </c>
      <c r="AE28">
        <f t="shared" si="6"/>
        <v>433.95852500000001</v>
      </c>
      <c r="AF28">
        <f t="shared" si="6"/>
        <v>444.16807799999998</v>
      </c>
      <c r="AG28">
        <f t="shared" si="6"/>
        <v>453.15947499999999</v>
      </c>
      <c r="AH28">
        <f t="shared" si="6"/>
        <v>460.30364900000001</v>
      </c>
      <c r="AI28">
        <f t="shared" si="6"/>
        <v>463.99002999999999</v>
      </c>
      <c r="AJ28">
        <f>AI28+AI33</f>
        <v>477.76004</v>
      </c>
      <c r="AK28">
        <f>AJ28+AJ33</f>
        <v>478.65002999999996</v>
      </c>
      <c r="AL28">
        <f>AK28+AK33</f>
        <v>496.20003999999994</v>
      </c>
      <c r="AM28">
        <f>AL28+AL33</f>
        <v>505.32001999999994</v>
      </c>
      <c r="AN28">
        <f>AM28+AM33</f>
        <v>515.60002999999995</v>
      </c>
      <c r="AO28">
        <f t="shared" ref="AO28:AP28" si="7">AN28+AN33</f>
        <v>526.56002999999998</v>
      </c>
      <c r="AP28">
        <f t="shared" si="7"/>
        <v>548.73003000000006</v>
      </c>
    </row>
    <row r="29" spans="1:169">
      <c r="A29">
        <v>1878</v>
      </c>
      <c r="B29">
        <v>1.0314008E-2</v>
      </c>
      <c r="C29">
        <v>295.15151329999998</v>
      </c>
      <c r="D29">
        <v>3.1583333329999999</v>
      </c>
      <c r="E29">
        <v>6.1555739999999998E-2</v>
      </c>
      <c r="F29">
        <v>13.960433</v>
      </c>
      <c r="G29">
        <v>49.318905999999998</v>
      </c>
      <c r="H29">
        <v>-0.14382075599999999</v>
      </c>
      <c r="I29">
        <v>340.29495250000002</v>
      </c>
      <c r="Q29">
        <v>289.5</v>
      </c>
      <c r="V29">
        <f t="shared" ref="V29:AH29" si="8">W28-V28</f>
        <v>3.8759529999999813</v>
      </c>
      <c r="W29">
        <f t="shared" si="8"/>
        <v>2.5942480000000501</v>
      </c>
      <c r="X29">
        <f t="shared" si="8"/>
        <v>3.6046079999999847</v>
      </c>
      <c r="Y29">
        <f t="shared" si="8"/>
        <v>3.8232469999999807</v>
      </c>
      <c r="Z29">
        <f t="shared" si="8"/>
        <v>3.6978809999999953</v>
      </c>
      <c r="AA29">
        <f t="shared" si="8"/>
        <v>6.8704710000000091</v>
      </c>
      <c r="AB29">
        <f t="shared" si="8"/>
        <v>7.5396759999999858</v>
      </c>
      <c r="AC29">
        <f t="shared" si="8"/>
        <v>7.6360450000000242</v>
      </c>
      <c r="AD29">
        <f t="shared" si="8"/>
        <v>8.8067810000000009</v>
      </c>
      <c r="AE29">
        <f t="shared" si="8"/>
        <v>10.209552999999971</v>
      </c>
      <c r="AF29">
        <f t="shared" si="8"/>
        <v>8.9913970000000063</v>
      </c>
      <c r="AG29">
        <f t="shared" si="8"/>
        <v>7.1441740000000209</v>
      </c>
      <c r="AH29">
        <f t="shared" si="8"/>
        <v>3.686380999999983</v>
      </c>
    </row>
    <row r="30" spans="1:169">
      <c r="A30">
        <v>1879</v>
      </c>
      <c r="B30">
        <v>-0.28873557</v>
      </c>
      <c r="C30">
        <v>295.47697870000002</v>
      </c>
      <c r="D30">
        <v>2</v>
      </c>
      <c r="E30">
        <v>6.5920580000000006E-2</v>
      </c>
      <c r="F30">
        <v>17.407888</v>
      </c>
      <c r="G30">
        <v>50.905977999999998</v>
      </c>
      <c r="H30">
        <v>-0.152436656</v>
      </c>
      <c r="I30">
        <v>340.3061525</v>
      </c>
      <c r="Q30">
        <v>290.10000000000002</v>
      </c>
    </row>
    <row r="31" spans="1:169">
      <c r="A31">
        <v>1880</v>
      </c>
      <c r="B31">
        <v>-0.30317359999999999</v>
      </c>
      <c r="C31">
        <v>295.75289379999998</v>
      </c>
      <c r="D31">
        <v>1.141666667</v>
      </c>
      <c r="E31">
        <v>6.1261195000000004E-2</v>
      </c>
      <c r="F31">
        <v>21.636983000000001</v>
      </c>
      <c r="G31">
        <v>50.942965000000001</v>
      </c>
      <c r="H31">
        <v>-0.15971850700000001</v>
      </c>
      <c r="I31">
        <v>340.37341249999997</v>
      </c>
      <c r="Q31">
        <v>290.8</v>
      </c>
    </row>
    <row r="32" spans="1:169">
      <c r="A32">
        <v>1881</v>
      </c>
      <c r="B32">
        <v>-0.21301129999999999</v>
      </c>
      <c r="C32">
        <v>296.20220990000001</v>
      </c>
      <c r="D32">
        <v>0.66666666699999999</v>
      </c>
      <c r="E32">
        <v>6.2508651499999998E-2</v>
      </c>
      <c r="F32">
        <v>19.125768000000001</v>
      </c>
      <c r="G32">
        <v>48.384265999999997</v>
      </c>
      <c r="H32">
        <v>-0.164841977</v>
      </c>
      <c r="I32">
        <v>340.43731750000001</v>
      </c>
      <c r="Q32">
        <v>291.39999999999998</v>
      </c>
    </row>
    <row r="33" spans="1:436">
      <c r="A33">
        <v>1882</v>
      </c>
      <c r="B33">
        <v>-0.27210786999999997</v>
      </c>
      <c r="C33">
        <v>296.46221559999998</v>
      </c>
      <c r="D33">
        <v>0.57499999999999996</v>
      </c>
      <c r="E33">
        <v>6.25953125E-2</v>
      </c>
      <c r="F33">
        <v>16.527455</v>
      </c>
      <c r="G33">
        <v>51.583947000000002</v>
      </c>
      <c r="H33">
        <v>-0.16780877799999999</v>
      </c>
      <c r="I33">
        <v>340.42928999999998</v>
      </c>
      <c r="Q33">
        <v>292</v>
      </c>
      <c r="V33">
        <f>(AH24-V24)*10</f>
        <v>134.18001000000001</v>
      </c>
      <c r="W33" t="s">
        <v>25</v>
      </c>
      <c r="AI33">
        <f t="shared" ref="AI33:AO33" si="9">AI25</f>
        <v>13.770009999999999</v>
      </c>
      <c r="AJ33">
        <f t="shared" si="9"/>
        <v>0.88998999999997608</v>
      </c>
      <c r="AK33">
        <f t="shared" si="9"/>
        <v>17.55001</v>
      </c>
      <c r="AL33">
        <f t="shared" si="9"/>
        <v>9.1199800000000053</v>
      </c>
      <c r="AM33">
        <f t="shared" si="9"/>
        <v>10.280009999999997</v>
      </c>
      <c r="AN33">
        <f t="shared" si="9"/>
        <v>10.96</v>
      </c>
      <c r="AO33">
        <f t="shared" si="9"/>
        <v>22.170000000000023</v>
      </c>
    </row>
    <row r="34" spans="1:436">
      <c r="A34">
        <v>1883</v>
      </c>
      <c r="B34">
        <v>-0.32755711999999998</v>
      </c>
      <c r="C34">
        <v>296.67358180000002</v>
      </c>
      <c r="D34">
        <v>47.291666669999998</v>
      </c>
      <c r="E34">
        <v>5.5816837500000001E-2</v>
      </c>
      <c r="F34">
        <v>15.617732999999999</v>
      </c>
      <c r="G34">
        <v>47.446891000000001</v>
      </c>
      <c r="H34">
        <v>-0.16824585</v>
      </c>
      <c r="I34">
        <v>340.4181825</v>
      </c>
      <c r="Q34">
        <v>292.5</v>
      </c>
      <c r="V34">
        <f>AI28-V28</f>
        <v>78.480414999999994</v>
      </c>
      <c r="W34" t="s">
        <v>24</v>
      </c>
    </row>
    <row r="35" spans="1:436">
      <c r="A35">
        <v>1884</v>
      </c>
      <c r="B35">
        <v>-0.47444913</v>
      </c>
      <c r="C35">
        <v>297.16847569999999</v>
      </c>
      <c r="D35">
        <v>142.90833330000001</v>
      </c>
      <c r="E35">
        <v>5.4527167499999987E-2</v>
      </c>
      <c r="F35">
        <v>14.757101</v>
      </c>
      <c r="G35">
        <v>48.134172</v>
      </c>
      <c r="H35">
        <v>-0.175315991</v>
      </c>
      <c r="I35">
        <v>340.43396000000001</v>
      </c>
      <c r="Q35">
        <v>292.89999999999998</v>
      </c>
      <c r="AH35" s="9" t="s">
        <v>53</v>
      </c>
      <c r="AI35" s="9">
        <f>AJ36-AI36</f>
        <v>14.374416300000007</v>
      </c>
      <c r="AJ35" s="9">
        <f>AK36-AJ36</f>
        <v>1.1049573999999893</v>
      </c>
      <c r="AK35" s="9">
        <f>AL36-AK36</f>
        <v>19.889233400000023</v>
      </c>
      <c r="AL35" s="9">
        <f>AM36-AL36</f>
        <v>9.9446166000000176</v>
      </c>
      <c r="AM35" s="9">
        <f>AN36-AM36</f>
        <v>1</v>
      </c>
      <c r="AN35" s="9"/>
    </row>
    <row r="36" spans="1:436">
      <c r="A36">
        <v>1885</v>
      </c>
      <c r="B36">
        <v>-0.45813232999999998</v>
      </c>
      <c r="C36">
        <v>297.55400520000001</v>
      </c>
      <c r="D36">
        <v>63.491666670000001</v>
      </c>
      <c r="E36">
        <v>5.4673667499999995E-2</v>
      </c>
      <c r="F36">
        <v>14.922197000000001</v>
      </c>
      <c r="G36">
        <v>50.271923000000001</v>
      </c>
      <c r="H36">
        <v>-0.17857680000000001</v>
      </c>
      <c r="I36">
        <v>340.40936249999999</v>
      </c>
      <c r="Q36">
        <v>293.3</v>
      </c>
      <c r="U36">
        <f>V33/V34</f>
        <v>1.7097260507605627</v>
      </c>
      <c r="AH36" s="9"/>
      <c r="AI36" s="9">
        <f>F169</f>
        <v>463.99002999999999</v>
      </c>
      <c r="AJ36" s="9">
        <v>478.3644463</v>
      </c>
      <c r="AK36" s="9">
        <v>479.46940369999999</v>
      </c>
      <c r="AL36" s="9">
        <v>499.35863710000001</v>
      </c>
      <c r="AM36" s="9">
        <v>509.30325370000003</v>
      </c>
      <c r="AN36" s="9">
        <v>510.30325370000003</v>
      </c>
    </row>
    <row r="37" spans="1:436">
      <c r="A37">
        <v>1886</v>
      </c>
      <c r="B37">
        <v>-0.40817369999999997</v>
      </c>
      <c r="C37">
        <v>297.96424530000002</v>
      </c>
      <c r="D37">
        <v>36.433333330000004</v>
      </c>
      <c r="E37">
        <v>5.2311524999999984E-2</v>
      </c>
      <c r="F37">
        <v>16.212654000000001</v>
      </c>
      <c r="G37">
        <v>53.832245999999998</v>
      </c>
      <c r="H37">
        <v>-0.17867666500000001</v>
      </c>
      <c r="I37">
        <v>340.34472749999998</v>
      </c>
      <c r="Q37">
        <v>293.8</v>
      </c>
    </row>
    <row r="38" spans="1:436">
      <c r="A38">
        <v>1887</v>
      </c>
      <c r="B38">
        <v>-0.48834157</v>
      </c>
      <c r="C38">
        <v>298.48905450000001</v>
      </c>
      <c r="D38">
        <v>37.108333330000001</v>
      </c>
      <c r="E38">
        <v>5.7341584999999987E-2</v>
      </c>
      <c r="F38">
        <v>17.683049</v>
      </c>
      <c r="G38">
        <v>49.341672000000003</v>
      </c>
      <c r="H38">
        <v>-0.18715195200000001</v>
      </c>
      <c r="I38">
        <v>340.31680249999999</v>
      </c>
      <c r="Q38">
        <v>294</v>
      </c>
    </row>
    <row r="39" spans="1:436">
      <c r="A39">
        <v>1888</v>
      </c>
      <c r="B39">
        <v>-0.37258717000000002</v>
      </c>
      <c r="C39">
        <v>299.12752619999998</v>
      </c>
      <c r="D39">
        <v>21.858333330000001</v>
      </c>
      <c r="E39">
        <v>5.8746569999999998E-2</v>
      </c>
      <c r="F39">
        <v>18.085829</v>
      </c>
      <c r="G39">
        <v>50.638702000000002</v>
      </c>
      <c r="H39">
        <v>-0.204885392</v>
      </c>
      <c r="I39">
        <v>340.301605</v>
      </c>
      <c r="Q39">
        <v>294.10000000000002</v>
      </c>
    </row>
    <row r="40" spans="1:436">
      <c r="A40">
        <v>1889</v>
      </c>
      <c r="B40">
        <v>-0.25040200000000001</v>
      </c>
      <c r="C40">
        <v>299.52604689999998</v>
      </c>
      <c r="D40">
        <v>28.533333330000001</v>
      </c>
      <c r="E40">
        <v>6.1829255000000007E-2</v>
      </c>
      <c r="F40">
        <v>17.171817999999998</v>
      </c>
      <c r="G40">
        <v>49.728126000000003</v>
      </c>
      <c r="H40">
        <v>-0.202060029</v>
      </c>
      <c r="I40">
        <v>340.30023249999999</v>
      </c>
      <c r="Q40">
        <v>294.2</v>
      </c>
      <c r="U40">
        <v>1850</v>
      </c>
      <c r="V40">
        <f t="shared" ref="V40:BA40" si="10">U40+1</f>
        <v>1851</v>
      </c>
      <c r="W40">
        <f t="shared" si="10"/>
        <v>1852</v>
      </c>
      <c r="X40">
        <f t="shared" si="10"/>
        <v>1853</v>
      </c>
      <c r="Y40">
        <f t="shared" si="10"/>
        <v>1854</v>
      </c>
      <c r="Z40">
        <f t="shared" si="10"/>
        <v>1855</v>
      </c>
      <c r="AA40">
        <f t="shared" si="10"/>
        <v>1856</v>
      </c>
      <c r="AB40">
        <f t="shared" si="10"/>
        <v>1857</v>
      </c>
      <c r="AC40">
        <f t="shared" si="10"/>
        <v>1858</v>
      </c>
      <c r="AD40">
        <f t="shared" si="10"/>
        <v>1859</v>
      </c>
      <c r="AE40">
        <f t="shared" si="10"/>
        <v>1860</v>
      </c>
      <c r="AF40">
        <f t="shared" si="10"/>
        <v>1861</v>
      </c>
      <c r="AG40">
        <f t="shared" si="10"/>
        <v>1862</v>
      </c>
      <c r="AH40">
        <f t="shared" si="10"/>
        <v>1863</v>
      </c>
      <c r="AI40">
        <f t="shared" si="10"/>
        <v>1864</v>
      </c>
      <c r="AJ40">
        <f t="shared" si="10"/>
        <v>1865</v>
      </c>
      <c r="AK40">
        <f t="shared" si="10"/>
        <v>1866</v>
      </c>
      <c r="AL40">
        <f t="shared" si="10"/>
        <v>1867</v>
      </c>
      <c r="AM40">
        <f t="shared" si="10"/>
        <v>1868</v>
      </c>
      <c r="AN40">
        <f t="shared" si="10"/>
        <v>1869</v>
      </c>
      <c r="AO40">
        <f t="shared" si="10"/>
        <v>1870</v>
      </c>
      <c r="AP40">
        <f t="shared" si="10"/>
        <v>1871</v>
      </c>
      <c r="AQ40">
        <f t="shared" si="10"/>
        <v>1872</v>
      </c>
      <c r="AR40">
        <f t="shared" si="10"/>
        <v>1873</v>
      </c>
      <c r="AS40">
        <f t="shared" si="10"/>
        <v>1874</v>
      </c>
      <c r="AT40">
        <f t="shared" si="10"/>
        <v>1875</v>
      </c>
      <c r="AU40">
        <f t="shared" si="10"/>
        <v>1876</v>
      </c>
      <c r="AV40">
        <f t="shared" si="10"/>
        <v>1877</v>
      </c>
      <c r="AW40">
        <f t="shared" si="10"/>
        <v>1878</v>
      </c>
      <c r="AX40">
        <f t="shared" si="10"/>
        <v>1879</v>
      </c>
      <c r="AY40">
        <f t="shared" si="10"/>
        <v>1880</v>
      </c>
      <c r="AZ40">
        <f t="shared" si="10"/>
        <v>1881</v>
      </c>
      <c r="BA40">
        <f t="shared" si="10"/>
        <v>1882</v>
      </c>
      <c r="BB40">
        <f t="shared" ref="BB40:CG40" si="11">BA40+1</f>
        <v>1883</v>
      </c>
      <c r="BC40">
        <f t="shared" si="11"/>
        <v>1884</v>
      </c>
      <c r="BD40">
        <f t="shared" si="11"/>
        <v>1885</v>
      </c>
      <c r="BE40">
        <f t="shared" si="11"/>
        <v>1886</v>
      </c>
      <c r="BF40">
        <f t="shared" si="11"/>
        <v>1887</v>
      </c>
      <c r="BG40">
        <f t="shared" si="11"/>
        <v>1888</v>
      </c>
      <c r="BH40">
        <f t="shared" si="11"/>
        <v>1889</v>
      </c>
      <c r="BI40">
        <f t="shared" si="11"/>
        <v>1890</v>
      </c>
      <c r="BJ40">
        <f t="shared" si="11"/>
        <v>1891</v>
      </c>
      <c r="BK40">
        <f t="shared" si="11"/>
        <v>1892</v>
      </c>
      <c r="BL40">
        <f t="shared" si="11"/>
        <v>1893</v>
      </c>
      <c r="BM40">
        <f t="shared" si="11"/>
        <v>1894</v>
      </c>
      <c r="BN40">
        <f t="shared" si="11"/>
        <v>1895</v>
      </c>
      <c r="BO40">
        <f t="shared" si="11"/>
        <v>1896</v>
      </c>
      <c r="BP40">
        <f t="shared" si="11"/>
        <v>1897</v>
      </c>
      <c r="BQ40">
        <f t="shared" si="11"/>
        <v>1898</v>
      </c>
      <c r="BR40">
        <f t="shared" si="11"/>
        <v>1899</v>
      </c>
      <c r="BS40">
        <f t="shared" si="11"/>
        <v>1900</v>
      </c>
      <c r="BT40">
        <f t="shared" si="11"/>
        <v>1901</v>
      </c>
      <c r="BU40">
        <f t="shared" si="11"/>
        <v>1902</v>
      </c>
      <c r="BV40">
        <f t="shared" si="11"/>
        <v>1903</v>
      </c>
      <c r="BW40">
        <f t="shared" si="11"/>
        <v>1904</v>
      </c>
      <c r="BX40">
        <f t="shared" si="11"/>
        <v>1905</v>
      </c>
      <c r="BY40">
        <f t="shared" si="11"/>
        <v>1906</v>
      </c>
      <c r="BZ40">
        <f t="shared" si="11"/>
        <v>1907</v>
      </c>
      <c r="CA40">
        <f t="shared" si="11"/>
        <v>1908</v>
      </c>
      <c r="CB40">
        <f t="shared" si="11"/>
        <v>1909</v>
      </c>
      <c r="CC40">
        <f t="shared" si="11"/>
        <v>1910</v>
      </c>
      <c r="CD40">
        <f t="shared" si="11"/>
        <v>1911</v>
      </c>
      <c r="CE40">
        <f t="shared" si="11"/>
        <v>1912</v>
      </c>
      <c r="CF40">
        <f t="shared" si="11"/>
        <v>1913</v>
      </c>
      <c r="CG40">
        <f t="shared" si="11"/>
        <v>1914</v>
      </c>
      <c r="CH40">
        <f t="shared" ref="CH40:DM40" si="12">CG40+1</f>
        <v>1915</v>
      </c>
      <c r="CI40">
        <f t="shared" si="12"/>
        <v>1916</v>
      </c>
      <c r="CJ40">
        <f t="shared" si="12"/>
        <v>1917</v>
      </c>
      <c r="CK40">
        <f t="shared" si="12"/>
        <v>1918</v>
      </c>
      <c r="CL40">
        <f t="shared" si="12"/>
        <v>1919</v>
      </c>
      <c r="CM40">
        <f t="shared" si="12"/>
        <v>1920</v>
      </c>
      <c r="CN40">
        <f t="shared" si="12"/>
        <v>1921</v>
      </c>
      <c r="CO40">
        <f t="shared" si="12"/>
        <v>1922</v>
      </c>
      <c r="CP40">
        <f t="shared" si="12"/>
        <v>1923</v>
      </c>
      <c r="CQ40">
        <f t="shared" si="12"/>
        <v>1924</v>
      </c>
      <c r="CR40">
        <f t="shared" si="12"/>
        <v>1925</v>
      </c>
      <c r="CS40">
        <f t="shared" si="12"/>
        <v>1926</v>
      </c>
      <c r="CT40">
        <f t="shared" si="12"/>
        <v>1927</v>
      </c>
      <c r="CU40">
        <f t="shared" si="12"/>
        <v>1928</v>
      </c>
      <c r="CV40">
        <f t="shared" si="12"/>
        <v>1929</v>
      </c>
      <c r="CW40">
        <f t="shared" si="12"/>
        <v>1930</v>
      </c>
      <c r="CX40">
        <f t="shared" si="12"/>
        <v>1931</v>
      </c>
      <c r="CY40">
        <f t="shared" si="12"/>
        <v>1932</v>
      </c>
      <c r="CZ40">
        <f t="shared" si="12"/>
        <v>1933</v>
      </c>
      <c r="DA40">
        <f t="shared" si="12"/>
        <v>1934</v>
      </c>
      <c r="DB40">
        <f t="shared" si="12"/>
        <v>1935</v>
      </c>
      <c r="DC40">
        <f t="shared" si="12"/>
        <v>1936</v>
      </c>
      <c r="DD40">
        <f t="shared" si="12"/>
        <v>1937</v>
      </c>
      <c r="DE40">
        <f t="shared" si="12"/>
        <v>1938</v>
      </c>
      <c r="DF40">
        <f t="shared" si="12"/>
        <v>1939</v>
      </c>
      <c r="DG40">
        <f t="shared" si="12"/>
        <v>1940</v>
      </c>
      <c r="DH40">
        <f t="shared" si="12"/>
        <v>1941</v>
      </c>
      <c r="DI40">
        <f t="shared" si="12"/>
        <v>1942</v>
      </c>
      <c r="DJ40">
        <f t="shared" si="12"/>
        <v>1943</v>
      </c>
      <c r="DK40">
        <f t="shared" si="12"/>
        <v>1944</v>
      </c>
      <c r="DL40">
        <f t="shared" si="12"/>
        <v>1945</v>
      </c>
      <c r="DM40">
        <f t="shared" si="12"/>
        <v>1946</v>
      </c>
      <c r="DN40">
        <f t="shared" ref="DN40:ES40" si="13">DM40+1</f>
        <v>1947</v>
      </c>
      <c r="DO40">
        <f t="shared" si="13"/>
        <v>1948</v>
      </c>
      <c r="DP40">
        <f t="shared" si="13"/>
        <v>1949</v>
      </c>
      <c r="DQ40">
        <f t="shared" si="13"/>
        <v>1950</v>
      </c>
      <c r="DR40">
        <f t="shared" si="13"/>
        <v>1951</v>
      </c>
      <c r="DS40">
        <f t="shared" si="13"/>
        <v>1952</v>
      </c>
      <c r="DT40">
        <f t="shared" si="13"/>
        <v>1953</v>
      </c>
      <c r="DU40">
        <f t="shared" si="13"/>
        <v>1954</v>
      </c>
      <c r="DV40">
        <f t="shared" si="13"/>
        <v>1955</v>
      </c>
      <c r="DW40">
        <f t="shared" si="13"/>
        <v>1956</v>
      </c>
      <c r="DX40">
        <f t="shared" si="13"/>
        <v>1957</v>
      </c>
      <c r="DY40">
        <f t="shared" si="13"/>
        <v>1958</v>
      </c>
      <c r="DZ40">
        <f t="shared" si="13"/>
        <v>1959</v>
      </c>
      <c r="EA40">
        <f t="shared" si="13"/>
        <v>1960</v>
      </c>
      <c r="EB40">
        <f t="shared" si="13"/>
        <v>1961</v>
      </c>
      <c r="EC40">
        <f t="shared" si="13"/>
        <v>1962</v>
      </c>
      <c r="ED40">
        <f t="shared" si="13"/>
        <v>1963</v>
      </c>
      <c r="EE40">
        <f t="shared" si="13"/>
        <v>1964</v>
      </c>
      <c r="EF40">
        <f t="shared" si="13"/>
        <v>1965</v>
      </c>
      <c r="EG40">
        <f t="shared" si="13"/>
        <v>1966</v>
      </c>
      <c r="EH40">
        <f t="shared" si="13"/>
        <v>1967</v>
      </c>
      <c r="EI40">
        <f t="shared" si="13"/>
        <v>1968</v>
      </c>
      <c r="EJ40">
        <f t="shared" si="13"/>
        <v>1969</v>
      </c>
      <c r="EK40">
        <f t="shared" si="13"/>
        <v>1970</v>
      </c>
      <c r="EL40">
        <f t="shared" si="13"/>
        <v>1971</v>
      </c>
      <c r="EM40">
        <f t="shared" si="13"/>
        <v>1972</v>
      </c>
      <c r="EN40">
        <f t="shared" si="13"/>
        <v>1973</v>
      </c>
      <c r="EO40">
        <f t="shared" si="13"/>
        <v>1974</v>
      </c>
      <c r="EP40">
        <f t="shared" si="13"/>
        <v>1975</v>
      </c>
      <c r="EQ40">
        <f t="shared" si="13"/>
        <v>1976</v>
      </c>
      <c r="ER40">
        <f t="shared" si="13"/>
        <v>1977</v>
      </c>
      <c r="ES40">
        <f t="shared" si="13"/>
        <v>1978</v>
      </c>
      <c r="ET40">
        <f t="shared" ref="ET40:FY40" si="14">ES40+1</f>
        <v>1979</v>
      </c>
      <c r="EU40">
        <f t="shared" si="14"/>
        <v>1980</v>
      </c>
      <c r="EV40">
        <f t="shared" si="14"/>
        <v>1981</v>
      </c>
      <c r="EW40">
        <f t="shared" si="14"/>
        <v>1982</v>
      </c>
      <c r="EX40">
        <f t="shared" si="14"/>
        <v>1983</v>
      </c>
      <c r="EY40">
        <f t="shared" si="14"/>
        <v>1984</v>
      </c>
      <c r="EZ40">
        <f t="shared" si="14"/>
        <v>1985</v>
      </c>
      <c r="FA40">
        <f t="shared" si="14"/>
        <v>1986</v>
      </c>
      <c r="FB40">
        <f t="shared" si="14"/>
        <v>1987</v>
      </c>
      <c r="FC40">
        <f t="shared" si="14"/>
        <v>1988</v>
      </c>
      <c r="FD40">
        <f t="shared" si="14"/>
        <v>1989</v>
      </c>
      <c r="FE40">
        <f t="shared" si="14"/>
        <v>1990</v>
      </c>
      <c r="FF40">
        <f t="shared" si="14"/>
        <v>1991</v>
      </c>
      <c r="FG40">
        <f t="shared" si="14"/>
        <v>1992</v>
      </c>
      <c r="FH40">
        <f t="shared" si="14"/>
        <v>1993</v>
      </c>
      <c r="FI40">
        <f t="shared" si="14"/>
        <v>1994</v>
      </c>
      <c r="FJ40">
        <f t="shared" si="14"/>
        <v>1995</v>
      </c>
      <c r="FK40">
        <f t="shared" si="14"/>
        <v>1996</v>
      </c>
      <c r="FL40">
        <f t="shared" si="14"/>
        <v>1997</v>
      </c>
      <c r="FM40">
        <f t="shared" si="14"/>
        <v>1998</v>
      </c>
      <c r="FN40">
        <f t="shared" si="14"/>
        <v>1999</v>
      </c>
      <c r="FO40">
        <f t="shared" si="14"/>
        <v>2000</v>
      </c>
      <c r="FP40">
        <f t="shared" si="14"/>
        <v>2001</v>
      </c>
      <c r="FQ40">
        <f t="shared" si="14"/>
        <v>2002</v>
      </c>
      <c r="FR40">
        <f t="shared" si="14"/>
        <v>2003</v>
      </c>
      <c r="FS40">
        <f t="shared" si="14"/>
        <v>2004</v>
      </c>
      <c r="FT40">
        <f t="shared" si="14"/>
        <v>2005</v>
      </c>
      <c r="FU40">
        <f t="shared" si="14"/>
        <v>2006</v>
      </c>
      <c r="FV40">
        <f t="shared" si="14"/>
        <v>2007</v>
      </c>
      <c r="FW40">
        <f t="shared" si="14"/>
        <v>2008</v>
      </c>
      <c r="FX40">
        <f t="shared" si="14"/>
        <v>2009</v>
      </c>
      <c r="FY40">
        <f t="shared" si="14"/>
        <v>2010</v>
      </c>
      <c r="FZ40">
        <f t="shared" ref="FZ40:GL40" si="15">FY40+1</f>
        <v>2011</v>
      </c>
      <c r="GA40">
        <f t="shared" si="15"/>
        <v>2012</v>
      </c>
      <c r="GB40">
        <f t="shared" si="15"/>
        <v>2013</v>
      </c>
      <c r="GC40">
        <f t="shared" si="15"/>
        <v>2014</v>
      </c>
      <c r="GD40">
        <f t="shared" si="15"/>
        <v>2015</v>
      </c>
      <c r="GE40">
        <f t="shared" si="15"/>
        <v>2016</v>
      </c>
      <c r="GF40">
        <f t="shared" si="15"/>
        <v>2017</v>
      </c>
      <c r="GG40">
        <f t="shared" si="15"/>
        <v>2018</v>
      </c>
      <c r="GH40">
        <f t="shared" si="15"/>
        <v>2019</v>
      </c>
      <c r="GI40">
        <f t="shared" si="15"/>
        <v>2020</v>
      </c>
      <c r="GJ40">
        <f t="shared" si="15"/>
        <v>2021</v>
      </c>
      <c r="GK40">
        <f t="shared" si="15"/>
        <v>2022</v>
      </c>
      <c r="GL40">
        <f t="shared" si="15"/>
        <v>2023</v>
      </c>
    </row>
    <row r="41" spans="1:436">
      <c r="A41">
        <v>1890</v>
      </c>
      <c r="B41">
        <v>-0.50025010000000003</v>
      </c>
      <c r="C41">
        <v>300.10075360000002</v>
      </c>
      <c r="D41">
        <v>39.125</v>
      </c>
      <c r="E41">
        <v>6.2296785000000007E-2</v>
      </c>
      <c r="F41">
        <v>16.535898</v>
      </c>
      <c r="G41">
        <v>51.957317000000003</v>
      </c>
      <c r="H41">
        <v>-0.21600401999999999</v>
      </c>
      <c r="I41">
        <v>340.30221499999999</v>
      </c>
      <c r="Q41">
        <v>294.39999999999998</v>
      </c>
      <c r="U41">
        <v>1360.763794</v>
      </c>
      <c r="V41">
        <v>1360.7661129999999</v>
      </c>
      <c r="W41">
        <v>1360.7635499999999</v>
      </c>
      <c r="X41">
        <v>1360.667725</v>
      </c>
      <c r="Y41">
        <v>1360.5201420000001</v>
      </c>
      <c r="Z41">
        <v>1360.4223629999999</v>
      </c>
      <c r="AA41">
        <v>1360.3945309999999</v>
      </c>
      <c r="AB41">
        <v>1360.4716800000001</v>
      </c>
      <c r="AC41">
        <v>1360.6649170000001</v>
      </c>
      <c r="AD41">
        <v>1360.8914789999999</v>
      </c>
      <c r="AE41">
        <v>1360.9704589999999</v>
      </c>
      <c r="AF41">
        <v>1360.8664550000001</v>
      </c>
      <c r="AG41">
        <v>1360.747437</v>
      </c>
      <c r="AH41">
        <v>1360.6657709999999</v>
      </c>
      <c r="AI41">
        <v>1360.6585689999999</v>
      </c>
      <c r="AJ41">
        <v>1360.5726320000001</v>
      </c>
      <c r="AK41">
        <v>1360.512939</v>
      </c>
      <c r="AL41">
        <v>1360.4227289999999</v>
      </c>
      <c r="AM41">
        <v>1360.571533</v>
      </c>
      <c r="AN41">
        <v>1360.814087</v>
      </c>
      <c r="AO41">
        <v>1361.0688479999999</v>
      </c>
      <c r="AP41">
        <v>1361.0036620000001</v>
      </c>
      <c r="AQ41">
        <v>1360.9293210000001</v>
      </c>
      <c r="AR41">
        <v>1360.724731</v>
      </c>
      <c r="AS41">
        <v>1360.588135</v>
      </c>
      <c r="AT41">
        <v>1360.444336</v>
      </c>
      <c r="AU41">
        <v>1360.4117429999999</v>
      </c>
      <c r="AV41">
        <v>1360.412231</v>
      </c>
      <c r="AW41">
        <v>1360.352905</v>
      </c>
      <c r="AX41">
        <v>1360.3328859999999</v>
      </c>
      <c r="AY41">
        <v>1360.4571530000001</v>
      </c>
      <c r="AZ41">
        <v>1360.5952150000001</v>
      </c>
      <c r="BA41">
        <v>1360.513428</v>
      </c>
      <c r="BB41">
        <v>1360.491577</v>
      </c>
      <c r="BC41">
        <v>1360.651611</v>
      </c>
      <c r="BD41">
        <v>1360.5322269999999</v>
      </c>
      <c r="BE41">
        <v>1360.366211</v>
      </c>
      <c r="BF41">
        <v>1360.309692</v>
      </c>
      <c r="BG41">
        <v>1360.263062</v>
      </c>
      <c r="BH41">
        <v>1360.2514650000001</v>
      </c>
      <c r="BI41">
        <v>1360.281616</v>
      </c>
      <c r="BJ41">
        <v>1360.5385739999999</v>
      </c>
      <c r="BK41">
        <v>1360.647827</v>
      </c>
      <c r="BL41">
        <v>1360.8161620000001</v>
      </c>
      <c r="BM41">
        <v>1360.9304199999999</v>
      </c>
      <c r="BN41">
        <v>1360.7867429999999</v>
      </c>
      <c r="BO41">
        <v>1360.579712</v>
      </c>
      <c r="BP41">
        <v>1360.442749</v>
      </c>
      <c r="BQ41">
        <v>1360.4139399999999</v>
      </c>
      <c r="BR41">
        <v>1360.3432620000001</v>
      </c>
      <c r="BS41">
        <v>1360.3201899999999</v>
      </c>
      <c r="BT41">
        <v>1360.2567140000001</v>
      </c>
      <c r="BU41">
        <v>1360.2841800000001</v>
      </c>
      <c r="BV41">
        <v>1360.4727780000001</v>
      </c>
      <c r="BW41">
        <v>1360.746216</v>
      </c>
      <c r="BX41">
        <v>1360.5733640000001</v>
      </c>
      <c r="BY41">
        <v>1360.767822</v>
      </c>
      <c r="BZ41">
        <v>1360.650879</v>
      </c>
      <c r="CA41">
        <v>1360.7116699999999</v>
      </c>
      <c r="CB41">
        <v>1360.5844729999999</v>
      </c>
      <c r="CC41">
        <v>1360.4544679999999</v>
      </c>
      <c r="CD41">
        <v>1360.3548579999999</v>
      </c>
      <c r="CE41">
        <v>1360.3066409999999</v>
      </c>
      <c r="CF41">
        <v>1360.307129</v>
      </c>
      <c r="CG41">
        <v>1360.411865</v>
      </c>
      <c r="CH41">
        <v>1360.7260739999999</v>
      </c>
      <c r="CI41">
        <v>1360.9589840000001</v>
      </c>
      <c r="CJ41">
        <v>1361.150879</v>
      </c>
      <c r="CK41">
        <v>1361.1010739999999</v>
      </c>
      <c r="CL41">
        <v>1360.8389890000001</v>
      </c>
      <c r="CM41">
        <v>1360.6461179999999</v>
      </c>
      <c r="CN41">
        <v>1360.541138</v>
      </c>
      <c r="CO41">
        <v>1360.441284</v>
      </c>
      <c r="CP41">
        <v>1360.4375</v>
      </c>
      <c r="CQ41">
        <v>1360.5036620000001</v>
      </c>
      <c r="CR41">
        <v>1360.7192379999999</v>
      </c>
      <c r="CS41">
        <v>1360.8359379999999</v>
      </c>
      <c r="CT41">
        <v>1361.0249020000001</v>
      </c>
      <c r="CU41">
        <v>1360.8992920000001</v>
      </c>
      <c r="CV41">
        <v>1360.845581</v>
      </c>
      <c r="CW41">
        <v>1360.810913</v>
      </c>
      <c r="CX41">
        <v>1360.681763</v>
      </c>
      <c r="CY41">
        <v>1360.56665</v>
      </c>
      <c r="CZ41">
        <v>1360.490601</v>
      </c>
      <c r="DA41">
        <v>1360.559814</v>
      </c>
      <c r="DB41">
        <v>1360.799561</v>
      </c>
      <c r="DC41">
        <v>1361.228638</v>
      </c>
      <c r="DD41">
        <v>1361.204956</v>
      </c>
      <c r="DE41">
        <v>1361.128418</v>
      </c>
      <c r="DF41">
        <v>1361.091553</v>
      </c>
      <c r="DG41">
        <v>1360.9985349999999</v>
      </c>
      <c r="DH41">
        <v>1360.9113769999999</v>
      </c>
      <c r="DI41">
        <v>1360.7910159999999</v>
      </c>
      <c r="DJ41">
        <v>1360.6260990000001</v>
      </c>
      <c r="DK41">
        <v>1360.6729740000001</v>
      </c>
      <c r="DL41">
        <v>1360.9411620000001</v>
      </c>
      <c r="DM41">
        <v>1361.088379</v>
      </c>
      <c r="DN41">
        <v>1361.3927000000001</v>
      </c>
      <c r="DO41">
        <v>1361.5063479999999</v>
      </c>
      <c r="DP41">
        <v>1361.408813</v>
      </c>
      <c r="DQ41">
        <v>1361.1179199999999</v>
      </c>
      <c r="DR41">
        <v>1360.849731</v>
      </c>
      <c r="DS41">
        <v>1360.822388</v>
      </c>
      <c r="DT41">
        <v>1360.6938479999999</v>
      </c>
      <c r="DU41">
        <v>1360.700928</v>
      </c>
      <c r="DV41">
        <v>1360.8811040000001</v>
      </c>
      <c r="DW41">
        <v>1361.4213870000001</v>
      </c>
      <c r="DX41">
        <v>1361.9398189999999</v>
      </c>
      <c r="DY41">
        <v>1361.860962</v>
      </c>
      <c r="DZ41">
        <v>1361.561279</v>
      </c>
      <c r="EA41">
        <v>1361.42749</v>
      </c>
      <c r="EB41">
        <v>1360.9957280000001</v>
      </c>
      <c r="EC41">
        <v>1360.798096</v>
      </c>
      <c r="ED41">
        <v>1360.732544</v>
      </c>
      <c r="EE41">
        <v>1360.7276609999999</v>
      </c>
      <c r="EF41">
        <v>1360.774048</v>
      </c>
      <c r="EG41">
        <v>1361.0020750000001</v>
      </c>
      <c r="EH41">
        <v>1361.2230219999999</v>
      </c>
      <c r="EI41">
        <v>1361.303711</v>
      </c>
      <c r="EJ41">
        <v>1361.3770750000001</v>
      </c>
      <c r="EK41">
        <v>1361.3758539999999</v>
      </c>
      <c r="EL41">
        <v>1361.040039</v>
      </c>
      <c r="EM41">
        <v>1361.10022</v>
      </c>
      <c r="EN41">
        <v>1360.864746</v>
      </c>
      <c r="EO41">
        <v>1360.770996</v>
      </c>
      <c r="EP41">
        <v>1360.7154539999999</v>
      </c>
      <c r="EQ41">
        <v>1360.6945800000001</v>
      </c>
      <c r="ER41">
        <v>1360.8905030000001</v>
      </c>
      <c r="ES41">
        <v>1361.216187</v>
      </c>
      <c r="ET41">
        <v>1361.6015629999999</v>
      </c>
      <c r="EU41">
        <v>1361.6397710000001</v>
      </c>
      <c r="EV41">
        <v>1361.68335</v>
      </c>
      <c r="EW41">
        <v>1361.2310789999999</v>
      </c>
      <c r="EX41">
        <v>1361.213745</v>
      </c>
      <c r="EY41">
        <v>1360.790405</v>
      </c>
      <c r="EZ41">
        <v>1360.633057</v>
      </c>
      <c r="FA41">
        <v>1360.6417240000001</v>
      </c>
      <c r="FB41">
        <v>1360.782837</v>
      </c>
      <c r="FC41">
        <v>1361.1195070000001</v>
      </c>
      <c r="FD41">
        <v>1361.643311</v>
      </c>
      <c r="FE41">
        <v>1361.552124</v>
      </c>
      <c r="FF41">
        <v>1361.517822</v>
      </c>
      <c r="FG41">
        <v>1361.3082280000001</v>
      </c>
      <c r="FH41">
        <v>1360.942749</v>
      </c>
      <c r="FI41">
        <v>1360.741943</v>
      </c>
      <c r="FJ41">
        <v>1360.731689</v>
      </c>
      <c r="FK41">
        <v>1360.6762699999999</v>
      </c>
      <c r="FL41">
        <v>1360.807251</v>
      </c>
      <c r="FM41">
        <v>1361.1759030000001</v>
      </c>
      <c r="FN41">
        <v>1361.4799800000001</v>
      </c>
      <c r="FO41">
        <v>1361.6602780000001</v>
      </c>
      <c r="FP41">
        <v>1361.5686040000001</v>
      </c>
      <c r="FQ41">
        <v>1361.6331789999999</v>
      </c>
      <c r="FR41">
        <v>1361.1282960000001</v>
      </c>
      <c r="FS41">
        <v>1360.9179690000001</v>
      </c>
      <c r="FT41">
        <v>1360.700439</v>
      </c>
      <c r="FU41">
        <v>1360.6795649999999</v>
      </c>
      <c r="FV41">
        <v>1360.6038820000001</v>
      </c>
      <c r="FW41">
        <v>1360.609741</v>
      </c>
      <c r="FX41">
        <v>1360.606567</v>
      </c>
      <c r="FY41">
        <v>1360.7854</v>
      </c>
      <c r="FZ41">
        <v>1361.06897</v>
      </c>
      <c r="GA41">
        <v>1361.1926269999999</v>
      </c>
      <c r="GB41">
        <v>1361.263062</v>
      </c>
      <c r="GC41">
        <v>1361.3862300000001</v>
      </c>
      <c r="GD41">
        <v>1361.4097899999999</v>
      </c>
      <c r="GE41">
        <v>1360.951904</v>
      </c>
      <c r="GF41">
        <v>1360.659668</v>
      </c>
      <c r="GG41">
        <v>1360.638672</v>
      </c>
      <c r="GH41">
        <v>1360.6491699999999</v>
      </c>
      <c r="GI41">
        <v>1360.7491460000001</v>
      </c>
      <c r="GJ41">
        <v>1360.9748540000001</v>
      </c>
      <c r="GK41">
        <v>1361.494385</v>
      </c>
      <c r="GL41">
        <f>GC44</f>
        <v>1361.8057455000001</v>
      </c>
    </row>
    <row r="42" spans="1:436">
      <c r="A42">
        <v>1891</v>
      </c>
      <c r="B42">
        <v>-0.39753339999999998</v>
      </c>
      <c r="C42">
        <v>300.44489440000001</v>
      </c>
      <c r="D42">
        <v>29.975000000000001</v>
      </c>
      <c r="E42">
        <v>6.8303450000000002E-2</v>
      </c>
      <c r="F42">
        <v>15.380051</v>
      </c>
      <c r="G42">
        <v>50.066094</v>
      </c>
      <c r="H42">
        <v>-0.21520946899999999</v>
      </c>
      <c r="I42">
        <v>340.37671</v>
      </c>
      <c r="Q42">
        <v>294.60000000000002</v>
      </c>
      <c r="U42">
        <v>1361.33447</v>
      </c>
      <c r="V42">
        <v>1361.4643599999999</v>
      </c>
      <c r="W42">
        <v>1361.84058</v>
      </c>
      <c r="X42">
        <v>1361.8181199999999</v>
      </c>
      <c r="Y42">
        <v>1361.9281000000001</v>
      </c>
      <c r="Z42">
        <v>1362.0387000000001</v>
      </c>
      <c r="AA42">
        <v>1361.30188</v>
      </c>
      <c r="AB42">
        <v>1361.0955799999999</v>
      </c>
      <c r="AC42">
        <v>1361.08484</v>
      </c>
      <c r="AD42">
        <v>1361.23804</v>
      </c>
      <c r="AE42">
        <v>1361.23804</v>
      </c>
      <c r="AF42">
        <v>1361.23804</v>
      </c>
      <c r="AG42">
        <v>1361.23804</v>
      </c>
      <c r="AH42">
        <v>1361.23804</v>
      </c>
      <c r="AI42">
        <v>1361.1779799999999</v>
      </c>
      <c r="AJ42">
        <v>1361.5708</v>
      </c>
      <c r="AK42">
        <v>1361.38049</v>
      </c>
      <c r="AL42">
        <v>1361.2572</v>
      </c>
      <c r="AM42">
        <v>1361.33691</v>
      </c>
      <c r="AN42">
        <v>1361.2824700000001</v>
      </c>
      <c r="AO42">
        <v>1361.20081</v>
      </c>
      <c r="AP42">
        <v>1361.1193800000001</v>
      </c>
      <c r="AQ42">
        <v>1361.0705599999999</v>
      </c>
      <c r="AR42">
        <v>1361.41931</v>
      </c>
      <c r="AS42">
        <v>1361.1804199999999</v>
      </c>
      <c r="AT42">
        <v>1361.2343800000001</v>
      </c>
      <c r="AU42">
        <v>1361.4517800000001</v>
      </c>
      <c r="AV42">
        <v>1361.6721199999999</v>
      </c>
      <c r="AW42">
        <v>1361.8955100000001</v>
      </c>
      <c r="AX42">
        <v>1361.9946299999999</v>
      </c>
      <c r="AY42">
        <v>1361.23804</v>
      </c>
      <c r="AZ42">
        <v>1361.43579</v>
      </c>
      <c r="BA42">
        <v>1361.63599</v>
      </c>
      <c r="BB42">
        <v>1361.2813699999999</v>
      </c>
      <c r="BC42">
        <v>1361.20911</v>
      </c>
      <c r="BD42">
        <v>1361.0705599999999</v>
      </c>
      <c r="BE42">
        <v>1361.0705599999999</v>
      </c>
      <c r="BF42">
        <v>1361.0705599999999</v>
      </c>
      <c r="BG42">
        <v>1361.0705599999999</v>
      </c>
      <c r="BH42">
        <v>1361.0705599999999</v>
      </c>
      <c r="BI42">
        <v>1361.0705599999999</v>
      </c>
      <c r="BJ42">
        <v>1361.0705599999999</v>
      </c>
      <c r="BK42">
        <v>1361.1182899999999</v>
      </c>
      <c r="BL42">
        <v>1361.08008</v>
      </c>
      <c r="BM42">
        <v>1361.0788600000001</v>
      </c>
      <c r="BN42">
        <v>1361.07654</v>
      </c>
      <c r="BO42">
        <v>1361.0705599999999</v>
      </c>
      <c r="BP42">
        <v>1361.07178</v>
      </c>
      <c r="BQ42">
        <v>1361.0705599999999</v>
      </c>
      <c r="BR42">
        <v>1361.0705599999999</v>
      </c>
      <c r="BS42">
        <v>1361.0955799999999</v>
      </c>
      <c r="BT42">
        <v>1361.0813000000001</v>
      </c>
      <c r="BU42">
        <v>1361.0705599999999</v>
      </c>
      <c r="BV42">
        <v>1361.0705599999999</v>
      </c>
      <c r="BW42">
        <v>1361.0705599999999</v>
      </c>
      <c r="BX42">
        <v>1361.0705599999999</v>
      </c>
      <c r="BY42">
        <v>1361.0705599999999</v>
      </c>
      <c r="BZ42">
        <v>1361.0705599999999</v>
      </c>
      <c r="CA42">
        <v>1361.0705599999999</v>
      </c>
      <c r="CB42">
        <v>1361.0705599999999</v>
      </c>
      <c r="CC42">
        <v>1361.0705599999999</v>
      </c>
      <c r="CD42">
        <v>1361.0813000000001</v>
      </c>
      <c r="CE42">
        <v>1361.0753199999999</v>
      </c>
      <c r="CF42">
        <v>1361.0705599999999</v>
      </c>
      <c r="CG42">
        <v>1361.0730000000001</v>
      </c>
      <c r="CH42">
        <v>1361.0705599999999</v>
      </c>
      <c r="CI42">
        <v>1361.0979</v>
      </c>
      <c r="CJ42">
        <v>1361.0753199999999</v>
      </c>
      <c r="CK42">
        <v>1361.0730000000001</v>
      </c>
      <c r="CL42">
        <v>1361.0705599999999</v>
      </c>
      <c r="CM42">
        <v>1361.08008</v>
      </c>
      <c r="CN42">
        <v>1361.0705599999999</v>
      </c>
      <c r="CO42">
        <v>1361.0705599999999</v>
      </c>
      <c r="CP42">
        <v>1361.0705599999999</v>
      </c>
      <c r="CQ42">
        <v>1361.0908199999999</v>
      </c>
      <c r="CR42">
        <v>1361.0705599999999</v>
      </c>
      <c r="CS42">
        <v>1361.0777599999999</v>
      </c>
      <c r="CT42">
        <v>1361.0705599999999</v>
      </c>
      <c r="CU42">
        <v>1361.0777599999999</v>
      </c>
      <c r="CV42">
        <v>1361.0788600000001</v>
      </c>
      <c r="CW42">
        <v>1361.0705599999999</v>
      </c>
      <c r="CX42">
        <v>1361.0705599999999</v>
      </c>
      <c r="CY42">
        <v>1361.0705599999999</v>
      </c>
      <c r="CZ42">
        <v>1361.0705599999999</v>
      </c>
      <c r="DA42">
        <v>1361.0705599999999</v>
      </c>
      <c r="DB42">
        <v>1361.07178</v>
      </c>
      <c r="DC42">
        <v>1361.0705599999999</v>
      </c>
      <c r="DD42">
        <v>1361.0705599999999</v>
      </c>
      <c r="DE42">
        <v>1361.0705599999999</v>
      </c>
      <c r="DF42">
        <v>1361.0705599999999</v>
      </c>
      <c r="DG42">
        <v>1361.1069299999999</v>
      </c>
      <c r="DH42">
        <v>1361.1540500000001</v>
      </c>
      <c r="DI42">
        <v>1361.1970200000001</v>
      </c>
      <c r="DJ42">
        <v>1361.2587900000001</v>
      </c>
      <c r="DK42">
        <v>1361.34106</v>
      </c>
      <c r="DL42">
        <v>1361.4791299999999</v>
      </c>
      <c r="DM42">
        <v>1361.35852</v>
      </c>
      <c r="DN42">
        <v>1361.2731900000001</v>
      </c>
      <c r="DO42">
        <v>1361.21045</v>
      </c>
      <c r="DP42">
        <v>1361.1665</v>
      </c>
      <c r="DQ42">
        <v>1361.1265900000001</v>
      </c>
      <c r="DR42">
        <v>1361.08655</v>
      </c>
      <c r="DS42">
        <v>1361.0752</v>
      </c>
      <c r="DT42">
        <v>1361.0893599999999</v>
      </c>
      <c r="DU42">
        <v>1361.14294</v>
      </c>
      <c r="DV42">
        <v>1361.26953</v>
      </c>
      <c r="DW42">
        <v>1361.3879400000001</v>
      </c>
      <c r="DX42">
        <v>1361.5313699999999</v>
      </c>
      <c r="DY42">
        <v>1361.5006100000001</v>
      </c>
      <c r="DZ42">
        <v>1361.4929199999999</v>
      </c>
      <c r="EA42">
        <v>1361.4027100000001</v>
      </c>
      <c r="EB42">
        <v>1361.3748800000001</v>
      </c>
      <c r="EC42">
        <v>1361.3095699999999</v>
      </c>
      <c r="ED42">
        <v>1361.2042200000001</v>
      </c>
      <c r="EE42">
        <v>1361.2936999999999</v>
      </c>
      <c r="EF42">
        <v>1361.38293</v>
      </c>
      <c r="EG42">
        <v>1361.60034</v>
      </c>
      <c r="EH42">
        <v>1361.80188</v>
      </c>
      <c r="EI42">
        <v>1361.87012</v>
      </c>
      <c r="EJ42">
        <v>1361.6890900000001</v>
      </c>
      <c r="EK42">
        <v>1361.66138</v>
      </c>
      <c r="EL42">
        <v>1361.3933099999999</v>
      </c>
      <c r="EM42">
        <v>1361.2900400000001</v>
      </c>
      <c r="EN42">
        <v>1361.17139</v>
      </c>
      <c r="EO42">
        <v>1361.1745599999999</v>
      </c>
      <c r="EP42">
        <v>1361.3586399999999</v>
      </c>
      <c r="EQ42">
        <v>1361.6568600000001</v>
      </c>
      <c r="ER42">
        <v>1361.6804199999999</v>
      </c>
      <c r="ES42">
        <v>1361.7618399999999</v>
      </c>
      <c r="ET42">
        <v>1361.8216600000001</v>
      </c>
      <c r="EU42">
        <v>1361.5703100000001</v>
      </c>
      <c r="EV42">
        <v>1361.6197500000001</v>
      </c>
      <c r="EW42">
        <v>1361.3909900000001</v>
      </c>
      <c r="EX42">
        <v>1361.2542699999999</v>
      </c>
      <c r="EY42">
        <v>1361.14734</v>
      </c>
      <c r="EZ42">
        <v>1361.1560099999999</v>
      </c>
      <c r="FA42">
        <v>1361.22217</v>
      </c>
      <c r="FB42">
        <v>1361.3198199999999</v>
      </c>
      <c r="FC42">
        <v>1361.68164</v>
      </c>
      <c r="FD42">
        <v>1361.72522</v>
      </c>
      <c r="FE42">
        <v>1361.7642800000001</v>
      </c>
      <c r="FF42">
        <v>1361.6014399999999</v>
      </c>
      <c r="FG42">
        <v>1361.5242900000001</v>
      </c>
      <c r="FH42">
        <v>1361.4105199999999</v>
      </c>
      <c r="FI42">
        <v>1361.2608600000001</v>
      </c>
      <c r="FJ42">
        <v>1361.1821299999999</v>
      </c>
      <c r="FK42">
        <v>1361.1743200000001</v>
      </c>
      <c r="FL42">
        <v>1361.3608400000001</v>
      </c>
      <c r="FM42">
        <v>1361.5207499999999</v>
      </c>
      <c r="FN42">
        <v>1361.58203</v>
      </c>
      <c r="FO42">
        <v>1361.63</v>
      </c>
      <c r="FP42">
        <v>1361.78296</v>
      </c>
      <c r="FQ42">
        <v>1361.64941</v>
      </c>
      <c r="FR42">
        <v>1361.52234</v>
      </c>
      <c r="FS42">
        <v>1361.45679</v>
      </c>
      <c r="FT42">
        <v>1361.30042</v>
      </c>
      <c r="FU42">
        <v>1361.2055700000001</v>
      </c>
      <c r="FV42">
        <v>1361.4497100000001</v>
      </c>
      <c r="FW42">
        <v>1361.7518299999999</v>
      </c>
      <c r="FX42">
        <v>1361.9630099999999</v>
      </c>
      <c r="FY42">
        <v>1361.96362</v>
      </c>
      <c r="FZ42">
        <v>1361.8934300000001</v>
      </c>
      <c r="GA42">
        <v>1361.7737999999999</v>
      </c>
      <c r="GB42">
        <v>1361.5239300000001</v>
      </c>
      <c r="GC42">
        <v>1361.4438500000001</v>
      </c>
      <c r="GD42">
        <v>1361.2072800000001</v>
      </c>
      <c r="GE42">
        <v>1361.28406</v>
      </c>
      <c r="GF42">
        <v>1361.70471</v>
      </c>
      <c r="GG42">
        <v>1362.06665</v>
      </c>
      <c r="GH42">
        <v>1362.04468</v>
      </c>
      <c r="GI42">
        <v>1361.8741500000001</v>
      </c>
      <c r="GJ42">
        <v>1361.8078599999999</v>
      </c>
      <c r="GK42">
        <v>1361.53271</v>
      </c>
      <c r="GL42">
        <v>1361.4032</v>
      </c>
      <c r="GM42">
        <v>1361.2360799999999</v>
      </c>
      <c r="GN42">
        <v>1361.3040800000001</v>
      </c>
      <c r="GO42">
        <v>1361.70605</v>
      </c>
      <c r="GP42">
        <v>1361.9919400000001</v>
      </c>
      <c r="GQ42">
        <v>1362.0531000000001</v>
      </c>
      <c r="GR42">
        <v>1361.9832799999999</v>
      </c>
      <c r="GS42">
        <v>1361.8565699999999</v>
      </c>
      <c r="GT42">
        <v>1361.7019</v>
      </c>
      <c r="GU42">
        <v>1361.66833</v>
      </c>
      <c r="GV42">
        <v>1361.5891099999999</v>
      </c>
      <c r="GW42">
        <v>1361.5127</v>
      </c>
      <c r="GX42">
        <v>1361.31006</v>
      </c>
      <c r="GY42">
        <v>1361.2569599999999</v>
      </c>
      <c r="GZ42">
        <v>1361.16931</v>
      </c>
      <c r="HA42">
        <v>1361.1362300000001</v>
      </c>
      <c r="HB42">
        <v>1361.15149</v>
      </c>
      <c r="HC42">
        <v>1361.24353</v>
      </c>
      <c r="HD42">
        <v>1361.51367</v>
      </c>
      <c r="HE42">
        <v>1361.5214800000001</v>
      </c>
      <c r="HF42">
        <v>1361.46216</v>
      </c>
      <c r="HG42">
        <v>1361.4926800000001</v>
      </c>
      <c r="HH42">
        <v>1361.45569</v>
      </c>
      <c r="HI42">
        <v>1361.3790300000001</v>
      </c>
      <c r="HJ42">
        <v>1361.2126499999999</v>
      </c>
      <c r="HK42">
        <v>1361.16956</v>
      </c>
      <c r="HL42">
        <v>1361.12427</v>
      </c>
      <c r="HM42">
        <v>1361.07825</v>
      </c>
      <c r="HN42">
        <v>1361.08557</v>
      </c>
      <c r="HO42">
        <v>1361.13428</v>
      </c>
      <c r="HP42">
        <v>1361.2103300000001</v>
      </c>
      <c r="HQ42">
        <v>1361.2375500000001</v>
      </c>
      <c r="HR42">
        <v>1361.3665800000001</v>
      </c>
      <c r="HS42">
        <v>1361.50269</v>
      </c>
      <c r="HT42">
        <v>1361.48083</v>
      </c>
      <c r="HU42">
        <v>1361.42419</v>
      </c>
      <c r="HV42">
        <v>1361.3680400000001</v>
      </c>
      <c r="HW42">
        <v>1361.2550000000001</v>
      </c>
      <c r="HX42">
        <v>1361.1677199999999</v>
      </c>
      <c r="HY42">
        <v>1361.1470899999999</v>
      </c>
      <c r="HZ42">
        <v>1361.104</v>
      </c>
      <c r="IA42">
        <v>1361.15527</v>
      </c>
      <c r="IB42">
        <v>1361.27063</v>
      </c>
      <c r="IC42">
        <v>1361.44299</v>
      </c>
      <c r="ID42">
        <v>1361.5811799999999</v>
      </c>
      <c r="IE42">
        <v>1361.6705300000001</v>
      </c>
      <c r="IF42">
        <v>1361.7484099999999</v>
      </c>
      <c r="IG42">
        <v>1361.77673</v>
      </c>
      <c r="IH42">
        <v>1361.6041299999999</v>
      </c>
      <c r="II42">
        <v>1361.41724</v>
      </c>
      <c r="IJ42">
        <v>1361.21423</v>
      </c>
      <c r="IK42">
        <v>1361.22253</v>
      </c>
      <c r="IL42">
        <v>1361.5314900000001</v>
      </c>
      <c r="IM42">
        <v>1361.95471</v>
      </c>
      <c r="IN42">
        <v>1362.14941</v>
      </c>
      <c r="IO42">
        <v>1361.94678</v>
      </c>
      <c r="IP42">
        <v>1361.8620599999999</v>
      </c>
      <c r="IQ42">
        <v>1361.6983600000001</v>
      </c>
      <c r="IR42">
        <v>1361.5008499999999</v>
      </c>
      <c r="IS42">
        <v>1361.3807400000001</v>
      </c>
      <c r="IT42">
        <v>1361.2443800000001</v>
      </c>
      <c r="IU42">
        <v>1361.24622</v>
      </c>
      <c r="IV42">
        <v>1361.42859</v>
      </c>
      <c r="IW42">
        <v>1361.6106</v>
      </c>
      <c r="IX42">
        <v>1361.8101799999999</v>
      </c>
      <c r="IY42">
        <v>1362.0015900000001</v>
      </c>
      <c r="IZ42">
        <v>1361.9476299999999</v>
      </c>
      <c r="JA42">
        <v>1361.7835700000001</v>
      </c>
      <c r="JB42">
        <v>1361.72119</v>
      </c>
      <c r="JC42">
        <v>1361.67615</v>
      </c>
      <c r="JD42">
        <v>1361.5373500000001</v>
      </c>
      <c r="JE42">
        <v>1361.36304</v>
      </c>
      <c r="JF42">
        <v>1361.19055</v>
      </c>
      <c r="JG42">
        <v>1361.1550299999999</v>
      </c>
      <c r="JH42">
        <v>1361.31396</v>
      </c>
      <c r="JI42">
        <v>1361.6182899999999</v>
      </c>
      <c r="JJ42">
        <v>1361.8894</v>
      </c>
      <c r="JK42">
        <v>1361.97119</v>
      </c>
      <c r="JL42">
        <v>1361.8658399999999</v>
      </c>
      <c r="JM42">
        <v>1361.77649</v>
      </c>
      <c r="JN42">
        <v>1361.61133</v>
      </c>
      <c r="JO42">
        <v>1361.55396</v>
      </c>
      <c r="JP42">
        <v>1361.43677</v>
      </c>
      <c r="JQ42">
        <v>1361.3067599999999</v>
      </c>
      <c r="JR42">
        <v>1361.20056</v>
      </c>
      <c r="JS42">
        <v>1361.4070999999999</v>
      </c>
      <c r="JT42">
        <v>1361.6911600000001</v>
      </c>
      <c r="JU42">
        <v>1362.0479700000001</v>
      </c>
      <c r="JV42">
        <v>1362.0317399999999</v>
      </c>
      <c r="JW42">
        <v>1361.9713099999999</v>
      </c>
      <c r="JX42">
        <v>1361.8027300000001</v>
      </c>
      <c r="JY42">
        <v>1361.5749499999999</v>
      </c>
      <c r="JZ42">
        <v>1361.3527799999999</v>
      </c>
      <c r="KA42">
        <v>1361.2983400000001</v>
      </c>
      <c r="KB42">
        <v>1361.3105499999999</v>
      </c>
      <c r="KC42">
        <v>1361.1798100000001</v>
      </c>
      <c r="KD42">
        <v>1361.22461</v>
      </c>
      <c r="KE42">
        <v>1361.4936499999999</v>
      </c>
      <c r="KF42">
        <v>1361.74927</v>
      </c>
      <c r="KG42">
        <v>1361.7171599999999</v>
      </c>
      <c r="KH42">
        <v>1361.67273</v>
      </c>
      <c r="KI42">
        <v>1361.7358400000001</v>
      </c>
      <c r="KJ42">
        <v>1361.6374499999999</v>
      </c>
      <c r="KK42">
        <v>1361.3789099999999</v>
      </c>
      <c r="KL42">
        <v>1361.26721</v>
      </c>
      <c r="KM42">
        <v>1361.20642</v>
      </c>
      <c r="KN42">
        <v>1361.20093</v>
      </c>
      <c r="KO42">
        <v>1361.20886</v>
      </c>
      <c r="KP42">
        <v>1361.50684</v>
      </c>
      <c r="KQ42">
        <v>1361.8228799999999</v>
      </c>
      <c r="KR42">
        <v>1361.90039</v>
      </c>
      <c r="KS42">
        <v>1361.8906300000001</v>
      </c>
      <c r="KT42">
        <v>1361.75623</v>
      </c>
      <c r="KU42">
        <v>1361.59448</v>
      </c>
      <c r="KV42">
        <v>1361.33899</v>
      </c>
      <c r="KW42">
        <v>1361.3961200000001</v>
      </c>
      <c r="KX42">
        <v>1361.2694100000001</v>
      </c>
      <c r="KY42">
        <v>1361.24854</v>
      </c>
      <c r="KZ42">
        <v>1361.14978</v>
      </c>
      <c r="LA42">
        <v>1361.17822</v>
      </c>
      <c r="LB42">
        <v>1361.38464</v>
      </c>
      <c r="LC42">
        <v>1361.6415999999999</v>
      </c>
      <c r="LD42">
        <v>1361.6234099999999</v>
      </c>
      <c r="LE42">
        <v>1361.7117900000001</v>
      </c>
      <c r="LF42">
        <v>1361.67444</v>
      </c>
      <c r="LG42">
        <v>1361.64832</v>
      </c>
      <c r="LH42">
        <v>1361.54773</v>
      </c>
      <c r="LI42">
        <v>1361.3435099999999</v>
      </c>
      <c r="LJ42">
        <v>1361.1945800000001</v>
      </c>
      <c r="LK42">
        <v>1361.17651</v>
      </c>
      <c r="LL42">
        <v>1361.15625</v>
      </c>
      <c r="LM42">
        <v>1361.2394999999999</v>
      </c>
      <c r="LN42">
        <v>1361.64661</v>
      </c>
      <c r="LO42">
        <v>1361.79126</v>
      </c>
      <c r="LP42">
        <v>1362.1728499999999</v>
      </c>
      <c r="LQ42">
        <v>1362.0410199999999</v>
      </c>
      <c r="LR42">
        <v>1361.7353499999999</v>
      </c>
      <c r="LS42">
        <v>1361.4720500000001</v>
      </c>
      <c r="LT42">
        <v>1361.3773200000001</v>
      </c>
      <c r="LU42">
        <v>1361.2398700000001</v>
      </c>
      <c r="LV42">
        <v>1361.2076400000001</v>
      </c>
      <c r="LW42">
        <v>1361.2930899999999</v>
      </c>
      <c r="LX42">
        <v>1361.50476</v>
      </c>
      <c r="LY42">
        <v>1361.69226</v>
      </c>
      <c r="LZ42">
        <v>1361.8634</v>
      </c>
      <c r="MA42">
        <v>1361.83167</v>
      </c>
      <c r="MB42">
        <v>1361.6455100000001</v>
      </c>
      <c r="MC42">
        <v>1361.56738</v>
      </c>
      <c r="MD42">
        <v>1361.4018599999999</v>
      </c>
      <c r="ME42">
        <v>1361.2981</v>
      </c>
      <c r="MF42">
        <v>1361.2360799999999</v>
      </c>
      <c r="MG42">
        <v>1361.2887000000001</v>
      </c>
      <c r="MH42">
        <v>1361.5372299999999</v>
      </c>
      <c r="MI42">
        <v>1362.05188</v>
      </c>
      <c r="MJ42">
        <v>1362.2072800000001</v>
      </c>
      <c r="MK42">
        <v>1362.1182899999999</v>
      </c>
      <c r="ML42">
        <v>1361.9938999999999</v>
      </c>
      <c r="MM42">
        <v>1361.84546</v>
      </c>
      <c r="MN42">
        <v>1361.7233900000001</v>
      </c>
      <c r="MO42">
        <v>1361.5128199999999</v>
      </c>
      <c r="MP42">
        <v>1361.3309300000001</v>
      </c>
      <c r="MQ42">
        <v>1361.31799</v>
      </c>
      <c r="MR42">
        <v>1361.6186499999999</v>
      </c>
      <c r="MS42">
        <v>1361.93848</v>
      </c>
      <c r="MT42">
        <v>1362.1898200000001</v>
      </c>
      <c r="MU42">
        <v>1362.3061499999999</v>
      </c>
      <c r="MV42">
        <v>1362.16443</v>
      </c>
      <c r="MW42">
        <v>1361.8707300000001</v>
      </c>
      <c r="MX42">
        <v>1361.6533199999999</v>
      </c>
      <c r="MY42">
        <v>1361.47144</v>
      </c>
      <c r="MZ42">
        <v>1361.3472899999999</v>
      </c>
      <c r="NA42">
        <v>1361.2745399999999</v>
      </c>
      <c r="NB42">
        <v>1361.43372</v>
      </c>
      <c r="NC42">
        <v>1361.9768099999999</v>
      </c>
      <c r="ND42">
        <v>1362.4328599999999</v>
      </c>
      <c r="NE42">
        <v>1362.4039299999999</v>
      </c>
      <c r="NF42">
        <v>1362.0960700000001</v>
      </c>
      <c r="NG42">
        <v>1361.9428700000001</v>
      </c>
      <c r="NH42">
        <v>1361.55701</v>
      </c>
      <c r="NI42">
        <v>1361.3754899999999</v>
      </c>
      <c r="NJ42">
        <v>1361.3164099999999</v>
      </c>
      <c r="NK42">
        <v>1361.29675</v>
      </c>
      <c r="NL42">
        <v>1361.33142</v>
      </c>
      <c r="NM42">
        <v>1361.52673</v>
      </c>
      <c r="NN42">
        <v>1361.7354700000001</v>
      </c>
      <c r="NO42">
        <v>1361.79053</v>
      </c>
      <c r="NP42">
        <v>1361.8584000000001</v>
      </c>
      <c r="NQ42">
        <v>1361.8504600000001</v>
      </c>
      <c r="NR42">
        <v>1361.5585900000001</v>
      </c>
      <c r="NS42">
        <v>1361.6413600000001</v>
      </c>
      <c r="NT42">
        <v>1361.4154100000001</v>
      </c>
      <c r="NU42">
        <v>1361.3393599999999</v>
      </c>
      <c r="NV42">
        <v>1361.27808</v>
      </c>
      <c r="NW42">
        <v>1361.2561000000001</v>
      </c>
      <c r="NX42">
        <v>1361.4288300000001</v>
      </c>
      <c r="NY42">
        <v>1361.8116500000001</v>
      </c>
      <c r="NZ42">
        <v>1362.17517</v>
      </c>
      <c r="OA42">
        <v>1362.20117</v>
      </c>
      <c r="OB42">
        <v>1362.24854</v>
      </c>
      <c r="OC42">
        <v>1361.8068800000001</v>
      </c>
      <c r="OD42">
        <v>1361.8101799999999</v>
      </c>
      <c r="OE42">
        <v>1361.4021</v>
      </c>
      <c r="OF42">
        <v>1361.2557400000001</v>
      </c>
      <c r="OG42">
        <v>1361.26172</v>
      </c>
      <c r="OH42">
        <v>1361.3964800000001</v>
      </c>
      <c r="OI42">
        <v>1361.7025100000001</v>
      </c>
      <c r="OJ42">
        <v>1362.20117</v>
      </c>
      <c r="OK42">
        <v>1362.12</v>
      </c>
      <c r="OL42">
        <v>1362.0124499999999</v>
      </c>
      <c r="OM42">
        <v>1361.8813500000001</v>
      </c>
      <c r="ON42">
        <v>1361.61438</v>
      </c>
      <c r="OO42">
        <v>1361.3957499999999</v>
      </c>
      <c r="OP42">
        <v>1361.3112799999999</v>
      </c>
      <c r="OQ42">
        <v>1361.2351100000001</v>
      </c>
      <c r="OR42">
        <v>1361.35718</v>
      </c>
      <c r="OS42">
        <v>1361.7025100000001</v>
      </c>
      <c r="OT42">
        <v>1361.9731400000001</v>
      </c>
      <c r="OU42">
        <v>1362.2536600000001</v>
      </c>
      <c r="OV42">
        <v>1362.08142</v>
      </c>
      <c r="OW42">
        <v>1362.19055</v>
      </c>
      <c r="OX42">
        <v>1361.69067</v>
      </c>
      <c r="OY42">
        <v>1361.4705799999999</v>
      </c>
      <c r="OZ42">
        <v>1361.2624499999999</v>
      </c>
      <c r="PA42">
        <v>1361.2358400000001</v>
      </c>
      <c r="PB42">
        <v>1361.16858</v>
      </c>
      <c r="PC42">
        <v>1361.19678</v>
      </c>
      <c r="PD42">
        <v>1361.1910399999999</v>
      </c>
      <c r="PE42">
        <v>1361.3396</v>
      </c>
      <c r="PF42">
        <v>1361.60645</v>
      </c>
      <c r="PG42">
        <v>1361.76819</v>
      </c>
      <c r="PH42">
        <v>1361.8129899999999</v>
      </c>
      <c r="PI42">
        <v>1361.88867</v>
      </c>
      <c r="PJ42">
        <v>1361.9489699999999</v>
      </c>
      <c r="PK42">
        <v>1361.4648400000001</v>
      </c>
      <c r="PL42">
        <v>1361.2913799999999</v>
      </c>
      <c r="PM42">
        <v>1361.2624499999999</v>
      </c>
      <c r="PN42">
        <v>1361.25549</v>
      </c>
      <c r="PO42">
        <v>1361.32275</v>
      </c>
      <c r="PP42">
        <v>1361.48938</v>
      </c>
      <c r="PQ42">
        <v>1361.98108</v>
      </c>
      <c r="PR42">
        <v>1362.4476299999999</v>
      </c>
      <c r="PS42">
        <v>1362.5648200000001</v>
      </c>
      <c r="PT42">
        <v>1362.41589</v>
      </c>
    </row>
    <row r="43" spans="1:436">
      <c r="A43">
        <v>1892</v>
      </c>
      <c r="B43">
        <v>-0.50656800000000002</v>
      </c>
      <c r="C43">
        <v>300.86811949999998</v>
      </c>
      <c r="D43">
        <v>21.658333330000001</v>
      </c>
      <c r="E43">
        <v>6.9024450000000015E-2</v>
      </c>
      <c r="F43">
        <v>13.848699999999999</v>
      </c>
      <c r="G43">
        <v>54.553120999999997</v>
      </c>
      <c r="H43">
        <v>-0.21456117</v>
      </c>
      <c r="I43">
        <v>340.45571999999999</v>
      </c>
      <c r="Q43">
        <v>294.8</v>
      </c>
      <c r="U43">
        <v>1610</v>
      </c>
      <c r="V43">
        <f>U43+1</f>
        <v>1611</v>
      </c>
      <c r="W43">
        <f t="shared" ref="W43:CH43" si="16">V43+1</f>
        <v>1612</v>
      </c>
      <c r="X43">
        <f t="shared" si="16"/>
        <v>1613</v>
      </c>
      <c r="Y43">
        <f t="shared" si="16"/>
        <v>1614</v>
      </c>
      <c r="Z43">
        <f t="shared" si="16"/>
        <v>1615</v>
      </c>
      <c r="AA43">
        <f t="shared" si="16"/>
        <v>1616</v>
      </c>
      <c r="AB43">
        <f t="shared" si="16"/>
        <v>1617</v>
      </c>
      <c r="AC43">
        <f t="shared" si="16"/>
        <v>1618</v>
      </c>
      <c r="AD43">
        <f t="shared" si="16"/>
        <v>1619</v>
      </c>
      <c r="AE43">
        <f t="shared" si="16"/>
        <v>1620</v>
      </c>
      <c r="AF43">
        <f t="shared" si="16"/>
        <v>1621</v>
      </c>
      <c r="AG43">
        <f t="shared" si="16"/>
        <v>1622</v>
      </c>
      <c r="AH43">
        <f t="shared" si="16"/>
        <v>1623</v>
      </c>
      <c r="AI43">
        <f t="shared" si="16"/>
        <v>1624</v>
      </c>
      <c r="AJ43">
        <f t="shared" si="16"/>
        <v>1625</v>
      </c>
      <c r="AK43">
        <f t="shared" si="16"/>
        <v>1626</v>
      </c>
      <c r="AL43">
        <f t="shared" si="16"/>
        <v>1627</v>
      </c>
      <c r="AM43">
        <f t="shared" si="16"/>
        <v>1628</v>
      </c>
      <c r="AN43">
        <f t="shared" si="16"/>
        <v>1629</v>
      </c>
      <c r="AO43">
        <f t="shared" si="16"/>
        <v>1630</v>
      </c>
      <c r="AP43">
        <f t="shared" si="16"/>
        <v>1631</v>
      </c>
      <c r="AQ43">
        <f t="shared" si="16"/>
        <v>1632</v>
      </c>
      <c r="AR43">
        <f t="shared" si="16"/>
        <v>1633</v>
      </c>
      <c r="AS43">
        <f t="shared" si="16"/>
        <v>1634</v>
      </c>
      <c r="AT43">
        <f t="shared" si="16"/>
        <v>1635</v>
      </c>
      <c r="AU43">
        <f t="shared" si="16"/>
        <v>1636</v>
      </c>
      <c r="AV43">
        <f t="shared" si="16"/>
        <v>1637</v>
      </c>
      <c r="AW43">
        <f t="shared" si="16"/>
        <v>1638</v>
      </c>
      <c r="AX43">
        <f t="shared" si="16"/>
        <v>1639</v>
      </c>
      <c r="AY43">
        <f t="shared" si="16"/>
        <v>1640</v>
      </c>
      <c r="AZ43">
        <f t="shared" si="16"/>
        <v>1641</v>
      </c>
      <c r="BA43">
        <f t="shared" si="16"/>
        <v>1642</v>
      </c>
      <c r="BB43">
        <f t="shared" si="16"/>
        <v>1643</v>
      </c>
      <c r="BC43">
        <f t="shared" si="16"/>
        <v>1644</v>
      </c>
      <c r="BD43">
        <f t="shared" si="16"/>
        <v>1645</v>
      </c>
      <c r="BE43">
        <f t="shared" si="16"/>
        <v>1646</v>
      </c>
      <c r="BF43">
        <f t="shared" si="16"/>
        <v>1647</v>
      </c>
      <c r="BG43">
        <f t="shared" si="16"/>
        <v>1648</v>
      </c>
      <c r="BH43">
        <f t="shared" si="16"/>
        <v>1649</v>
      </c>
      <c r="BI43">
        <f t="shared" si="16"/>
        <v>1650</v>
      </c>
      <c r="BJ43">
        <f t="shared" si="16"/>
        <v>1651</v>
      </c>
      <c r="BK43">
        <f t="shared" si="16"/>
        <v>1652</v>
      </c>
      <c r="BL43">
        <f t="shared" si="16"/>
        <v>1653</v>
      </c>
      <c r="BM43">
        <f t="shared" si="16"/>
        <v>1654</v>
      </c>
      <c r="BN43">
        <f t="shared" si="16"/>
        <v>1655</v>
      </c>
      <c r="BO43">
        <f t="shared" si="16"/>
        <v>1656</v>
      </c>
      <c r="BP43">
        <f t="shared" si="16"/>
        <v>1657</v>
      </c>
      <c r="BQ43">
        <f t="shared" si="16"/>
        <v>1658</v>
      </c>
      <c r="BR43">
        <f t="shared" si="16"/>
        <v>1659</v>
      </c>
      <c r="BS43">
        <f t="shared" si="16"/>
        <v>1660</v>
      </c>
      <c r="BT43">
        <f t="shared" si="16"/>
        <v>1661</v>
      </c>
      <c r="BU43">
        <f t="shared" si="16"/>
        <v>1662</v>
      </c>
      <c r="BV43">
        <f t="shared" si="16"/>
        <v>1663</v>
      </c>
      <c r="BW43">
        <f t="shared" si="16"/>
        <v>1664</v>
      </c>
      <c r="BX43">
        <f t="shared" si="16"/>
        <v>1665</v>
      </c>
      <c r="BY43">
        <f t="shared" si="16"/>
        <v>1666</v>
      </c>
      <c r="BZ43">
        <f t="shared" si="16"/>
        <v>1667</v>
      </c>
      <c r="CA43">
        <f t="shared" si="16"/>
        <v>1668</v>
      </c>
      <c r="CB43">
        <f t="shared" si="16"/>
        <v>1669</v>
      </c>
      <c r="CC43">
        <f t="shared" si="16"/>
        <v>1670</v>
      </c>
      <c r="CD43">
        <f t="shared" si="16"/>
        <v>1671</v>
      </c>
      <c r="CE43">
        <f t="shared" si="16"/>
        <v>1672</v>
      </c>
      <c r="CF43">
        <f t="shared" si="16"/>
        <v>1673</v>
      </c>
      <c r="CG43">
        <f t="shared" si="16"/>
        <v>1674</v>
      </c>
      <c r="CH43">
        <f t="shared" si="16"/>
        <v>1675</v>
      </c>
      <c r="CI43">
        <f t="shared" ref="CI43:ET43" si="17">CH43+1</f>
        <v>1676</v>
      </c>
      <c r="CJ43">
        <f t="shared" si="17"/>
        <v>1677</v>
      </c>
      <c r="CK43">
        <f t="shared" si="17"/>
        <v>1678</v>
      </c>
      <c r="CL43">
        <f t="shared" si="17"/>
        <v>1679</v>
      </c>
      <c r="CM43">
        <f t="shared" si="17"/>
        <v>1680</v>
      </c>
      <c r="CN43">
        <f t="shared" si="17"/>
        <v>1681</v>
      </c>
      <c r="CO43">
        <f t="shared" si="17"/>
        <v>1682</v>
      </c>
      <c r="CP43">
        <f t="shared" si="17"/>
        <v>1683</v>
      </c>
      <c r="CQ43">
        <f t="shared" si="17"/>
        <v>1684</v>
      </c>
      <c r="CR43">
        <f t="shared" si="17"/>
        <v>1685</v>
      </c>
      <c r="CS43">
        <f t="shared" si="17"/>
        <v>1686</v>
      </c>
      <c r="CT43">
        <f t="shared" si="17"/>
        <v>1687</v>
      </c>
      <c r="CU43">
        <f t="shared" si="17"/>
        <v>1688</v>
      </c>
      <c r="CV43">
        <f t="shared" si="17"/>
        <v>1689</v>
      </c>
      <c r="CW43">
        <f t="shared" si="17"/>
        <v>1690</v>
      </c>
      <c r="CX43">
        <f t="shared" si="17"/>
        <v>1691</v>
      </c>
      <c r="CY43">
        <f t="shared" si="17"/>
        <v>1692</v>
      </c>
      <c r="CZ43">
        <f t="shared" si="17"/>
        <v>1693</v>
      </c>
      <c r="DA43">
        <f t="shared" si="17"/>
        <v>1694</v>
      </c>
      <c r="DB43">
        <f t="shared" si="17"/>
        <v>1695</v>
      </c>
      <c r="DC43">
        <f t="shared" si="17"/>
        <v>1696</v>
      </c>
      <c r="DD43">
        <f t="shared" si="17"/>
        <v>1697</v>
      </c>
      <c r="DE43">
        <f t="shared" si="17"/>
        <v>1698</v>
      </c>
      <c r="DF43">
        <f t="shared" si="17"/>
        <v>1699</v>
      </c>
      <c r="DG43">
        <f t="shared" si="17"/>
        <v>1700</v>
      </c>
      <c r="DH43">
        <f t="shared" si="17"/>
        <v>1701</v>
      </c>
      <c r="DI43">
        <f t="shared" si="17"/>
        <v>1702</v>
      </c>
      <c r="DJ43">
        <f t="shared" si="17"/>
        <v>1703</v>
      </c>
      <c r="DK43">
        <f t="shared" si="17"/>
        <v>1704</v>
      </c>
      <c r="DL43">
        <f t="shared" si="17"/>
        <v>1705</v>
      </c>
      <c r="DM43">
        <f t="shared" si="17"/>
        <v>1706</v>
      </c>
      <c r="DN43">
        <f t="shared" si="17"/>
        <v>1707</v>
      </c>
      <c r="DO43">
        <f t="shared" si="17"/>
        <v>1708</v>
      </c>
      <c r="DP43">
        <f t="shared" si="17"/>
        <v>1709</v>
      </c>
      <c r="DQ43">
        <f t="shared" si="17"/>
        <v>1710</v>
      </c>
      <c r="DR43">
        <f t="shared" si="17"/>
        <v>1711</v>
      </c>
      <c r="DS43">
        <f t="shared" si="17"/>
        <v>1712</v>
      </c>
      <c r="DT43">
        <f t="shared" si="17"/>
        <v>1713</v>
      </c>
      <c r="DU43">
        <f t="shared" si="17"/>
        <v>1714</v>
      </c>
      <c r="DV43">
        <f t="shared" si="17"/>
        <v>1715</v>
      </c>
      <c r="DW43">
        <f t="shared" si="17"/>
        <v>1716</v>
      </c>
      <c r="DX43">
        <f t="shared" si="17"/>
        <v>1717</v>
      </c>
      <c r="DY43">
        <f t="shared" si="17"/>
        <v>1718</v>
      </c>
      <c r="DZ43">
        <f t="shared" si="17"/>
        <v>1719</v>
      </c>
      <c r="EA43">
        <f t="shared" si="17"/>
        <v>1720</v>
      </c>
      <c r="EB43">
        <f t="shared" si="17"/>
        <v>1721</v>
      </c>
      <c r="EC43">
        <f t="shared" si="17"/>
        <v>1722</v>
      </c>
      <c r="ED43">
        <f t="shared" si="17"/>
        <v>1723</v>
      </c>
      <c r="EE43">
        <f t="shared" si="17"/>
        <v>1724</v>
      </c>
      <c r="EF43">
        <f t="shared" si="17"/>
        <v>1725</v>
      </c>
      <c r="EG43">
        <f t="shared" si="17"/>
        <v>1726</v>
      </c>
      <c r="EH43">
        <f t="shared" si="17"/>
        <v>1727</v>
      </c>
      <c r="EI43">
        <f t="shared" si="17"/>
        <v>1728</v>
      </c>
      <c r="EJ43">
        <f t="shared" si="17"/>
        <v>1729</v>
      </c>
      <c r="EK43">
        <f t="shared" si="17"/>
        <v>1730</v>
      </c>
      <c r="EL43">
        <f t="shared" si="17"/>
        <v>1731</v>
      </c>
      <c r="EM43">
        <f t="shared" si="17"/>
        <v>1732</v>
      </c>
      <c r="EN43">
        <f t="shared" si="17"/>
        <v>1733</v>
      </c>
      <c r="EO43">
        <f t="shared" si="17"/>
        <v>1734</v>
      </c>
      <c r="EP43">
        <f t="shared" si="17"/>
        <v>1735</v>
      </c>
      <c r="EQ43">
        <f t="shared" si="17"/>
        <v>1736</v>
      </c>
      <c r="ER43">
        <f t="shared" si="17"/>
        <v>1737</v>
      </c>
      <c r="ES43">
        <f t="shared" si="17"/>
        <v>1738</v>
      </c>
      <c r="ET43">
        <f t="shared" si="17"/>
        <v>1739</v>
      </c>
      <c r="EU43">
        <f t="shared" ref="EU43:FS43" si="18">ET43+1</f>
        <v>1740</v>
      </c>
      <c r="EV43">
        <f t="shared" si="18"/>
        <v>1741</v>
      </c>
      <c r="EW43">
        <f t="shared" si="18"/>
        <v>1742</v>
      </c>
      <c r="EX43">
        <f t="shared" si="18"/>
        <v>1743</v>
      </c>
      <c r="EY43">
        <f t="shared" si="18"/>
        <v>1744</v>
      </c>
      <c r="EZ43">
        <f t="shared" si="18"/>
        <v>1745</v>
      </c>
      <c r="FA43">
        <f t="shared" si="18"/>
        <v>1746</v>
      </c>
      <c r="FB43">
        <f t="shared" si="18"/>
        <v>1747</v>
      </c>
      <c r="FC43">
        <f t="shared" si="18"/>
        <v>1748</v>
      </c>
      <c r="FD43">
        <f t="shared" si="18"/>
        <v>1749</v>
      </c>
      <c r="FE43">
        <f t="shared" si="18"/>
        <v>1750</v>
      </c>
      <c r="FF43">
        <f t="shared" si="18"/>
        <v>1751</v>
      </c>
      <c r="FG43">
        <f t="shared" si="18"/>
        <v>1752</v>
      </c>
      <c r="FH43">
        <f t="shared" si="18"/>
        <v>1753</v>
      </c>
      <c r="FI43">
        <f t="shared" si="18"/>
        <v>1754</v>
      </c>
      <c r="FJ43">
        <f t="shared" si="18"/>
        <v>1755</v>
      </c>
      <c r="FK43">
        <f t="shared" si="18"/>
        <v>1756</v>
      </c>
      <c r="FL43">
        <f t="shared" si="18"/>
        <v>1757</v>
      </c>
      <c r="FM43">
        <f t="shared" si="18"/>
        <v>1758</v>
      </c>
      <c r="FN43">
        <f t="shared" si="18"/>
        <v>1759</v>
      </c>
      <c r="FO43">
        <f t="shared" si="18"/>
        <v>1760</v>
      </c>
      <c r="FP43">
        <f t="shared" si="18"/>
        <v>1761</v>
      </c>
      <c r="FQ43">
        <f t="shared" si="18"/>
        <v>1762</v>
      </c>
      <c r="FR43">
        <f t="shared" si="18"/>
        <v>1763</v>
      </c>
      <c r="FS43">
        <f t="shared" si="18"/>
        <v>1764</v>
      </c>
      <c r="FT43">
        <f>FS43+1</f>
        <v>1765</v>
      </c>
      <c r="FU43">
        <f t="shared" ref="FU43:GN43" si="19">FT43+1</f>
        <v>1766</v>
      </c>
      <c r="FV43">
        <f t="shared" si="19"/>
        <v>1767</v>
      </c>
      <c r="FW43">
        <f t="shared" si="19"/>
        <v>1768</v>
      </c>
      <c r="FX43">
        <f t="shared" si="19"/>
        <v>1769</v>
      </c>
      <c r="FY43">
        <f t="shared" si="19"/>
        <v>1770</v>
      </c>
      <c r="FZ43">
        <f t="shared" si="19"/>
        <v>1771</v>
      </c>
      <c r="GA43">
        <f t="shared" si="19"/>
        <v>1772</v>
      </c>
      <c r="GB43">
        <f t="shared" si="19"/>
        <v>1773</v>
      </c>
      <c r="GC43">
        <f t="shared" si="19"/>
        <v>1774</v>
      </c>
      <c r="GD43">
        <f t="shared" si="19"/>
        <v>1775</v>
      </c>
      <c r="GE43">
        <f t="shared" si="19"/>
        <v>1776</v>
      </c>
      <c r="GF43">
        <f t="shared" si="19"/>
        <v>1777</v>
      </c>
      <c r="GG43">
        <f t="shared" si="19"/>
        <v>1778</v>
      </c>
      <c r="GH43">
        <f t="shared" si="19"/>
        <v>1779</v>
      </c>
      <c r="GI43">
        <f t="shared" si="19"/>
        <v>1780</v>
      </c>
      <c r="GJ43">
        <f t="shared" si="19"/>
        <v>1781</v>
      </c>
      <c r="GK43">
        <f t="shared" si="19"/>
        <v>1782</v>
      </c>
      <c r="GL43">
        <f t="shared" si="19"/>
        <v>1783</v>
      </c>
      <c r="GM43">
        <f t="shared" si="19"/>
        <v>1784</v>
      </c>
      <c r="GN43">
        <f t="shared" si="19"/>
        <v>1785</v>
      </c>
      <c r="GO43">
        <f>GN43+1</f>
        <v>1786</v>
      </c>
      <c r="GP43">
        <f t="shared" ref="GP43:HP43" si="20">GO43+1</f>
        <v>1787</v>
      </c>
      <c r="GQ43">
        <f t="shared" si="20"/>
        <v>1788</v>
      </c>
      <c r="GR43">
        <f t="shared" si="20"/>
        <v>1789</v>
      </c>
      <c r="GS43">
        <f t="shared" si="20"/>
        <v>1790</v>
      </c>
      <c r="GT43">
        <f t="shared" si="20"/>
        <v>1791</v>
      </c>
      <c r="GU43">
        <f t="shared" si="20"/>
        <v>1792</v>
      </c>
      <c r="GV43">
        <f t="shared" si="20"/>
        <v>1793</v>
      </c>
      <c r="GW43">
        <f t="shared" si="20"/>
        <v>1794</v>
      </c>
      <c r="GX43">
        <f t="shared" si="20"/>
        <v>1795</v>
      </c>
      <c r="GY43">
        <f t="shared" si="20"/>
        <v>1796</v>
      </c>
      <c r="GZ43">
        <f t="shared" si="20"/>
        <v>1797</v>
      </c>
      <c r="HA43">
        <f t="shared" si="20"/>
        <v>1798</v>
      </c>
      <c r="HB43">
        <f t="shared" si="20"/>
        <v>1799</v>
      </c>
      <c r="HC43">
        <f t="shared" si="20"/>
        <v>1800</v>
      </c>
      <c r="HD43">
        <f t="shared" si="20"/>
        <v>1801</v>
      </c>
      <c r="HE43">
        <f t="shared" si="20"/>
        <v>1802</v>
      </c>
      <c r="HF43">
        <f t="shared" si="20"/>
        <v>1803</v>
      </c>
      <c r="HG43">
        <f t="shared" si="20"/>
        <v>1804</v>
      </c>
      <c r="HH43">
        <f t="shared" si="20"/>
        <v>1805</v>
      </c>
      <c r="HI43">
        <f t="shared" si="20"/>
        <v>1806</v>
      </c>
      <c r="HJ43">
        <f t="shared" si="20"/>
        <v>1807</v>
      </c>
      <c r="HK43">
        <f t="shared" si="20"/>
        <v>1808</v>
      </c>
      <c r="HL43">
        <f t="shared" si="20"/>
        <v>1809</v>
      </c>
      <c r="HM43">
        <f t="shared" si="20"/>
        <v>1810</v>
      </c>
      <c r="HN43">
        <f t="shared" si="20"/>
        <v>1811</v>
      </c>
      <c r="HO43">
        <f t="shared" si="20"/>
        <v>1812</v>
      </c>
      <c r="HP43">
        <f t="shared" si="20"/>
        <v>1813</v>
      </c>
      <c r="HQ43">
        <f>HP43+1</f>
        <v>1814</v>
      </c>
      <c r="HR43">
        <f t="shared" ref="HR43:IX43" si="21">HQ43+1</f>
        <v>1815</v>
      </c>
      <c r="HS43">
        <f t="shared" si="21"/>
        <v>1816</v>
      </c>
      <c r="HT43">
        <f t="shared" si="21"/>
        <v>1817</v>
      </c>
      <c r="HU43">
        <f t="shared" si="21"/>
        <v>1818</v>
      </c>
      <c r="HV43">
        <f t="shared" si="21"/>
        <v>1819</v>
      </c>
      <c r="HW43">
        <f t="shared" si="21"/>
        <v>1820</v>
      </c>
      <c r="HX43">
        <f t="shared" si="21"/>
        <v>1821</v>
      </c>
      <c r="HY43">
        <f t="shared" si="21"/>
        <v>1822</v>
      </c>
      <c r="HZ43">
        <f t="shared" si="21"/>
        <v>1823</v>
      </c>
      <c r="IA43">
        <f t="shared" si="21"/>
        <v>1824</v>
      </c>
      <c r="IB43">
        <f t="shared" si="21"/>
        <v>1825</v>
      </c>
      <c r="IC43">
        <f t="shared" si="21"/>
        <v>1826</v>
      </c>
      <c r="ID43">
        <f t="shared" si="21"/>
        <v>1827</v>
      </c>
      <c r="IE43">
        <f t="shared" si="21"/>
        <v>1828</v>
      </c>
      <c r="IF43">
        <f t="shared" si="21"/>
        <v>1829</v>
      </c>
      <c r="IG43">
        <f t="shared" si="21"/>
        <v>1830</v>
      </c>
      <c r="IH43">
        <f t="shared" si="21"/>
        <v>1831</v>
      </c>
      <c r="II43">
        <f t="shared" si="21"/>
        <v>1832</v>
      </c>
      <c r="IJ43">
        <f t="shared" si="21"/>
        <v>1833</v>
      </c>
      <c r="IK43">
        <f t="shared" si="21"/>
        <v>1834</v>
      </c>
      <c r="IL43">
        <f t="shared" si="21"/>
        <v>1835</v>
      </c>
      <c r="IM43">
        <f t="shared" si="21"/>
        <v>1836</v>
      </c>
      <c r="IN43">
        <f t="shared" si="21"/>
        <v>1837</v>
      </c>
      <c r="IO43">
        <f t="shared" si="21"/>
        <v>1838</v>
      </c>
      <c r="IP43">
        <f t="shared" si="21"/>
        <v>1839</v>
      </c>
      <c r="IQ43">
        <f t="shared" si="21"/>
        <v>1840</v>
      </c>
      <c r="IR43">
        <f t="shared" si="21"/>
        <v>1841</v>
      </c>
      <c r="IS43">
        <f t="shared" si="21"/>
        <v>1842</v>
      </c>
      <c r="IT43">
        <f t="shared" si="21"/>
        <v>1843</v>
      </c>
      <c r="IU43">
        <f t="shared" si="21"/>
        <v>1844</v>
      </c>
      <c r="IV43">
        <f t="shared" si="21"/>
        <v>1845</v>
      </c>
      <c r="IW43">
        <f t="shared" si="21"/>
        <v>1846</v>
      </c>
      <c r="IX43">
        <f t="shared" si="21"/>
        <v>1847</v>
      </c>
      <c r="IY43">
        <f>IX43+1</f>
        <v>1848</v>
      </c>
      <c r="IZ43">
        <f t="shared" ref="IZ43:JA43" si="22">IY43+1</f>
        <v>1849</v>
      </c>
      <c r="JA43">
        <f t="shared" si="22"/>
        <v>1850</v>
      </c>
    </row>
    <row r="44" spans="1:436">
      <c r="A44">
        <v>1893</v>
      </c>
      <c r="B44">
        <v>-0.49494614999999997</v>
      </c>
      <c r="C44">
        <v>301.35120469999998</v>
      </c>
      <c r="D44">
        <v>9.4416666669999998</v>
      </c>
      <c r="E44">
        <v>6.7505502500000009E-2</v>
      </c>
      <c r="F44">
        <v>12.512435999999999</v>
      </c>
      <c r="G44">
        <v>49.335889999999999</v>
      </c>
      <c r="H44">
        <v>-0.21697931400000001</v>
      </c>
      <c r="I44">
        <v>340.4750975</v>
      </c>
      <c r="Q44">
        <v>294.7</v>
      </c>
      <c r="FP44">
        <v>2022</v>
      </c>
      <c r="FQ44">
        <f>AVERAGE(FP46:GA46)</f>
        <v>1361.4943948333334</v>
      </c>
      <c r="GB44">
        <v>2023</v>
      </c>
      <c r="GC44">
        <f>SUM(GB46:GJ46,FP46:FR46)/12</f>
        <v>1361.8057455000001</v>
      </c>
    </row>
    <row r="45" spans="1:436">
      <c r="A45">
        <v>1894</v>
      </c>
      <c r="B45">
        <v>-0.47874618000000002</v>
      </c>
      <c r="C45">
        <v>301.99156319999997</v>
      </c>
      <c r="D45">
        <v>3.5333333329999999</v>
      </c>
      <c r="E45">
        <v>7.169632749999999E-2</v>
      </c>
      <c r="F45">
        <v>15.250814</v>
      </c>
      <c r="G45">
        <v>51.153911000000001</v>
      </c>
      <c r="H45">
        <v>-0.231264092</v>
      </c>
      <c r="I45">
        <v>340.47265750000003</v>
      </c>
      <c r="Q45">
        <v>294.8</v>
      </c>
    </row>
    <row r="46" spans="1:436">
      <c r="A46">
        <v>1895</v>
      </c>
      <c r="B46">
        <v>-0.44183642000000001</v>
      </c>
      <c r="C46">
        <v>302.38234499999999</v>
      </c>
      <c r="D46">
        <v>1.3666666670000001</v>
      </c>
      <c r="E46">
        <v>6.9528025000000007E-2</v>
      </c>
      <c r="F46">
        <v>19.174388</v>
      </c>
      <c r="G46">
        <v>48.515118000000001</v>
      </c>
      <c r="H46">
        <v>-0.23662612699999999</v>
      </c>
      <c r="I46">
        <v>340.43905749999999</v>
      </c>
      <c r="O46" t="s">
        <v>45</v>
      </c>
      <c r="Q46">
        <v>294.8</v>
      </c>
      <c r="FP46">
        <v>1361.1994629999999</v>
      </c>
      <c r="FQ46">
        <v>1361.3514399999999</v>
      </c>
      <c r="FR46">
        <v>1361.2739260000001</v>
      </c>
      <c r="FS46">
        <v>1361.3820800000001</v>
      </c>
      <c r="FT46">
        <v>1361.6176760000001</v>
      </c>
      <c r="FU46">
        <v>1361.653564</v>
      </c>
      <c r="FV46">
        <v>1361.3831789999999</v>
      </c>
      <c r="FW46">
        <v>1361.4204099999999</v>
      </c>
      <c r="FX46">
        <v>1361.6767580000001</v>
      </c>
      <c r="FY46">
        <v>1361.7836910000001</v>
      </c>
      <c r="FZ46">
        <v>1361.6949460000001</v>
      </c>
      <c r="GA46">
        <v>1361.4956050000001</v>
      </c>
      <c r="GB46">
        <v>1361.8084719999999</v>
      </c>
      <c r="GC46">
        <v>1362.0031739999999</v>
      </c>
      <c r="GD46">
        <v>1362.1990969999999</v>
      </c>
      <c r="GE46">
        <v>1362.0405270000001</v>
      </c>
      <c r="GF46">
        <v>1361.6741939999999</v>
      </c>
      <c r="GG46">
        <v>1362.0344239999999</v>
      </c>
      <c r="GH46">
        <v>1361.650879</v>
      </c>
      <c r="GI46">
        <v>1362.2404790000001</v>
      </c>
      <c r="GJ46">
        <v>1362.192871</v>
      </c>
    </row>
    <row r="47" spans="1:436">
      <c r="A47">
        <v>1896</v>
      </c>
      <c r="B47">
        <v>-0.27859443</v>
      </c>
      <c r="C47">
        <v>302.50342910000001</v>
      </c>
      <c r="D47">
        <v>18.283333330000001</v>
      </c>
      <c r="E47">
        <v>6.59040075E-2</v>
      </c>
      <c r="F47">
        <v>22.765411</v>
      </c>
      <c r="G47">
        <v>58.411088999999997</v>
      </c>
      <c r="H47">
        <v>-0.23607391999999999</v>
      </c>
      <c r="I47">
        <v>340.39861999999999</v>
      </c>
      <c r="O47" s="7">
        <v>1849</v>
      </c>
      <c r="P47">
        <v>287.7</v>
      </c>
      <c r="Q47">
        <v>294.89999999999998</v>
      </c>
    </row>
    <row r="48" spans="1:436">
      <c r="A48">
        <v>1897</v>
      </c>
      <c r="B48">
        <v>-0.25465064999999998</v>
      </c>
      <c r="C48">
        <v>303.07987439999999</v>
      </c>
      <c r="D48">
        <v>16.858333330000001</v>
      </c>
      <c r="E48">
        <v>6.9010200000000008E-2</v>
      </c>
      <c r="F48">
        <v>25.369513000000001</v>
      </c>
      <c r="G48">
        <v>51.211100999999999</v>
      </c>
      <c r="H48">
        <v>-0.250751689</v>
      </c>
      <c r="I48">
        <v>340.33474749999999</v>
      </c>
      <c r="O48" s="7">
        <v>1851</v>
      </c>
      <c r="P48">
        <v>285.2</v>
      </c>
      <c r="Q48">
        <v>294.89999999999998</v>
      </c>
    </row>
    <row r="49" spans="1:197">
      <c r="A49">
        <v>1898</v>
      </c>
      <c r="B49">
        <v>-0.47404160000000001</v>
      </c>
      <c r="C49">
        <v>303.5205575</v>
      </c>
      <c r="D49">
        <v>12.116666670000001</v>
      </c>
      <c r="E49">
        <v>6.768207250000001E-2</v>
      </c>
      <c r="F49">
        <v>30.661798000000001</v>
      </c>
      <c r="G49">
        <v>48.897539000000002</v>
      </c>
      <c r="H49">
        <v>-0.25917568400000002</v>
      </c>
      <c r="I49">
        <v>340.34903000000003</v>
      </c>
      <c r="O49" s="7">
        <v>1852</v>
      </c>
      <c r="P49">
        <v>288.60000000000002</v>
      </c>
      <c r="Q49">
        <v>294.89999999999998</v>
      </c>
    </row>
    <row r="50" spans="1:197">
      <c r="A50">
        <v>1899</v>
      </c>
      <c r="B50">
        <v>-0.34430692000000002</v>
      </c>
      <c r="C50">
        <v>304.0821383</v>
      </c>
      <c r="D50">
        <v>4.5583333330000002</v>
      </c>
      <c r="E50">
        <v>6.51865425E-2</v>
      </c>
      <c r="F50">
        <v>32.826909000000001</v>
      </c>
      <c r="G50">
        <v>47.410651000000001</v>
      </c>
      <c r="H50">
        <v>-0.27875599899999998</v>
      </c>
      <c r="I50">
        <v>340.31735250000003</v>
      </c>
      <c r="J50" t="s">
        <v>51</v>
      </c>
      <c r="O50" s="7">
        <v>1854</v>
      </c>
      <c r="P50">
        <v>287</v>
      </c>
      <c r="Q50">
        <v>295.3</v>
      </c>
      <c r="U50">
        <f>JA42</f>
        <v>1361.7835700000001</v>
      </c>
      <c r="V50">
        <f t="shared" ref="V50:CG50" si="23">JB42</f>
        <v>1361.72119</v>
      </c>
      <c r="W50">
        <f t="shared" si="23"/>
        <v>1361.67615</v>
      </c>
      <c r="X50">
        <f t="shared" si="23"/>
        <v>1361.5373500000001</v>
      </c>
      <c r="Y50">
        <f t="shared" si="23"/>
        <v>1361.36304</v>
      </c>
      <c r="Z50">
        <f t="shared" si="23"/>
        <v>1361.19055</v>
      </c>
      <c r="AA50">
        <f t="shared" si="23"/>
        <v>1361.1550299999999</v>
      </c>
      <c r="AB50">
        <f t="shared" si="23"/>
        <v>1361.31396</v>
      </c>
      <c r="AC50">
        <f t="shared" si="23"/>
        <v>1361.6182899999999</v>
      </c>
      <c r="AD50">
        <f t="shared" si="23"/>
        <v>1361.8894</v>
      </c>
      <c r="AE50">
        <f t="shared" si="23"/>
        <v>1361.97119</v>
      </c>
      <c r="AF50">
        <f t="shared" si="23"/>
        <v>1361.8658399999999</v>
      </c>
      <c r="AG50">
        <f t="shared" si="23"/>
        <v>1361.77649</v>
      </c>
      <c r="AH50">
        <f t="shared" si="23"/>
        <v>1361.61133</v>
      </c>
      <c r="AI50">
        <f t="shared" si="23"/>
        <v>1361.55396</v>
      </c>
      <c r="AJ50">
        <f t="shared" si="23"/>
        <v>1361.43677</v>
      </c>
      <c r="AK50">
        <f t="shared" si="23"/>
        <v>1361.3067599999999</v>
      </c>
      <c r="AL50">
        <f t="shared" si="23"/>
        <v>1361.20056</v>
      </c>
      <c r="AM50">
        <f t="shared" si="23"/>
        <v>1361.4070999999999</v>
      </c>
      <c r="AN50">
        <f t="shared" si="23"/>
        <v>1361.6911600000001</v>
      </c>
      <c r="AO50">
        <f t="shared" si="23"/>
        <v>1362.0479700000001</v>
      </c>
      <c r="AP50">
        <f t="shared" si="23"/>
        <v>1362.0317399999999</v>
      </c>
      <c r="AQ50">
        <f t="shared" si="23"/>
        <v>1361.9713099999999</v>
      </c>
      <c r="AR50">
        <f t="shared" si="23"/>
        <v>1361.8027300000001</v>
      </c>
      <c r="AS50">
        <f t="shared" si="23"/>
        <v>1361.5749499999999</v>
      </c>
      <c r="AT50">
        <f t="shared" si="23"/>
        <v>1361.3527799999999</v>
      </c>
      <c r="AU50">
        <f t="shared" si="23"/>
        <v>1361.2983400000001</v>
      </c>
      <c r="AV50">
        <f t="shared" si="23"/>
        <v>1361.3105499999999</v>
      </c>
      <c r="AW50">
        <f t="shared" si="23"/>
        <v>1361.1798100000001</v>
      </c>
      <c r="AX50">
        <f t="shared" si="23"/>
        <v>1361.22461</v>
      </c>
      <c r="AY50">
        <f t="shared" si="23"/>
        <v>1361.4936499999999</v>
      </c>
      <c r="AZ50">
        <f t="shared" si="23"/>
        <v>1361.74927</v>
      </c>
      <c r="BA50">
        <f t="shared" si="23"/>
        <v>1361.7171599999999</v>
      </c>
      <c r="BB50">
        <f t="shared" si="23"/>
        <v>1361.67273</v>
      </c>
      <c r="BC50">
        <f t="shared" si="23"/>
        <v>1361.7358400000001</v>
      </c>
      <c r="BD50">
        <f t="shared" si="23"/>
        <v>1361.6374499999999</v>
      </c>
      <c r="BE50">
        <f t="shared" si="23"/>
        <v>1361.3789099999999</v>
      </c>
      <c r="BF50">
        <f t="shared" si="23"/>
        <v>1361.26721</v>
      </c>
      <c r="BG50">
        <f t="shared" si="23"/>
        <v>1361.20642</v>
      </c>
      <c r="BH50">
        <f t="shared" si="23"/>
        <v>1361.20093</v>
      </c>
      <c r="BI50">
        <f t="shared" si="23"/>
        <v>1361.20886</v>
      </c>
      <c r="BJ50">
        <f t="shared" si="23"/>
        <v>1361.50684</v>
      </c>
      <c r="BK50">
        <f t="shared" si="23"/>
        <v>1361.8228799999999</v>
      </c>
      <c r="BL50">
        <f t="shared" si="23"/>
        <v>1361.90039</v>
      </c>
      <c r="BM50">
        <f t="shared" si="23"/>
        <v>1361.8906300000001</v>
      </c>
      <c r="BN50">
        <f t="shared" si="23"/>
        <v>1361.75623</v>
      </c>
      <c r="BO50">
        <f t="shared" si="23"/>
        <v>1361.59448</v>
      </c>
      <c r="BP50">
        <f t="shared" si="23"/>
        <v>1361.33899</v>
      </c>
      <c r="BQ50">
        <f t="shared" si="23"/>
        <v>1361.3961200000001</v>
      </c>
      <c r="BR50">
        <f t="shared" si="23"/>
        <v>1361.2694100000001</v>
      </c>
      <c r="BS50">
        <f t="shared" si="23"/>
        <v>1361.24854</v>
      </c>
      <c r="BT50">
        <f t="shared" si="23"/>
        <v>1361.14978</v>
      </c>
      <c r="BU50">
        <f t="shared" si="23"/>
        <v>1361.17822</v>
      </c>
      <c r="BV50">
        <f t="shared" si="23"/>
        <v>1361.38464</v>
      </c>
      <c r="BW50">
        <f t="shared" si="23"/>
        <v>1361.6415999999999</v>
      </c>
      <c r="BX50">
        <f t="shared" si="23"/>
        <v>1361.6234099999999</v>
      </c>
      <c r="BY50">
        <f t="shared" si="23"/>
        <v>1361.7117900000001</v>
      </c>
      <c r="BZ50">
        <f t="shared" si="23"/>
        <v>1361.67444</v>
      </c>
      <c r="CA50">
        <f t="shared" si="23"/>
        <v>1361.64832</v>
      </c>
      <c r="CB50">
        <f t="shared" si="23"/>
        <v>1361.54773</v>
      </c>
      <c r="CC50">
        <f t="shared" si="23"/>
        <v>1361.3435099999999</v>
      </c>
      <c r="CD50">
        <f t="shared" si="23"/>
        <v>1361.1945800000001</v>
      </c>
      <c r="CE50">
        <f t="shared" si="23"/>
        <v>1361.17651</v>
      </c>
      <c r="CF50">
        <f t="shared" si="23"/>
        <v>1361.15625</v>
      </c>
      <c r="CG50">
        <f t="shared" si="23"/>
        <v>1361.2394999999999</v>
      </c>
      <c r="CH50">
        <f t="shared" ref="CH50:ES50" si="24">LN42</f>
        <v>1361.64661</v>
      </c>
      <c r="CI50">
        <f t="shared" si="24"/>
        <v>1361.79126</v>
      </c>
      <c r="CJ50">
        <f t="shared" si="24"/>
        <v>1362.1728499999999</v>
      </c>
      <c r="CK50">
        <f t="shared" si="24"/>
        <v>1362.0410199999999</v>
      </c>
      <c r="CL50">
        <f t="shared" si="24"/>
        <v>1361.7353499999999</v>
      </c>
      <c r="CM50">
        <f t="shared" si="24"/>
        <v>1361.4720500000001</v>
      </c>
      <c r="CN50">
        <f t="shared" si="24"/>
        <v>1361.3773200000001</v>
      </c>
      <c r="CO50">
        <f t="shared" si="24"/>
        <v>1361.2398700000001</v>
      </c>
      <c r="CP50">
        <f t="shared" si="24"/>
        <v>1361.2076400000001</v>
      </c>
      <c r="CQ50">
        <f t="shared" si="24"/>
        <v>1361.2930899999999</v>
      </c>
      <c r="CR50">
        <f t="shared" si="24"/>
        <v>1361.50476</v>
      </c>
      <c r="CS50">
        <f t="shared" si="24"/>
        <v>1361.69226</v>
      </c>
      <c r="CT50">
        <f t="shared" si="24"/>
        <v>1361.8634</v>
      </c>
      <c r="CU50">
        <f t="shared" si="24"/>
        <v>1361.83167</v>
      </c>
      <c r="CV50">
        <f t="shared" si="24"/>
        <v>1361.6455100000001</v>
      </c>
      <c r="CW50">
        <f t="shared" si="24"/>
        <v>1361.56738</v>
      </c>
      <c r="CX50">
        <f t="shared" si="24"/>
        <v>1361.4018599999999</v>
      </c>
      <c r="CY50">
        <f t="shared" si="24"/>
        <v>1361.2981</v>
      </c>
      <c r="CZ50">
        <f t="shared" si="24"/>
        <v>1361.2360799999999</v>
      </c>
      <c r="DA50">
        <f t="shared" si="24"/>
        <v>1361.2887000000001</v>
      </c>
      <c r="DB50">
        <f t="shared" si="24"/>
        <v>1361.5372299999999</v>
      </c>
      <c r="DC50">
        <f t="shared" si="24"/>
        <v>1362.05188</v>
      </c>
      <c r="DD50">
        <f t="shared" si="24"/>
        <v>1362.2072800000001</v>
      </c>
      <c r="DE50">
        <f t="shared" si="24"/>
        <v>1362.1182899999999</v>
      </c>
      <c r="DF50">
        <f t="shared" si="24"/>
        <v>1361.9938999999999</v>
      </c>
      <c r="DG50">
        <f t="shared" si="24"/>
        <v>1361.84546</v>
      </c>
      <c r="DH50">
        <f t="shared" si="24"/>
        <v>1361.7233900000001</v>
      </c>
      <c r="DI50">
        <f t="shared" si="24"/>
        <v>1361.5128199999999</v>
      </c>
      <c r="DJ50">
        <f t="shared" si="24"/>
        <v>1361.3309300000001</v>
      </c>
      <c r="DK50">
        <f t="shared" si="24"/>
        <v>1361.31799</v>
      </c>
      <c r="DL50">
        <f t="shared" si="24"/>
        <v>1361.6186499999999</v>
      </c>
      <c r="DM50">
        <f t="shared" si="24"/>
        <v>1361.93848</v>
      </c>
      <c r="DN50">
        <f t="shared" si="24"/>
        <v>1362.1898200000001</v>
      </c>
      <c r="DO50">
        <f t="shared" si="24"/>
        <v>1362.3061499999999</v>
      </c>
      <c r="DP50">
        <f t="shared" si="24"/>
        <v>1362.16443</v>
      </c>
      <c r="DQ50">
        <f t="shared" si="24"/>
        <v>1361.8707300000001</v>
      </c>
      <c r="DR50">
        <f t="shared" si="24"/>
        <v>1361.6533199999999</v>
      </c>
      <c r="DS50">
        <f t="shared" si="24"/>
        <v>1361.47144</v>
      </c>
      <c r="DT50">
        <f t="shared" si="24"/>
        <v>1361.3472899999999</v>
      </c>
      <c r="DU50">
        <f t="shared" si="24"/>
        <v>1361.2745399999999</v>
      </c>
      <c r="DV50">
        <f t="shared" si="24"/>
        <v>1361.43372</v>
      </c>
      <c r="DW50">
        <f t="shared" si="24"/>
        <v>1361.9768099999999</v>
      </c>
      <c r="DX50">
        <f t="shared" si="24"/>
        <v>1362.4328599999999</v>
      </c>
      <c r="DY50">
        <f t="shared" si="24"/>
        <v>1362.4039299999999</v>
      </c>
      <c r="DZ50">
        <f t="shared" si="24"/>
        <v>1362.0960700000001</v>
      </c>
      <c r="EA50">
        <f t="shared" si="24"/>
        <v>1361.9428700000001</v>
      </c>
      <c r="EB50">
        <f t="shared" si="24"/>
        <v>1361.55701</v>
      </c>
      <c r="EC50">
        <f t="shared" si="24"/>
        <v>1361.3754899999999</v>
      </c>
      <c r="ED50">
        <f t="shared" si="24"/>
        <v>1361.3164099999999</v>
      </c>
      <c r="EE50">
        <f t="shared" si="24"/>
        <v>1361.29675</v>
      </c>
      <c r="EF50">
        <f t="shared" si="24"/>
        <v>1361.33142</v>
      </c>
      <c r="EG50">
        <f t="shared" si="24"/>
        <v>1361.52673</v>
      </c>
      <c r="EH50">
        <f t="shared" si="24"/>
        <v>1361.7354700000001</v>
      </c>
      <c r="EI50">
        <f t="shared" si="24"/>
        <v>1361.79053</v>
      </c>
      <c r="EJ50">
        <f t="shared" si="24"/>
        <v>1361.8584000000001</v>
      </c>
      <c r="EK50">
        <f t="shared" si="24"/>
        <v>1361.8504600000001</v>
      </c>
      <c r="EL50">
        <f t="shared" si="24"/>
        <v>1361.5585900000001</v>
      </c>
      <c r="EM50">
        <f t="shared" si="24"/>
        <v>1361.6413600000001</v>
      </c>
      <c r="EN50">
        <f t="shared" si="24"/>
        <v>1361.4154100000001</v>
      </c>
      <c r="EO50">
        <f t="shared" si="24"/>
        <v>1361.3393599999999</v>
      </c>
      <c r="EP50">
        <f t="shared" si="24"/>
        <v>1361.27808</v>
      </c>
      <c r="EQ50">
        <f t="shared" si="24"/>
        <v>1361.2561000000001</v>
      </c>
      <c r="ER50">
        <f t="shared" si="24"/>
        <v>1361.4288300000001</v>
      </c>
      <c r="ES50">
        <f t="shared" si="24"/>
        <v>1361.8116500000001</v>
      </c>
      <c r="ET50">
        <f t="shared" ref="ET50:GO50" si="25">NZ42</f>
        <v>1362.17517</v>
      </c>
      <c r="EU50">
        <f t="shared" si="25"/>
        <v>1362.20117</v>
      </c>
      <c r="EV50">
        <f t="shared" si="25"/>
        <v>1362.24854</v>
      </c>
      <c r="EW50">
        <f t="shared" si="25"/>
        <v>1361.8068800000001</v>
      </c>
      <c r="EX50">
        <f t="shared" si="25"/>
        <v>1361.8101799999999</v>
      </c>
      <c r="EY50">
        <f t="shared" si="25"/>
        <v>1361.4021</v>
      </c>
      <c r="EZ50">
        <f t="shared" si="25"/>
        <v>1361.2557400000001</v>
      </c>
      <c r="FA50">
        <f t="shared" si="25"/>
        <v>1361.26172</v>
      </c>
      <c r="FB50">
        <f t="shared" si="25"/>
        <v>1361.3964800000001</v>
      </c>
      <c r="FC50">
        <f t="shared" si="25"/>
        <v>1361.7025100000001</v>
      </c>
      <c r="FD50">
        <f t="shared" si="25"/>
        <v>1362.20117</v>
      </c>
      <c r="FE50">
        <f t="shared" si="25"/>
        <v>1362.12</v>
      </c>
      <c r="FF50">
        <f t="shared" si="25"/>
        <v>1362.0124499999999</v>
      </c>
      <c r="FG50">
        <f t="shared" si="25"/>
        <v>1361.8813500000001</v>
      </c>
      <c r="FH50">
        <f t="shared" si="25"/>
        <v>1361.61438</v>
      </c>
      <c r="FI50">
        <f t="shared" si="25"/>
        <v>1361.3957499999999</v>
      </c>
      <c r="FJ50">
        <f t="shared" si="25"/>
        <v>1361.3112799999999</v>
      </c>
      <c r="FK50">
        <f t="shared" si="25"/>
        <v>1361.2351100000001</v>
      </c>
      <c r="FL50">
        <f t="shared" si="25"/>
        <v>1361.35718</v>
      </c>
      <c r="FM50">
        <f t="shared" si="25"/>
        <v>1361.7025100000001</v>
      </c>
      <c r="FN50">
        <f t="shared" si="25"/>
        <v>1361.9731400000001</v>
      </c>
      <c r="FO50">
        <f t="shared" si="25"/>
        <v>1362.2536600000001</v>
      </c>
      <c r="FP50">
        <f t="shared" si="25"/>
        <v>1362.08142</v>
      </c>
      <c r="FQ50">
        <f t="shared" si="25"/>
        <v>1362.19055</v>
      </c>
      <c r="FR50">
        <f t="shared" si="25"/>
        <v>1361.69067</v>
      </c>
      <c r="FS50">
        <f t="shared" si="25"/>
        <v>1361.4705799999999</v>
      </c>
      <c r="FT50">
        <f t="shared" si="25"/>
        <v>1361.2624499999999</v>
      </c>
      <c r="FU50">
        <f t="shared" si="25"/>
        <v>1361.2358400000001</v>
      </c>
      <c r="FV50">
        <f t="shared" si="25"/>
        <v>1361.16858</v>
      </c>
      <c r="FW50">
        <f t="shared" si="25"/>
        <v>1361.19678</v>
      </c>
      <c r="FX50">
        <f t="shared" si="25"/>
        <v>1361.1910399999999</v>
      </c>
      <c r="FY50">
        <f t="shared" si="25"/>
        <v>1361.3396</v>
      </c>
      <c r="FZ50">
        <f t="shared" si="25"/>
        <v>1361.60645</v>
      </c>
      <c r="GA50">
        <f t="shared" si="25"/>
        <v>1361.76819</v>
      </c>
      <c r="GB50">
        <f t="shared" si="25"/>
        <v>1361.8129899999999</v>
      </c>
      <c r="GC50">
        <f t="shared" si="25"/>
        <v>1361.88867</v>
      </c>
      <c r="GD50">
        <f t="shared" si="25"/>
        <v>1361.9489699999999</v>
      </c>
      <c r="GE50">
        <f t="shared" si="25"/>
        <v>1361.4648400000001</v>
      </c>
      <c r="GF50">
        <f t="shared" si="25"/>
        <v>1361.2913799999999</v>
      </c>
      <c r="GG50">
        <f t="shared" si="25"/>
        <v>1361.2624499999999</v>
      </c>
      <c r="GH50">
        <f t="shared" si="25"/>
        <v>1361.25549</v>
      </c>
      <c r="GI50">
        <f t="shared" si="25"/>
        <v>1361.32275</v>
      </c>
      <c r="GJ50">
        <f t="shared" si="25"/>
        <v>1361.48938</v>
      </c>
      <c r="GK50">
        <f t="shared" si="25"/>
        <v>1361.98108</v>
      </c>
      <c r="GL50">
        <f t="shared" si="25"/>
        <v>1362.4476299999999</v>
      </c>
      <c r="GM50">
        <f t="shared" si="25"/>
        <v>1362.5648200000001</v>
      </c>
      <c r="GN50">
        <f t="shared" si="25"/>
        <v>1362.41589</v>
      </c>
      <c r="GO50">
        <f t="shared" si="25"/>
        <v>0</v>
      </c>
    </row>
    <row r="51" spans="1:197">
      <c r="A51">
        <v>1900</v>
      </c>
      <c r="B51">
        <v>-0.23016049999999999</v>
      </c>
      <c r="C51">
        <v>304.55243000000002</v>
      </c>
      <c r="D51">
        <v>1.7583333329999999</v>
      </c>
      <c r="E51">
        <v>6.6774427499999997E-2</v>
      </c>
      <c r="F51">
        <v>29.906303000000001</v>
      </c>
      <c r="G51">
        <v>55.610861</v>
      </c>
      <c r="H51">
        <v>-0.28607998899999998</v>
      </c>
      <c r="I51">
        <v>340.31213500000001</v>
      </c>
      <c r="J51" s="8">
        <v>6.19895754360026E-2</v>
      </c>
      <c r="K51" s="8">
        <f>(J51-$J$81)*$K$81</f>
        <v>6.552795639757937</v>
      </c>
      <c r="O51" s="7">
        <v>1855</v>
      </c>
      <c r="P51">
        <v>284.89999999999998</v>
      </c>
      <c r="Q51">
        <v>295.7</v>
      </c>
    </row>
    <row r="52" spans="1:197">
      <c r="A52">
        <v>1901</v>
      </c>
      <c r="B52">
        <v>-0.28715286000000001</v>
      </c>
      <c r="C52">
        <v>305.04491100000001</v>
      </c>
      <c r="D52">
        <v>0.74166666699999995</v>
      </c>
      <c r="E52">
        <v>6.6201619999999989E-2</v>
      </c>
      <c r="F52">
        <v>24.750119000000002</v>
      </c>
      <c r="G52">
        <v>50.779744999999998</v>
      </c>
      <c r="H52">
        <v>-0.29121366199999998</v>
      </c>
      <c r="I52">
        <v>340.28744499999999</v>
      </c>
      <c r="J52" s="8">
        <v>6.1789161896423E-2</v>
      </c>
      <c r="K52" s="8">
        <f>(J52-$J$81)*$K$81</f>
        <v>6.2446641009671877</v>
      </c>
      <c r="O52" s="7">
        <v>1859</v>
      </c>
      <c r="P52">
        <v>286.5</v>
      </c>
      <c r="Q52">
        <v>296.2</v>
      </c>
    </row>
    <row r="53" spans="1:197">
      <c r="A53">
        <v>1902</v>
      </c>
      <c r="B53">
        <v>-0.43739371999999999</v>
      </c>
      <c r="C53">
        <v>305.48861190000002</v>
      </c>
      <c r="D53">
        <v>20.2</v>
      </c>
      <c r="E53">
        <v>6.5893322500000004E-2</v>
      </c>
      <c r="F53">
        <v>16.52974</v>
      </c>
      <c r="G53">
        <v>48.623297000000001</v>
      </c>
      <c r="H53">
        <v>-0.29482350099999999</v>
      </c>
      <c r="I53">
        <v>340.294555</v>
      </c>
      <c r="J53" s="8">
        <v>9.1919091031583203E-2</v>
      </c>
      <c r="K53" s="8">
        <f t="shared" ref="K53:K76" si="26">(J53-$J$81)*$K$81</f>
        <v>52.56878694989161</v>
      </c>
      <c r="O53" s="7">
        <v>1862</v>
      </c>
      <c r="P53">
        <v>286.60000000000002</v>
      </c>
      <c r="Q53">
        <v>296.60000000000002</v>
      </c>
    </row>
    <row r="54" spans="1:197">
      <c r="A54">
        <v>1903</v>
      </c>
      <c r="B54">
        <v>-0.53521233999999995</v>
      </c>
      <c r="C54">
        <v>305.99270899999999</v>
      </c>
      <c r="D54">
        <v>71.516666670000006</v>
      </c>
      <c r="E54">
        <v>6.1378365000000004E-2</v>
      </c>
      <c r="F54">
        <v>6.202032</v>
      </c>
      <c r="G54">
        <v>50.851571999999997</v>
      </c>
      <c r="H54">
        <v>-0.30651747499999998</v>
      </c>
      <c r="I54">
        <v>340.34616</v>
      </c>
      <c r="J54" s="8">
        <v>9.68285181566544E-2</v>
      </c>
      <c r="K54" s="8">
        <f t="shared" si="26"/>
        <v>60.11692635106418</v>
      </c>
      <c r="O54" s="7">
        <v>1864</v>
      </c>
      <c r="P54">
        <v>285.39999999999998</v>
      </c>
      <c r="Q54">
        <v>297</v>
      </c>
    </row>
    <row r="55" spans="1:197">
      <c r="A55">
        <v>1904</v>
      </c>
      <c r="B55">
        <v>-0.5970666</v>
      </c>
      <c r="C55">
        <v>306.7505769</v>
      </c>
      <c r="D55">
        <v>31.791666670000001</v>
      </c>
      <c r="E55">
        <v>6.3606920000000011E-2</v>
      </c>
      <c r="F55">
        <v>-2.9728089999999998</v>
      </c>
      <c r="G55">
        <v>53.647176999999999</v>
      </c>
      <c r="H55">
        <v>-0.31949951900000001</v>
      </c>
      <c r="I55">
        <v>340.41039999999998</v>
      </c>
      <c r="J55" s="8">
        <v>7.4245710810314197E-2</v>
      </c>
      <c r="K55" s="8">
        <f t="shared" si="26"/>
        <v>25.39634214083868</v>
      </c>
      <c r="O55" s="7">
        <v>1867</v>
      </c>
      <c r="P55">
        <v>285.2</v>
      </c>
      <c r="Q55">
        <v>297.5</v>
      </c>
    </row>
    <row r="56" spans="1:197">
      <c r="A56">
        <v>1905</v>
      </c>
      <c r="B56">
        <v>-0.40594429999999998</v>
      </c>
      <c r="C56">
        <v>307.47986520000001</v>
      </c>
      <c r="D56">
        <v>12.574999999999999</v>
      </c>
      <c r="E56">
        <v>5.9401744999999992E-2</v>
      </c>
      <c r="F56">
        <v>-10.435316</v>
      </c>
      <c r="G56">
        <v>46.205308000000002</v>
      </c>
      <c r="H56">
        <v>-0.33512678800000001</v>
      </c>
      <c r="I56">
        <v>340.40585249999998</v>
      </c>
      <c r="J56" s="8">
        <v>6.6449448478761206E-2</v>
      </c>
      <c r="K56" s="8">
        <f t="shared" si="26"/>
        <v>13.409755236196679</v>
      </c>
      <c r="O56" s="7">
        <v>1869</v>
      </c>
      <c r="P56">
        <v>287.7</v>
      </c>
      <c r="Q56">
        <v>298</v>
      </c>
    </row>
    <row r="57" spans="1:197">
      <c r="A57">
        <v>1906</v>
      </c>
      <c r="B57">
        <v>-0.3153704</v>
      </c>
      <c r="C57">
        <v>308.1593416</v>
      </c>
      <c r="D57">
        <v>7.25</v>
      </c>
      <c r="E57">
        <v>6.0745280000000006E-2</v>
      </c>
      <c r="F57">
        <v>-17.455490000000001</v>
      </c>
      <c r="G57">
        <v>54.434851000000002</v>
      </c>
      <c r="H57">
        <v>-0.347499848</v>
      </c>
      <c r="I57">
        <v>340.42794750000002</v>
      </c>
      <c r="J57" s="8">
        <v>6.6743266192952497E-2</v>
      </c>
      <c r="K57" s="8">
        <f t="shared" si="26"/>
        <v>13.861493699514348</v>
      </c>
      <c r="O57" s="7">
        <v>1870</v>
      </c>
      <c r="P57">
        <v>287.39999999999998</v>
      </c>
      <c r="Q57">
        <v>298.39999999999998</v>
      </c>
    </row>
    <row r="58" spans="1:197">
      <c r="A58">
        <v>1907</v>
      </c>
      <c r="B58">
        <v>-0.49948095999999997</v>
      </c>
      <c r="C58">
        <v>309.23074530000002</v>
      </c>
      <c r="D58">
        <v>9.1999999999999993</v>
      </c>
      <c r="E58">
        <v>5.9244210000000005E-2</v>
      </c>
      <c r="F58">
        <v>-21.520154000000002</v>
      </c>
      <c r="G58">
        <v>47.731118000000002</v>
      </c>
      <c r="H58">
        <v>-0.379540508</v>
      </c>
      <c r="I58">
        <v>340.41861</v>
      </c>
      <c r="J58" s="8">
        <v>6.5304095541377394E-2</v>
      </c>
      <c r="K58" s="8">
        <f t="shared" si="26"/>
        <v>11.64879954530431</v>
      </c>
      <c r="O58" s="7">
        <v>1873</v>
      </c>
      <c r="P58">
        <v>287.2</v>
      </c>
      <c r="Q58">
        <v>298.8</v>
      </c>
    </row>
    <row r="59" spans="1:197">
      <c r="A59">
        <v>1908</v>
      </c>
      <c r="B59">
        <v>-0.50655300000000003</v>
      </c>
      <c r="C59">
        <v>309.89261320000003</v>
      </c>
      <c r="D59">
        <v>10.275</v>
      </c>
      <c r="E59">
        <v>5.9046205000000004E-2</v>
      </c>
      <c r="F59">
        <v>-26.003014</v>
      </c>
      <c r="G59">
        <v>52.426805999999999</v>
      </c>
      <c r="H59">
        <v>-0.37203508400000002</v>
      </c>
      <c r="I59">
        <v>340.41208</v>
      </c>
      <c r="J59" s="8">
        <v>6.4138285976007695E-2</v>
      </c>
      <c r="K59" s="8">
        <f t="shared" si="26"/>
        <v>9.8563922255799596</v>
      </c>
      <c r="O59" s="7">
        <v>1874</v>
      </c>
      <c r="P59">
        <v>290.5</v>
      </c>
      <c r="Q59">
        <v>299.3</v>
      </c>
    </row>
    <row r="60" spans="1:197">
      <c r="A60">
        <v>1909</v>
      </c>
      <c r="B60">
        <v>-0.53290320000000002</v>
      </c>
      <c r="C60">
        <v>310.5899665</v>
      </c>
      <c r="D60">
        <v>4.0083333330000004</v>
      </c>
      <c r="E60">
        <v>5.5627400000000007E-2</v>
      </c>
      <c r="F60">
        <v>-32.254264999999997</v>
      </c>
      <c r="G60">
        <v>51.183776000000002</v>
      </c>
      <c r="H60">
        <v>-0.38118044200000001</v>
      </c>
      <c r="I60">
        <v>340.3869325</v>
      </c>
      <c r="J60" s="8">
        <v>6.3111068768934103E-2</v>
      </c>
      <c r="K60" s="8">
        <f t="shared" si="26"/>
        <v>8.2770676981459825</v>
      </c>
      <c r="O60" s="7">
        <v>1878</v>
      </c>
      <c r="P60">
        <v>288.8</v>
      </c>
      <c r="Q60">
        <v>299.7</v>
      </c>
    </row>
    <row r="61" spans="1:197">
      <c r="A61">
        <v>1910</v>
      </c>
      <c r="B61">
        <v>-0.52208275000000004</v>
      </c>
      <c r="C61">
        <v>311.5171168</v>
      </c>
      <c r="D61">
        <v>3.125</v>
      </c>
      <c r="E61">
        <v>5.6732750000000012E-2</v>
      </c>
      <c r="F61">
        <v>-37.908706000000002</v>
      </c>
      <c r="G61">
        <v>49.505870999999999</v>
      </c>
      <c r="H61">
        <v>-0.39982952100000002</v>
      </c>
      <c r="I61">
        <v>340.33587749999998</v>
      </c>
      <c r="J61" s="8">
        <v>6.3649044853189896E-2</v>
      </c>
      <c r="K61" s="8">
        <f t="shared" si="26"/>
        <v>9.1041944432854756</v>
      </c>
      <c r="O61" s="7">
        <v>1883</v>
      </c>
      <c r="P61">
        <v>291.89999999999998</v>
      </c>
      <c r="Q61">
        <v>300.10000000000002</v>
      </c>
    </row>
    <row r="62" spans="1:197">
      <c r="A62">
        <v>1911</v>
      </c>
      <c r="B62">
        <v>-0.53979619999999995</v>
      </c>
      <c r="C62">
        <v>312.10748960000001</v>
      </c>
      <c r="D62">
        <v>1.675</v>
      </c>
      <c r="E62">
        <v>5.4957574999999995E-2</v>
      </c>
      <c r="F62">
        <v>-40.699373000000001</v>
      </c>
      <c r="G62">
        <v>51.733893000000002</v>
      </c>
      <c r="H62">
        <v>-0.39445079199999999</v>
      </c>
      <c r="I62">
        <v>340.29864500000002</v>
      </c>
      <c r="J62" s="8">
        <v>9.4999905151178995E-2</v>
      </c>
      <c r="K62" s="8">
        <f t="shared" si="26"/>
        <v>57.305472891323632</v>
      </c>
      <c r="O62" s="7">
        <v>1884</v>
      </c>
      <c r="P62">
        <v>289.39999999999998</v>
      </c>
      <c r="Q62">
        <v>300.60000000000002</v>
      </c>
    </row>
    <row r="63" spans="1:197">
      <c r="A63">
        <v>1912</v>
      </c>
      <c r="B63">
        <v>-0.47614592</v>
      </c>
      <c r="C63">
        <v>312.8012769</v>
      </c>
      <c r="D63">
        <v>19.3</v>
      </c>
      <c r="E63">
        <v>5.0722724999999996E-2</v>
      </c>
      <c r="F63">
        <v>-42.468966999999999</v>
      </c>
      <c r="G63">
        <v>48.463394000000001</v>
      </c>
      <c r="H63">
        <v>-0.39960042600000001</v>
      </c>
      <c r="I63">
        <v>340.2941275</v>
      </c>
      <c r="J63" s="8">
        <v>0.119516241543702</v>
      </c>
      <c r="K63" s="8">
        <f t="shared" si="26"/>
        <v>94.998816734190044</v>
      </c>
      <c r="O63" s="7">
        <v>1886</v>
      </c>
      <c r="P63">
        <v>290.60000000000002</v>
      </c>
      <c r="Q63">
        <v>301</v>
      </c>
    </row>
    <row r="64" spans="1:197">
      <c r="A64">
        <v>1913</v>
      </c>
      <c r="B64">
        <v>-0.46351784000000001</v>
      </c>
      <c r="C64">
        <v>313.72179610000001</v>
      </c>
      <c r="D64">
        <v>24.083333329999999</v>
      </c>
      <c r="E64">
        <v>5.4694067500000013E-2</v>
      </c>
      <c r="F64">
        <v>-39.558380999999997</v>
      </c>
      <c r="G64">
        <v>47.801648</v>
      </c>
      <c r="H64">
        <v>-0.41722525599999999</v>
      </c>
      <c r="I64">
        <v>340.2890625</v>
      </c>
      <c r="J64" s="8">
        <v>8.3136715299136799E-2</v>
      </c>
      <c r="K64" s="8">
        <f t="shared" si="26"/>
        <v>39.066071742357266</v>
      </c>
      <c r="O64" s="7">
        <v>1887</v>
      </c>
      <c r="P64">
        <v>293.7</v>
      </c>
      <c r="Q64">
        <v>301.3</v>
      </c>
    </row>
    <row r="65" spans="1:17">
      <c r="A65">
        <v>1914</v>
      </c>
      <c r="B65">
        <v>-0.25945394999999999</v>
      </c>
      <c r="C65">
        <v>314.32459469999998</v>
      </c>
      <c r="D65">
        <v>9.9166666669999994</v>
      </c>
      <c r="E65">
        <v>5.3900917499999992E-2</v>
      </c>
      <c r="F65">
        <v>-33.405565000000003</v>
      </c>
      <c r="G65">
        <v>53.261487000000002</v>
      </c>
      <c r="H65">
        <v>-0.39975774200000003</v>
      </c>
      <c r="I65">
        <v>340.30987499999998</v>
      </c>
      <c r="J65" s="8">
        <v>7.00512777491889E-2</v>
      </c>
      <c r="K65" s="8">
        <f t="shared" si="26"/>
        <v>18.947490849701207</v>
      </c>
      <c r="O65" s="7">
        <v>1889</v>
      </c>
      <c r="P65">
        <v>291.89999999999998</v>
      </c>
      <c r="Q65">
        <v>301.39999999999998</v>
      </c>
    </row>
    <row r="66" spans="1:17">
      <c r="A66">
        <v>1915</v>
      </c>
      <c r="B66">
        <v>-0.19058554</v>
      </c>
      <c r="C66">
        <v>314.87677969999999</v>
      </c>
      <c r="D66">
        <v>3.9416666669999998</v>
      </c>
      <c r="E66">
        <v>5.8756657499999997E-2</v>
      </c>
      <c r="F66">
        <v>-29.332003</v>
      </c>
      <c r="G66">
        <v>51.317435000000003</v>
      </c>
      <c r="H66">
        <v>-0.39206798199999998</v>
      </c>
      <c r="I66">
        <v>340.4116525</v>
      </c>
      <c r="J66" s="8">
        <v>6.4197988756666199E-2</v>
      </c>
      <c r="K66" s="8">
        <f t="shared" si="26"/>
        <v>9.9481839763418147</v>
      </c>
      <c r="O66" s="7">
        <v>1892</v>
      </c>
      <c r="P66">
        <v>294.7</v>
      </c>
      <c r="Q66">
        <v>301.60000000000002</v>
      </c>
    </row>
    <row r="67" spans="1:17">
      <c r="A67">
        <v>1916</v>
      </c>
      <c r="B67">
        <v>-0.42022340000000002</v>
      </c>
      <c r="C67">
        <v>315.8398803</v>
      </c>
      <c r="D67">
        <v>2.7416666670000001</v>
      </c>
      <c r="E67">
        <v>6.0195899999999997E-2</v>
      </c>
      <c r="F67">
        <v>-25.898116000000002</v>
      </c>
      <c r="G67">
        <v>49.731985000000002</v>
      </c>
      <c r="H67">
        <v>-0.41236559900000003</v>
      </c>
      <c r="I67">
        <v>340.44781499999999</v>
      </c>
      <c r="J67" s="8">
        <v>6.2550100482268403E-2</v>
      </c>
      <c r="K67" s="8">
        <f t="shared" si="26"/>
        <v>7.4145909326255595</v>
      </c>
      <c r="O67" s="7">
        <v>1893</v>
      </c>
      <c r="P67">
        <v>294.60000000000002</v>
      </c>
      <c r="Q67">
        <v>302</v>
      </c>
    </row>
    <row r="68" spans="1:17">
      <c r="A68">
        <v>1917</v>
      </c>
      <c r="B68">
        <v>-0.54389346000000005</v>
      </c>
      <c r="C68">
        <v>316.93379670000002</v>
      </c>
      <c r="D68">
        <v>2.2250000000000001</v>
      </c>
      <c r="E68">
        <v>6.4740720000000002E-2</v>
      </c>
      <c r="F68">
        <v>-23.093302999999999</v>
      </c>
      <c r="G68">
        <v>50.709682000000001</v>
      </c>
      <c r="H68">
        <v>-0.42975498499999998</v>
      </c>
      <c r="I68">
        <v>340.54321249999998</v>
      </c>
      <c r="J68" s="8">
        <v>6.1754841581801598E-2</v>
      </c>
      <c r="K68" s="8">
        <f t="shared" si="26"/>
        <v>6.1918973498871024</v>
      </c>
      <c r="O68" s="7">
        <v>1894</v>
      </c>
      <c r="P68">
        <v>293.8</v>
      </c>
      <c r="Q68">
        <v>302.39999999999998</v>
      </c>
    </row>
    <row r="69" spans="1:17">
      <c r="A69">
        <v>1918</v>
      </c>
      <c r="B69">
        <v>-0.42603204</v>
      </c>
      <c r="C69">
        <v>317.70657249999999</v>
      </c>
      <c r="D69">
        <v>1.95</v>
      </c>
      <c r="E69">
        <v>6.9351070000000001E-2</v>
      </c>
      <c r="F69">
        <v>-22.862689</v>
      </c>
      <c r="G69">
        <v>50.593136000000001</v>
      </c>
      <c r="H69">
        <v>-0.42882655600000003</v>
      </c>
      <c r="I69">
        <v>340.51025499999997</v>
      </c>
      <c r="J69" s="8">
        <v>5.9625417147255597E-2</v>
      </c>
      <c r="K69" s="8">
        <f t="shared" si="26"/>
        <v>2.9179527394997571</v>
      </c>
      <c r="O69" s="7">
        <v>1896</v>
      </c>
      <c r="P69">
        <v>298.2</v>
      </c>
      <c r="Q69">
        <v>302.8</v>
      </c>
    </row>
    <row r="70" spans="1:17">
      <c r="A70">
        <v>1919</v>
      </c>
      <c r="B70">
        <v>-0.33239284000000002</v>
      </c>
      <c r="C70">
        <v>318.00770649999998</v>
      </c>
      <c r="D70">
        <v>2.0083333329999999</v>
      </c>
      <c r="E70">
        <v>6.8432115000000002E-2</v>
      </c>
      <c r="F70">
        <v>-25.094346999999999</v>
      </c>
      <c r="G70">
        <v>49.813271</v>
      </c>
      <c r="H70">
        <v>-0.38380156900000001</v>
      </c>
      <c r="I70">
        <v>340.43383749999998</v>
      </c>
      <c r="J70" s="8">
        <v>5.97054454026439E-2</v>
      </c>
      <c r="K70" s="8">
        <f t="shared" si="26"/>
        <v>3.0409944737621424</v>
      </c>
      <c r="O70" s="7">
        <v>1899</v>
      </c>
      <c r="P70">
        <v>295.60000000000002</v>
      </c>
      <c r="Q70">
        <v>303</v>
      </c>
    </row>
    <row r="71" spans="1:17">
      <c r="A71">
        <v>1920</v>
      </c>
      <c r="B71">
        <v>-0.30439319999999997</v>
      </c>
      <c r="C71">
        <v>319.07026919999998</v>
      </c>
      <c r="D71">
        <v>9.3583333329999991</v>
      </c>
      <c r="E71">
        <v>6.4889777499999995E-2</v>
      </c>
      <c r="F71">
        <v>-25.852485999999999</v>
      </c>
      <c r="G71">
        <v>48.289881999999999</v>
      </c>
      <c r="H71">
        <v>-0.41446189500000002</v>
      </c>
      <c r="I71">
        <v>340.36801250000002</v>
      </c>
      <c r="J71" s="8">
        <v>6.04255483036025E-2</v>
      </c>
      <c r="K71" s="8">
        <f t="shared" si="26"/>
        <v>4.148137311643751</v>
      </c>
      <c r="O71" s="7">
        <v>1901</v>
      </c>
      <c r="P71">
        <v>296.5</v>
      </c>
      <c r="Q71">
        <v>303.39999999999998</v>
      </c>
    </row>
    <row r="72" spans="1:17">
      <c r="A72">
        <v>1921</v>
      </c>
      <c r="B72">
        <v>-0.24139357</v>
      </c>
      <c r="C72">
        <v>319.35569420000002</v>
      </c>
      <c r="D72">
        <v>7.6583333329999999</v>
      </c>
      <c r="E72">
        <v>5.8747009999999995E-2</v>
      </c>
      <c r="F72">
        <v>-28.246202</v>
      </c>
      <c r="G72">
        <v>38.332554999999999</v>
      </c>
      <c r="H72">
        <v>-0.36529463099999998</v>
      </c>
      <c r="I72">
        <v>340.34433000000001</v>
      </c>
      <c r="J72" s="8">
        <v>5.9266397915716397E-2</v>
      </c>
      <c r="K72" s="8">
        <f t="shared" si="26"/>
        <v>2.3659683351441414</v>
      </c>
      <c r="O72" s="7">
        <v>1902</v>
      </c>
      <c r="P72">
        <v>295.3</v>
      </c>
      <c r="Q72">
        <v>303.7</v>
      </c>
    </row>
    <row r="73" spans="1:17">
      <c r="A73">
        <v>1922</v>
      </c>
      <c r="B73">
        <v>-0.33813047000000002</v>
      </c>
      <c r="C73">
        <v>319.97444009999998</v>
      </c>
      <c r="D73">
        <v>2.891666667</v>
      </c>
      <c r="E73">
        <v>5.3823742499999994E-2</v>
      </c>
      <c r="F73">
        <v>-29.848146</v>
      </c>
      <c r="G73">
        <v>36.775418999999999</v>
      </c>
      <c r="H73">
        <v>-0.37268332500000001</v>
      </c>
      <c r="I73">
        <v>340.30996750000003</v>
      </c>
      <c r="J73" s="8">
        <v>5.9624377481728101E-2</v>
      </c>
      <c r="K73" s="8">
        <f t="shared" si="26"/>
        <v>2.9163542759454142</v>
      </c>
      <c r="O73" s="7">
        <v>1904</v>
      </c>
      <c r="P73">
        <v>295.10000000000002</v>
      </c>
      <c r="Q73">
        <v>304.10000000000002</v>
      </c>
    </row>
    <row r="74" spans="1:17">
      <c r="A74">
        <v>1923</v>
      </c>
      <c r="B74">
        <v>-0.31455242999999999</v>
      </c>
      <c r="C74">
        <v>321.41716780000002</v>
      </c>
      <c r="D74">
        <v>1.1166666670000001</v>
      </c>
      <c r="E74">
        <v>5.2845402500000006E-2</v>
      </c>
      <c r="F74">
        <v>-32.924574</v>
      </c>
      <c r="G74">
        <v>35.377609</v>
      </c>
      <c r="H74">
        <v>-0.41787866099999998</v>
      </c>
      <c r="I74">
        <v>340.30191000000002</v>
      </c>
      <c r="J74" s="8">
        <v>5.9728054106763198E-2</v>
      </c>
      <c r="K74" s="8">
        <f t="shared" si="26"/>
        <v>3.075754873707961</v>
      </c>
      <c r="O74" s="7">
        <v>1905</v>
      </c>
      <c r="P74">
        <v>299</v>
      </c>
      <c r="Q74">
        <v>304.5</v>
      </c>
    </row>
    <row r="75" spans="1:17">
      <c r="A75">
        <v>1924</v>
      </c>
      <c r="B75">
        <v>-0.30850246999999997</v>
      </c>
      <c r="C75">
        <v>321.61398229999998</v>
      </c>
      <c r="D75">
        <v>3.4083333329999999</v>
      </c>
      <c r="E75">
        <v>5.2762054999999995E-2</v>
      </c>
      <c r="F75">
        <v>-32.588191999999999</v>
      </c>
      <c r="G75">
        <v>40.943997000000003</v>
      </c>
      <c r="H75">
        <v>-0.407851095</v>
      </c>
      <c r="I75">
        <v>340.32327249999997</v>
      </c>
      <c r="J75" s="8">
        <v>5.9253809334799998E-2</v>
      </c>
      <c r="K75" s="8">
        <f t="shared" si="26"/>
        <v>2.3466136607189569</v>
      </c>
      <c r="O75" s="7">
        <v>1906</v>
      </c>
      <c r="P75">
        <v>297.7</v>
      </c>
      <c r="Q75">
        <v>304.89999999999998</v>
      </c>
    </row>
    <row r="76" spans="1:17">
      <c r="A76">
        <v>1925</v>
      </c>
      <c r="B76">
        <v>-0.27959844</v>
      </c>
      <c r="C76">
        <v>321.956233</v>
      </c>
      <c r="D76">
        <v>2.858333333</v>
      </c>
      <c r="E76">
        <v>5.386179E-2</v>
      </c>
      <c r="F76">
        <v>-28.764911000000001</v>
      </c>
      <c r="G76">
        <v>41.31503</v>
      </c>
      <c r="H76">
        <v>-0.41136552300000001</v>
      </c>
      <c r="I76">
        <v>340.37619000000001</v>
      </c>
      <c r="J76" s="8">
        <v>6.0520394452817303E-2</v>
      </c>
      <c r="K76" s="8">
        <f t="shared" si="26"/>
        <v>4.2939612413405106</v>
      </c>
      <c r="O76" s="7">
        <v>1909</v>
      </c>
      <c r="P76">
        <v>300.39999999999998</v>
      </c>
      <c r="Q76">
        <v>305.3</v>
      </c>
    </row>
    <row r="77" spans="1:17">
      <c r="A77">
        <v>1926</v>
      </c>
      <c r="B77">
        <v>-0.12212841000000001</v>
      </c>
      <c r="C77">
        <v>322.01167170000002</v>
      </c>
      <c r="D77">
        <v>2.3416666670000001</v>
      </c>
      <c r="E77">
        <v>5.4493026E-2</v>
      </c>
      <c r="F77">
        <v>-23.708613</v>
      </c>
      <c r="G77">
        <v>38.726613999999998</v>
      </c>
      <c r="H77">
        <v>-0.41431701300000001</v>
      </c>
      <c r="I77">
        <v>340.42306500000001</v>
      </c>
      <c r="O77" s="7">
        <v>1912</v>
      </c>
      <c r="P77">
        <v>298.39999999999998</v>
      </c>
      <c r="Q77">
        <v>305.8</v>
      </c>
    </row>
    <row r="78" spans="1:17">
      <c r="A78">
        <v>1927</v>
      </c>
      <c r="B78">
        <v>-0.22583558000000001</v>
      </c>
      <c r="C78">
        <v>322.54903639999998</v>
      </c>
      <c r="D78">
        <v>1.5083333329999999</v>
      </c>
      <c r="E78">
        <v>5.1657265000000001E-2</v>
      </c>
      <c r="F78">
        <v>-19.774636999999998</v>
      </c>
      <c r="G78">
        <v>39.926903000000003</v>
      </c>
      <c r="H78">
        <v>-0.43475999999999998</v>
      </c>
      <c r="I78">
        <v>340.46584999999999</v>
      </c>
      <c r="O78" s="7">
        <v>1913</v>
      </c>
      <c r="P78">
        <v>300.7</v>
      </c>
      <c r="Q78">
        <v>306.2</v>
      </c>
    </row>
    <row r="79" spans="1:17">
      <c r="A79">
        <v>1928</v>
      </c>
      <c r="B79">
        <v>-0.20841403</v>
      </c>
      <c r="C79">
        <v>322.79307290000003</v>
      </c>
      <c r="D79">
        <v>5.25</v>
      </c>
      <c r="E79">
        <v>5.4574214999999995E-2</v>
      </c>
      <c r="F79">
        <v>-15.226844</v>
      </c>
      <c r="G79">
        <v>39.685720000000003</v>
      </c>
      <c r="H79">
        <v>-0.433947419</v>
      </c>
      <c r="I79">
        <v>340.45791750000001</v>
      </c>
      <c r="O79" s="7">
        <v>1914</v>
      </c>
      <c r="P79">
        <v>300.39999999999998</v>
      </c>
      <c r="Q79">
        <v>306.60000000000002</v>
      </c>
    </row>
    <row r="80" spans="1:17">
      <c r="A80">
        <v>1929</v>
      </c>
      <c r="B80">
        <v>-0.39031282</v>
      </c>
      <c r="C80">
        <v>323.38804040000002</v>
      </c>
      <c r="D80">
        <v>9.8249999999999993</v>
      </c>
      <c r="E80">
        <v>5.3866332500000003E-2</v>
      </c>
      <c r="F80">
        <v>-11.349959999999999</v>
      </c>
      <c r="G80">
        <v>37.050845000000002</v>
      </c>
      <c r="H80">
        <v>-0.45733716099999999</v>
      </c>
      <c r="I80">
        <v>340.41137750000001</v>
      </c>
      <c r="O80" s="7">
        <v>1916</v>
      </c>
      <c r="P80">
        <v>301.3</v>
      </c>
      <c r="Q80">
        <v>307.2</v>
      </c>
    </row>
    <row r="81" spans="1:17">
      <c r="A81">
        <v>1930</v>
      </c>
      <c r="B81">
        <v>-0.16988263000000001</v>
      </c>
      <c r="C81">
        <v>323.66118540000002</v>
      </c>
      <c r="D81">
        <v>6.2083333329999997</v>
      </c>
      <c r="E81">
        <v>5.3374137500000002E-2</v>
      </c>
      <c r="F81">
        <v>-8.9577860000000005</v>
      </c>
      <c r="G81">
        <v>36.781007000000002</v>
      </c>
      <c r="H81">
        <v>-0.441868398</v>
      </c>
      <c r="I81">
        <v>340.39184499999999</v>
      </c>
      <c r="J81">
        <v>5.7727535355783843E-2</v>
      </c>
      <c r="K81">
        <v>1537.4786525756001</v>
      </c>
      <c r="O81" s="7">
        <v>1919</v>
      </c>
      <c r="P81">
        <v>303.39999999999998</v>
      </c>
      <c r="Q81">
        <v>307.5</v>
      </c>
    </row>
    <row r="82" spans="1:17">
      <c r="A82">
        <v>1931</v>
      </c>
      <c r="B82">
        <v>-0.1058187</v>
      </c>
      <c r="C82">
        <v>323.33237059999999</v>
      </c>
      <c r="D82">
        <v>4.7</v>
      </c>
      <c r="E82">
        <v>5.2810137847500001E-2</v>
      </c>
      <c r="F82">
        <v>-5.6613819999999997</v>
      </c>
      <c r="G82">
        <v>37.912699000000003</v>
      </c>
      <c r="H82">
        <v>-0.39010934899999999</v>
      </c>
      <c r="I82">
        <v>340.35046499999999</v>
      </c>
      <c r="K82" cm="1">
        <f t="array" ref="K82">SUMSQ(K51:K76-D131:D156)</f>
        <v>1421.5405722438322</v>
      </c>
      <c r="O82" s="7">
        <v>1923</v>
      </c>
      <c r="P82">
        <v>303.2</v>
      </c>
      <c r="Q82">
        <v>308</v>
      </c>
    </row>
    <row r="83" spans="1:17">
      <c r="A83">
        <v>1932</v>
      </c>
      <c r="B83">
        <v>-0.14998207999999999</v>
      </c>
      <c r="C83">
        <v>323.72803879999998</v>
      </c>
      <c r="D83">
        <v>8.2416666670000005</v>
      </c>
      <c r="E83">
        <v>4.9629290499999999E-2</v>
      </c>
      <c r="F83">
        <v>-1.364168</v>
      </c>
      <c r="G83">
        <v>38.055422</v>
      </c>
      <c r="H83">
        <v>-0.36631129200000001</v>
      </c>
      <c r="I83">
        <v>340.32452499999999</v>
      </c>
      <c r="O83" s="7">
        <v>1924</v>
      </c>
      <c r="P83">
        <v>305.2</v>
      </c>
      <c r="Q83">
        <v>308.3</v>
      </c>
    </row>
    <row r="84" spans="1:17">
      <c r="A84">
        <v>1933</v>
      </c>
      <c r="B84">
        <v>-0.32830995000000002</v>
      </c>
      <c r="C84">
        <v>324.14210869999999</v>
      </c>
      <c r="D84">
        <v>6.6749999999999998</v>
      </c>
      <c r="E84">
        <v>4.7671352500000007E-2</v>
      </c>
      <c r="F84">
        <v>2.7931849999999998</v>
      </c>
      <c r="G84">
        <v>37.68018</v>
      </c>
      <c r="H84">
        <v>-0.37676938900000001</v>
      </c>
      <c r="I84">
        <v>340.30901999999998</v>
      </c>
      <c r="O84" s="7">
        <v>1925</v>
      </c>
      <c r="P84">
        <v>304.39999999999998</v>
      </c>
      <c r="Q84">
        <v>308.89999999999998</v>
      </c>
    </row>
    <row r="85" spans="1:17">
      <c r="A85">
        <v>1934</v>
      </c>
      <c r="B85">
        <v>-0.17704633</v>
      </c>
      <c r="C85">
        <v>325.18810500000001</v>
      </c>
      <c r="D85">
        <v>3.8</v>
      </c>
      <c r="E85">
        <v>4.774655500000001E-2</v>
      </c>
      <c r="F85">
        <v>5.8693179999999998</v>
      </c>
      <c r="G85">
        <v>41.302841000000001</v>
      </c>
      <c r="H85">
        <v>-0.41300427099999998</v>
      </c>
      <c r="I85">
        <v>340.32217500000002</v>
      </c>
      <c r="O85" s="7">
        <v>1927</v>
      </c>
      <c r="P85">
        <v>305</v>
      </c>
      <c r="Q85">
        <v>309.3</v>
      </c>
    </row>
    <row r="86" spans="1:17">
      <c r="A86">
        <v>1935</v>
      </c>
      <c r="B86">
        <v>-0.21286960999999999</v>
      </c>
      <c r="C86">
        <v>325.90578319999997</v>
      </c>
      <c r="D86">
        <v>4.233333333</v>
      </c>
      <c r="E86">
        <v>4.6151442500000001E-2</v>
      </c>
      <c r="F86">
        <v>11.234539</v>
      </c>
      <c r="G86">
        <v>35.018914000000002</v>
      </c>
      <c r="H86">
        <v>-0.43157248399999998</v>
      </c>
      <c r="I86">
        <v>340.38430749999998</v>
      </c>
      <c r="O86" s="7">
        <v>1928</v>
      </c>
      <c r="P86">
        <v>305.2</v>
      </c>
      <c r="Q86">
        <v>309.7</v>
      </c>
    </row>
    <row r="87" spans="1:17">
      <c r="A87">
        <v>1936</v>
      </c>
      <c r="B87">
        <v>-0.17097212000000001</v>
      </c>
      <c r="C87">
        <v>327.3992556</v>
      </c>
      <c r="D87">
        <v>3.2583333329999999</v>
      </c>
      <c r="E87">
        <v>4.7664359999999996E-2</v>
      </c>
      <c r="F87">
        <v>19.853909000000002</v>
      </c>
      <c r="G87">
        <v>38.775016000000001</v>
      </c>
      <c r="H87">
        <v>-0.462587529</v>
      </c>
      <c r="I87">
        <v>340.51297</v>
      </c>
      <c r="O87" s="7">
        <v>1929</v>
      </c>
      <c r="P87">
        <v>306.7</v>
      </c>
      <c r="Q87">
        <v>310.10000000000002</v>
      </c>
    </row>
    <row r="88" spans="1:17">
      <c r="A88">
        <v>1937</v>
      </c>
      <c r="B88">
        <v>-1.6047624999999999E-2</v>
      </c>
      <c r="C88">
        <v>328.40308379999999</v>
      </c>
      <c r="D88">
        <v>2.8166666669999998</v>
      </c>
      <c r="E88">
        <v>4.6781542499999995E-2</v>
      </c>
      <c r="F88">
        <v>30.033242999999999</v>
      </c>
      <c r="G88">
        <v>35.837446</v>
      </c>
      <c r="H88">
        <v>-0.47931386100000001</v>
      </c>
      <c r="I88">
        <v>340.55182000000002</v>
      </c>
      <c r="O88" s="7">
        <v>1933</v>
      </c>
      <c r="P88">
        <v>307.5</v>
      </c>
      <c r="Q88">
        <v>310.60000000000002</v>
      </c>
    </row>
    <row r="89" spans="1:17">
      <c r="A89">
        <v>1938</v>
      </c>
      <c r="B89">
        <v>-1.2892605999999999E-2</v>
      </c>
      <c r="C89">
        <v>328.69231910000002</v>
      </c>
      <c r="D89">
        <v>4.9083333329999999</v>
      </c>
      <c r="E89">
        <v>4.7137278500000004E-2</v>
      </c>
      <c r="F89">
        <v>39.926426999999997</v>
      </c>
      <c r="G89">
        <v>40.31908</v>
      </c>
      <c r="H89">
        <v>-0.44826446599999997</v>
      </c>
      <c r="I89">
        <v>340.52957249999997</v>
      </c>
      <c r="O89" s="7">
        <v>1935</v>
      </c>
      <c r="P89">
        <v>308.5</v>
      </c>
      <c r="Q89">
        <v>311</v>
      </c>
    </row>
    <row r="90" spans="1:17">
      <c r="A90">
        <v>1939</v>
      </c>
      <c r="B90">
        <v>-4.1802097000000003E-2</v>
      </c>
      <c r="C90">
        <v>329.96989530000002</v>
      </c>
      <c r="D90">
        <v>4.0999999999999996</v>
      </c>
      <c r="E90">
        <v>4.7293132499999994E-2</v>
      </c>
      <c r="F90">
        <v>49.824919000000001</v>
      </c>
      <c r="G90">
        <v>38.963684999999998</v>
      </c>
      <c r="H90">
        <v>-0.478851007</v>
      </c>
      <c r="I90">
        <v>340.49847499999998</v>
      </c>
      <c r="O90" s="7">
        <v>1937</v>
      </c>
      <c r="P90">
        <v>308.39999999999998</v>
      </c>
      <c r="Q90">
        <v>311.2</v>
      </c>
    </row>
    <row r="91" spans="1:17">
      <c r="A91">
        <v>1940</v>
      </c>
      <c r="B91">
        <v>7.3825379999999996E-2</v>
      </c>
      <c r="C91">
        <v>330.68540139999999</v>
      </c>
      <c r="D91">
        <v>3.1916666669999998</v>
      </c>
      <c r="E91">
        <v>5.8915820000000001E-2</v>
      </c>
      <c r="F91">
        <v>59.743277999999997</v>
      </c>
      <c r="G91">
        <v>36.418633</v>
      </c>
      <c r="H91">
        <v>-0.50358795099999998</v>
      </c>
      <c r="I91">
        <v>340.461365</v>
      </c>
      <c r="O91" s="7">
        <v>1938</v>
      </c>
      <c r="P91">
        <v>309.60000000000002</v>
      </c>
      <c r="Q91">
        <v>311.3</v>
      </c>
    </row>
    <row r="92" spans="1:17">
      <c r="A92">
        <v>1941</v>
      </c>
      <c r="B92">
        <v>3.4352899999999999E-2</v>
      </c>
      <c r="C92">
        <v>331.41216550000001</v>
      </c>
      <c r="D92">
        <v>1.941666667</v>
      </c>
      <c r="E92">
        <v>0.103222095</v>
      </c>
      <c r="F92">
        <v>67.517431000000002</v>
      </c>
      <c r="G92">
        <v>38.579852000000002</v>
      </c>
      <c r="H92">
        <v>-0.51624991899999995</v>
      </c>
      <c r="I92">
        <v>340.43084750000003</v>
      </c>
      <c r="O92" s="7">
        <v>1939</v>
      </c>
      <c r="P92">
        <v>310.7</v>
      </c>
      <c r="Q92">
        <v>311</v>
      </c>
    </row>
    <row r="93" spans="1:17">
      <c r="A93">
        <v>1942</v>
      </c>
      <c r="B93">
        <v>-5.1121490000000005E-4</v>
      </c>
      <c r="C93">
        <v>332.1841215</v>
      </c>
      <c r="D93">
        <v>4.2</v>
      </c>
      <c r="E93">
        <v>0.1043671525</v>
      </c>
      <c r="F93">
        <v>77.938090000000003</v>
      </c>
      <c r="G93">
        <v>37.244672999999999</v>
      </c>
      <c r="H93">
        <v>-0.53176533299999995</v>
      </c>
      <c r="I93">
        <v>340.37820499999998</v>
      </c>
      <c r="O93" s="7">
        <v>1940</v>
      </c>
      <c r="P93">
        <v>311.39999999999998</v>
      </c>
      <c r="Q93">
        <v>310.7</v>
      </c>
    </row>
    <row r="94" spans="1:17">
      <c r="A94">
        <v>1943</v>
      </c>
      <c r="B94">
        <v>6.3595637000000002E-3</v>
      </c>
      <c r="C94">
        <v>332.79518100000001</v>
      </c>
      <c r="D94">
        <v>4.375</v>
      </c>
      <c r="E94">
        <v>0.10157941500000001</v>
      </c>
      <c r="F94">
        <v>92.961552999999995</v>
      </c>
      <c r="G94">
        <v>37.659891000000002</v>
      </c>
      <c r="H94">
        <v>-0.53584858700000004</v>
      </c>
      <c r="I94">
        <v>340.33273250000002</v>
      </c>
      <c r="J94" s="8"/>
      <c r="O94" s="7">
        <v>1941</v>
      </c>
      <c r="P94">
        <v>310.60000000000002</v>
      </c>
      <c r="Q94">
        <v>310.5</v>
      </c>
    </row>
    <row r="95" spans="1:17">
      <c r="A95">
        <v>1944</v>
      </c>
      <c r="B95">
        <v>0.14462823999999999</v>
      </c>
      <c r="C95">
        <v>333.04824819999999</v>
      </c>
      <c r="D95">
        <v>2.35</v>
      </c>
      <c r="E95">
        <v>0.10248756199999999</v>
      </c>
      <c r="F95">
        <v>105.09257599999999</v>
      </c>
      <c r="G95">
        <v>36.081150000000001</v>
      </c>
      <c r="H95">
        <v>-0.52984617099999998</v>
      </c>
      <c r="I95">
        <v>340.3294975</v>
      </c>
      <c r="J95" t="s">
        <v>50</v>
      </c>
      <c r="O95" s="7">
        <v>1942</v>
      </c>
      <c r="P95">
        <v>311.3</v>
      </c>
      <c r="Q95">
        <v>310.2</v>
      </c>
    </row>
    <row r="96" spans="1:17">
      <c r="A96">
        <v>1945</v>
      </c>
      <c r="B96">
        <v>4.2905577E-2</v>
      </c>
      <c r="C96">
        <v>332.63761060000002</v>
      </c>
      <c r="D96">
        <v>2.2166666670000001</v>
      </c>
      <c r="E96">
        <v>0.10038816</v>
      </c>
      <c r="F96">
        <v>107.77882200000001</v>
      </c>
      <c r="G96">
        <v>34.400258999999998</v>
      </c>
      <c r="H96">
        <v>-0.4732519</v>
      </c>
      <c r="I96">
        <v>340.40466249999997</v>
      </c>
      <c r="J96" s="8">
        <f t="shared" ref="J96:J108" si="27">J131/2+65</f>
        <v>67.230560288547636</v>
      </c>
      <c r="K96" s="8">
        <f>(J96-$J$126)*$K$126</f>
        <v>6.1117859205055796</v>
      </c>
      <c r="O96" s="7">
        <v>1943</v>
      </c>
      <c r="P96">
        <v>310.8</v>
      </c>
      <c r="Q96">
        <v>310.3</v>
      </c>
    </row>
    <row r="97" spans="1:17">
      <c r="A97">
        <v>1946</v>
      </c>
      <c r="B97">
        <v>-0.12273554</v>
      </c>
      <c r="C97">
        <v>332.64883789999999</v>
      </c>
      <c r="D97">
        <v>1.816666667</v>
      </c>
      <c r="E97">
        <v>7.0993586499999997E-2</v>
      </c>
      <c r="F97">
        <v>108.859725</v>
      </c>
      <c r="G97">
        <v>40.178642000000004</v>
      </c>
      <c r="H97">
        <v>-0.46293599099999999</v>
      </c>
      <c r="I97">
        <v>340.48462000000001</v>
      </c>
      <c r="J97" s="8">
        <f t="shared" si="27"/>
        <v>67.178497181698333</v>
      </c>
      <c r="K97" s="8">
        <f t="shared" ref="K97:K121" si="28">(J97-$J$126)*$K$126</f>
        <v>6.0383590534773708</v>
      </c>
      <c r="O97" s="7">
        <v>1944</v>
      </c>
      <c r="P97">
        <v>311.60000000000002</v>
      </c>
      <c r="Q97">
        <v>310.3</v>
      </c>
    </row>
    <row r="98" spans="1:17">
      <c r="A98">
        <v>1947</v>
      </c>
      <c r="B98">
        <v>-9.599444E-2</v>
      </c>
      <c r="C98">
        <v>333.1530151</v>
      </c>
      <c r="D98">
        <v>2.2833333329999999</v>
      </c>
      <c r="E98">
        <v>6.736292599999999E-2</v>
      </c>
      <c r="F98">
        <v>107.21289400000001</v>
      </c>
      <c r="G98">
        <v>37.147046000000003</v>
      </c>
      <c r="H98">
        <v>-0.49095372700000001</v>
      </c>
      <c r="I98">
        <v>340.54745500000001</v>
      </c>
      <c r="J98" s="8">
        <f t="shared" si="27"/>
        <v>102.4396720880046</v>
      </c>
      <c r="K98" s="8">
        <f t="shared" si="28"/>
        <v>55.768729709188577</v>
      </c>
      <c r="O98" s="7">
        <v>1945</v>
      </c>
      <c r="P98">
        <v>309.7</v>
      </c>
      <c r="Q98">
        <v>310.39999999999998</v>
      </c>
    </row>
    <row r="99" spans="1:17">
      <c r="A99">
        <v>1948</v>
      </c>
      <c r="B99">
        <v>-0.12916892999999999</v>
      </c>
      <c r="C99">
        <v>333.83214820000001</v>
      </c>
      <c r="D99">
        <v>1.7083333329999999</v>
      </c>
      <c r="E99">
        <v>6.261241775000001E-2</v>
      </c>
      <c r="F99">
        <v>101.696867</v>
      </c>
      <c r="G99">
        <v>37.950192000000001</v>
      </c>
      <c r="H99">
        <v>-0.51311577600000002</v>
      </c>
      <c r="I99">
        <v>340.57653749999997</v>
      </c>
      <c r="J99" s="8">
        <f t="shared" si="27"/>
        <v>105.0094489597104</v>
      </c>
      <c r="K99" s="8">
        <f t="shared" si="28"/>
        <v>59.392997949596747</v>
      </c>
      <c r="O99" s="7">
        <v>1946</v>
      </c>
      <c r="P99">
        <v>311.5</v>
      </c>
      <c r="Q99">
        <v>310.5</v>
      </c>
    </row>
    <row r="100" spans="1:17">
      <c r="A100">
        <v>1949</v>
      </c>
      <c r="B100">
        <v>-0.15387155</v>
      </c>
      <c r="C100">
        <v>334.10830490000001</v>
      </c>
      <c r="D100">
        <v>3.266666667</v>
      </c>
      <c r="E100">
        <v>5.6948573500000009E-2</v>
      </c>
      <c r="F100">
        <v>99.013981999999999</v>
      </c>
      <c r="G100">
        <v>36.549624999999999</v>
      </c>
      <c r="H100">
        <v>-0.50788223200000004</v>
      </c>
      <c r="I100">
        <v>340.54110750000001</v>
      </c>
      <c r="J100" s="8">
        <f t="shared" si="27"/>
        <v>80.48010903873265</v>
      </c>
      <c r="K100" s="8">
        <f t="shared" si="28"/>
        <v>24.798201563728355</v>
      </c>
      <c r="O100" s="7">
        <v>1947</v>
      </c>
      <c r="P100">
        <v>310.7</v>
      </c>
      <c r="Q100">
        <v>310.89999999999998</v>
      </c>
    </row>
    <row r="101" spans="1:17">
      <c r="A101">
        <v>1950</v>
      </c>
      <c r="B101">
        <v>-0.23965623999999999</v>
      </c>
      <c r="C101">
        <v>335.16189580000002</v>
      </c>
      <c r="D101">
        <v>2.8666666670000001</v>
      </c>
      <c r="E101">
        <v>5.0750017499999994E-2</v>
      </c>
      <c r="F101">
        <v>105.475943</v>
      </c>
      <c r="G101">
        <v>37.305273999999997</v>
      </c>
      <c r="H101">
        <v>-0.54707541199999998</v>
      </c>
      <c r="I101">
        <v>340.46768250000002</v>
      </c>
      <c r="J101" s="8">
        <f t="shared" si="27"/>
        <v>71.657119258458295</v>
      </c>
      <c r="K101" s="8">
        <f t="shared" si="28"/>
        <v>12.354754820094072</v>
      </c>
      <c r="O101" s="7">
        <v>1948</v>
      </c>
      <c r="P101">
        <v>310.5</v>
      </c>
      <c r="Q101">
        <v>311.3</v>
      </c>
    </row>
    <row r="102" spans="1:17">
      <c r="A102">
        <v>1951</v>
      </c>
      <c r="B102">
        <v>-7.1880794999999997E-2</v>
      </c>
      <c r="C102">
        <v>335.09528299999999</v>
      </c>
      <c r="D102">
        <v>1.9750000000000001</v>
      </c>
      <c r="E102">
        <v>4.596352225E-2</v>
      </c>
      <c r="F102">
        <v>115.275858</v>
      </c>
      <c r="G102">
        <v>37.817529</v>
      </c>
      <c r="H102">
        <v>-0.53964330299999996</v>
      </c>
      <c r="I102">
        <v>340.41332999999997</v>
      </c>
      <c r="J102" s="8">
        <f t="shared" si="27"/>
        <v>72.517050724503406</v>
      </c>
      <c r="K102" s="8">
        <f t="shared" si="28"/>
        <v>13.567553618164874</v>
      </c>
      <c r="O102" s="7">
        <v>1949</v>
      </c>
      <c r="P102">
        <v>310.8</v>
      </c>
      <c r="Q102">
        <v>311.8</v>
      </c>
    </row>
    <row r="103" spans="1:17">
      <c r="A103">
        <v>1952</v>
      </c>
      <c r="B103">
        <v>1.0809038E-2</v>
      </c>
      <c r="C103">
        <v>335.89199680000002</v>
      </c>
      <c r="D103">
        <v>3.6749999999999998</v>
      </c>
      <c r="E103">
        <v>4.9993856000000003E-2</v>
      </c>
      <c r="F103">
        <v>122.903325</v>
      </c>
      <c r="G103">
        <v>38.384177000000001</v>
      </c>
      <c r="H103">
        <v>-0.55565390100000001</v>
      </c>
      <c r="I103">
        <v>340.36786000000001</v>
      </c>
      <c r="J103" s="8">
        <f t="shared" si="27"/>
        <v>70.871736280776247</v>
      </c>
      <c r="K103" s="8">
        <f t="shared" si="28"/>
        <v>11.247095001877716</v>
      </c>
      <c r="O103" s="7">
        <v>1950</v>
      </c>
      <c r="P103">
        <v>312.60000000000002</v>
      </c>
      <c r="Q103">
        <v>312.2</v>
      </c>
    </row>
    <row r="104" spans="1:17">
      <c r="A104">
        <v>1953</v>
      </c>
      <c r="B104">
        <v>7.6973155000000001E-2</v>
      </c>
      <c r="C104">
        <v>337.08998380000003</v>
      </c>
      <c r="D104">
        <v>3.391666667</v>
      </c>
      <c r="E104">
        <v>4.9558155749999999E-2</v>
      </c>
      <c r="F104">
        <v>126.504701</v>
      </c>
      <c r="G104">
        <v>40.473965</v>
      </c>
      <c r="H104">
        <v>-0.57071367900000003</v>
      </c>
      <c r="I104">
        <v>340.33682249999998</v>
      </c>
      <c r="J104" s="8">
        <f t="shared" si="27"/>
        <v>69.566575546913256</v>
      </c>
      <c r="K104" s="8">
        <f t="shared" si="28"/>
        <v>9.4063699768962454</v>
      </c>
      <c r="O104" s="7">
        <v>1953</v>
      </c>
      <c r="P104">
        <v>312.10000000000002</v>
      </c>
      <c r="Q104">
        <v>312.60000000000002</v>
      </c>
    </row>
    <row r="105" spans="1:17">
      <c r="A105">
        <v>1954</v>
      </c>
      <c r="B105">
        <v>-0.11753129</v>
      </c>
      <c r="C105">
        <v>338.19293269999997</v>
      </c>
      <c r="D105">
        <v>3.608333333</v>
      </c>
      <c r="E105">
        <v>4.4672405499999998E-2</v>
      </c>
      <c r="F105">
        <v>128.335488</v>
      </c>
      <c r="G105">
        <v>37.595399999999998</v>
      </c>
      <c r="H105">
        <v>-0.58165747400000001</v>
      </c>
      <c r="I105">
        <v>340.31863499999997</v>
      </c>
      <c r="J105" s="8">
        <f t="shared" si="27"/>
        <v>68.483122325627306</v>
      </c>
      <c r="K105" s="8">
        <f t="shared" si="28"/>
        <v>7.8783287126490249</v>
      </c>
      <c r="O105" s="7">
        <v>1954</v>
      </c>
      <c r="P105">
        <v>311.8</v>
      </c>
      <c r="Q105">
        <v>313.2</v>
      </c>
    </row>
    <row r="106" spans="1:17">
      <c r="A106">
        <v>1955</v>
      </c>
      <c r="B106">
        <v>-0.19868241</v>
      </c>
      <c r="C106">
        <v>339.56497050000002</v>
      </c>
      <c r="D106">
        <v>1.8</v>
      </c>
      <c r="E106">
        <v>4.5058057499999998E-2</v>
      </c>
      <c r="F106">
        <v>129.66936899999999</v>
      </c>
      <c r="G106">
        <v>34.225225999999999</v>
      </c>
      <c r="H106">
        <v>-0.61253753399999999</v>
      </c>
      <c r="I106">
        <v>340.35843</v>
      </c>
      <c r="J106" s="8">
        <f t="shared" si="27"/>
        <v>69.398758094648031</v>
      </c>
      <c r="K106" s="8">
        <f t="shared" si="28"/>
        <v>9.1696897152253776</v>
      </c>
      <c r="O106" s="7">
        <v>1955</v>
      </c>
      <c r="P106">
        <v>314</v>
      </c>
      <c r="Q106">
        <v>313.7</v>
      </c>
    </row>
    <row r="107" spans="1:17">
      <c r="A107">
        <v>1956</v>
      </c>
      <c r="B107">
        <v>-0.26496819999999999</v>
      </c>
      <c r="C107">
        <v>341.39716490000001</v>
      </c>
      <c r="D107">
        <v>1.1333333329999999</v>
      </c>
      <c r="E107">
        <v>3.8264092499999999E-2</v>
      </c>
      <c r="F107">
        <v>133.232091</v>
      </c>
      <c r="G107">
        <v>36.874388000000003</v>
      </c>
      <c r="H107">
        <v>-0.65552863900000002</v>
      </c>
      <c r="I107">
        <v>340.49420249999997</v>
      </c>
      <c r="J107" s="8">
        <f t="shared" si="27"/>
        <v>104.6702341605297</v>
      </c>
      <c r="K107" s="8">
        <f t="shared" si="28"/>
        <v>58.914588544919148</v>
      </c>
      <c r="O107" s="7">
        <v>1956</v>
      </c>
      <c r="P107">
        <v>316.3</v>
      </c>
      <c r="Q107">
        <v>314.3</v>
      </c>
    </row>
    <row r="108" spans="1:17">
      <c r="A108">
        <v>1957</v>
      </c>
      <c r="B108">
        <v>-3.4916759999999998E-2</v>
      </c>
      <c r="C108">
        <v>343.071777</v>
      </c>
      <c r="D108">
        <v>0.51666666699999997</v>
      </c>
      <c r="E108">
        <v>3.3541781499999999E-2</v>
      </c>
      <c r="F108">
        <v>138.870553</v>
      </c>
      <c r="G108">
        <v>39.492299000000003</v>
      </c>
      <c r="H108">
        <v>-0.68383740400000004</v>
      </c>
      <c r="I108">
        <v>340.60821499999997</v>
      </c>
      <c r="J108" s="8">
        <f t="shared" si="27"/>
        <v>128.10536110650949</v>
      </c>
      <c r="K108" s="8">
        <f t="shared" si="28"/>
        <v>91.966168717274343</v>
      </c>
      <c r="O108" s="7">
        <v>1957</v>
      </c>
      <c r="P108">
        <v>314</v>
      </c>
      <c r="Q108">
        <v>314.8</v>
      </c>
    </row>
    <row r="109" spans="1:17">
      <c r="A109">
        <v>1958</v>
      </c>
      <c r="B109">
        <v>-1.647502E-2</v>
      </c>
      <c r="C109">
        <v>343.66800710000001</v>
      </c>
      <c r="D109">
        <v>0.25</v>
      </c>
      <c r="E109">
        <v>3.2122699249999997E-2</v>
      </c>
      <c r="F109">
        <v>147.99471299999999</v>
      </c>
      <c r="G109">
        <v>41.305689000000001</v>
      </c>
      <c r="H109">
        <v>-0.67484764399999997</v>
      </c>
      <c r="I109">
        <v>340.60098249999999</v>
      </c>
      <c r="J109" s="8">
        <f t="shared" ref="J109:J120" si="29">J144/2+65</f>
        <v>89.051117294368709</v>
      </c>
      <c r="K109" s="8">
        <f t="shared" si="28"/>
        <v>36.886267788932649</v>
      </c>
      <c r="O109" s="7">
        <v>1958</v>
      </c>
      <c r="P109">
        <v>314.39999999999998</v>
      </c>
      <c r="Q109">
        <v>315.33999999999997</v>
      </c>
    </row>
    <row r="110" spans="1:17">
      <c r="A110">
        <v>1959</v>
      </c>
      <c r="B110">
        <v>-4.6526893999999999E-2</v>
      </c>
      <c r="C110">
        <v>344.85435260000003</v>
      </c>
      <c r="D110">
        <v>0.2</v>
      </c>
      <c r="E110">
        <v>3.2763927999999998E-2</v>
      </c>
      <c r="F110">
        <v>158.04931099999999</v>
      </c>
      <c r="G110">
        <v>37.915106000000002</v>
      </c>
      <c r="H110">
        <v>-0.69244947599999995</v>
      </c>
      <c r="I110">
        <v>340.52401750000001</v>
      </c>
      <c r="J110" s="8">
        <f t="shared" si="29"/>
        <v>76.058780188067345</v>
      </c>
      <c r="K110" s="8">
        <f t="shared" si="28"/>
        <v>18.562608929092352</v>
      </c>
      <c r="L110" s="6">
        <v>1959</v>
      </c>
      <c r="M110" s="5">
        <v>315.98</v>
      </c>
      <c r="N110">
        <v>0.12</v>
      </c>
      <c r="Q110">
        <v>316.18</v>
      </c>
    </row>
    <row r="111" spans="1:17">
      <c r="A111">
        <v>1960</v>
      </c>
      <c r="B111">
        <v>-0.11337057</v>
      </c>
      <c r="C111">
        <v>346.53636239999997</v>
      </c>
      <c r="D111">
        <v>4.6166666669999996</v>
      </c>
      <c r="E111">
        <v>2.774339E-2</v>
      </c>
      <c r="F111">
        <v>166.67938699999999</v>
      </c>
      <c r="G111">
        <v>38.643113999999997</v>
      </c>
      <c r="H111">
        <v>-0.71824091300000004</v>
      </c>
      <c r="I111">
        <v>340.48571750000002</v>
      </c>
      <c r="J111" s="8">
        <f t="shared" si="29"/>
        <v>69.789003483091676</v>
      </c>
      <c r="K111" s="8">
        <f t="shared" si="28"/>
        <v>9.7200697824112172</v>
      </c>
      <c r="L111" s="6">
        <v>1960</v>
      </c>
      <c r="M111">
        <v>316.91000000000003</v>
      </c>
      <c r="N111">
        <v>0.12</v>
      </c>
      <c r="Q111">
        <v>317.07</v>
      </c>
    </row>
    <row r="112" spans="1:17">
      <c r="A112">
        <v>1961</v>
      </c>
      <c r="B112">
        <v>-1.4400931E-2</v>
      </c>
      <c r="C112">
        <v>348.0498892</v>
      </c>
      <c r="D112">
        <v>10.775</v>
      </c>
      <c r="E112">
        <v>2.5186208749999998E-2</v>
      </c>
      <c r="F112">
        <v>170.15124</v>
      </c>
      <c r="G112">
        <v>38.403931999999998</v>
      </c>
      <c r="H112">
        <v>-0.73846389099999998</v>
      </c>
      <c r="I112">
        <v>340.3892525</v>
      </c>
      <c r="J112" s="8">
        <f t="shared" si="29"/>
        <v>68.146294608723508</v>
      </c>
      <c r="K112" s="8">
        <f t="shared" si="28"/>
        <v>7.4032859140681104</v>
      </c>
      <c r="L112">
        <v>1961</v>
      </c>
      <c r="M112">
        <v>317.64</v>
      </c>
      <c r="N112">
        <v>0.12</v>
      </c>
      <c r="Q112">
        <v>317.73</v>
      </c>
    </row>
    <row r="113" spans="1:17">
      <c r="A113">
        <v>1962</v>
      </c>
      <c r="B113">
        <v>-5.8836039999999999E-2</v>
      </c>
      <c r="C113">
        <v>349.71638280000002</v>
      </c>
      <c r="D113">
        <v>13.25</v>
      </c>
      <c r="E113">
        <v>2.6867504174999998E-2</v>
      </c>
      <c r="F113">
        <v>170.21561600000001</v>
      </c>
      <c r="G113">
        <v>38.867451000000003</v>
      </c>
      <c r="H113">
        <v>-0.742589575</v>
      </c>
      <c r="I113">
        <v>340.34387249999997</v>
      </c>
      <c r="J113" s="8">
        <f t="shared" si="29"/>
        <v>67.492662695167155</v>
      </c>
      <c r="K113" s="8">
        <f t="shared" si="28"/>
        <v>6.4814403595756591</v>
      </c>
      <c r="L113">
        <v>1962</v>
      </c>
      <c r="M113">
        <v>318.45</v>
      </c>
      <c r="N113">
        <v>0.12</v>
      </c>
      <c r="Q113">
        <v>318.43</v>
      </c>
    </row>
    <row r="114" spans="1:17">
      <c r="A114">
        <v>1963</v>
      </c>
      <c r="B114">
        <v>-3.1402844999999999E-2</v>
      </c>
      <c r="C114">
        <v>352.4768335</v>
      </c>
      <c r="D114">
        <v>45.966666670000002</v>
      </c>
      <c r="E114">
        <v>2.6330818499999999E-2</v>
      </c>
      <c r="F114">
        <v>166.12663699999999</v>
      </c>
      <c r="G114">
        <v>39.016264</v>
      </c>
      <c r="H114">
        <v>-0.78384262900000001</v>
      </c>
      <c r="I114">
        <v>340.32910249999998</v>
      </c>
      <c r="J114" s="8">
        <f t="shared" si="29"/>
        <v>65.384801557870745</v>
      </c>
      <c r="K114" s="8">
        <f t="shared" si="28"/>
        <v>3.508631996636733</v>
      </c>
      <c r="L114">
        <v>1963</v>
      </c>
      <c r="M114">
        <v>318.99</v>
      </c>
      <c r="N114">
        <v>0.12</v>
      </c>
      <c r="Q114">
        <v>319.08</v>
      </c>
    </row>
    <row r="115" spans="1:17">
      <c r="A115">
        <v>1964</v>
      </c>
      <c r="B115">
        <v>-0.30211916999999999</v>
      </c>
      <c r="C115">
        <v>353.8374728</v>
      </c>
      <c r="D115">
        <v>71.691666670000004</v>
      </c>
      <c r="E115">
        <v>2.3590497499999988E-2</v>
      </c>
      <c r="F115">
        <v>163.16832600000001</v>
      </c>
      <c r="G115">
        <v>39.950173999999997</v>
      </c>
      <c r="H115">
        <v>-0.77555758699999999</v>
      </c>
      <c r="I115">
        <v>340.32418749999999</v>
      </c>
      <c r="J115" s="8">
        <f t="shared" si="29"/>
        <v>65.566936104019248</v>
      </c>
      <c r="K115" s="8">
        <f t="shared" si="28"/>
        <v>3.7655042793454676</v>
      </c>
      <c r="L115">
        <v>1964</v>
      </c>
      <c r="M115">
        <v>319.62</v>
      </c>
      <c r="N115">
        <v>0.12</v>
      </c>
      <c r="Q115">
        <v>319.64999999999998</v>
      </c>
    </row>
    <row r="116" spans="1:17">
      <c r="A116">
        <v>1965</v>
      </c>
      <c r="B116">
        <v>-0.20229820000000001</v>
      </c>
      <c r="C116">
        <v>355.69364519999999</v>
      </c>
      <c r="D116">
        <v>43.183333330000004</v>
      </c>
      <c r="E116">
        <v>2.59639625E-2</v>
      </c>
      <c r="F116">
        <v>160.953045</v>
      </c>
      <c r="G116">
        <v>36.976562000000001</v>
      </c>
      <c r="H116">
        <v>-0.79071863099999995</v>
      </c>
      <c r="I116">
        <v>340.332855</v>
      </c>
      <c r="J116" s="8">
        <f t="shared" si="29"/>
        <v>66.36734872403828</v>
      </c>
      <c r="K116" s="8">
        <f t="shared" si="28"/>
        <v>4.894361056716674</v>
      </c>
      <c r="L116">
        <v>1965</v>
      </c>
      <c r="M116">
        <v>320.04000000000002</v>
      </c>
      <c r="N116">
        <v>0.12</v>
      </c>
      <c r="Q116">
        <v>320.23</v>
      </c>
    </row>
    <row r="117" spans="1:17">
      <c r="A117">
        <v>1966</v>
      </c>
      <c r="B117">
        <v>-0.14536367</v>
      </c>
      <c r="C117">
        <v>357.97351609999998</v>
      </c>
      <c r="D117">
        <v>23.233333330000001</v>
      </c>
      <c r="E117">
        <v>2.4799857500000001E-2</v>
      </c>
      <c r="F117">
        <v>159.307535</v>
      </c>
      <c r="G117">
        <v>40.128588999999998</v>
      </c>
      <c r="H117">
        <v>-0.80036265500000003</v>
      </c>
      <c r="I117">
        <v>340.38168250000001</v>
      </c>
      <c r="J117" s="8">
        <f t="shared" si="29"/>
        <v>65</v>
      </c>
      <c r="K117" s="8">
        <f t="shared" si="28"/>
        <v>2.9659296007961222</v>
      </c>
      <c r="L117">
        <v>1966</v>
      </c>
      <c r="M117">
        <v>321.37</v>
      </c>
      <c r="N117">
        <v>0.12</v>
      </c>
      <c r="Q117">
        <v>321.58999999999997</v>
      </c>
    </row>
    <row r="118" spans="1:17">
      <c r="A118">
        <v>1967</v>
      </c>
      <c r="B118">
        <v>-0.11570757</v>
      </c>
      <c r="C118">
        <v>360.42776570000001</v>
      </c>
      <c r="D118">
        <v>14.5</v>
      </c>
      <c r="E118">
        <v>2.2387319999999995E-2</v>
      </c>
      <c r="F118">
        <v>161.726911</v>
      </c>
      <c r="G118">
        <v>40.475253000000002</v>
      </c>
      <c r="H118">
        <v>-0.81809139900000005</v>
      </c>
      <c r="I118">
        <v>340.43386750000002</v>
      </c>
      <c r="J118" s="8">
        <f t="shared" si="29"/>
        <v>65.365352551456851</v>
      </c>
      <c r="K118" s="8">
        <f t="shared" si="28"/>
        <v>3.4812022158532452</v>
      </c>
      <c r="L118">
        <v>1967</v>
      </c>
      <c r="M118">
        <v>322.18</v>
      </c>
      <c r="N118">
        <v>0.12</v>
      </c>
      <c r="Q118">
        <v>322.31</v>
      </c>
    </row>
    <row r="119" spans="1:17">
      <c r="A119">
        <v>1968</v>
      </c>
      <c r="B119">
        <v>-0.16396338999999999</v>
      </c>
      <c r="C119">
        <v>362.95765849999998</v>
      </c>
      <c r="D119">
        <v>27.408333330000001</v>
      </c>
      <c r="E119">
        <v>2.3177322500000003E-2</v>
      </c>
      <c r="F119">
        <v>170.265096</v>
      </c>
      <c r="G119">
        <v>39.266278999999997</v>
      </c>
      <c r="H119">
        <v>-0.82927136700000004</v>
      </c>
      <c r="I119">
        <v>340.4476325</v>
      </c>
      <c r="J119" s="8">
        <f t="shared" si="29"/>
        <v>65.521455750125469</v>
      </c>
      <c r="K119" s="8">
        <f t="shared" si="28"/>
        <v>3.701361355500747</v>
      </c>
      <c r="L119">
        <v>1968</v>
      </c>
      <c r="M119">
        <v>323.05</v>
      </c>
      <c r="N119">
        <v>0.12</v>
      </c>
      <c r="Q119">
        <v>323.04000000000002</v>
      </c>
    </row>
    <row r="120" spans="1:17">
      <c r="A120">
        <v>1969</v>
      </c>
      <c r="B120">
        <v>-2.7795328000000001E-2</v>
      </c>
      <c r="C120">
        <v>365.4984159</v>
      </c>
      <c r="D120">
        <v>34.4</v>
      </c>
      <c r="E120">
        <v>2.0196911250000001E-2</v>
      </c>
      <c r="F120">
        <v>173.85687899999999</v>
      </c>
      <c r="G120">
        <v>39.494076</v>
      </c>
      <c r="H120">
        <v>-0.84010285600000001</v>
      </c>
      <c r="I120">
        <v>340.46460000000002</v>
      </c>
      <c r="J120" s="8">
        <f t="shared" si="29"/>
        <v>65.043471926671813</v>
      </c>
      <c r="K120" s="8">
        <f t="shared" si="28"/>
        <v>3.0272399522592135</v>
      </c>
      <c r="L120">
        <v>1969</v>
      </c>
      <c r="M120">
        <v>324.62</v>
      </c>
      <c r="N120">
        <v>0.12</v>
      </c>
      <c r="Q120">
        <v>324.23</v>
      </c>
    </row>
    <row r="121" spans="1:17">
      <c r="A121">
        <v>1970</v>
      </c>
      <c r="B121">
        <v>-8.4015599999999996E-2</v>
      </c>
      <c r="C121">
        <v>369.70927210000002</v>
      </c>
      <c r="D121">
        <v>16.56666667</v>
      </c>
      <c r="E121">
        <v>1.9164750500000001E-2</v>
      </c>
      <c r="F121">
        <v>174.009648</v>
      </c>
      <c r="G121">
        <v>25.001082</v>
      </c>
      <c r="H121">
        <v>-0.88196520499999997</v>
      </c>
      <c r="I121">
        <v>340.46261500000003</v>
      </c>
      <c r="J121" s="8">
        <f>J156/2+65</f>
        <v>66.442674930835111</v>
      </c>
      <c r="K121" s="8">
        <f t="shared" si="28"/>
        <v>5.0005968867492463</v>
      </c>
      <c r="L121">
        <v>1970</v>
      </c>
      <c r="M121">
        <v>325.68</v>
      </c>
      <c r="N121">
        <v>0.12</v>
      </c>
      <c r="Q121">
        <v>325.54000000000002</v>
      </c>
    </row>
    <row r="122" spans="1:17">
      <c r="A122">
        <v>1971</v>
      </c>
      <c r="B122">
        <v>-0.20408149</v>
      </c>
      <c r="C122">
        <v>372.57345470000001</v>
      </c>
      <c r="D122">
        <v>6.483333333</v>
      </c>
      <c r="E122">
        <v>1.9112114999999999E-2</v>
      </c>
      <c r="F122">
        <v>176.929665</v>
      </c>
      <c r="G122">
        <v>25.240618000000001</v>
      </c>
      <c r="H122">
        <v>-0.892445194</v>
      </c>
      <c r="I122">
        <v>340.38964750000002</v>
      </c>
      <c r="L122">
        <v>1971</v>
      </c>
      <c r="M122">
        <v>326.32</v>
      </c>
      <c r="N122">
        <v>0.12</v>
      </c>
      <c r="Q122">
        <v>326.42</v>
      </c>
    </row>
    <row r="123" spans="1:17">
      <c r="A123">
        <v>1972</v>
      </c>
      <c r="B123">
        <v>-9.0178590000000003E-2</v>
      </c>
      <c r="C123">
        <v>377.7779956</v>
      </c>
      <c r="D123">
        <v>3.9249999999999998</v>
      </c>
      <c r="E123">
        <v>1.8438670000000004E-2</v>
      </c>
      <c r="F123">
        <v>177.009771</v>
      </c>
      <c r="G123">
        <v>25.880512</v>
      </c>
      <c r="H123">
        <v>-0.93928036100000001</v>
      </c>
      <c r="I123">
        <v>340.41034000000002</v>
      </c>
      <c r="L123">
        <v>1972</v>
      </c>
      <c r="M123">
        <v>327.45999999999998</v>
      </c>
      <c r="N123">
        <v>0.12</v>
      </c>
      <c r="Q123">
        <v>327.45</v>
      </c>
    </row>
    <row r="124" spans="1:17">
      <c r="A124">
        <v>1973</v>
      </c>
      <c r="B124">
        <v>5.2476740000000001E-2</v>
      </c>
      <c r="C124">
        <v>381.89618400000001</v>
      </c>
      <c r="D124">
        <v>7.7916666670000003</v>
      </c>
      <c r="E124">
        <v>1.9014436249999999E-2</v>
      </c>
      <c r="F124">
        <v>172.98574099999999</v>
      </c>
      <c r="G124">
        <v>26.163758000000001</v>
      </c>
      <c r="H124">
        <v>-0.93868888500000003</v>
      </c>
      <c r="I124">
        <v>340.35385250000002</v>
      </c>
      <c r="L124">
        <v>1973</v>
      </c>
      <c r="M124">
        <v>329.68</v>
      </c>
      <c r="N124">
        <v>0.12</v>
      </c>
      <c r="Q124">
        <v>329.43</v>
      </c>
    </row>
    <row r="125" spans="1:17">
      <c r="A125">
        <v>1974</v>
      </c>
      <c r="B125">
        <v>-0.16868283000000001</v>
      </c>
      <c r="C125">
        <v>384.32599019999998</v>
      </c>
      <c r="D125">
        <v>12.70833333</v>
      </c>
      <c r="E125">
        <v>1.9099612500000002E-2</v>
      </c>
      <c r="F125">
        <v>171.970731</v>
      </c>
      <c r="G125">
        <v>26.129287999999999</v>
      </c>
      <c r="H125">
        <v>-0.93574028300000001</v>
      </c>
      <c r="I125">
        <v>340.33483999999999</v>
      </c>
      <c r="L125">
        <v>1974</v>
      </c>
      <c r="M125">
        <v>330.19</v>
      </c>
      <c r="N125">
        <v>0.12</v>
      </c>
      <c r="Q125">
        <v>330.21</v>
      </c>
    </row>
    <row r="126" spans="1:17">
      <c r="A126">
        <v>1975</v>
      </c>
      <c r="B126">
        <v>-0.105973646</v>
      </c>
      <c r="C126">
        <v>385.74079119999999</v>
      </c>
      <c r="D126">
        <v>30.125</v>
      </c>
      <c r="E126">
        <v>1.8759545000000002E-2</v>
      </c>
      <c r="F126">
        <v>175.808502</v>
      </c>
      <c r="G126">
        <v>25.307863000000001</v>
      </c>
      <c r="H126">
        <v>-0.926209116</v>
      </c>
      <c r="I126">
        <v>340.31952000000001</v>
      </c>
      <c r="J126">
        <v>62.897016229026384</v>
      </c>
      <c r="K126">
        <v>1.4103435517350615</v>
      </c>
      <c r="L126">
        <v>1975</v>
      </c>
      <c r="M126">
        <v>331.13</v>
      </c>
      <c r="N126">
        <v>0.12</v>
      </c>
      <c r="Q126">
        <v>331.36</v>
      </c>
    </row>
    <row r="127" spans="1:17">
      <c r="A127">
        <v>1976</v>
      </c>
      <c r="B127">
        <v>-0.21080547999999999</v>
      </c>
      <c r="C127">
        <v>389.3283682</v>
      </c>
      <c r="D127">
        <v>13.625</v>
      </c>
      <c r="E127">
        <v>2.0603552499999997E-2</v>
      </c>
      <c r="F127">
        <v>180.62355600000001</v>
      </c>
      <c r="G127">
        <v>24.080273999999999</v>
      </c>
      <c r="H127">
        <v>-0.970269033</v>
      </c>
      <c r="I127">
        <v>340.31402500000002</v>
      </c>
      <c r="K127" cm="1">
        <f t="array" ref="K127">SUMSQ(K96:K121-D131:D156)</f>
        <v>1781.8214689625152</v>
      </c>
      <c r="L127">
        <v>1976</v>
      </c>
      <c r="M127">
        <v>332.03</v>
      </c>
      <c r="N127">
        <v>0.12</v>
      </c>
      <c r="Q127">
        <v>331.92</v>
      </c>
    </row>
    <row r="128" spans="1:17">
      <c r="A128">
        <v>1977</v>
      </c>
      <c r="B128">
        <v>0.105095536</v>
      </c>
      <c r="C128">
        <v>393.74767709999998</v>
      </c>
      <c r="D128">
        <v>5.0916666670000001</v>
      </c>
      <c r="E128">
        <v>2.1061668750000002E-2</v>
      </c>
      <c r="F128">
        <v>187.51975100000001</v>
      </c>
      <c r="G128">
        <v>24.397352000000001</v>
      </c>
      <c r="H128">
        <v>-0.97892482400000003</v>
      </c>
      <c r="I128">
        <v>340.35720750000002</v>
      </c>
      <c r="L128">
        <v>1977</v>
      </c>
      <c r="M128">
        <v>333.84</v>
      </c>
      <c r="N128">
        <v>0.12</v>
      </c>
      <c r="Q128">
        <v>333.73</v>
      </c>
    </row>
    <row r="129" spans="1:17">
      <c r="A129">
        <v>1978</v>
      </c>
      <c r="B129">
        <v>5.5047739999999996E-3</v>
      </c>
      <c r="C129">
        <v>398.36258570000001</v>
      </c>
      <c r="D129">
        <v>7.5416666670000003</v>
      </c>
      <c r="E129">
        <v>1.9832049499999997E-2</v>
      </c>
      <c r="F129">
        <v>200.028919</v>
      </c>
      <c r="G129">
        <v>26.478677999999999</v>
      </c>
      <c r="H129">
        <v>-0.99546112499999995</v>
      </c>
      <c r="I129">
        <v>340.45291250000002</v>
      </c>
      <c r="L129">
        <v>1978</v>
      </c>
      <c r="M129">
        <v>335.41</v>
      </c>
      <c r="N129">
        <v>0.12</v>
      </c>
      <c r="Q129">
        <v>335.42</v>
      </c>
    </row>
    <row r="130" spans="1:17">
      <c r="A130">
        <v>1979</v>
      </c>
      <c r="B130">
        <v>8.8103899999999999E-2</v>
      </c>
      <c r="C130">
        <v>402.32313540000001</v>
      </c>
      <c r="D130">
        <v>5.4729999999999999</v>
      </c>
      <c r="E130">
        <v>1.442663175E-2</v>
      </c>
      <c r="F130">
        <v>214.228228</v>
      </c>
      <c r="G130">
        <v>24.964442999999999</v>
      </c>
      <c r="H130">
        <v>-1.0088509489999999</v>
      </c>
      <c r="I130">
        <v>340.5437925</v>
      </c>
      <c r="L130">
        <v>1979</v>
      </c>
      <c r="M130">
        <v>336.84</v>
      </c>
      <c r="N130">
        <v>0.12</v>
      </c>
      <c r="Q130">
        <v>337.1</v>
      </c>
    </row>
    <row r="131" spans="1:17">
      <c r="A131">
        <v>1980</v>
      </c>
      <c r="B131">
        <v>0.19152240000000001</v>
      </c>
      <c r="C131">
        <v>406.34194480000002</v>
      </c>
      <c r="D131">
        <v>7.6379999999999999</v>
      </c>
      <c r="E131">
        <v>1.6284182500000001E-2</v>
      </c>
      <c r="F131">
        <v>224.420455</v>
      </c>
      <c r="G131">
        <v>26.393549</v>
      </c>
      <c r="H131">
        <v>-1.002400921</v>
      </c>
      <c r="I131">
        <v>340.55029250000001</v>
      </c>
      <c r="J131" s="8">
        <v>4.4611205770952704</v>
      </c>
      <c r="L131">
        <v>1980</v>
      </c>
      <c r="M131">
        <v>338.76</v>
      </c>
      <c r="N131">
        <v>0.12</v>
      </c>
      <c r="Q131">
        <v>338.8</v>
      </c>
    </row>
    <row r="132" spans="1:17">
      <c r="A132">
        <v>1981</v>
      </c>
      <c r="B132">
        <v>0.24696657</v>
      </c>
      <c r="C132">
        <v>408.98754450000001</v>
      </c>
      <c r="D132">
        <v>9.3859999999999992</v>
      </c>
      <c r="E132">
        <v>1.5620054999999994E-2</v>
      </c>
      <c r="F132">
        <v>229.07345900000001</v>
      </c>
      <c r="G132">
        <v>26.34393</v>
      </c>
      <c r="H132">
        <v>-0.97993339499999998</v>
      </c>
      <c r="I132">
        <v>340.56213500000001</v>
      </c>
      <c r="J132" s="8">
        <v>4.3569943633966703</v>
      </c>
      <c r="L132">
        <v>1981</v>
      </c>
      <c r="M132">
        <v>340.12</v>
      </c>
      <c r="N132">
        <v>0.12</v>
      </c>
      <c r="Q132">
        <v>340</v>
      </c>
    </row>
    <row r="133" spans="1:17">
      <c r="A133">
        <v>1982</v>
      </c>
      <c r="B133">
        <v>3.0967088E-2</v>
      </c>
      <c r="C133">
        <v>413.08678570000001</v>
      </c>
      <c r="D133">
        <v>28.96</v>
      </c>
      <c r="E133">
        <v>2.0248185250000002E-2</v>
      </c>
      <c r="F133">
        <v>234.39847499999999</v>
      </c>
      <c r="G133">
        <v>26.269539000000002</v>
      </c>
      <c r="H133">
        <v>-1.0094159549999999</v>
      </c>
      <c r="I133">
        <v>340.45172000000002</v>
      </c>
      <c r="J133" s="8">
        <v>74.879344176009198</v>
      </c>
      <c r="L133">
        <v>1982</v>
      </c>
      <c r="M133">
        <v>341.48</v>
      </c>
      <c r="N133">
        <v>0.12</v>
      </c>
      <c r="Q133">
        <v>340.76</v>
      </c>
    </row>
    <row r="134" spans="1:17">
      <c r="A134">
        <v>1983</v>
      </c>
      <c r="B134">
        <v>0.22084606000000001</v>
      </c>
      <c r="C134">
        <v>414.88676800000002</v>
      </c>
      <c r="D134">
        <v>48.222000000000001</v>
      </c>
      <c r="E134">
        <v>1.7762304999999992E-2</v>
      </c>
      <c r="F134">
        <v>235.26142899999999</v>
      </c>
      <c r="G134">
        <v>25.639737</v>
      </c>
      <c r="H134">
        <v>-0.95817943000000005</v>
      </c>
      <c r="I134">
        <v>340.45254499999999</v>
      </c>
      <c r="J134" s="8">
        <v>80.018897919420795</v>
      </c>
      <c r="L134">
        <v>1983</v>
      </c>
      <c r="M134">
        <v>343.15</v>
      </c>
      <c r="N134">
        <v>0.12</v>
      </c>
      <c r="Q134">
        <v>342.44</v>
      </c>
    </row>
    <row r="135" spans="1:17">
      <c r="A135">
        <v>1984</v>
      </c>
      <c r="B135">
        <v>4.6037830000000002E-2</v>
      </c>
      <c r="C135">
        <v>419.12654700000002</v>
      </c>
      <c r="D135">
        <v>28.373999999999999</v>
      </c>
      <c r="E135">
        <v>1.6992838E-2</v>
      </c>
      <c r="F135">
        <v>235.10500400000001</v>
      </c>
      <c r="G135">
        <v>25.283626999999999</v>
      </c>
      <c r="H135">
        <v>-0.97742051200000002</v>
      </c>
      <c r="I135">
        <v>340.350525</v>
      </c>
      <c r="J135" s="8">
        <v>30.960218077465299</v>
      </c>
      <c r="L135">
        <v>1984</v>
      </c>
      <c r="M135">
        <v>344.87</v>
      </c>
      <c r="N135">
        <v>0.12</v>
      </c>
      <c r="Q135">
        <v>343.99</v>
      </c>
    </row>
    <row r="136" spans="1:17">
      <c r="A136">
        <v>1985</v>
      </c>
      <c r="B136">
        <v>4.5988216999999998E-2</v>
      </c>
      <c r="C136">
        <v>422.88636919999999</v>
      </c>
      <c r="D136">
        <v>14.164</v>
      </c>
      <c r="E136">
        <v>1.6537193499999998E-2</v>
      </c>
      <c r="F136">
        <v>238.012641</v>
      </c>
      <c r="G136">
        <v>25.716422999999999</v>
      </c>
      <c r="H136">
        <v>-0.98583388599999999</v>
      </c>
      <c r="I136">
        <v>340.31393500000001</v>
      </c>
      <c r="J136" s="8">
        <v>13.3142385169166</v>
      </c>
      <c r="L136">
        <v>1985</v>
      </c>
      <c r="M136">
        <v>346.35</v>
      </c>
      <c r="N136">
        <v>0.12</v>
      </c>
      <c r="Q136">
        <v>345.46</v>
      </c>
    </row>
    <row r="137" spans="1:17">
      <c r="A137">
        <v>1986</v>
      </c>
      <c r="B137">
        <v>9.2321009999999995E-2</v>
      </c>
      <c r="C137">
        <v>427.07306249999999</v>
      </c>
      <c r="D137">
        <v>15.939</v>
      </c>
      <c r="E137">
        <v>1.6175331250000001E-2</v>
      </c>
      <c r="F137">
        <v>246.14991000000001</v>
      </c>
      <c r="G137">
        <v>25.471305000000001</v>
      </c>
      <c r="H137">
        <v>-0.99008211599999996</v>
      </c>
      <c r="I137">
        <v>340.31542999999999</v>
      </c>
      <c r="J137" s="8">
        <v>15.034101449006799</v>
      </c>
      <c r="L137">
        <v>1986</v>
      </c>
      <c r="M137">
        <v>347.61</v>
      </c>
      <c r="N137">
        <v>0.12</v>
      </c>
      <c r="Q137">
        <v>346.88</v>
      </c>
    </row>
    <row r="138" spans="1:17">
      <c r="A138">
        <v>1987</v>
      </c>
      <c r="B138">
        <v>0.23820166000000001</v>
      </c>
      <c r="C138">
        <v>431.76349809999999</v>
      </c>
      <c r="D138">
        <v>10.816000000000001</v>
      </c>
      <c r="E138">
        <v>1.5366890000000008E-2</v>
      </c>
      <c r="F138">
        <v>252.45115200000001</v>
      </c>
      <c r="G138">
        <v>24.145945000000001</v>
      </c>
      <c r="H138">
        <v>-1.0173965730000001</v>
      </c>
      <c r="I138">
        <v>340.34912000000003</v>
      </c>
      <c r="J138" s="8">
        <v>11.743472561552499</v>
      </c>
      <c r="L138">
        <v>1987</v>
      </c>
      <c r="M138">
        <v>349.31</v>
      </c>
      <c r="N138">
        <v>0.12</v>
      </c>
      <c r="Q138">
        <v>348.62</v>
      </c>
    </row>
    <row r="139" spans="1:17">
      <c r="A139">
        <v>1988</v>
      </c>
      <c r="B139">
        <v>0.27761187999999998</v>
      </c>
      <c r="C139">
        <v>437.62927450000001</v>
      </c>
      <c r="D139">
        <v>7.9260000000000002</v>
      </c>
      <c r="E139">
        <v>1.7482004999999995E-2</v>
      </c>
      <c r="F139">
        <v>260.93967600000002</v>
      </c>
      <c r="G139">
        <v>24.556968000000001</v>
      </c>
      <c r="H139">
        <v>-1.0270167210000001</v>
      </c>
      <c r="I139">
        <v>340.42562750000002</v>
      </c>
      <c r="J139" s="8">
        <v>9.1331510938265001</v>
      </c>
      <c r="L139">
        <v>1988</v>
      </c>
      <c r="M139">
        <v>351.69</v>
      </c>
      <c r="N139">
        <v>0.12</v>
      </c>
      <c r="Q139">
        <v>351.15</v>
      </c>
    </row>
    <row r="140" spans="1:17">
      <c r="A140">
        <v>1989</v>
      </c>
      <c r="B140">
        <v>0.17489623000000001</v>
      </c>
      <c r="C140">
        <v>441.5628572</v>
      </c>
      <c r="D140">
        <v>6.0019999999999998</v>
      </c>
      <c r="E140">
        <v>1.7683965000000003E-2</v>
      </c>
      <c r="F140">
        <v>270.28614099999999</v>
      </c>
      <c r="G140">
        <v>26.405666</v>
      </c>
      <c r="H140">
        <v>-1.0166323180000001</v>
      </c>
      <c r="I140">
        <v>340.55029250000001</v>
      </c>
      <c r="J140" s="8">
        <v>6.9662446512546099</v>
      </c>
      <c r="L140">
        <v>1989</v>
      </c>
      <c r="M140">
        <v>353.2</v>
      </c>
      <c r="N140">
        <v>0.12</v>
      </c>
      <c r="Q140">
        <v>352.8</v>
      </c>
    </row>
    <row r="141" spans="1:17">
      <c r="A141">
        <v>1990</v>
      </c>
      <c r="B141">
        <v>0.35504322999999999</v>
      </c>
      <c r="C141">
        <v>445.08884030000002</v>
      </c>
      <c r="D141">
        <v>6.3559999999999999</v>
      </c>
      <c r="E141">
        <v>1.7601674999999997E-2</v>
      </c>
      <c r="F141">
        <v>275.88284199999998</v>
      </c>
      <c r="G141">
        <v>24.162634000000001</v>
      </c>
      <c r="H141">
        <v>-1.0332176559999999</v>
      </c>
      <c r="I141">
        <v>340.53</v>
      </c>
      <c r="J141" s="8">
        <v>8.7975161892960507</v>
      </c>
      <c r="L141">
        <v>1990</v>
      </c>
      <c r="M141">
        <v>354.45</v>
      </c>
      <c r="N141">
        <v>0.12</v>
      </c>
      <c r="Q141">
        <v>353.98</v>
      </c>
    </row>
    <row r="142" spans="1:17">
      <c r="A142">
        <v>1991</v>
      </c>
      <c r="B142">
        <v>0.33380959999999998</v>
      </c>
      <c r="C142">
        <v>451.21391610000001</v>
      </c>
      <c r="D142">
        <v>50.011000000000003</v>
      </c>
      <c r="E142">
        <v>1.7801807499999989E-2</v>
      </c>
      <c r="F142">
        <v>276.58821499999999</v>
      </c>
      <c r="G142">
        <v>25.433071000000002</v>
      </c>
      <c r="H142">
        <v>-1.0928126309999999</v>
      </c>
      <c r="I142">
        <v>340.50311249999999</v>
      </c>
      <c r="J142" s="8">
        <v>79.340468321059404</v>
      </c>
      <c r="L142">
        <v>1991</v>
      </c>
      <c r="M142">
        <v>355.7</v>
      </c>
      <c r="N142">
        <v>0.12</v>
      </c>
      <c r="Q142">
        <v>355.3</v>
      </c>
    </row>
    <row r="143" spans="1:17">
      <c r="A143">
        <v>1992</v>
      </c>
      <c r="B143">
        <v>0.12002607999999999</v>
      </c>
      <c r="C143">
        <v>449.84093339999998</v>
      </c>
      <c r="D143">
        <v>112.42700000000001</v>
      </c>
      <c r="E143">
        <v>1.6781300000000002E-2</v>
      </c>
      <c r="F143">
        <v>279.07423299999999</v>
      </c>
      <c r="G143">
        <v>28.731781000000002</v>
      </c>
      <c r="H143">
        <v>-0.99268107699999997</v>
      </c>
      <c r="I143">
        <v>340.47033750000003</v>
      </c>
      <c r="J143" s="8">
        <v>126.210722213019</v>
      </c>
      <c r="L143">
        <v>1992</v>
      </c>
      <c r="M143">
        <v>356.54</v>
      </c>
      <c r="N143">
        <v>0.12</v>
      </c>
      <c r="Q143">
        <v>355.99</v>
      </c>
    </row>
    <row r="144" spans="1:17">
      <c r="A144">
        <v>1993</v>
      </c>
      <c r="B144">
        <v>0.16109135999999999</v>
      </c>
      <c r="C144">
        <v>452.33617429999998</v>
      </c>
      <c r="D144">
        <v>56.225999999999999</v>
      </c>
      <c r="E144">
        <v>1.9168385000000003E-2</v>
      </c>
      <c r="F144">
        <v>282.20069100000001</v>
      </c>
      <c r="G144">
        <v>23.850376000000001</v>
      </c>
      <c r="H144">
        <v>-1.002234536</v>
      </c>
      <c r="I144">
        <v>340.403595</v>
      </c>
      <c r="J144" s="8">
        <v>48.102234588737403</v>
      </c>
      <c r="L144">
        <v>1993</v>
      </c>
      <c r="M144">
        <v>357.21</v>
      </c>
      <c r="N144">
        <v>0.12</v>
      </c>
      <c r="Q144">
        <v>356.72</v>
      </c>
    </row>
    <row r="145" spans="1:17">
      <c r="A145">
        <v>1994</v>
      </c>
      <c r="B145">
        <v>0.22744027</v>
      </c>
      <c r="C145">
        <v>457.38915709999998</v>
      </c>
      <c r="D145">
        <v>17.943000000000001</v>
      </c>
      <c r="E145">
        <v>1.8191189999999996E-2</v>
      </c>
      <c r="F145">
        <v>286.932726</v>
      </c>
      <c r="G145">
        <v>23.981631</v>
      </c>
      <c r="H145">
        <v>-1.0422539580000001</v>
      </c>
      <c r="I145">
        <v>340.34893749999998</v>
      </c>
      <c r="J145" s="8">
        <v>22.117560376134701</v>
      </c>
      <c r="L145">
        <v>1994</v>
      </c>
      <c r="M145">
        <v>358.96</v>
      </c>
      <c r="N145">
        <v>0.12</v>
      </c>
      <c r="Q145">
        <v>358.2</v>
      </c>
    </row>
    <row r="146" spans="1:17">
      <c r="A146">
        <v>1995</v>
      </c>
      <c r="B146">
        <v>0.37113267</v>
      </c>
      <c r="C146">
        <v>459.87513630000001</v>
      </c>
      <c r="D146">
        <v>8.73</v>
      </c>
      <c r="E146">
        <v>1.6589597500000011E-2</v>
      </c>
      <c r="F146">
        <v>296.39127000000002</v>
      </c>
      <c r="G146">
        <v>25.697914999999998</v>
      </c>
      <c r="H146">
        <v>-1.005426546</v>
      </c>
      <c r="I146">
        <v>340.32781999999997</v>
      </c>
      <c r="J146" s="8">
        <v>9.5780069661833505</v>
      </c>
      <c r="L146">
        <v>1995</v>
      </c>
      <c r="M146">
        <v>360.97</v>
      </c>
      <c r="N146">
        <v>0.12</v>
      </c>
      <c r="Q146">
        <v>360.03</v>
      </c>
    </row>
    <row r="147" spans="1:17">
      <c r="A147">
        <v>1996</v>
      </c>
      <c r="B147">
        <v>0.27083950000000001</v>
      </c>
      <c r="C147">
        <v>462.50005629999998</v>
      </c>
      <c r="D147">
        <v>5.5830000000000002</v>
      </c>
      <c r="E147">
        <v>1.6127012500000003E-2</v>
      </c>
      <c r="F147">
        <v>312.10352399999999</v>
      </c>
      <c r="G147">
        <v>25.636693000000001</v>
      </c>
      <c r="H147">
        <v>-0.981402938</v>
      </c>
      <c r="I147">
        <v>340.30877750000002</v>
      </c>
      <c r="J147" s="8">
        <v>6.2925892174470102</v>
      </c>
      <c r="L147">
        <v>1996</v>
      </c>
      <c r="M147">
        <v>362.74</v>
      </c>
      <c r="N147">
        <v>0.12</v>
      </c>
      <c r="Q147">
        <v>361.79</v>
      </c>
    </row>
    <row r="148" spans="1:17">
      <c r="A148">
        <v>1997</v>
      </c>
      <c r="B148">
        <v>0.41507134000000001</v>
      </c>
      <c r="C148">
        <v>468.75868750000001</v>
      </c>
      <c r="D148">
        <v>4.53</v>
      </c>
      <c r="E148">
        <v>1.6238032499999999E-2</v>
      </c>
      <c r="F148">
        <v>325.80344100000002</v>
      </c>
      <c r="G148">
        <v>25.646369</v>
      </c>
      <c r="H148">
        <v>-1.0772125379999999</v>
      </c>
      <c r="I148">
        <v>340.33929499999999</v>
      </c>
      <c r="J148" s="8">
        <v>4.9853253903342996</v>
      </c>
      <c r="L148">
        <v>1997</v>
      </c>
      <c r="M148">
        <v>363.88</v>
      </c>
      <c r="N148">
        <v>0.12</v>
      </c>
      <c r="Q148">
        <v>362.9</v>
      </c>
    </row>
    <row r="149" spans="1:17">
      <c r="A149">
        <v>1998</v>
      </c>
      <c r="B149">
        <v>0.57196100000000005</v>
      </c>
      <c r="C149">
        <v>472.41227689999999</v>
      </c>
      <c r="D149">
        <v>4.423</v>
      </c>
      <c r="E149">
        <v>1.6523115000000005E-2</v>
      </c>
      <c r="F149">
        <v>334.27249399999999</v>
      </c>
      <c r="G149">
        <v>26.810634</v>
      </c>
      <c r="H149">
        <v>-1.063794989</v>
      </c>
      <c r="I149">
        <v>340.42562750000002</v>
      </c>
      <c r="J149" s="8">
        <v>0.76960311574147899</v>
      </c>
      <c r="L149">
        <v>1998</v>
      </c>
      <c r="M149">
        <v>366.84</v>
      </c>
      <c r="N149">
        <v>0.12</v>
      </c>
      <c r="Q149">
        <v>365.54</v>
      </c>
    </row>
    <row r="150" spans="1:17">
      <c r="A150">
        <v>1999</v>
      </c>
      <c r="B150">
        <v>0.31803779999999998</v>
      </c>
      <c r="C150">
        <v>472.91870540000002</v>
      </c>
      <c r="D150">
        <v>4.25</v>
      </c>
      <c r="E150">
        <v>1.6307562499999997E-2</v>
      </c>
      <c r="F150">
        <v>341.25048800000002</v>
      </c>
      <c r="G150">
        <v>23.972168</v>
      </c>
      <c r="H150">
        <v>-0.96277833700000004</v>
      </c>
      <c r="I150">
        <v>340.49328500000001</v>
      </c>
      <c r="J150" s="8">
        <v>1.13387220803851</v>
      </c>
      <c r="L150">
        <v>1999</v>
      </c>
      <c r="M150">
        <v>368.54</v>
      </c>
      <c r="N150">
        <v>0.12</v>
      </c>
      <c r="Q150">
        <v>367.64</v>
      </c>
    </row>
    <row r="151" spans="1:17" ht="17">
      <c r="A151">
        <v>2000</v>
      </c>
      <c r="B151">
        <v>0.32550883000000003</v>
      </c>
      <c r="C151">
        <v>474.20133290000001</v>
      </c>
      <c r="D151">
        <v>4.24</v>
      </c>
      <c r="E151">
        <v>1.6370007500000006E-2</v>
      </c>
      <c r="F151">
        <v>348.03345200000001</v>
      </c>
      <c r="G151">
        <v>25.699831</v>
      </c>
      <c r="H151">
        <v>-0.92656306799999999</v>
      </c>
      <c r="I151">
        <v>340.56341500000002</v>
      </c>
      <c r="J151" s="8">
        <v>2.7346974480765498</v>
      </c>
      <c r="K151" s="4">
        <f>C151/M151</f>
        <v>1.28263052906332</v>
      </c>
      <c r="L151">
        <v>2000</v>
      </c>
      <c r="M151">
        <v>369.71</v>
      </c>
      <c r="N151">
        <v>0.12</v>
      </c>
      <c r="Q151">
        <v>368.82</v>
      </c>
    </row>
    <row r="152" spans="1:17" ht="17">
      <c r="A152">
        <v>2001</v>
      </c>
      <c r="B152">
        <v>0.48345043999999998</v>
      </c>
      <c r="C152">
        <v>476.92813510000002</v>
      </c>
      <c r="D152">
        <v>4.399</v>
      </c>
      <c r="E152">
        <v>1.6896537499999989E-2</v>
      </c>
      <c r="F152">
        <v>351.257723</v>
      </c>
      <c r="G152">
        <v>24.638421000000001</v>
      </c>
      <c r="H152">
        <v>-0.93091379399999996</v>
      </c>
      <c r="I152">
        <v>340.520355</v>
      </c>
      <c r="J152" s="8">
        <v>0</v>
      </c>
      <c r="K152" s="4">
        <f t="shared" ref="K152:K173" si="30">C152/M152</f>
        <v>1.2844127305289239</v>
      </c>
      <c r="L152">
        <v>2001</v>
      </c>
      <c r="M152">
        <v>371.32</v>
      </c>
      <c r="N152">
        <v>0.12</v>
      </c>
      <c r="Q152">
        <v>370.41</v>
      </c>
    </row>
    <row r="153" spans="1:17" ht="17">
      <c r="A153">
        <v>2002</v>
      </c>
      <c r="B153">
        <v>0.53715889999999999</v>
      </c>
      <c r="C153">
        <v>481.62377570000001</v>
      </c>
      <c r="D153">
        <v>4.1770000000000005</v>
      </c>
      <c r="E153">
        <v>1.5111949999999985E-2</v>
      </c>
      <c r="F153">
        <v>357.03792900000002</v>
      </c>
      <c r="G153">
        <v>24.003786999999999</v>
      </c>
      <c r="H153">
        <v>-0.98760973500000004</v>
      </c>
      <c r="I153">
        <v>340.54763750000001</v>
      </c>
      <c r="J153" s="8">
        <v>0.73070510291370305</v>
      </c>
      <c r="K153" s="4">
        <f t="shared" si="30"/>
        <v>1.2896606659526042</v>
      </c>
      <c r="L153">
        <v>2002</v>
      </c>
      <c r="M153">
        <v>373.45</v>
      </c>
      <c r="N153">
        <v>0.12</v>
      </c>
      <c r="Q153">
        <v>372.42</v>
      </c>
    </row>
    <row r="154" spans="1:17" ht="17">
      <c r="A154">
        <v>2003</v>
      </c>
      <c r="B154">
        <v>0.53827950000000002</v>
      </c>
      <c r="C154">
        <v>485.85921330000002</v>
      </c>
      <c r="D154">
        <v>4.9579999999999993</v>
      </c>
      <c r="E154">
        <v>1.6733572500000016E-2</v>
      </c>
      <c r="F154">
        <v>367.89013499999999</v>
      </c>
      <c r="G154">
        <v>25.470210999999999</v>
      </c>
      <c r="H154">
        <v>-1.009819075</v>
      </c>
      <c r="I154">
        <v>340.42266749999999</v>
      </c>
      <c r="J154" s="8">
        <v>1.0429115002509499</v>
      </c>
      <c r="K154" s="4">
        <f t="shared" si="30"/>
        <v>1.292247495345497</v>
      </c>
      <c r="L154">
        <v>2003</v>
      </c>
      <c r="M154">
        <v>375.98</v>
      </c>
      <c r="N154">
        <v>0.12</v>
      </c>
      <c r="Q154">
        <v>374.96</v>
      </c>
    </row>
    <row r="155" spans="1:17" ht="17">
      <c r="A155">
        <v>2004</v>
      </c>
      <c r="B155">
        <v>0.46242514000000001</v>
      </c>
      <c r="C155">
        <v>490.27643239999998</v>
      </c>
      <c r="D155">
        <v>4.4349999999999996</v>
      </c>
      <c r="E155">
        <v>1.518427E-2</v>
      </c>
      <c r="F155">
        <v>378.32559400000002</v>
      </c>
      <c r="G155">
        <v>26.016722999999999</v>
      </c>
      <c r="H155">
        <v>-1.0206361230000001</v>
      </c>
      <c r="I155">
        <v>340.36764499999998</v>
      </c>
      <c r="J155" s="8">
        <v>8.6943853343623895E-2</v>
      </c>
      <c r="K155" s="4">
        <f t="shared" si="30"/>
        <v>1.2980578035477892</v>
      </c>
      <c r="L155">
        <v>2004</v>
      </c>
      <c r="M155">
        <v>377.7</v>
      </c>
      <c r="N155">
        <v>0.12</v>
      </c>
      <c r="Q155">
        <v>376.79</v>
      </c>
    </row>
    <row r="156" spans="1:17" ht="17">
      <c r="A156">
        <v>2005</v>
      </c>
      <c r="B156">
        <v>0.60230726000000001</v>
      </c>
      <c r="C156">
        <v>494.29537449999998</v>
      </c>
      <c r="D156">
        <v>6.1230000000000002</v>
      </c>
      <c r="E156">
        <v>1.5619224999999987E-2</v>
      </c>
      <c r="F156">
        <v>385.509615</v>
      </c>
      <c r="G156">
        <v>25.435932999999999</v>
      </c>
      <c r="H156">
        <v>-1.046704978</v>
      </c>
      <c r="I156">
        <v>340.31561249999999</v>
      </c>
      <c r="J156" s="8">
        <v>2.88534986167021</v>
      </c>
      <c r="K156" s="4">
        <f t="shared" si="30"/>
        <v>1.3008457668824673</v>
      </c>
      <c r="L156">
        <v>2005</v>
      </c>
      <c r="M156">
        <v>379.98</v>
      </c>
      <c r="N156">
        <v>0.12</v>
      </c>
      <c r="Q156">
        <v>378.82</v>
      </c>
    </row>
    <row r="157" spans="1:17" ht="17">
      <c r="A157">
        <v>2006</v>
      </c>
      <c r="B157">
        <v>0.56632439999999995</v>
      </c>
      <c r="C157">
        <v>498.0605521</v>
      </c>
      <c r="D157">
        <v>7.3020000000000005</v>
      </c>
      <c r="E157">
        <v>1.5654622499999993E-2</v>
      </c>
      <c r="F157">
        <v>389.38556799999998</v>
      </c>
      <c r="G157">
        <v>25.604416000000001</v>
      </c>
      <c r="H157">
        <v>-1.059017257</v>
      </c>
      <c r="I157">
        <v>340.30896000000001</v>
      </c>
      <c r="K157" s="4">
        <f t="shared" si="30"/>
        <v>1.303516323641027</v>
      </c>
      <c r="L157">
        <v>2006</v>
      </c>
      <c r="M157">
        <v>382.09</v>
      </c>
      <c r="N157">
        <v>0.12</v>
      </c>
      <c r="Q157">
        <v>380.96</v>
      </c>
    </row>
    <row r="158" spans="1:17" ht="17">
      <c r="A158">
        <v>2007</v>
      </c>
      <c r="B158">
        <v>0.58551410000000004</v>
      </c>
      <c r="C158">
        <v>502.06934760000001</v>
      </c>
      <c r="D158">
        <v>7.8540000000000001</v>
      </c>
      <c r="E158">
        <v>1.5970814999999999E-2</v>
      </c>
      <c r="F158">
        <v>391.97981600000003</v>
      </c>
      <c r="G158">
        <v>23.583463999999999</v>
      </c>
      <c r="H158">
        <v>-1.0489968569999999</v>
      </c>
      <c r="I158">
        <v>340.292145</v>
      </c>
      <c r="K158" s="4">
        <f t="shared" si="30"/>
        <v>1.3074041654080517</v>
      </c>
      <c r="L158">
        <v>2007</v>
      </c>
      <c r="M158">
        <v>384.02</v>
      </c>
      <c r="N158">
        <v>0.12</v>
      </c>
      <c r="Q158">
        <v>382.69</v>
      </c>
    </row>
    <row r="159" spans="1:17" ht="17">
      <c r="A159">
        <v>2008</v>
      </c>
      <c r="B159">
        <v>0.45918967999999999</v>
      </c>
      <c r="C159">
        <v>504.54736589999999</v>
      </c>
      <c r="D159">
        <v>6.7470000000000008</v>
      </c>
      <c r="E159">
        <v>1.6234189999999996E-2</v>
      </c>
      <c r="F159">
        <v>395.58442400000001</v>
      </c>
      <c r="G159">
        <v>26.338853</v>
      </c>
      <c r="H159">
        <v>-1.01486677</v>
      </c>
      <c r="I159">
        <v>340.299195</v>
      </c>
      <c r="K159" s="4">
        <f t="shared" si="30"/>
        <v>1.3076934554078221</v>
      </c>
      <c r="L159">
        <v>2008</v>
      </c>
      <c r="M159">
        <v>385.83</v>
      </c>
      <c r="N159">
        <v>0.12</v>
      </c>
      <c r="Q159">
        <v>384.79</v>
      </c>
    </row>
    <row r="160" spans="1:17" ht="17">
      <c r="A160">
        <v>2009</v>
      </c>
      <c r="B160">
        <v>0.59000766000000004</v>
      </c>
      <c r="C160">
        <v>506.04677529999998</v>
      </c>
      <c r="D160">
        <v>8.1150000000000002</v>
      </c>
      <c r="E160">
        <v>1.543288750000002E-2</v>
      </c>
      <c r="F160">
        <v>399.40767099999999</v>
      </c>
      <c r="G160">
        <v>25.861284999999999</v>
      </c>
      <c r="H160">
        <v>-0.97786279700000001</v>
      </c>
      <c r="I160">
        <v>340.29775999999998</v>
      </c>
      <c r="K160" s="4">
        <f t="shared" si="30"/>
        <v>1.3054555136208854</v>
      </c>
      <c r="L160">
        <v>2009</v>
      </c>
      <c r="M160">
        <v>387.64</v>
      </c>
      <c r="N160">
        <v>0.12</v>
      </c>
      <c r="Q160">
        <v>386.29</v>
      </c>
    </row>
    <row r="161" spans="1:21" ht="17">
      <c r="A161">
        <v>2010</v>
      </c>
      <c r="B161">
        <v>0.67364745999999998</v>
      </c>
      <c r="C161">
        <v>512.09030170000005</v>
      </c>
      <c r="D161">
        <v>6.5329999999999995</v>
      </c>
      <c r="E161">
        <v>1.5316107499999981E-2</v>
      </c>
      <c r="F161">
        <v>403.10555199999999</v>
      </c>
      <c r="G161">
        <v>26.677226999999998</v>
      </c>
      <c r="H161">
        <v>-0.99429785400000004</v>
      </c>
      <c r="I161">
        <v>340.3349</v>
      </c>
      <c r="K161" s="4">
        <f t="shared" si="30"/>
        <v>1.3127154619328378</v>
      </c>
      <c r="L161">
        <v>2010</v>
      </c>
      <c r="M161">
        <v>390.1</v>
      </c>
      <c r="N161">
        <v>0.12</v>
      </c>
      <c r="Q161">
        <v>388.57</v>
      </c>
      <c r="R161" t="s">
        <v>46</v>
      </c>
    </row>
    <row r="162" spans="1:21" ht="17">
      <c r="A162">
        <v>2011</v>
      </c>
      <c r="B162">
        <v>0.53261703000000005</v>
      </c>
      <c r="C162">
        <v>515.01432009999996</v>
      </c>
      <c r="D162">
        <v>8.6539999999999999</v>
      </c>
      <c r="E162">
        <v>1.5460147499999993E-2</v>
      </c>
      <c r="F162">
        <v>409.976023</v>
      </c>
      <c r="G162">
        <v>26.216131000000001</v>
      </c>
      <c r="H162">
        <v>-0.97439235400000002</v>
      </c>
      <c r="I162">
        <v>340.4016125</v>
      </c>
      <c r="K162" s="4">
        <f t="shared" si="30"/>
        <v>1.3143149677172385</v>
      </c>
      <c r="L162">
        <v>2011</v>
      </c>
      <c r="M162">
        <v>391.85</v>
      </c>
      <c r="N162">
        <v>0.12</v>
      </c>
      <c r="Q162">
        <v>390.45</v>
      </c>
    </row>
    <row r="163" spans="1:21" ht="17">
      <c r="A163">
        <v>2012</v>
      </c>
      <c r="B163">
        <v>0.57151169999999996</v>
      </c>
      <c r="C163">
        <v>519.49505299999998</v>
      </c>
      <c r="D163">
        <v>6.6499999999999995</v>
      </c>
      <c r="E163">
        <v>1.5849427500000013E-2</v>
      </c>
      <c r="F163">
        <v>417.51569899999998</v>
      </c>
      <c r="G163">
        <v>23.723237000000001</v>
      </c>
      <c r="H163">
        <v>-0.99230852300000005</v>
      </c>
      <c r="I163">
        <v>340.4420475</v>
      </c>
      <c r="K163" s="4">
        <f t="shared" si="30"/>
        <v>1.3183146043749683</v>
      </c>
      <c r="L163">
        <v>2012</v>
      </c>
      <c r="M163">
        <v>394.06</v>
      </c>
      <c r="N163">
        <v>0.12</v>
      </c>
      <c r="Q163">
        <v>392.46</v>
      </c>
    </row>
    <row r="164" spans="1:21" ht="17">
      <c r="A164">
        <v>2013</v>
      </c>
      <c r="B164">
        <v>0.61864330000000001</v>
      </c>
      <c r="C164">
        <v>522.46824649999996</v>
      </c>
      <c r="D164">
        <v>5.3810000000000002</v>
      </c>
      <c r="E164">
        <v>1.7741740000000006E-2</v>
      </c>
      <c r="F164">
        <v>425.15174400000001</v>
      </c>
      <c r="G164">
        <v>24.557424999999999</v>
      </c>
      <c r="H164">
        <v>-0.93893925</v>
      </c>
      <c r="I164">
        <v>340.45324749999997</v>
      </c>
      <c r="K164" s="4">
        <f t="shared" si="30"/>
        <v>1.3169033787871149</v>
      </c>
      <c r="L164">
        <v>2013</v>
      </c>
      <c r="M164">
        <v>396.74</v>
      </c>
      <c r="N164">
        <v>0.12</v>
      </c>
      <c r="Q164">
        <v>395.19</v>
      </c>
      <c r="R164">
        <v>2022</v>
      </c>
      <c r="S164">
        <v>12</v>
      </c>
      <c r="T164">
        <v>2022.9583</v>
      </c>
      <c r="U164">
        <v>419</v>
      </c>
    </row>
    <row r="165" spans="1:21" ht="17">
      <c r="A165">
        <v>2014</v>
      </c>
      <c r="B165">
        <v>0.66785910000000004</v>
      </c>
      <c r="C165">
        <v>527.20714109999994</v>
      </c>
      <c r="D165">
        <v>6.6290000000000004</v>
      </c>
      <c r="E165">
        <v>1.6245812500000012E-2</v>
      </c>
      <c r="F165">
        <v>433.95852500000001</v>
      </c>
      <c r="G165">
        <v>26.02901</v>
      </c>
      <c r="H165">
        <v>-0.94390079299999996</v>
      </c>
      <c r="I165">
        <v>340.47216750000001</v>
      </c>
      <c r="K165" s="4">
        <f t="shared" si="30"/>
        <v>1.3219506559514553</v>
      </c>
      <c r="L165">
        <v>2014</v>
      </c>
      <c r="M165">
        <v>398.81</v>
      </c>
      <c r="N165">
        <v>0.12</v>
      </c>
      <c r="Q165">
        <v>397.12</v>
      </c>
      <c r="R165">
        <v>2023</v>
      </c>
      <c r="S165">
        <v>1</v>
      </c>
      <c r="T165">
        <v>2023.0417</v>
      </c>
      <c r="U165">
        <v>419.47</v>
      </c>
    </row>
    <row r="166" spans="1:21" ht="17">
      <c r="A166">
        <v>2015</v>
      </c>
      <c r="B166">
        <v>0.81795050000000002</v>
      </c>
      <c r="C166">
        <v>532.26923209999995</v>
      </c>
      <c r="D166">
        <v>8.1579999999999995</v>
      </c>
      <c r="E166">
        <v>1.6828675000000015E-2</v>
      </c>
      <c r="F166">
        <v>444.16807799999998</v>
      </c>
      <c r="G166">
        <v>24.026637000000001</v>
      </c>
      <c r="H166">
        <v>-0.93785028599999998</v>
      </c>
      <c r="I166">
        <v>340.48724249999998</v>
      </c>
      <c r="K166" s="4">
        <f t="shared" si="30"/>
        <v>1.3273215932271014</v>
      </c>
      <c r="L166">
        <v>2015</v>
      </c>
      <c r="M166">
        <v>401.01</v>
      </c>
      <c r="N166">
        <v>0.12</v>
      </c>
      <c r="Q166">
        <v>399.41</v>
      </c>
      <c r="R166">
        <v>2023</v>
      </c>
      <c r="S166">
        <v>2</v>
      </c>
      <c r="T166">
        <v>2023.125</v>
      </c>
      <c r="U166">
        <v>420.31</v>
      </c>
    </row>
    <row r="167" spans="1:21" ht="17">
      <c r="A167">
        <v>2016</v>
      </c>
      <c r="B167">
        <v>0.92481922999999999</v>
      </c>
      <c r="C167">
        <v>535.85125770000002</v>
      </c>
      <c r="D167">
        <v>7.0140000000000002</v>
      </c>
      <c r="E167">
        <v>1.5637399999999996E-2</v>
      </c>
      <c r="F167">
        <v>453.15947499999999</v>
      </c>
      <c r="G167">
        <v>24.026688</v>
      </c>
      <c r="H167">
        <v>-0.87353906400000003</v>
      </c>
      <c r="I167">
        <v>340.36621000000002</v>
      </c>
      <c r="K167" s="4">
        <f t="shared" si="30"/>
        <v>1.3250198009445859</v>
      </c>
      <c r="L167">
        <v>2016</v>
      </c>
      <c r="M167">
        <v>404.41</v>
      </c>
      <c r="N167">
        <v>0.12</v>
      </c>
      <c r="Q167">
        <v>402.85</v>
      </c>
      <c r="R167">
        <v>2023</v>
      </c>
      <c r="S167">
        <v>3</v>
      </c>
      <c r="T167">
        <v>2023.2083</v>
      </c>
      <c r="U167">
        <v>420.99</v>
      </c>
    </row>
    <row r="168" spans="1:21" ht="17">
      <c r="A168">
        <v>2017</v>
      </c>
      <c r="B168">
        <v>0.8364568</v>
      </c>
      <c r="C168">
        <v>540.52811850000001</v>
      </c>
      <c r="D168">
        <v>5.6719999999999997</v>
      </c>
      <c r="E168">
        <v>1.6015615000000011E-2</v>
      </c>
      <c r="F168">
        <v>460.30364900000001</v>
      </c>
      <c r="G168">
        <v>26.532468999999999</v>
      </c>
      <c r="H168">
        <v>-0.87429224800000005</v>
      </c>
      <c r="I168">
        <v>340.32284499999997</v>
      </c>
      <c r="K168" s="4">
        <f t="shared" si="30"/>
        <v>1.3288625196676174</v>
      </c>
      <c r="L168">
        <v>2017</v>
      </c>
      <c r="M168">
        <v>406.76</v>
      </c>
      <c r="N168">
        <v>0.12</v>
      </c>
      <c r="Q168">
        <v>405</v>
      </c>
      <c r="R168">
        <v>2023</v>
      </c>
      <c r="S168">
        <v>4</v>
      </c>
      <c r="T168">
        <v>2023.2917</v>
      </c>
      <c r="U168">
        <v>423.31</v>
      </c>
    </row>
    <row r="169" spans="1:21" ht="17">
      <c r="A169">
        <v>2018</v>
      </c>
      <c r="B169">
        <v>0.75319855999999996</v>
      </c>
      <c r="C169">
        <v>544.38735010000005</v>
      </c>
      <c r="D169">
        <v>6.9080000000000004</v>
      </c>
      <c r="E169">
        <v>1.5726574999999993E-2</v>
      </c>
      <c r="F169">
        <v>463.99002999999999</v>
      </c>
      <c r="G169">
        <v>24.110208</v>
      </c>
      <c r="H169">
        <v>-0.86023888800000003</v>
      </c>
      <c r="I169">
        <v>340.31561249999999</v>
      </c>
      <c r="K169" s="4">
        <f t="shared" si="30"/>
        <v>1.3319322521530632</v>
      </c>
      <c r="L169">
        <v>2018</v>
      </c>
      <c r="M169">
        <v>408.72</v>
      </c>
      <c r="N169">
        <v>0.12</v>
      </c>
      <c r="Q169">
        <v>407.38</v>
      </c>
      <c r="R169">
        <v>2023</v>
      </c>
      <c r="S169">
        <v>5</v>
      </c>
      <c r="T169">
        <v>2023.375</v>
      </c>
      <c r="U169">
        <v>424</v>
      </c>
    </row>
    <row r="170" spans="1:21" ht="17">
      <c r="A170">
        <v>2019</v>
      </c>
      <c r="B170">
        <v>0.8873432</v>
      </c>
      <c r="C170">
        <v>551.16026859999999</v>
      </c>
      <c r="D170">
        <v>10.699</v>
      </c>
      <c r="E170">
        <v>1.6651750000000021E-2</v>
      </c>
      <c r="F170" cm="1">
        <f t="array" ref="F170:F177">TRANSPOSE(AJ28:AQ28)</f>
        <v>477.76004</v>
      </c>
      <c r="G170">
        <f>G$187</f>
        <v>25.176031699999999</v>
      </c>
      <c r="H170">
        <v>-0.90873613900000005</v>
      </c>
      <c r="I170">
        <v>340.3138725</v>
      </c>
      <c r="K170" s="4">
        <f t="shared" si="30"/>
        <v>1.3389050615814406</v>
      </c>
      <c r="L170">
        <v>2019</v>
      </c>
      <c r="M170">
        <v>411.65</v>
      </c>
      <c r="N170">
        <v>0.12</v>
      </c>
      <c r="Q170">
        <v>411.44</v>
      </c>
      <c r="R170">
        <v>2023</v>
      </c>
      <c r="S170">
        <v>6</v>
      </c>
      <c r="T170">
        <v>2023.4583</v>
      </c>
      <c r="U170">
        <v>423.68</v>
      </c>
    </row>
    <row r="171" spans="1:21" ht="17">
      <c r="A171">
        <v>2020</v>
      </c>
      <c r="B171">
        <v>0.91624384999999997</v>
      </c>
      <c r="C171">
        <v>542.64648220000004</v>
      </c>
      <c r="D171">
        <v>12.349</v>
      </c>
      <c r="E171">
        <v>1.7094264999999997E-2</v>
      </c>
      <c r="F171">
        <v>478.65002999999996</v>
      </c>
      <c r="G171">
        <f>G$187</f>
        <v>25.176031699999999</v>
      </c>
      <c r="H171">
        <v>-0.75513301200000005</v>
      </c>
      <c r="I171">
        <v>340.33068750000001</v>
      </c>
      <c r="K171" s="4">
        <f t="shared" si="30"/>
        <v>1.3100757639844525</v>
      </c>
      <c r="L171">
        <v>2020</v>
      </c>
      <c r="M171">
        <v>414.21</v>
      </c>
      <c r="N171">
        <v>0.12</v>
      </c>
      <c r="R171">
        <v>2023</v>
      </c>
      <c r="S171">
        <v>7</v>
      </c>
      <c r="T171">
        <v>2023.5417</v>
      </c>
      <c r="U171">
        <v>421.83</v>
      </c>
    </row>
    <row r="172" spans="1:21" ht="17">
      <c r="A172">
        <v>2021</v>
      </c>
      <c r="B172">
        <v>0.76731269999999996</v>
      </c>
      <c r="C172">
        <v>551.4236449</v>
      </c>
      <c r="D172">
        <v>9.488999999999999</v>
      </c>
      <c r="E172">
        <v>1.7463982500000003E-2</v>
      </c>
      <c r="F172">
        <v>496.20003999999994</v>
      </c>
      <c r="G172">
        <f>G$187</f>
        <v>25.176031699999999</v>
      </c>
      <c r="H172">
        <v>-0.82969604900000005</v>
      </c>
      <c r="I172">
        <v>340.372345</v>
      </c>
      <c r="K172" s="4">
        <f t="shared" si="30"/>
        <v>1.3242324749645782</v>
      </c>
      <c r="L172">
        <v>2021</v>
      </c>
      <c r="M172">
        <v>416.41</v>
      </c>
      <c r="N172">
        <v>0.12</v>
      </c>
      <c r="R172">
        <v>2023</v>
      </c>
      <c r="S172">
        <v>8</v>
      </c>
      <c r="T172">
        <v>2023.625</v>
      </c>
      <c r="U172">
        <v>419.68</v>
      </c>
    </row>
    <row r="173" spans="1:21" ht="17">
      <c r="A173">
        <v>2022</v>
      </c>
      <c r="B173">
        <v>0.80184334999999995</v>
      </c>
      <c r="C173">
        <v>558.71693809999999</v>
      </c>
      <c r="D173">
        <v>16.356999999999999</v>
      </c>
      <c r="E173">
        <v>1.8522812499999985E-2</v>
      </c>
      <c r="F173">
        <v>505.32001999999994</v>
      </c>
      <c r="G173">
        <f>G$187</f>
        <v>25.176031699999999</v>
      </c>
      <c r="H173">
        <v>-0.76762021499999999</v>
      </c>
      <c r="I173">
        <v>340.49527</v>
      </c>
      <c r="K173" s="4">
        <f t="shared" si="30"/>
        <v>1.3349507516784938</v>
      </c>
      <c r="L173">
        <v>2022</v>
      </c>
      <c r="M173">
        <v>418.53</v>
      </c>
      <c r="N173">
        <v>0.12</v>
      </c>
      <c r="R173">
        <v>2023</v>
      </c>
      <c r="S173">
        <v>9</v>
      </c>
      <c r="T173">
        <v>2023.7083</v>
      </c>
      <c r="U173">
        <v>418.5</v>
      </c>
    </row>
    <row r="174" spans="1:21" ht="17">
      <c r="A174">
        <v>2023</v>
      </c>
      <c r="B174">
        <v>1.1098045000000001</v>
      </c>
      <c r="C174">
        <f>K174*M174</f>
        <v>563.43971785754434</v>
      </c>
      <c r="D174">
        <v>12.46</v>
      </c>
      <c r="E174">
        <v>1.8480124999999958E-2</v>
      </c>
      <c r="F174">
        <v>515.60002999999995</v>
      </c>
      <c r="G174">
        <f>G$187</f>
        <v>25.176031699999999</v>
      </c>
      <c r="H174">
        <f>H$184*A174+I$184</f>
        <v>-0.77899642648365841</v>
      </c>
      <c r="I174">
        <v>340.61190749999997</v>
      </c>
      <c r="K174" s="4">
        <f>L174*P$179+Q$179</f>
        <v>1.3380823545586216</v>
      </c>
      <c r="L174">
        <v>2023</v>
      </c>
      <c r="M174">
        <v>421.08</v>
      </c>
      <c r="N174">
        <v>0.12</v>
      </c>
      <c r="R174">
        <v>2023</v>
      </c>
      <c r="S174">
        <v>10</v>
      </c>
      <c r="T174">
        <v>2023.7917</v>
      </c>
      <c r="U174">
        <v>418.82</v>
      </c>
    </row>
    <row r="175" spans="1:21" ht="17">
      <c r="A175">
        <v>2024</v>
      </c>
      <c r="B175">
        <v>1.1690052</v>
      </c>
      <c r="C175">
        <f>K175*M175</f>
        <v>569.08386061403837</v>
      </c>
      <c r="D175">
        <v>12.285</v>
      </c>
      <c r="E175">
        <v>1.9584975000000004E-2</v>
      </c>
      <c r="F175">
        <v>526.56002999999998</v>
      </c>
      <c r="G175">
        <f t="shared" ref="G175:G176" si="31">G$187</f>
        <v>25.176031699999999</v>
      </c>
      <c r="H175">
        <f t="shared" ref="H175:H176" si="32">H$184*A175+I$184</f>
        <v>-0.76275983199655428</v>
      </c>
      <c r="I175">
        <v>340.64120500000001</v>
      </c>
      <c r="K175" s="4">
        <f t="shared" ref="K175:K176" si="33">L175*P$179+Q$179</f>
        <v>1.3402507256400895</v>
      </c>
      <c r="L175">
        <v>2024</v>
      </c>
      <c r="M175">
        <v>424.61</v>
      </c>
      <c r="P175">
        <f>AVERAGE(U165:U176)</f>
        <v>421.07583333333326</v>
      </c>
      <c r="Q175">
        <f>AVERAGE(U164:U175)</f>
        <v>420.83749999999992</v>
      </c>
      <c r="R175">
        <v>2023</v>
      </c>
      <c r="S175">
        <v>11</v>
      </c>
      <c r="T175">
        <v>2023.875</v>
      </c>
      <c r="U175">
        <v>420.46</v>
      </c>
    </row>
    <row r="176" spans="1:21" ht="17">
      <c r="A176">
        <v>2025</v>
      </c>
      <c r="B176">
        <v>1.0480304</v>
      </c>
      <c r="C176">
        <f>K176*M176</f>
        <v>573.68280098395724</v>
      </c>
      <c r="D176">
        <v>11.795999999999999</v>
      </c>
      <c r="E176">
        <v>1.9697524999999994E-2</v>
      </c>
      <c r="F176">
        <v>548.73003000000006</v>
      </c>
      <c r="G176">
        <f t="shared" si="31"/>
        <v>25.176031699999999</v>
      </c>
      <c r="H176">
        <f t="shared" si="32"/>
        <v>-0.74652323750945726</v>
      </c>
      <c r="I176">
        <v>340.6039725</v>
      </c>
      <c r="K176" s="4">
        <f>L176*P$179+Q$179</f>
        <v>1.3424190967215566</v>
      </c>
      <c r="L176">
        <v>2025</v>
      </c>
      <c r="M176">
        <v>427.35</v>
      </c>
      <c r="Q176">
        <f>AVERAGE(U176:U187)</f>
        <v>424.30916666666673</v>
      </c>
      <c r="R176">
        <v>2023</v>
      </c>
      <c r="S176">
        <v>12</v>
      </c>
      <c r="T176">
        <v>2023.9583</v>
      </c>
      <c r="U176" s="4">
        <v>421.86</v>
      </c>
    </row>
    <row r="177" spans="2:21">
      <c r="F177">
        <v>0</v>
      </c>
      <c r="I177">
        <v>0</v>
      </c>
      <c r="R177">
        <v>2024</v>
      </c>
      <c r="S177">
        <v>1</v>
      </c>
      <c r="T177">
        <v>2024.0417</v>
      </c>
      <c r="U177">
        <v>422.8</v>
      </c>
    </row>
    <row r="178" spans="2:21">
      <c r="B178" t="s">
        <v>0</v>
      </c>
      <c r="C178" t="s">
        <v>2</v>
      </c>
      <c r="D178" t="s">
        <v>10</v>
      </c>
      <c r="E178" t="s">
        <v>11</v>
      </c>
      <c r="F178" t="s">
        <v>3</v>
      </c>
      <c r="G178" t="s">
        <v>9</v>
      </c>
      <c r="H178" t="s">
        <v>8</v>
      </c>
      <c r="I178">
        <v>0</v>
      </c>
      <c r="R178">
        <v>2024</v>
      </c>
      <c r="S178">
        <v>2</v>
      </c>
      <c r="T178">
        <v>2024.125</v>
      </c>
      <c r="U178">
        <v>424.55</v>
      </c>
    </row>
    <row r="179" spans="2:21">
      <c r="B179" t="s">
        <v>54</v>
      </c>
      <c r="C179" t="s">
        <v>39</v>
      </c>
      <c r="D179" s="3" t="s">
        <v>26</v>
      </c>
      <c r="E179" t="str">
        <f>B179</f>
        <v>HADCRUT5.2</v>
      </c>
      <c r="F179" t="s">
        <v>4</v>
      </c>
      <c r="G179" t="str">
        <f>F179</f>
        <v>Zanna 2018</v>
      </c>
      <c r="H179" t="s">
        <v>39</v>
      </c>
      <c r="P179" cm="1">
        <f t="array" ref="P179:Q179">LINEST(K151:K173,L151:L173)</f>
        <v>2.1683710814673304E-3</v>
      </c>
      <c r="Q179">
        <v>-3.0485323432497875</v>
      </c>
      <c r="R179">
        <v>2024</v>
      </c>
      <c r="S179">
        <v>3</v>
      </c>
      <c r="T179">
        <v>2024.2083</v>
      </c>
      <c r="U179">
        <v>425.38</v>
      </c>
    </row>
    <row r="180" spans="2:21">
      <c r="B180" t="s">
        <v>1</v>
      </c>
      <c r="C180" t="s">
        <v>40</v>
      </c>
      <c r="D180" s="2" t="s">
        <v>27</v>
      </c>
      <c r="F180" t="s">
        <v>5</v>
      </c>
      <c r="G180" t="s">
        <v>14</v>
      </c>
      <c r="I180" t="s">
        <v>7</v>
      </c>
      <c r="R180">
        <v>2024</v>
      </c>
      <c r="S180">
        <v>4</v>
      </c>
      <c r="T180">
        <v>2024.2917</v>
      </c>
      <c r="U180">
        <v>426.51</v>
      </c>
    </row>
    <row r="181" spans="2:21" ht="18">
      <c r="C181" t="s">
        <v>41</v>
      </c>
      <c r="D181" s="3" t="s">
        <v>28</v>
      </c>
      <c r="R181">
        <v>2024</v>
      </c>
      <c r="S181">
        <v>5</v>
      </c>
      <c r="T181">
        <v>2024.375</v>
      </c>
      <c r="U181">
        <v>426.9</v>
      </c>
    </row>
    <row r="182" spans="2:21">
      <c r="C182" t="s">
        <v>44</v>
      </c>
      <c r="D182" s="3"/>
      <c r="E182" t="s">
        <v>12</v>
      </c>
      <c r="F182" t="s">
        <v>16</v>
      </c>
      <c r="G182" t="s">
        <v>16</v>
      </c>
      <c r="H182">
        <v>2023</v>
      </c>
      <c r="R182">
        <v>2024</v>
      </c>
      <c r="S182">
        <v>6</v>
      </c>
      <c r="T182">
        <v>2024.4583</v>
      </c>
      <c r="U182">
        <v>426.91</v>
      </c>
    </row>
    <row r="183" spans="2:21">
      <c r="C183" t="s">
        <v>55</v>
      </c>
      <c r="D183" s="3" t="s">
        <v>29</v>
      </c>
      <c r="E183" t="s">
        <v>13</v>
      </c>
      <c r="F183">
        <v>0</v>
      </c>
      <c r="G183" t="s">
        <v>17</v>
      </c>
      <c r="H183" t="s">
        <v>38</v>
      </c>
      <c r="R183">
        <v>2024</v>
      </c>
      <c r="S183">
        <v>7</v>
      </c>
      <c r="T183">
        <v>2024.5417</v>
      </c>
      <c r="U183">
        <v>425.55</v>
      </c>
    </row>
    <row r="184" spans="2:21">
      <c r="C184" t="s">
        <v>42</v>
      </c>
      <c r="D184" s="3" t="s">
        <v>30</v>
      </c>
      <c r="E184">
        <v>0.83735300000000001</v>
      </c>
      <c r="G184">
        <f>AVERAGE(G21:G40)</f>
        <v>50.219410949999997</v>
      </c>
      <c r="H184" cm="1">
        <f t="array" ref="H184:I188">LINEST(H156:H173,A156:A173,TRUE,TRUE)</f>
        <v>1.62365944871001E-2</v>
      </c>
      <c r="I184">
        <v>-33.625627073887159</v>
      </c>
      <c r="R184">
        <v>2024</v>
      </c>
      <c r="S184">
        <v>8</v>
      </c>
      <c r="T184">
        <v>2024.625</v>
      </c>
      <c r="U184">
        <v>422.99</v>
      </c>
    </row>
    <row r="185" spans="2:21">
      <c r="C185" t="s">
        <v>43</v>
      </c>
      <c r="D185" s="2" t="s">
        <v>31</v>
      </c>
      <c r="E185">
        <v>0.76525765999999995</v>
      </c>
      <c r="F185" t="s">
        <v>6</v>
      </c>
      <c r="G185" t="s">
        <v>6</v>
      </c>
      <c r="H185">
        <v>1.3882881641243882E-3</v>
      </c>
      <c r="I185">
        <v>2.7953274978356322</v>
      </c>
      <c r="R185">
        <v>2024</v>
      </c>
      <c r="S185">
        <v>9</v>
      </c>
      <c r="T185">
        <v>2024.7083</v>
      </c>
      <c r="U185">
        <v>422.03</v>
      </c>
    </row>
    <row r="186" spans="2:21" ht="18">
      <c r="D186" s="3" t="s">
        <v>32</v>
      </c>
      <c r="E186">
        <f>E184-E185</f>
        <v>7.2095340000000063E-2</v>
      </c>
      <c r="F186" t="s">
        <v>22</v>
      </c>
      <c r="G186" t="s">
        <v>15</v>
      </c>
      <c r="H186">
        <v>0.89527598774581629</v>
      </c>
      <c r="I186">
        <v>3.0558111540324128E-2</v>
      </c>
      <c r="R186">
        <v>2024</v>
      </c>
      <c r="S186">
        <v>10</v>
      </c>
      <c r="T186">
        <v>2024.7917</v>
      </c>
      <c r="U186">
        <v>422.38</v>
      </c>
    </row>
    <row r="187" spans="2:21">
      <c r="D187" s="3" t="s">
        <v>35</v>
      </c>
      <c r="E187">
        <f>E186/4</f>
        <v>1.8023835000000016E-2</v>
      </c>
      <c r="F187" s="2" t="s">
        <v>20</v>
      </c>
      <c r="G187">
        <f>AVERAGE(G160:G169)</f>
        <v>25.176031699999999</v>
      </c>
      <c r="H187">
        <v>136.78253435482551</v>
      </c>
      <c r="I187">
        <v>16</v>
      </c>
      <c r="R187">
        <v>2024</v>
      </c>
      <c r="S187">
        <v>11</v>
      </c>
      <c r="T187">
        <v>2024.875</v>
      </c>
      <c r="U187">
        <v>423.85</v>
      </c>
    </row>
    <row r="188" spans="2:21">
      <c r="D188" s="3" t="s">
        <v>37</v>
      </c>
      <c r="H188">
        <v>0.12772728176091747</v>
      </c>
      <c r="I188">
        <v>1.4940770894574251E-2</v>
      </c>
    </row>
    <row r="189" spans="2:21">
      <c r="D189" s="3" t="s">
        <v>36</v>
      </c>
      <c r="I189" t="s">
        <v>33</v>
      </c>
    </row>
    <row r="190" spans="2:21">
      <c r="I190" s="2" t="s">
        <v>34</v>
      </c>
    </row>
    <row r="191" spans="2:21">
      <c r="D191" s="3"/>
    </row>
    <row r="193" spans="1:9">
      <c r="I193">
        <f>MIN(I2:I174)</f>
        <v>340.28744499999999</v>
      </c>
    </row>
    <row r="194" spans="1:9">
      <c r="I194">
        <f>MAX(I2:I174)</f>
        <v>340.61190749999997</v>
      </c>
    </row>
    <row r="195" spans="1:9">
      <c r="C195">
        <f t="shared" ref="C195:H195" si="34">MIN(C2:C174)</f>
        <v>287.93133230000001</v>
      </c>
      <c r="D195">
        <f t="shared" si="34"/>
        <v>0.2</v>
      </c>
      <c r="H195">
        <f t="shared" si="34"/>
        <v>-1.0928126309999999</v>
      </c>
    </row>
    <row r="196" spans="1:9">
      <c r="C196">
        <f t="shared" ref="C196:H196" si="35">MAX(C2:C174)</f>
        <v>563.43971785754434</v>
      </c>
      <c r="D196">
        <f t="shared" si="35"/>
        <v>142.90833330000001</v>
      </c>
      <c r="H196">
        <f t="shared" si="35"/>
        <v>-5.5636842999999998E-2</v>
      </c>
    </row>
    <row r="201" spans="1:9">
      <c r="A201">
        <f>A130</f>
        <v>1979</v>
      </c>
      <c r="B201">
        <f>D130</f>
        <v>5.4729999999999999</v>
      </c>
    </row>
    <row r="202" spans="1:9">
      <c r="A202">
        <f t="shared" ref="A202:A246" si="36">A131</f>
        <v>1980</v>
      </c>
      <c r="B202">
        <f t="shared" ref="B202:B220" si="37">D131</f>
        <v>7.6379999999999999</v>
      </c>
    </row>
    <row r="203" spans="1:9">
      <c r="A203">
        <f t="shared" si="36"/>
        <v>1981</v>
      </c>
      <c r="B203">
        <f t="shared" si="37"/>
        <v>9.3859999999999992</v>
      </c>
    </row>
    <row r="204" spans="1:9">
      <c r="A204">
        <f t="shared" si="36"/>
        <v>1982</v>
      </c>
      <c r="B204">
        <f t="shared" si="37"/>
        <v>28.96</v>
      </c>
    </row>
    <row r="205" spans="1:9">
      <c r="A205">
        <f t="shared" si="36"/>
        <v>1983</v>
      </c>
      <c r="B205">
        <f t="shared" si="37"/>
        <v>48.222000000000001</v>
      </c>
    </row>
    <row r="206" spans="1:9">
      <c r="A206">
        <f t="shared" si="36"/>
        <v>1984</v>
      </c>
      <c r="B206">
        <f t="shared" si="37"/>
        <v>28.373999999999999</v>
      </c>
    </row>
    <row r="207" spans="1:9">
      <c r="A207">
        <f t="shared" si="36"/>
        <v>1985</v>
      </c>
      <c r="B207">
        <f t="shared" si="37"/>
        <v>14.164</v>
      </c>
    </row>
    <row r="208" spans="1:9">
      <c r="A208">
        <f t="shared" si="36"/>
        <v>1986</v>
      </c>
      <c r="B208">
        <f t="shared" si="37"/>
        <v>15.939</v>
      </c>
    </row>
    <row r="209" spans="1:2">
      <c r="A209">
        <f t="shared" si="36"/>
        <v>1987</v>
      </c>
      <c r="B209">
        <f t="shared" si="37"/>
        <v>10.816000000000001</v>
      </c>
    </row>
    <row r="210" spans="1:2">
      <c r="A210">
        <f t="shared" si="36"/>
        <v>1988</v>
      </c>
      <c r="B210">
        <f t="shared" si="37"/>
        <v>7.9260000000000002</v>
      </c>
    </row>
    <row r="211" spans="1:2">
      <c r="A211">
        <f t="shared" si="36"/>
        <v>1989</v>
      </c>
      <c r="B211">
        <f t="shared" si="37"/>
        <v>6.0019999999999998</v>
      </c>
    </row>
    <row r="212" spans="1:2">
      <c r="A212">
        <f t="shared" si="36"/>
        <v>1990</v>
      </c>
      <c r="B212">
        <f t="shared" si="37"/>
        <v>6.3559999999999999</v>
      </c>
    </row>
    <row r="213" spans="1:2">
      <c r="A213">
        <f t="shared" si="36"/>
        <v>1991</v>
      </c>
      <c r="B213">
        <f t="shared" si="37"/>
        <v>50.011000000000003</v>
      </c>
    </row>
    <row r="214" spans="1:2">
      <c r="A214">
        <f t="shared" si="36"/>
        <v>1992</v>
      </c>
      <c r="B214">
        <f t="shared" si="37"/>
        <v>112.42700000000001</v>
      </c>
    </row>
    <row r="215" spans="1:2">
      <c r="A215">
        <f t="shared" si="36"/>
        <v>1993</v>
      </c>
      <c r="B215">
        <f t="shared" si="37"/>
        <v>56.225999999999999</v>
      </c>
    </row>
    <row r="216" spans="1:2">
      <c r="A216">
        <f t="shared" si="36"/>
        <v>1994</v>
      </c>
      <c r="B216">
        <f t="shared" si="37"/>
        <v>17.943000000000001</v>
      </c>
    </row>
    <row r="217" spans="1:2">
      <c r="A217">
        <f t="shared" si="36"/>
        <v>1995</v>
      </c>
      <c r="B217">
        <f t="shared" si="37"/>
        <v>8.73</v>
      </c>
    </row>
    <row r="218" spans="1:2">
      <c r="A218">
        <f t="shared" si="36"/>
        <v>1996</v>
      </c>
      <c r="B218">
        <f t="shared" si="37"/>
        <v>5.5830000000000002</v>
      </c>
    </row>
    <row r="219" spans="1:2">
      <c r="A219">
        <f t="shared" si="36"/>
        <v>1997</v>
      </c>
      <c r="B219">
        <f t="shared" si="37"/>
        <v>4.53</v>
      </c>
    </row>
    <row r="220" spans="1:2">
      <c r="A220">
        <f t="shared" si="36"/>
        <v>1998</v>
      </c>
      <c r="B220">
        <f t="shared" si="37"/>
        <v>4.423</v>
      </c>
    </row>
    <row r="221" spans="1:2">
      <c r="A221">
        <f>A150</f>
        <v>1999</v>
      </c>
      <c r="B221">
        <f>D150</f>
        <v>4.25</v>
      </c>
    </row>
    <row r="222" spans="1:2">
      <c r="A222">
        <f t="shared" si="36"/>
        <v>2000</v>
      </c>
      <c r="B222">
        <f t="shared" ref="B222:B228" si="38">D151</f>
        <v>4.24</v>
      </c>
    </row>
    <row r="223" spans="1:2">
      <c r="A223">
        <f t="shared" si="36"/>
        <v>2001</v>
      </c>
      <c r="B223">
        <f t="shared" si="38"/>
        <v>4.399</v>
      </c>
    </row>
    <row r="224" spans="1:2">
      <c r="A224">
        <f t="shared" si="36"/>
        <v>2002</v>
      </c>
      <c r="B224">
        <f t="shared" si="38"/>
        <v>4.1770000000000005</v>
      </c>
    </row>
    <row r="225" spans="1:2">
      <c r="A225">
        <f t="shared" si="36"/>
        <v>2003</v>
      </c>
      <c r="B225">
        <f t="shared" si="38"/>
        <v>4.9579999999999993</v>
      </c>
    </row>
    <row r="226" spans="1:2">
      <c r="A226">
        <f t="shared" si="36"/>
        <v>2004</v>
      </c>
      <c r="B226">
        <f t="shared" si="38"/>
        <v>4.4349999999999996</v>
      </c>
    </row>
    <row r="227" spans="1:2">
      <c r="A227">
        <f t="shared" si="36"/>
        <v>2005</v>
      </c>
      <c r="B227">
        <f t="shared" si="38"/>
        <v>6.1230000000000002</v>
      </c>
    </row>
    <row r="228" spans="1:2">
      <c r="A228">
        <f t="shared" si="36"/>
        <v>2006</v>
      </c>
      <c r="B228">
        <f t="shared" si="38"/>
        <v>7.3020000000000005</v>
      </c>
    </row>
    <row r="229" spans="1:2">
      <c r="A229">
        <f>A158</f>
        <v>2007</v>
      </c>
      <c r="B229">
        <f>D158</f>
        <v>7.8540000000000001</v>
      </c>
    </row>
    <row r="230" spans="1:2">
      <c r="A230">
        <f t="shared" si="36"/>
        <v>2008</v>
      </c>
      <c r="B230">
        <f t="shared" ref="B230:B239" si="39">D159</f>
        <v>6.7470000000000008</v>
      </c>
    </row>
    <row r="231" spans="1:2">
      <c r="A231">
        <f t="shared" si="36"/>
        <v>2009</v>
      </c>
      <c r="B231">
        <f t="shared" si="39"/>
        <v>8.1150000000000002</v>
      </c>
    </row>
    <row r="232" spans="1:2">
      <c r="A232">
        <f t="shared" si="36"/>
        <v>2010</v>
      </c>
      <c r="B232">
        <f t="shared" si="39"/>
        <v>6.5329999999999995</v>
      </c>
    </row>
    <row r="233" spans="1:2">
      <c r="A233">
        <f t="shared" si="36"/>
        <v>2011</v>
      </c>
      <c r="B233">
        <f t="shared" si="39"/>
        <v>8.6539999999999999</v>
      </c>
    </row>
    <row r="234" spans="1:2">
      <c r="A234">
        <f t="shared" si="36"/>
        <v>2012</v>
      </c>
      <c r="B234">
        <f t="shared" si="39"/>
        <v>6.6499999999999995</v>
      </c>
    </row>
    <row r="235" spans="1:2">
      <c r="A235">
        <f t="shared" si="36"/>
        <v>2013</v>
      </c>
      <c r="B235">
        <f t="shared" si="39"/>
        <v>5.3810000000000002</v>
      </c>
    </row>
    <row r="236" spans="1:2">
      <c r="A236">
        <f t="shared" si="36"/>
        <v>2014</v>
      </c>
      <c r="B236">
        <f t="shared" si="39"/>
        <v>6.6290000000000004</v>
      </c>
    </row>
    <row r="237" spans="1:2">
      <c r="A237">
        <f t="shared" si="36"/>
        <v>2015</v>
      </c>
      <c r="B237">
        <f t="shared" si="39"/>
        <v>8.1579999999999995</v>
      </c>
    </row>
    <row r="238" spans="1:2">
      <c r="A238">
        <f t="shared" si="36"/>
        <v>2016</v>
      </c>
      <c r="B238">
        <f t="shared" si="39"/>
        <v>7.0140000000000002</v>
      </c>
    </row>
    <row r="239" spans="1:2">
      <c r="A239">
        <f t="shared" si="36"/>
        <v>2017</v>
      </c>
      <c r="B239">
        <f t="shared" si="39"/>
        <v>5.6719999999999997</v>
      </c>
    </row>
    <row r="240" spans="1:2">
      <c r="A240">
        <f>A169</f>
        <v>2018</v>
      </c>
      <c r="B240">
        <f>D169</f>
        <v>6.9080000000000004</v>
      </c>
    </row>
    <row r="241" spans="1:2">
      <c r="A241">
        <f t="shared" si="36"/>
        <v>2019</v>
      </c>
      <c r="B241">
        <f t="shared" ref="B241:B242" si="40">D170</f>
        <v>10.699</v>
      </c>
    </row>
    <row r="242" spans="1:2">
      <c r="A242">
        <f t="shared" si="36"/>
        <v>2020</v>
      </c>
      <c r="B242">
        <f t="shared" si="40"/>
        <v>12.349</v>
      </c>
    </row>
    <row r="243" spans="1:2">
      <c r="A243">
        <f>A172</f>
        <v>2021</v>
      </c>
      <c r="B243">
        <f>D172</f>
        <v>9.488999999999999</v>
      </c>
    </row>
    <row r="244" spans="1:2">
      <c r="A244">
        <f t="shared" si="36"/>
        <v>2022</v>
      </c>
      <c r="B244">
        <f t="shared" ref="B244:B246" si="41">D173</f>
        <v>16.356999999999999</v>
      </c>
    </row>
    <row r="245" spans="1:2">
      <c r="A245">
        <f t="shared" si="36"/>
        <v>2023</v>
      </c>
      <c r="B245">
        <f t="shared" si="41"/>
        <v>12.46</v>
      </c>
    </row>
    <row r="246" spans="1:2">
      <c r="A246">
        <f t="shared" si="36"/>
        <v>2024</v>
      </c>
      <c r="B246">
        <f t="shared" si="41"/>
        <v>12.285</v>
      </c>
    </row>
    <row r="247" spans="1:2">
      <c r="A247">
        <f>A176</f>
        <v>2025</v>
      </c>
      <c r="B247">
        <f>D176</f>
        <v>11.795999999999999</v>
      </c>
    </row>
  </sheetData>
  <sortState xmlns:xlrd2="http://schemas.microsoft.com/office/spreadsheetml/2017/richdata2" ref="L2:L64">
    <sortCondition ref="L2:L64"/>
  </sortState>
  <hyperlinks>
    <hyperlink ref="U23" r:id="rId1" display="https://www.ncei.noaa.gov/data/oceans/ncei/archive/data/0164586/derived/heat_content_anomaly_0-2000_yearly.nc" xr:uid="{00000000-0004-0000-0000-000000000000}"/>
    <hyperlink ref="D180" r:id="rId2" xr:uid="{00000000-0004-0000-0000-000001000000}"/>
    <hyperlink ref="D185" r:id="rId3" xr:uid="{00000000-0004-0000-0000-000002000000}"/>
    <hyperlink ref="I190" r:id="rId4" xr:uid="{00000000-0004-0000-0000-000003000000}"/>
    <hyperlink ref="F187" r:id="rId5" xr:uid="{00000000-0004-0000-0000-000004000000}"/>
    <hyperlink ref="T24" r:id="rId6" xr:uid="{3D1A698D-BFFE-0548-A5AF-B93376F1206E}"/>
    <hyperlink ref="U24" r:id="rId7" xr:uid="{1CD6EC45-3ADE-E748-B37A-82E6011EB91A}"/>
  </hyperlinks>
  <pageMargins left="0.75" right="0.75" top="1" bottom="1" header="0.5" footer="0.5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toyKFmodelData8c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Nicklas, John</dc:creator>
  <cp:lastModifiedBy>John Nicklas</cp:lastModifiedBy>
  <dcterms:created xsi:type="dcterms:W3CDTF">2024-02-13T06:38:38Z</dcterms:created>
  <dcterms:modified xsi:type="dcterms:W3CDTF">2026-10-18T17:46:18Z</dcterms:modified>
</cp:coreProperties>
</file>