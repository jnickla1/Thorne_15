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ropbox/KalmanFilterPython/"/>
    </mc:Choice>
  </mc:AlternateContent>
  <xr:revisionPtr revIDLastSave="0" documentId="13_ncr:9_{7129FA77-128C-E442-9CB6-73966F904318}" xr6:coauthVersionLast="47" xr6:coauthVersionMax="47" xr10:uidLastSave="{00000000-0000-0000-0000-000000000000}"/>
  <bookViews>
    <workbookView xWindow="11560" yWindow="2700" windowWidth="26840" windowHeight="15680" xr2:uid="{0F1C30AD-A6A5-E84B-986B-C263C4C84BF1}"/>
  </bookViews>
  <sheets>
    <sheet name="ERF_best_aggregates_1750-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76" i="1" l="1"/>
  <c r="AE276" i="1"/>
  <c r="V276" i="1"/>
  <c r="W276" i="1"/>
  <c r="Y276" i="1"/>
  <c r="Z276" i="1"/>
  <c r="AA276" i="1"/>
  <c r="V275" i="1" l="1"/>
  <c r="W275" i="1"/>
  <c r="AE275" i="1"/>
  <c r="AC275" i="1"/>
  <c r="AA275" i="1"/>
  <c r="Y275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AA81" i="1" s="1"/>
  <c r="AB81" i="1" s="1"/>
  <c r="Z82" i="1"/>
  <c r="AA82" i="1" s="1"/>
  <c r="AB82" i="1" s="1"/>
  <c r="Z83" i="1"/>
  <c r="AA83" i="1" s="1"/>
  <c r="AB83" i="1" s="1"/>
  <c r="Z84" i="1"/>
  <c r="Z85" i="1"/>
  <c r="Z86" i="1"/>
  <c r="Z87" i="1"/>
  <c r="Z88" i="1"/>
  <c r="Z89" i="1"/>
  <c r="Z90" i="1"/>
  <c r="AA90" i="1" s="1"/>
  <c r="AB90" i="1" s="1"/>
  <c r="Z91" i="1"/>
  <c r="Z92" i="1"/>
  <c r="Z93" i="1"/>
  <c r="Z94" i="1"/>
  <c r="Z95" i="1"/>
  <c r="Z96" i="1"/>
  <c r="Z97" i="1"/>
  <c r="AA97" i="1" s="1"/>
  <c r="AB97" i="1" s="1"/>
  <c r="Z98" i="1"/>
  <c r="AA98" i="1" s="1"/>
  <c r="AB98" i="1" s="1"/>
  <c r="Z99" i="1"/>
  <c r="AA99" i="1" s="1"/>
  <c r="AB99" i="1" s="1"/>
  <c r="Z100" i="1"/>
  <c r="Z101" i="1"/>
  <c r="Z102" i="1"/>
  <c r="Z103" i="1"/>
  <c r="AA103" i="1" s="1"/>
  <c r="Z104" i="1"/>
  <c r="Z105" i="1"/>
  <c r="Z106" i="1"/>
  <c r="AA106" i="1" s="1"/>
  <c r="Z107" i="1"/>
  <c r="Z108" i="1"/>
  <c r="Z109" i="1"/>
  <c r="Z110" i="1"/>
  <c r="Z111" i="1"/>
  <c r="Z112" i="1"/>
  <c r="Z113" i="1"/>
  <c r="Z114" i="1"/>
  <c r="AA114" i="1" s="1"/>
  <c r="Z115" i="1"/>
  <c r="AA115" i="1" s="1"/>
  <c r="Z116" i="1"/>
  <c r="Z117" i="1"/>
  <c r="Z118" i="1"/>
  <c r="Z119" i="1"/>
  <c r="AA119" i="1" s="1"/>
  <c r="Z120" i="1"/>
  <c r="Z121" i="1"/>
  <c r="Z122" i="1"/>
  <c r="AA122" i="1" s="1"/>
  <c r="Z123" i="1"/>
  <c r="Z124" i="1"/>
  <c r="Z125" i="1"/>
  <c r="Z126" i="1"/>
  <c r="Z127" i="1"/>
  <c r="Z128" i="1"/>
  <c r="Z129" i="1"/>
  <c r="Z130" i="1"/>
  <c r="AA130" i="1" s="1"/>
  <c r="Z131" i="1"/>
  <c r="AA131" i="1" s="1"/>
  <c r="Z132" i="1"/>
  <c r="Z133" i="1"/>
  <c r="Z134" i="1"/>
  <c r="Z135" i="1"/>
  <c r="AA135" i="1" s="1"/>
  <c r="Z136" i="1"/>
  <c r="Z137" i="1"/>
  <c r="Z138" i="1"/>
  <c r="AA138" i="1" s="1"/>
  <c r="Z139" i="1"/>
  <c r="Z140" i="1"/>
  <c r="Z141" i="1"/>
  <c r="Z142" i="1"/>
  <c r="Z143" i="1"/>
  <c r="Z144" i="1"/>
  <c r="Z145" i="1"/>
  <c r="Z146" i="1"/>
  <c r="AA146" i="1" s="1"/>
  <c r="Z147" i="1"/>
  <c r="AA147" i="1" s="1"/>
  <c r="Z148" i="1"/>
  <c r="Z149" i="1"/>
  <c r="Z150" i="1"/>
  <c r="Z151" i="1"/>
  <c r="AA151" i="1" s="1"/>
  <c r="Z152" i="1"/>
  <c r="Z153" i="1"/>
  <c r="Z154" i="1"/>
  <c r="AA154" i="1" s="1"/>
  <c r="Z155" i="1"/>
  <c r="Z156" i="1"/>
  <c r="Z157" i="1"/>
  <c r="Z158" i="1"/>
  <c r="Z159" i="1"/>
  <c r="Z160" i="1"/>
  <c r="Z161" i="1"/>
  <c r="Z162" i="1"/>
  <c r="AA162" i="1" s="1"/>
  <c r="Z163" i="1"/>
  <c r="AA163" i="1" s="1"/>
  <c r="Z164" i="1"/>
  <c r="Z165" i="1"/>
  <c r="Z166" i="1"/>
  <c r="Z167" i="1"/>
  <c r="AA167" i="1" s="1"/>
  <c r="Z168" i="1"/>
  <c r="Z169" i="1"/>
  <c r="Z170" i="1"/>
  <c r="AA170" i="1" s="1"/>
  <c r="Z171" i="1"/>
  <c r="Z172" i="1"/>
  <c r="Z173" i="1"/>
  <c r="Z174" i="1"/>
  <c r="Z175" i="1"/>
  <c r="Z176" i="1"/>
  <c r="Z177" i="1"/>
  <c r="Z178" i="1"/>
  <c r="AA178" i="1" s="1"/>
  <c r="Z179" i="1"/>
  <c r="AA179" i="1" s="1"/>
  <c r="Z180" i="1"/>
  <c r="Z181" i="1"/>
  <c r="Z182" i="1"/>
  <c r="Z183" i="1"/>
  <c r="AA183" i="1" s="1"/>
  <c r="Z184" i="1"/>
  <c r="Z185" i="1"/>
  <c r="Z186" i="1"/>
  <c r="AA186" i="1" s="1"/>
  <c r="Z187" i="1"/>
  <c r="Z188" i="1"/>
  <c r="Z189" i="1"/>
  <c r="Z190" i="1"/>
  <c r="Z191" i="1"/>
  <c r="Z192" i="1"/>
  <c r="Z193" i="1"/>
  <c r="Z194" i="1"/>
  <c r="AA194" i="1" s="1"/>
  <c r="Z195" i="1"/>
  <c r="AA195" i="1" s="1"/>
  <c r="Z196" i="1"/>
  <c r="Z197" i="1"/>
  <c r="Z198" i="1"/>
  <c r="Z199" i="1"/>
  <c r="AA199" i="1" s="1"/>
  <c r="Z200" i="1"/>
  <c r="Z201" i="1"/>
  <c r="Z202" i="1"/>
  <c r="AA202" i="1" s="1"/>
  <c r="Z203" i="1"/>
  <c r="Z204" i="1"/>
  <c r="Z205" i="1"/>
  <c r="Z206" i="1"/>
  <c r="Z207" i="1"/>
  <c r="Z208" i="1"/>
  <c r="Z209" i="1"/>
  <c r="Z210" i="1"/>
  <c r="AA210" i="1" s="1"/>
  <c r="Z211" i="1"/>
  <c r="AA211" i="1" s="1"/>
  <c r="Z212" i="1"/>
  <c r="Z213" i="1"/>
  <c r="Z214" i="1"/>
  <c r="Z215" i="1"/>
  <c r="AA215" i="1" s="1"/>
  <c r="Z216" i="1"/>
  <c r="Z217" i="1"/>
  <c r="Z218" i="1"/>
  <c r="AA218" i="1" s="1"/>
  <c r="Z219" i="1"/>
  <c r="Z220" i="1"/>
  <c r="Z221" i="1"/>
  <c r="Z222" i="1"/>
  <c r="Z223" i="1"/>
  <c r="AA223" i="1" s="1"/>
  <c r="Z224" i="1"/>
  <c r="Z225" i="1"/>
  <c r="Z226" i="1"/>
  <c r="AA226" i="1" s="1"/>
  <c r="Z227" i="1"/>
  <c r="AA227" i="1" s="1"/>
  <c r="Z228" i="1"/>
  <c r="Z229" i="1"/>
  <c r="Z230" i="1"/>
  <c r="Z231" i="1"/>
  <c r="AA231" i="1" s="1"/>
  <c r="Z232" i="1"/>
  <c r="Z233" i="1"/>
  <c r="Z234" i="1"/>
  <c r="AA234" i="1" s="1"/>
  <c r="Z235" i="1"/>
  <c r="Z236" i="1"/>
  <c r="Z237" i="1"/>
  <c r="AA237" i="1" s="1"/>
  <c r="Z238" i="1"/>
  <c r="Z239" i="1"/>
  <c r="AA239" i="1" s="1"/>
  <c r="Z240" i="1"/>
  <c r="Z241" i="1"/>
  <c r="Z242" i="1"/>
  <c r="AA242" i="1" s="1"/>
  <c r="Z243" i="1"/>
  <c r="AA243" i="1" s="1"/>
  <c r="Z244" i="1"/>
  <c r="Z245" i="1"/>
  <c r="Z246" i="1"/>
  <c r="Z247" i="1"/>
  <c r="AA247" i="1" s="1"/>
  <c r="Z248" i="1"/>
  <c r="Z249" i="1"/>
  <c r="Z250" i="1"/>
  <c r="AC250" i="1" s="1"/>
  <c r="Z251" i="1"/>
  <c r="Z252" i="1"/>
  <c r="Z253" i="1"/>
  <c r="AA253" i="1" s="1"/>
  <c r="Z254" i="1"/>
  <c r="Z255" i="1"/>
  <c r="AC255" i="1" s="1"/>
  <c r="Z256" i="1"/>
  <c r="Z257" i="1"/>
  <c r="AC257" i="1" s="1"/>
  <c r="Z258" i="1"/>
  <c r="AA258" i="1" s="1"/>
  <c r="Z259" i="1"/>
  <c r="AC259" i="1" s="1"/>
  <c r="Z260" i="1"/>
  <c r="Z261" i="1"/>
  <c r="Z262" i="1"/>
  <c r="Z263" i="1"/>
  <c r="Z264" i="1"/>
  <c r="Z265" i="1"/>
  <c r="Z266" i="1"/>
  <c r="AA266" i="1" s="1"/>
  <c r="Z267" i="1"/>
  <c r="Z268" i="1"/>
  <c r="Z269" i="1"/>
  <c r="Z270" i="1"/>
  <c r="AC270" i="1" s="1"/>
  <c r="Z271" i="1"/>
  <c r="AC271" i="1" s="1"/>
  <c r="Z272" i="1"/>
  <c r="Z273" i="1"/>
  <c r="AC273" i="1" s="1"/>
  <c r="Z274" i="1"/>
  <c r="AA274" i="1" s="1"/>
  <c r="AB275" i="1" s="1"/>
  <c r="Z275" i="1"/>
  <c r="Z3" i="1"/>
  <c r="AE274" i="1"/>
  <c r="Y274" i="1"/>
  <c r="W274" i="1"/>
  <c r="V274" i="1"/>
  <c r="AH273" i="1"/>
  <c r="AE273" i="1"/>
  <c r="Y273" i="1"/>
  <c r="W273" i="1"/>
  <c r="V273" i="1"/>
  <c r="AE272" i="1"/>
  <c r="AC272" i="1"/>
  <c r="Y272" i="1"/>
  <c r="W272" i="1"/>
  <c r="V272" i="1"/>
  <c r="AE271" i="1"/>
  <c r="Y271" i="1"/>
  <c r="W271" i="1"/>
  <c r="V271" i="1"/>
  <c r="AE270" i="1"/>
  <c r="AA270" i="1"/>
  <c r="Y270" i="1"/>
  <c r="W270" i="1"/>
  <c r="V270" i="1"/>
  <c r="AE269" i="1"/>
  <c r="AC269" i="1"/>
  <c r="Y269" i="1"/>
  <c r="W269" i="1"/>
  <c r="V269" i="1"/>
  <c r="AE268" i="1"/>
  <c r="AA268" i="1"/>
  <c r="AC268" i="1"/>
  <c r="Y268" i="1"/>
  <c r="W268" i="1"/>
  <c r="V268" i="1"/>
  <c r="AF267" i="1"/>
  <c r="AE267" i="1"/>
  <c r="AC267" i="1"/>
  <c r="Y267" i="1"/>
  <c r="W267" i="1"/>
  <c r="V267" i="1"/>
  <c r="AF266" i="1"/>
  <c r="AE266" i="1"/>
  <c r="Y266" i="1"/>
  <c r="W266" i="1"/>
  <c r="V266" i="1"/>
  <c r="AF265" i="1"/>
  <c r="AE265" i="1"/>
  <c r="AC265" i="1"/>
  <c r="Y265" i="1"/>
  <c r="W265" i="1"/>
  <c r="V265" i="1"/>
  <c r="AF264" i="1"/>
  <c r="AE264" i="1"/>
  <c r="AA264" i="1"/>
  <c r="AC264" i="1"/>
  <c r="Y264" i="1"/>
  <c r="W264" i="1"/>
  <c r="V264" i="1"/>
  <c r="AF263" i="1"/>
  <c r="AE263" i="1"/>
  <c r="AC263" i="1"/>
  <c r="Y263" i="1"/>
  <c r="W263" i="1"/>
  <c r="V263" i="1"/>
  <c r="AF262" i="1"/>
  <c r="AE262" i="1"/>
  <c r="AC262" i="1"/>
  <c r="AA262" i="1"/>
  <c r="Y262" i="1"/>
  <c r="W262" i="1"/>
  <c r="V262" i="1"/>
  <c r="AF261" i="1"/>
  <c r="AE261" i="1"/>
  <c r="AC261" i="1"/>
  <c r="Y261" i="1"/>
  <c r="W261" i="1"/>
  <c r="V261" i="1"/>
  <c r="AF260" i="1"/>
  <c r="AE260" i="1"/>
  <c r="AA260" i="1"/>
  <c r="Y260" i="1"/>
  <c r="AC260" i="1" s="1"/>
  <c r="W260" i="1"/>
  <c r="V260" i="1"/>
  <c r="AF259" i="1"/>
  <c r="AE259" i="1"/>
  <c r="Y259" i="1"/>
  <c r="W259" i="1"/>
  <c r="V259" i="1"/>
  <c r="AF258" i="1"/>
  <c r="AG262" i="1" s="1"/>
  <c r="AE258" i="1"/>
  <c r="Y258" i="1"/>
  <c r="W258" i="1"/>
  <c r="V258" i="1"/>
  <c r="AF257" i="1"/>
  <c r="AE257" i="1"/>
  <c r="Y257" i="1"/>
  <c r="W257" i="1"/>
  <c r="V257" i="1"/>
  <c r="AF256" i="1"/>
  <c r="AG261" i="1" s="1"/>
  <c r="AE256" i="1"/>
  <c r="AA256" i="1"/>
  <c r="Y256" i="1"/>
  <c r="W256" i="1"/>
  <c r="V256" i="1"/>
  <c r="AE255" i="1"/>
  <c r="Y255" i="1"/>
  <c r="W255" i="1"/>
  <c r="V255" i="1"/>
  <c r="AE254" i="1"/>
  <c r="AC254" i="1"/>
  <c r="AA254" i="1"/>
  <c r="Y254" i="1"/>
  <c r="W254" i="1"/>
  <c r="V254" i="1"/>
  <c r="AE253" i="1"/>
  <c r="AC253" i="1"/>
  <c r="Y253" i="1"/>
  <c r="W253" i="1"/>
  <c r="V253" i="1"/>
  <c r="AE252" i="1"/>
  <c r="AC252" i="1"/>
  <c r="Y252" i="1"/>
  <c r="W252" i="1"/>
  <c r="V252" i="1"/>
  <c r="AE251" i="1"/>
  <c r="AC251" i="1"/>
  <c r="AA251" i="1"/>
  <c r="Y251" i="1"/>
  <c r="W251" i="1"/>
  <c r="V251" i="1"/>
  <c r="AE250" i="1"/>
  <c r="Y250" i="1"/>
  <c r="W250" i="1"/>
  <c r="V250" i="1"/>
  <c r="AE249" i="1"/>
  <c r="AC249" i="1"/>
  <c r="Y249" i="1"/>
  <c r="W249" i="1"/>
  <c r="V249" i="1"/>
  <c r="AE248" i="1"/>
  <c r="AC248" i="1"/>
  <c r="Y248" i="1"/>
  <c r="W248" i="1"/>
  <c r="V248" i="1"/>
  <c r="AE247" i="1"/>
  <c r="AC247" i="1"/>
  <c r="Y247" i="1"/>
  <c r="W247" i="1"/>
  <c r="V247" i="1"/>
  <c r="AE246" i="1"/>
  <c r="AA246" i="1"/>
  <c r="Y246" i="1"/>
  <c r="AC246" i="1" s="1"/>
  <c r="W246" i="1"/>
  <c r="V246" i="1"/>
  <c r="AE245" i="1"/>
  <c r="AC245" i="1"/>
  <c r="Y245" i="1"/>
  <c r="W245" i="1"/>
  <c r="V245" i="1"/>
  <c r="AE244" i="1"/>
  <c r="AC244" i="1"/>
  <c r="Y244" i="1"/>
  <c r="W244" i="1"/>
  <c r="V244" i="1"/>
  <c r="AE243" i="1"/>
  <c r="Y243" i="1"/>
  <c r="W243" i="1"/>
  <c r="V243" i="1"/>
  <c r="AE242" i="1"/>
  <c r="Y242" i="1"/>
  <c r="W242" i="1"/>
  <c r="V242" i="1"/>
  <c r="AE241" i="1"/>
  <c r="AA241" i="1"/>
  <c r="Y241" i="1"/>
  <c r="W241" i="1"/>
  <c r="V241" i="1"/>
  <c r="AE240" i="1"/>
  <c r="AA240" i="1"/>
  <c r="Y240" i="1"/>
  <c r="W240" i="1"/>
  <c r="V240" i="1"/>
  <c r="AE239" i="1"/>
  <c r="Y239" i="1"/>
  <c r="W239" i="1"/>
  <c r="V239" i="1"/>
  <c r="AE238" i="1"/>
  <c r="AA238" i="1"/>
  <c r="Y238" i="1"/>
  <c r="W238" i="1"/>
  <c r="V238" i="1"/>
  <c r="AE237" i="1"/>
  <c r="Y237" i="1"/>
  <c r="W237" i="1"/>
  <c r="V237" i="1"/>
  <c r="AE236" i="1"/>
  <c r="AA236" i="1"/>
  <c r="Y236" i="1"/>
  <c r="W236" i="1"/>
  <c r="V236" i="1"/>
  <c r="AE235" i="1"/>
  <c r="AA235" i="1"/>
  <c r="Y235" i="1"/>
  <c r="W235" i="1"/>
  <c r="V235" i="1"/>
  <c r="AE234" i="1"/>
  <c r="Y234" i="1"/>
  <c r="W234" i="1"/>
  <c r="V234" i="1"/>
  <c r="AE233" i="1"/>
  <c r="AA233" i="1"/>
  <c r="Y233" i="1"/>
  <c r="W233" i="1"/>
  <c r="V233" i="1"/>
  <c r="AE232" i="1"/>
  <c r="AA232" i="1"/>
  <c r="Y232" i="1"/>
  <c r="W232" i="1"/>
  <c r="V232" i="1"/>
  <c r="AE231" i="1"/>
  <c r="Y231" i="1"/>
  <c r="W231" i="1"/>
  <c r="V231" i="1"/>
  <c r="AE230" i="1"/>
  <c r="AA230" i="1"/>
  <c r="Y230" i="1"/>
  <c r="W230" i="1"/>
  <c r="V230" i="1"/>
  <c r="AE229" i="1"/>
  <c r="AA229" i="1"/>
  <c r="Y229" i="1"/>
  <c r="W229" i="1"/>
  <c r="V229" i="1"/>
  <c r="AE228" i="1"/>
  <c r="AA228" i="1"/>
  <c r="Y228" i="1"/>
  <c r="W228" i="1"/>
  <c r="V228" i="1"/>
  <c r="AE227" i="1"/>
  <c r="Y227" i="1"/>
  <c r="W227" i="1"/>
  <c r="V227" i="1"/>
  <c r="AE226" i="1"/>
  <c r="Y226" i="1"/>
  <c r="W226" i="1"/>
  <c r="V226" i="1"/>
  <c r="AE225" i="1"/>
  <c r="AA225" i="1"/>
  <c r="Y225" i="1"/>
  <c r="W225" i="1"/>
  <c r="V225" i="1"/>
  <c r="AE224" i="1"/>
  <c r="AA224" i="1"/>
  <c r="Y224" i="1"/>
  <c r="W224" i="1"/>
  <c r="V224" i="1"/>
  <c r="AE223" i="1"/>
  <c r="Y223" i="1"/>
  <c r="W223" i="1"/>
  <c r="V223" i="1"/>
  <c r="AE222" i="1"/>
  <c r="AA222" i="1"/>
  <c r="Y222" i="1"/>
  <c r="W222" i="1"/>
  <c r="V222" i="1"/>
  <c r="AE221" i="1"/>
  <c r="AA221" i="1"/>
  <c r="Y221" i="1"/>
  <c r="W221" i="1"/>
  <c r="V221" i="1"/>
  <c r="AE220" i="1"/>
  <c r="AA220" i="1"/>
  <c r="Y220" i="1"/>
  <c r="W220" i="1"/>
  <c r="V220" i="1"/>
  <c r="AE219" i="1"/>
  <c r="AA219" i="1"/>
  <c r="Y219" i="1"/>
  <c r="W219" i="1"/>
  <c r="V219" i="1"/>
  <c r="AE218" i="1"/>
  <c r="Y218" i="1"/>
  <c r="W218" i="1"/>
  <c r="V218" i="1"/>
  <c r="AE217" i="1"/>
  <c r="AA217" i="1"/>
  <c r="Y217" i="1"/>
  <c r="W217" i="1"/>
  <c r="V217" i="1"/>
  <c r="AE216" i="1"/>
  <c r="AA216" i="1"/>
  <c r="Y216" i="1"/>
  <c r="W216" i="1"/>
  <c r="V216" i="1"/>
  <c r="AE215" i="1"/>
  <c r="Y215" i="1"/>
  <c r="W215" i="1"/>
  <c r="V215" i="1"/>
  <c r="AE214" i="1"/>
  <c r="AA214" i="1"/>
  <c r="Y214" i="1"/>
  <c r="W214" i="1"/>
  <c r="V214" i="1"/>
  <c r="AE213" i="1"/>
  <c r="AA213" i="1"/>
  <c r="Y213" i="1"/>
  <c r="W213" i="1"/>
  <c r="V213" i="1"/>
  <c r="AE212" i="1"/>
  <c r="AA212" i="1"/>
  <c r="Y212" i="1"/>
  <c r="W212" i="1"/>
  <c r="V212" i="1"/>
  <c r="AE211" i="1"/>
  <c r="Y211" i="1"/>
  <c r="W211" i="1"/>
  <c r="V211" i="1"/>
  <c r="AE210" i="1"/>
  <c r="Y210" i="1"/>
  <c r="W210" i="1"/>
  <c r="V210" i="1"/>
  <c r="AE209" i="1"/>
  <c r="AA209" i="1"/>
  <c r="Y209" i="1"/>
  <c r="W209" i="1"/>
  <c r="V209" i="1"/>
  <c r="AE208" i="1"/>
  <c r="AA208" i="1"/>
  <c r="Y208" i="1"/>
  <c r="W208" i="1"/>
  <c r="V208" i="1"/>
  <c r="AE207" i="1"/>
  <c r="AA207" i="1"/>
  <c r="Y207" i="1"/>
  <c r="W207" i="1"/>
  <c r="V207" i="1"/>
  <c r="AE206" i="1"/>
  <c r="AA206" i="1"/>
  <c r="Y206" i="1"/>
  <c r="W206" i="1"/>
  <c r="V206" i="1"/>
  <c r="AE205" i="1"/>
  <c r="AA205" i="1"/>
  <c r="Y205" i="1"/>
  <c r="W205" i="1"/>
  <c r="V205" i="1"/>
  <c r="AE204" i="1"/>
  <c r="AA204" i="1"/>
  <c r="Y204" i="1"/>
  <c r="W204" i="1"/>
  <c r="V204" i="1"/>
  <c r="AE203" i="1"/>
  <c r="AA203" i="1"/>
  <c r="Y203" i="1"/>
  <c r="W203" i="1"/>
  <c r="V203" i="1"/>
  <c r="AE202" i="1"/>
  <c r="Y202" i="1"/>
  <c r="W202" i="1"/>
  <c r="V202" i="1"/>
  <c r="AE201" i="1"/>
  <c r="AA201" i="1"/>
  <c r="Y201" i="1"/>
  <c r="W201" i="1"/>
  <c r="V201" i="1"/>
  <c r="AE200" i="1"/>
  <c r="AA200" i="1"/>
  <c r="Y200" i="1"/>
  <c r="W200" i="1"/>
  <c r="V200" i="1"/>
  <c r="AE199" i="1"/>
  <c r="Y199" i="1"/>
  <c r="W199" i="1"/>
  <c r="V199" i="1"/>
  <c r="AE198" i="1"/>
  <c r="AA198" i="1"/>
  <c r="Y198" i="1"/>
  <c r="W198" i="1"/>
  <c r="V198" i="1"/>
  <c r="AE197" i="1"/>
  <c r="AA197" i="1"/>
  <c r="Y197" i="1"/>
  <c r="W197" i="1"/>
  <c r="V197" i="1"/>
  <c r="AE196" i="1"/>
  <c r="AA196" i="1"/>
  <c r="Y196" i="1"/>
  <c r="W196" i="1"/>
  <c r="V196" i="1"/>
  <c r="AE195" i="1"/>
  <c r="Y195" i="1"/>
  <c r="W195" i="1"/>
  <c r="V195" i="1"/>
  <c r="AE194" i="1"/>
  <c r="Y194" i="1"/>
  <c r="W194" i="1"/>
  <c r="V194" i="1"/>
  <c r="AE193" i="1"/>
  <c r="AA193" i="1"/>
  <c r="Y193" i="1"/>
  <c r="W193" i="1"/>
  <c r="V193" i="1"/>
  <c r="AE192" i="1"/>
  <c r="AA192" i="1"/>
  <c r="Y192" i="1"/>
  <c r="W192" i="1"/>
  <c r="V192" i="1"/>
  <c r="AE191" i="1"/>
  <c r="AA191" i="1"/>
  <c r="Y191" i="1"/>
  <c r="W191" i="1"/>
  <c r="V191" i="1"/>
  <c r="AE190" i="1"/>
  <c r="AA190" i="1"/>
  <c r="Y190" i="1"/>
  <c r="W190" i="1"/>
  <c r="V190" i="1"/>
  <c r="AE189" i="1"/>
  <c r="AA189" i="1"/>
  <c r="Y189" i="1"/>
  <c r="W189" i="1"/>
  <c r="V189" i="1"/>
  <c r="AE188" i="1"/>
  <c r="AA188" i="1"/>
  <c r="Y188" i="1"/>
  <c r="W188" i="1"/>
  <c r="V188" i="1"/>
  <c r="AE187" i="1"/>
  <c r="AA187" i="1"/>
  <c r="Y187" i="1"/>
  <c r="W187" i="1"/>
  <c r="V187" i="1"/>
  <c r="AE186" i="1"/>
  <c r="Y186" i="1"/>
  <c r="W186" i="1"/>
  <c r="V186" i="1"/>
  <c r="AE185" i="1"/>
  <c r="AA185" i="1"/>
  <c r="Y185" i="1"/>
  <c r="W185" i="1"/>
  <c r="V185" i="1"/>
  <c r="AE184" i="1"/>
  <c r="AA184" i="1"/>
  <c r="Y184" i="1"/>
  <c r="W184" i="1"/>
  <c r="V184" i="1"/>
  <c r="AE183" i="1"/>
  <c r="Y183" i="1"/>
  <c r="W183" i="1"/>
  <c r="V183" i="1"/>
  <c r="AE182" i="1"/>
  <c r="AA182" i="1"/>
  <c r="Y182" i="1"/>
  <c r="W182" i="1"/>
  <c r="V182" i="1"/>
  <c r="AE181" i="1"/>
  <c r="AA181" i="1"/>
  <c r="Y181" i="1"/>
  <c r="W181" i="1"/>
  <c r="V181" i="1"/>
  <c r="AE180" i="1"/>
  <c r="AA180" i="1"/>
  <c r="Y180" i="1"/>
  <c r="W180" i="1"/>
  <c r="V180" i="1"/>
  <c r="AE179" i="1"/>
  <c r="Y179" i="1"/>
  <c r="W179" i="1"/>
  <c r="V179" i="1"/>
  <c r="AE178" i="1"/>
  <c r="Y178" i="1"/>
  <c r="W178" i="1"/>
  <c r="V178" i="1"/>
  <c r="AE177" i="1"/>
  <c r="AA177" i="1"/>
  <c r="Y177" i="1"/>
  <c r="W177" i="1"/>
  <c r="V177" i="1"/>
  <c r="AE176" i="1"/>
  <c r="AA176" i="1"/>
  <c r="Y176" i="1"/>
  <c r="W176" i="1"/>
  <c r="V176" i="1"/>
  <c r="AE175" i="1"/>
  <c r="AA175" i="1"/>
  <c r="Y175" i="1"/>
  <c r="W175" i="1"/>
  <c r="V175" i="1"/>
  <c r="AE174" i="1"/>
  <c r="AA174" i="1"/>
  <c r="Y174" i="1"/>
  <c r="W174" i="1"/>
  <c r="V174" i="1"/>
  <c r="AE173" i="1"/>
  <c r="AA173" i="1"/>
  <c r="Y173" i="1"/>
  <c r="W173" i="1"/>
  <c r="V173" i="1"/>
  <c r="AE172" i="1"/>
  <c r="AA172" i="1"/>
  <c r="Y172" i="1"/>
  <c r="W172" i="1"/>
  <c r="V172" i="1"/>
  <c r="AE171" i="1"/>
  <c r="AA171" i="1"/>
  <c r="Y171" i="1"/>
  <c r="W171" i="1"/>
  <c r="V171" i="1"/>
  <c r="AE170" i="1"/>
  <c r="Y170" i="1"/>
  <c r="W170" i="1"/>
  <c r="V170" i="1"/>
  <c r="AE169" i="1"/>
  <c r="AA169" i="1"/>
  <c r="Y169" i="1"/>
  <c r="W169" i="1"/>
  <c r="V169" i="1"/>
  <c r="AE168" i="1"/>
  <c r="AA168" i="1"/>
  <c r="Y168" i="1"/>
  <c r="W168" i="1"/>
  <c r="V168" i="1"/>
  <c r="AE167" i="1"/>
  <c r="Y167" i="1"/>
  <c r="W167" i="1"/>
  <c r="V167" i="1"/>
  <c r="AE166" i="1"/>
  <c r="AA166" i="1"/>
  <c r="Y166" i="1"/>
  <c r="W166" i="1"/>
  <c r="V166" i="1"/>
  <c r="AE165" i="1"/>
  <c r="AA165" i="1"/>
  <c r="Y165" i="1"/>
  <c r="W165" i="1"/>
  <c r="V165" i="1"/>
  <c r="AE164" i="1"/>
  <c r="AA164" i="1"/>
  <c r="Y164" i="1"/>
  <c r="W164" i="1"/>
  <c r="V164" i="1"/>
  <c r="AE163" i="1"/>
  <c r="Y163" i="1"/>
  <c r="W163" i="1"/>
  <c r="V163" i="1"/>
  <c r="AE162" i="1"/>
  <c r="Y162" i="1"/>
  <c r="W162" i="1"/>
  <c r="V162" i="1"/>
  <c r="AE161" i="1"/>
  <c r="AA161" i="1"/>
  <c r="Y161" i="1"/>
  <c r="W161" i="1"/>
  <c r="V161" i="1"/>
  <c r="AE160" i="1"/>
  <c r="AA160" i="1"/>
  <c r="Y160" i="1"/>
  <c r="W160" i="1"/>
  <c r="V160" i="1"/>
  <c r="AE159" i="1"/>
  <c r="AA159" i="1"/>
  <c r="Y159" i="1"/>
  <c r="W159" i="1"/>
  <c r="V159" i="1"/>
  <c r="AE158" i="1"/>
  <c r="AA158" i="1"/>
  <c r="Y158" i="1"/>
  <c r="W158" i="1"/>
  <c r="V158" i="1"/>
  <c r="AE157" i="1"/>
  <c r="AA157" i="1"/>
  <c r="Y157" i="1"/>
  <c r="W157" i="1"/>
  <c r="V157" i="1"/>
  <c r="AE156" i="1"/>
  <c r="AA156" i="1"/>
  <c r="Y156" i="1"/>
  <c r="W156" i="1"/>
  <c r="V156" i="1"/>
  <c r="AE155" i="1"/>
  <c r="AA155" i="1"/>
  <c r="Y155" i="1"/>
  <c r="W155" i="1"/>
  <c r="V155" i="1"/>
  <c r="AE154" i="1"/>
  <c r="Y154" i="1"/>
  <c r="W154" i="1"/>
  <c r="V154" i="1"/>
  <c r="AE153" i="1"/>
  <c r="AA153" i="1"/>
  <c r="Y153" i="1"/>
  <c r="W153" i="1"/>
  <c r="V153" i="1"/>
  <c r="AE152" i="1"/>
  <c r="AA152" i="1"/>
  <c r="Y152" i="1"/>
  <c r="W152" i="1"/>
  <c r="V152" i="1"/>
  <c r="AE151" i="1"/>
  <c r="Y151" i="1"/>
  <c r="W151" i="1"/>
  <c r="V151" i="1"/>
  <c r="AE150" i="1"/>
  <c r="AA150" i="1"/>
  <c r="Y150" i="1"/>
  <c r="W150" i="1"/>
  <c r="V150" i="1"/>
  <c r="AE149" i="1"/>
  <c r="AA149" i="1"/>
  <c r="Y149" i="1"/>
  <c r="W149" i="1"/>
  <c r="V149" i="1"/>
  <c r="AE148" i="1"/>
  <c r="AA148" i="1"/>
  <c r="Y148" i="1"/>
  <c r="W148" i="1"/>
  <c r="V148" i="1"/>
  <c r="AE147" i="1"/>
  <c r="Y147" i="1"/>
  <c r="W147" i="1"/>
  <c r="V147" i="1"/>
  <c r="AE146" i="1"/>
  <c r="Y146" i="1"/>
  <c r="W146" i="1"/>
  <c r="V146" i="1"/>
  <c r="AE145" i="1"/>
  <c r="AA145" i="1"/>
  <c r="Y145" i="1"/>
  <c r="W145" i="1"/>
  <c r="V145" i="1"/>
  <c r="AE144" i="1"/>
  <c r="AA144" i="1"/>
  <c r="Y144" i="1"/>
  <c r="W144" i="1"/>
  <c r="V144" i="1"/>
  <c r="AE143" i="1"/>
  <c r="AA143" i="1"/>
  <c r="Y143" i="1"/>
  <c r="W143" i="1"/>
  <c r="V143" i="1"/>
  <c r="AE142" i="1"/>
  <c r="AA142" i="1"/>
  <c r="Y142" i="1"/>
  <c r="W142" i="1"/>
  <c r="V142" i="1"/>
  <c r="AE141" i="1"/>
  <c r="AA141" i="1"/>
  <c r="Y141" i="1"/>
  <c r="W141" i="1"/>
  <c r="V141" i="1"/>
  <c r="AE140" i="1"/>
  <c r="AA140" i="1"/>
  <c r="Y140" i="1"/>
  <c r="W140" i="1"/>
  <c r="V140" i="1"/>
  <c r="AE139" i="1"/>
  <c r="AA139" i="1"/>
  <c r="Y139" i="1"/>
  <c r="W139" i="1"/>
  <c r="V139" i="1"/>
  <c r="AE138" i="1"/>
  <c r="Y138" i="1"/>
  <c r="W138" i="1"/>
  <c r="V138" i="1"/>
  <c r="AE137" i="1"/>
  <c r="AA137" i="1"/>
  <c r="Y137" i="1"/>
  <c r="W137" i="1"/>
  <c r="V137" i="1"/>
  <c r="AE136" i="1"/>
  <c r="AA136" i="1"/>
  <c r="Y136" i="1"/>
  <c r="W136" i="1"/>
  <c r="V136" i="1"/>
  <c r="AE135" i="1"/>
  <c r="Y135" i="1"/>
  <c r="W135" i="1"/>
  <c r="V135" i="1"/>
  <c r="AE134" i="1"/>
  <c r="AA134" i="1"/>
  <c r="Y134" i="1"/>
  <c r="W134" i="1"/>
  <c r="V134" i="1"/>
  <c r="AE133" i="1"/>
  <c r="AA133" i="1"/>
  <c r="Y133" i="1"/>
  <c r="W133" i="1"/>
  <c r="V133" i="1"/>
  <c r="AE132" i="1"/>
  <c r="AA132" i="1"/>
  <c r="Y132" i="1"/>
  <c r="W132" i="1"/>
  <c r="V132" i="1"/>
  <c r="AE131" i="1"/>
  <c r="Y131" i="1"/>
  <c r="W131" i="1"/>
  <c r="V131" i="1"/>
  <c r="AE130" i="1"/>
  <c r="Y130" i="1"/>
  <c r="W130" i="1"/>
  <c r="V130" i="1"/>
  <c r="AE129" i="1"/>
  <c r="AA129" i="1"/>
  <c r="Y129" i="1"/>
  <c r="W129" i="1"/>
  <c r="V129" i="1"/>
  <c r="AE128" i="1"/>
  <c r="AA128" i="1"/>
  <c r="Y128" i="1"/>
  <c r="W128" i="1"/>
  <c r="V128" i="1"/>
  <c r="AE127" i="1"/>
  <c r="AA127" i="1"/>
  <c r="Y127" i="1"/>
  <c r="W127" i="1"/>
  <c r="V127" i="1"/>
  <c r="AE126" i="1"/>
  <c r="AA126" i="1"/>
  <c r="Y126" i="1"/>
  <c r="W126" i="1"/>
  <c r="V126" i="1"/>
  <c r="AE125" i="1"/>
  <c r="AA125" i="1"/>
  <c r="Y125" i="1"/>
  <c r="W125" i="1"/>
  <c r="V125" i="1"/>
  <c r="AE124" i="1"/>
  <c r="AA124" i="1"/>
  <c r="Y124" i="1"/>
  <c r="W124" i="1"/>
  <c r="V124" i="1"/>
  <c r="AE123" i="1"/>
  <c r="AA123" i="1"/>
  <c r="Y123" i="1"/>
  <c r="W123" i="1"/>
  <c r="V123" i="1"/>
  <c r="AE122" i="1"/>
  <c r="Y122" i="1"/>
  <c r="W122" i="1"/>
  <c r="V122" i="1"/>
  <c r="AE121" i="1"/>
  <c r="AA121" i="1"/>
  <c r="Y121" i="1"/>
  <c r="W121" i="1"/>
  <c r="V121" i="1"/>
  <c r="AE120" i="1"/>
  <c r="AA120" i="1"/>
  <c r="Y120" i="1"/>
  <c r="W120" i="1"/>
  <c r="V120" i="1"/>
  <c r="AE119" i="1"/>
  <c r="Y119" i="1"/>
  <c r="W119" i="1"/>
  <c r="V119" i="1"/>
  <c r="AE118" i="1"/>
  <c r="AA118" i="1"/>
  <c r="Y118" i="1"/>
  <c r="W118" i="1"/>
  <c r="V118" i="1"/>
  <c r="AE117" i="1"/>
  <c r="AA117" i="1"/>
  <c r="Y117" i="1"/>
  <c r="W117" i="1"/>
  <c r="V117" i="1"/>
  <c r="AE116" i="1"/>
  <c r="AA116" i="1"/>
  <c r="Y116" i="1"/>
  <c r="W116" i="1"/>
  <c r="V116" i="1"/>
  <c r="AE115" i="1"/>
  <c r="Y115" i="1"/>
  <c r="W115" i="1"/>
  <c r="V115" i="1"/>
  <c r="AE114" i="1"/>
  <c r="Y114" i="1"/>
  <c r="W114" i="1"/>
  <c r="V114" i="1"/>
  <c r="AE113" i="1"/>
  <c r="AA113" i="1"/>
  <c r="Y113" i="1"/>
  <c r="W113" i="1"/>
  <c r="V113" i="1"/>
  <c r="AE112" i="1"/>
  <c r="AA112" i="1"/>
  <c r="Y112" i="1"/>
  <c r="W112" i="1"/>
  <c r="V112" i="1"/>
  <c r="AE111" i="1"/>
  <c r="AA111" i="1"/>
  <c r="Y111" i="1"/>
  <c r="W111" i="1"/>
  <c r="V111" i="1"/>
  <c r="AE110" i="1"/>
  <c r="AA110" i="1"/>
  <c r="Y110" i="1"/>
  <c r="W110" i="1"/>
  <c r="V110" i="1"/>
  <c r="AE109" i="1"/>
  <c r="AA109" i="1"/>
  <c r="Y109" i="1"/>
  <c r="W109" i="1"/>
  <c r="V109" i="1"/>
  <c r="AE108" i="1"/>
  <c r="AA108" i="1"/>
  <c r="Y108" i="1"/>
  <c r="W108" i="1"/>
  <c r="V108" i="1"/>
  <c r="AE107" i="1"/>
  <c r="AA107" i="1"/>
  <c r="Y107" i="1"/>
  <c r="W107" i="1"/>
  <c r="V107" i="1"/>
  <c r="V98" i="1" s="1" a="1"/>
  <c r="V98" i="1" s="1"/>
  <c r="AE106" i="1"/>
  <c r="Y106" i="1"/>
  <c r="W106" i="1"/>
  <c r="V106" i="1"/>
  <c r="AE105" i="1"/>
  <c r="AA105" i="1"/>
  <c r="Y105" i="1"/>
  <c r="W105" i="1"/>
  <c r="V105" i="1"/>
  <c r="AE104" i="1"/>
  <c r="AA104" i="1"/>
  <c r="Y104" i="1"/>
  <c r="W104" i="1"/>
  <c r="V104" i="1"/>
  <c r="AE103" i="1"/>
  <c r="Y103" i="1"/>
  <c r="W103" i="1"/>
  <c r="V103" i="1"/>
  <c r="AE102" i="1"/>
  <c r="AA102" i="1"/>
  <c r="AB102" i="1" s="1"/>
  <c r="Y102" i="1"/>
  <c r="W102" i="1"/>
  <c r="V102" i="1"/>
  <c r="AB101" i="1"/>
  <c r="AA101" i="1"/>
  <c r="Y101" i="1"/>
  <c r="AA100" i="1"/>
  <c r="AB100" i="1" s="1"/>
  <c r="Y100" i="1"/>
  <c r="Y99" i="1"/>
  <c r="Y98" i="1"/>
  <c r="Y97" i="1"/>
  <c r="AA96" i="1"/>
  <c r="AB96" i="1" s="1"/>
  <c r="Y96" i="1"/>
  <c r="AA95" i="1"/>
  <c r="AB95" i="1" s="1"/>
  <c r="Y95" i="1"/>
  <c r="AA94" i="1"/>
  <c r="AB94" i="1" s="1"/>
  <c r="Y94" i="1"/>
  <c r="AA93" i="1"/>
  <c r="AB93" i="1" s="1"/>
  <c r="Y93" i="1"/>
  <c r="AA92" i="1"/>
  <c r="AB92" i="1" s="1"/>
  <c r="Y92" i="1"/>
  <c r="AA91" i="1"/>
  <c r="AB91" i="1" s="1"/>
  <c r="Y91" i="1"/>
  <c r="Y90" i="1"/>
  <c r="AA89" i="1"/>
  <c r="AB89" i="1" s="1"/>
  <c r="Y89" i="1"/>
  <c r="AA88" i="1"/>
  <c r="AB88" i="1" s="1"/>
  <c r="Y88" i="1"/>
  <c r="AA87" i="1"/>
  <c r="AB87" i="1" s="1"/>
  <c r="Y87" i="1"/>
  <c r="AA86" i="1"/>
  <c r="AB86" i="1" s="1"/>
  <c r="Y86" i="1"/>
  <c r="AA85" i="1"/>
  <c r="AB85" i="1" s="1"/>
  <c r="Y85" i="1"/>
  <c r="AA84" i="1"/>
  <c r="AB84" i="1" s="1"/>
  <c r="Y84" i="1"/>
  <c r="Y83" i="1"/>
  <c r="Y82" i="1"/>
  <c r="Y81" i="1"/>
  <c r="AA80" i="1"/>
  <c r="AB80" i="1" s="1"/>
  <c r="Y80" i="1"/>
  <c r="AA79" i="1"/>
  <c r="AB79" i="1" s="1"/>
  <c r="Y79" i="1"/>
  <c r="AA78" i="1"/>
  <c r="AB78" i="1" s="1"/>
  <c r="Y78" i="1"/>
  <c r="AA77" i="1"/>
  <c r="AB77" i="1" s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X4" i="1"/>
  <c r="Y3" i="1"/>
  <c r="X3" i="1"/>
  <c r="Y2" i="1"/>
  <c r="AC258" i="1" l="1"/>
  <c r="AC274" i="1"/>
  <c r="AC266" i="1"/>
  <c r="AC256" i="1"/>
  <c r="AH261" i="1"/>
  <c r="AA245" i="1"/>
  <c r="AA252" i="1"/>
  <c r="AA250" i="1"/>
  <c r="AA273" i="1"/>
  <c r="AA248" i="1"/>
  <c r="AA257" i="1"/>
  <c r="AA259" i="1"/>
  <c r="AA261" i="1"/>
  <c r="AA271" i="1"/>
  <c r="AA255" i="1"/>
  <c r="AA269" i="1"/>
  <c r="AA263" i="1"/>
  <c r="AA265" i="1"/>
  <c r="AA267" i="1"/>
  <c r="AA244" i="1"/>
  <c r="AA249" i="1"/>
  <c r="AA27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<sst xmlns="http://schemas.openxmlformats.org/spreadsheetml/2006/main" count="27" uniqueCount="27">
  <si>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CO2</t>
  </si>
  <si>
    <t>CH4</t>
  </si>
  <si>
    <t>N2O</t>
  </si>
  <si>
    <t>aerosol-radiation_interactions</t>
  </si>
  <si>
    <t>aerosol-cloud_interactions</t>
  </si>
  <si>
    <t>O3</t>
  </si>
  <si>
    <t>contrails</t>
  </si>
  <si>
    <t>land_use</t>
  </si>
  <si>
    <t>BC_on_snow</t>
  </si>
  <si>
    <t>H2O_stratospheric</t>
  </si>
  <si>
    <t>solar</t>
  </si>
  <si>
    <t>volcanic</t>
  </si>
  <si>
    <t>aerosol</t>
  </si>
  <si>
    <t>nonco2wmghg</t>
  </si>
  <si>
    <t>halogen</t>
  </si>
  <si>
    <t>anthro</t>
  </si>
  <si>
    <t>total</t>
  </si>
  <si>
    <t>minor</t>
  </si>
  <si>
    <t>3 major</t>
  </si>
  <si>
    <t>anthro no aerosol</t>
  </si>
  <si>
    <t>CO2 conc</t>
  </si>
  <si>
    <t>anthro_cloud+radiation</t>
  </si>
  <si>
    <t>confirm calcs</t>
  </si>
  <si>
    <t>error</t>
  </si>
  <si>
    <t>Recheck CO2</t>
  </si>
  <si>
    <t>Not really analagous to the TOA calcuation</t>
  </si>
  <si>
    <t>eCO2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</si>
</sst>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10BD-0B03-8B48-A8D1-F1CEBCE17C69}">
  <dimension ref="A1:AH276"/>
  <sheetViews>
    <sheetView tabSelected="1" workbookViewId="0">
      <pane xSplit="1" ySplit="1" topLeftCell="Q251" activePane="bottomRight" state="frozen"/>
      <selection pane="topRight" activeCell="B1" sqref="B1"/>
      <selection pane="bottomLeft" activeCell="A2" sqref="A2"/>
      <selection pane="bottomRight" activeCell="AD280" sqref="AD280"/>
    </sheetView>
  </sheetViews>
  <sheetFormatPr baseColWidth="10" defaultRowHeight="16" x14ac:dyDescent="0.2"/>
  <sheetData>
    <row r="1" spans="1:3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Y1" t="s">
        <v>18</v>
      </c>
      <c r="Z1" s="2" t="s">
        <v>19</v>
      </c>
      <c r="AA1" t="s">
        <v>26</v>
      </c>
      <c r="AE1" t="s">
        <v>21</v>
      </c>
    </row>
    <row r="2" spans="1:31" x14ac:dyDescent="0.2">
      <c r="A2">
        <v>1750.5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9.7590261992889601E-2</v>
      </c>
      <c r="M2">
        <v>0.20367976721648001</v>
      </c>
      <c r="N2">
        <v>0</v>
      </c>
      <c r="O2">
        <v>0</v>
      </c>
      <c r="P2">
        <v>0</v>
      </c>
      <c r="Q2">
        <v>0</v>
      </c>
      <c r="R2">
        <v>0.30127002920937002</v>
      </c>
      <c r="S2">
        <v>0</v>
      </c>
      <c r="X2" t="s">
        <v>22</v>
      </c>
      <c r="Y2">
        <f>SUM(B2:D2)</f>
        <v>0</v>
      </c>
      <c r="Z2" s="2"/>
    </row>
    <row r="3" spans="1:31" x14ac:dyDescent="0.2">
      <c r="A3">
        <v>1751.5</v>
      </c>
      <c r="B3">
        <v>1.4172921112884001E-3</v>
      </c>
      <c r="C3">
        <v>5.0833036095129997E-4</v>
      </c>
      <c r="D3" s="1">
        <v>7.4479984372878894E-5</v>
      </c>
      <c r="E3">
        <v>6.308845061278E-4</v>
      </c>
      <c r="F3">
        <v>3.830106252043E-3</v>
      </c>
      <c r="G3">
        <v>-4.4156550308180001E-4</v>
      </c>
      <c r="H3">
        <v>0</v>
      </c>
      <c r="I3">
        <v>-1.13617374201E-4</v>
      </c>
      <c r="J3">
        <v>-3.7354791741860003E-4</v>
      </c>
      <c r="K3" s="1">
        <v>3.4468962545778701E-5</v>
      </c>
      <c r="L3">
        <v>7.9243972930389595E-2</v>
      </c>
      <c r="M3">
        <v>0.237324056655005</v>
      </c>
      <c r="N3">
        <v>4.4609907581708002E-3</v>
      </c>
      <c r="O3">
        <v>5.8281114112513797E-4</v>
      </c>
      <c r="P3" s="1">
        <v>7.9580095944530201E-10</v>
      </c>
      <c r="Q3">
        <v>5.56683217842871E-3</v>
      </c>
      <c r="R3">
        <v>0.322134861763823</v>
      </c>
      <c r="S3">
        <v>-4.5269632907382103E-4</v>
      </c>
      <c r="X3">
        <f>SUM(B3:M3)</f>
        <v>0.32213486096802235</v>
      </c>
      <c r="Y3">
        <f t="shared" ref="Y3:Y66" si="0">SUM(B3:D3)</f>
        <v>2.000102456612579E-3</v>
      </c>
      <c r="Z3" s="3">
        <f>K3+J3+I3+H3+G3+D3+C3+B3+P3</f>
        <v>1.1058414202579172E-3</v>
      </c>
    </row>
    <row r="4" spans="1:31" x14ac:dyDescent="0.2">
      <c r="A4">
        <v>1752.5</v>
      </c>
      <c r="B4">
        <v>2.8342465443867001E-3</v>
      </c>
      <c r="C4">
        <v>1.0163534983992999E-3</v>
      </c>
      <c r="D4">
        <v>1.4895162727269999E-4</v>
      </c>
      <c r="E4">
        <v>1.1555409039767E-3</v>
      </c>
      <c r="F4">
        <v>5.5754332059953001E-3</v>
      </c>
      <c r="G4">
        <v>-4.0980111262009999E-4</v>
      </c>
      <c r="H4">
        <v>0</v>
      </c>
      <c r="I4">
        <v>-2.3001731555759999E-4</v>
      </c>
      <c r="J4">
        <v>-4.9819633092319999E-4</v>
      </c>
      <c r="K4" s="1">
        <v>6.8937925091557402E-5</v>
      </c>
      <c r="L4">
        <v>4.9166043242889597E-2</v>
      </c>
      <c r="M4">
        <v>0.240069526314582</v>
      </c>
      <c r="N4">
        <v>6.7309741099720001E-3</v>
      </c>
      <c r="O4">
        <v>1.16530671727391E-3</v>
      </c>
      <c r="P4" s="1">
        <v>1.5916019188634901E-9</v>
      </c>
      <c r="Q4">
        <v>9.6614505376232708E-3</v>
      </c>
      <c r="R4">
        <v>0.298897020095095</v>
      </c>
      <c r="S4">
        <v>-6.5927572138924204E-4</v>
      </c>
      <c r="X4">
        <f>R4-M4-L4</f>
        <v>9.6614505376233992E-3</v>
      </c>
      <c r="Y4">
        <f t="shared" si="0"/>
        <v>3.9995516700587E-3</v>
      </c>
      <c r="Z4" s="3">
        <f t="shared" ref="Z4:Z67" si="1">K4+J4+I4+H4+G4+D4+C4+B4+P4</f>
        <v>2.9304764276512764E-3</v>
      </c>
      <c r="AA4" s="1"/>
    </row>
    <row r="5" spans="1:31" x14ac:dyDescent="0.2">
      <c r="A5">
        <v>1753.5</v>
      </c>
      <c r="B5">
        <v>4.2508634756801998E-3</v>
      </c>
      <c r="C5">
        <v>1.5240699051992E-3</v>
      </c>
      <c r="D5">
        <v>2.234149335544E-4</v>
      </c>
      <c r="E5">
        <v>6.3743664499129997E-4</v>
      </c>
      <c r="F5">
        <v>3.8590068802683E-3</v>
      </c>
      <c r="G5">
        <v>-1.4890973871279999E-4</v>
      </c>
      <c r="H5">
        <v>0</v>
      </c>
      <c r="I5">
        <v>-3.4910087688109999E-4</v>
      </c>
      <c r="J5">
        <v>-3.7360606150260001E-4</v>
      </c>
      <c r="K5">
        <v>1.034068876373E-4</v>
      </c>
      <c r="L5">
        <v>1.29882844538271E-2</v>
      </c>
      <c r="M5">
        <v>9.1163617813051406E-2</v>
      </c>
      <c r="N5">
        <v>4.4964435252595998E-3</v>
      </c>
      <c r="O5">
        <v>1.7474872261564699E-3</v>
      </c>
      <c r="P5" s="1">
        <v>2.3874028783358998E-9</v>
      </c>
      <c r="Q5">
        <v>9.7265844376370706E-3</v>
      </c>
      <c r="R5">
        <v>0.113878486704515</v>
      </c>
      <c r="S5">
        <v>-6.1930005074639996E-4</v>
      </c>
      <c r="Y5">
        <f t="shared" si="0"/>
        <v>5.9983483144337999E-3</v>
      </c>
      <c r="Z5" s="3">
        <f t="shared" si="1"/>
        <v>5.2301409123774786E-3</v>
      </c>
    </row>
    <row r="6" spans="1:31" x14ac:dyDescent="0.2">
      <c r="A6">
        <v>1754.5</v>
      </c>
      <c r="B6">
        <v>5.6671430814174001E-3</v>
      </c>
      <c r="C6">
        <v>2.0314800728867999E-3</v>
      </c>
      <c r="D6">
        <v>2.9786990806470002E-4</v>
      </c>
      <c r="E6">
        <v>-5.3103924945659998E-4</v>
      </c>
      <c r="F6">
        <v>-9.7612657886520003E-4</v>
      </c>
      <c r="G6">
        <v>7.4659102722109995E-4</v>
      </c>
      <c r="H6">
        <v>0</v>
      </c>
      <c r="I6">
        <v>-4.7081885488859998E-4</v>
      </c>
      <c r="J6" s="1">
        <v>5.40142873723563E-5</v>
      </c>
      <c r="K6">
        <v>1.378758501831E-4</v>
      </c>
      <c r="L6">
        <v>-2.1426608124297801E-2</v>
      </c>
      <c r="M6">
        <v>-7.1972964103411294E-2</v>
      </c>
      <c r="N6">
        <v>-1.5071658283218E-3</v>
      </c>
      <c r="O6">
        <v>2.3293531641553301E-3</v>
      </c>
      <c r="P6" s="1">
        <v>3.1832038377812002E-9</v>
      </c>
      <c r="Q6">
        <v>6.9569927271388903E-3</v>
      </c>
      <c r="R6">
        <v>-8.6442579500570202E-2</v>
      </c>
      <c r="S6">
        <v>-2.7892871733314298E-4</v>
      </c>
      <c r="Y6">
        <f t="shared" si="0"/>
        <v>7.9964930623689003E-3</v>
      </c>
      <c r="Z6" s="3">
        <f t="shared" si="1"/>
        <v>8.4641585554606942E-3</v>
      </c>
    </row>
    <row r="7" spans="1:31" x14ac:dyDescent="0.2">
      <c r="A7">
        <v>1755.5</v>
      </c>
      <c r="B7">
        <v>7.0830855377010003E-3</v>
      </c>
      <c r="C7">
        <v>2.5385844916841001E-3</v>
      </c>
      <c r="D7">
        <v>3.7231655563919999E-4</v>
      </c>
      <c r="E7">
        <v>4.7903358173400002E-4</v>
      </c>
      <c r="F7">
        <v>1.5622248208640001E-4</v>
      </c>
      <c r="G7">
        <v>1.0370261064625E-3</v>
      </c>
      <c r="H7">
        <v>0</v>
      </c>
      <c r="I7">
        <v>-5.9519151170689996E-4</v>
      </c>
      <c r="J7" s="1">
        <v>5.8738608325775101E-5</v>
      </c>
      <c r="K7">
        <v>1.7234481272880001E-4</v>
      </c>
      <c r="L7">
        <v>-4.5903927460235298E-2</v>
      </c>
      <c r="M7">
        <v>8.6290159171195105E-2</v>
      </c>
      <c r="N7">
        <v>6.3525606382039998E-4</v>
      </c>
      <c r="O7">
        <v>2.91090502632809E-3</v>
      </c>
      <c r="P7" s="1">
        <v>3.9790047971994E-9</v>
      </c>
      <c r="Q7">
        <v>1.13021646436596E-2</v>
      </c>
      <c r="R7">
        <v>5.1688396354619401E-2</v>
      </c>
      <c r="S7">
        <v>-3.64108090652324E-4</v>
      </c>
      <c r="Y7">
        <f t="shared" si="0"/>
        <v>9.9939865850243014E-3</v>
      </c>
      <c r="Z7" s="3">
        <f t="shared" si="1"/>
        <v>1.0666908579839273E-2</v>
      </c>
    </row>
    <row r="8" spans="1:31" x14ac:dyDescent="0.2">
      <c r="A8">
        <v>1756.5</v>
      </c>
      <c r="B8">
        <v>8.4986910205032008E-3</v>
      </c>
      <c r="C8">
        <v>3.0453836505031999E-3</v>
      </c>
      <c r="D8">
        <v>4.4675488110559999E-4</v>
      </c>
      <c r="E8">
        <v>4.8227066790209998E-4</v>
      </c>
      <c r="F8">
        <v>3.7957511364190002E-3</v>
      </c>
      <c r="G8">
        <v>2.0777780110639999E-4</v>
      </c>
      <c r="H8">
        <v>0</v>
      </c>
      <c r="I8">
        <v>-7.2213677877199997E-4</v>
      </c>
      <c r="J8">
        <v>-3.9829679010579998E-4</v>
      </c>
      <c r="K8">
        <v>2.068137752746E-4</v>
      </c>
      <c r="L8">
        <v>-5.3485812225860303E-2</v>
      </c>
      <c r="M8">
        <v>-3.5536597144705202E-2</v>
      </c>
      <c r="N8">
        <v>4.2780218043211001E-3</v>
      </c>
      <c r="O8">
        <v>3.4921433064145501E-3</v>
      </c>
      <c r="P8" s="1">
        <v>4.7748057566718104E-9</v>
      </c>
      <c r="Q8">
        <v>1.5563014138742001E-2</v>
      </c>
      <c r="R8">
        <v>-7.3459395231823404E-2</v>
      </c>
      <c r="S8">
        <v>-9.1361979360320004E-4</v>
      </c>
      <c r="Y8">
        <f t="shared" si="0"/>
        <v>1.1990829552112002E-2</v>
      </c>
      <c r="Z8" s="3">
        <f t="shared" si="1"/>
        <v>1.1284992334420959E-2</v>
      </c>
    </row>
    <row r="9" spans="1:31" x14ac:dyDescent="0.2">
      <c r="A9">
        <v>1757.5</v>
      </c>
      <c r="B9">
        <v>9.9139597056566997E-3</v>
      </c>
      <c r="C9">
        <v>3.5518780369525002E-3</v>
      </c>
      <c r="D9">
        <v>5.2118488928100002E-4</v>
      </c>
      <c r="E9" s="1">
        <v>2.71969712889436E-5</v>
      </c>
      <c r="F9">
        <v>-5.4374543961566999E-3</v>
      </c>
      <c r="G9">
        <v>2.7551041449275001E-3</v>
      </c>
      <c r="H9">
        <v>0</v>
      </c>
      <c r="I9">
        <v>-8.5167259923010004E-4</v>
      </c>
      <c r="J9">
        <v>8.2075632150799998E-4</v>
      </c>
      <c r="K9">
        <v>2.4128273782039999E-4</v>
      </c>
      <c r="L9">
        <v>-3.4343893280547801E-2</v>
      </c>
      <c r="M9">
        <v>0.19284791182622599</v>
      </c>
      <c r="N9">
        <v>-5.4102574248677503E-3</v>
      </c>
      <c r="O9">
        <v>4.0730684968402096E-3</v>
      </c>
      <c r="P9" s="1">
        <v>5.57060671614421E-9</v>
      </c>
      <c r="Q9">
        <v>1.1542241382654901E-2</v>
      </c>
      <c r="R9">
        <v>0.170046259928333</v>
      </c>
      <c r="S9">
        <v>2.10366460098299E-4</v>
      </c>
      <c r="Y9">
        <f t="shared" si="0"/>
        <v>1.39870226318902E-2</v>
      </c>
      <c r="Z9" s="3">
        <f t="shared" si="1"/>
        <v>1.6952498807522715E-2</v>
      </c>
    </row>
    <row r="10" spans="1:31" x14ac:dyDescent="0.2">
      <c r="A10">
        <v>1758.5</v>
      </c>
      <c r="B10">
        <v>1.13288917688531E-2</v>
      </c>
      <c r="C10">
        <v>4.0580681373404001E-3</v>
      </c>
      <c r="D10">
        <v>5.9560658497520005E-4</v>
      </c>
      <c r="E10">
        <v>2.3281520833100001E-4</v>
      </c>
      <c r="F10">
        <v>-2.0102046761775998E-3</v>
      </c>
      <c r="G10">
        <v>2.3343907426115998E-3</v>
      </c>
      <c r="H10">
        <v>0</v>
      </c>
      <c r="I10">
        <v>-9.8378121463709996E-4</v>
      </c>
      <c r="J10">
        <v>4.0932260293309998E-4</v>
      </c>
      <c r="K10">
        <v>2.7575170036620001E-4</v>
      </c>
      <c r="L10">
        <v>1.7013235625702099E-2</v>
      </c>
      <c r="M10">
        <v>0.237671158294566</v>
      </c>
      <c r="N10">
        <v>-1.7773894678465899E-3</v>
      </c>
      <c r="O10">
        <v>4.6536810887232698E-3</v>
      </c>
      <c r="P10" s="1">
        <v>6.3664076755624103E-9</v>
      </c>
      <c r="Q10">
        <v>1.6240867221003499E-2</v>
      </c>
      <c r="R10">
        <v>0.27092526114127202</v>
      </c>
      <c r="S10">
        <v>-2.9870691133779899E-4</v>
      </c>
      <c r="Y10">
        <f t="shared" si="0"/>
        <v>1.59825664911687E-2</v>
      </c>
      <c r="Z10" s="3">
        <f t="shared" si="1"/>
        <v>1.8018256688850175E-2</v>
      </c>
    </row>
    <row r="11" spans="1:31" x14ac:dyDescent="0.2">
      <c r="A11">
        <v>1759.5</v>
      </c>
      <c r="B11">
        <v>1.27434873856498E-2</v>
      </c>
      <c r="C11">
        <v>4.5639544366805002E-3</v>
      </c>
      <c r="D11">
        <v>6.7001997298619996E-4</v>
      </c>
      <c r="E11">
        <v>-1.038879249303E-4</v>
      </c>
      <c r="F11">
        <v>-2.647808901279E-3</v>
      </c>
      <c r="G11">
        <v>2.1023220909595999E-3</v>
      </c>
      <c r="H11">
        <v>0</v>
      </c>
      <c r="I11">
        <v>-1.1183880056046E-3</v>
      </c>
      <c r="J11">
        <v>3.6544875319110003E-4</v>
      </c>
      <c r="K11">
        <v>3.1022066291199997E-4</v>
      </c>
      <c r="L11">
        <v>6.7512332305389597E-2</v>
      </c>
      <c r="M11">
        <v>0.23192872592155001</v>
      </c>
      <c r="N11">
        <v>-2.7516968262092999E-3</v>
      </c>
      <c r="O11">
        <v>5.2339815718753296E-3</v>
      </c>
      <c r="P11" s="1">
        <v>7.1622086350077098E-9</v>
      </c>
      <c r="Q11">
        <v>1.68853756327739E-2</v>
      </c>
      <c r="R11">
        <v>0.31632643385971398</v>
      </c>
      <c r="S11">
        <v>-4.4271858950150001E-4</v>
      </c>
      <c r="Y11">
        <f t="shared" si="0"/>
        <v>1.79774617953165E-2</v>
      </c>
      <c r="Z11" s="3">
        <f t="shared" si="1"/>
        <v>1.9637072458983235E-2</v>
      </c>
    </row>
    <row r="12" spans="1:31" x14ac:dyDescent="0.2">
      <c r="A12">
        <v>1760.5</v>
      </c>
      <c r="B12">
        <v>1.4157746731468201E-2</v>
      </c>
      <c r="C12">
        <v>5.0695374186969996E-3</v>
      </c>
      <c r="D12">
        <v>7.4442505810410004E-4</v>
      </c>
      <c r="E12">
        <v>-1.0371094827283001E-3</v>
      </c>
      <c r="F12">
        <v>-5.5869597917864999E-3</v>
      </c>
      <c r="G12">
        <v>2.4766180356435002E-3</v>
      </c>
      <c r="H12">
        <v>0</v>
      </c>
      <c r="I12">
        <v>-1.2627865734778001E-3</v>
      </c>
      <c r="J12">
        <v>5.3443817850490002E-4</v>
      </c>
      <c r="K12">
        <v>3.4468962545769997E-4</v>
      </c>
      <c r="L12">
        <v>9.2395266875702098E-2</v>
      </c>
      <c r="M12">
        <v>5.0240461888834499E-2</v>
      </c>
      <c r="N12">
        <v>-6.6240692745147996E-3</v>
      </c>
      <c r="O12">
        <v>5.81397043481069E-3</v>
      </c>
      <c r="P12" s="1">
        <v>7.9580095944530201E-9</v>
      </c>
      <c r="Q12">
        <v>1.54406071578923E-2</v>
      </c>
      <c r="R12">
        <v>0.15807633592242801</v>
      </c>
      <c r="S12">
        <v>-3.8365876951519998E-4</v>
      </c>
      <c r="Y12">
        <f t="shared" si="0"/>
        <v>1.9971709208269302E-2</v>
      </c>
      <c r="Z12" s="3">
        <f t="shared" si="1"/>
        <v>2.2064676432407195E-2</v>
      </c>
    </row>
    <row r="13" spans="1:31" x14ac:dyDescent="0.2">
      <c r="A13">
        <v>1761.5</v>
      </c>
      <c r="B13">
        <v>1.5571669981584799E-2</v>
      </c>
      <c r="C13">
        <v>5.5748175658286003E-3</v>
      </c>
      <c r="D13">
        <v>8.1882184511049999E-4</v>
      </c>
      <c r="E13">
        <v>-1.916841574064E-4</v>
      </c>
      <c r="F13">
        <v>-5.1028097149441003E-3</v>
      </c>
      <c r="G13">
        <v>3.1603429979356001E-3</v>
      </c>
      <c r="H13">
        <v>0</v>
      </c>
      <c r="I13">
        <v>-1.4169399549558001E-3</v>
      </c>
      <c r="J13">
        <v>6.9548802177740005E-4</v>
      </c>
      <c r="K13">
        <v>3.7915858800349999E-4</v>
      </c>
      <c r="L13">
        <v>8.6248636016327096E-2</v>
      </c>
      <c r="M13">
        <v>-1.25623957045057</v>
      </c>
      <c r="N13">
        <v>-5.2944938723504999E-3</v>
      </c>
      <c r="O13">
        <v>6.3936481647496497E-3</v>
      </c>
      <c r="P13" s="1">
        <v>8.7538105538712104E-9</v>
      </c>
      <c r="Q13">
        <v>1.9488873926744602E-2</v>
      </c>
      <c r="R13">
        <v>-1.15050206050749</v>
      </c>
      <c r="S13">
        <v>-3.4229334517490003E-4</v>
      </c>
      <c r="Y13">
        <f t="shared" si="0"/>
        <v>2.1965309392523898E-2</v>
      </c>
      <c r="Z13" s="3">
        <f t="shared" si="1"/>
        <v>2.4783367799095155E-2</v>
      </c>
    </row>
    <row r="14" spans="1:31" x14ac:dyDescent="0.2">
      <c r="A14">
        <v>1762.5</v>
      </c>
      <c r="B14">
        <v>1.6985257311146199E-2</v>
      </c>
      <c r="C14">
        <v>6.079795359234E-3</v>
      </c>
      <c r="D14">
        <v>8.9321033877659995E-4</v>
      </c>
      <c r="E14">
        <v>-2.8116432003699997E-4</v>
      </c>
      <c r="F14">
        <v>-1.5134416684854999E-3</v>
      </c>
      <c r="G14">
        <v>2.0686692402085999E-3</v>
      </c>
      <c r="H14">
        <v>0</v>
      </c>
      <c r="I14">
        <v>-1.5735497323629E-3</v>
      </c>
      <c r="J14">
        <v>1.5234069706489999E-4</v>
      </c>
      <c r="K14">
        <v>4.1362755054930001E-4</v>
      </c>
      <c r="L14">
        <v>6.41582063288271E-2</v>
      </c>
      <c r="M14">
        <v>-0.59186976339046105</v>
      </c>
      <c r="N14">
        <v>-1.7946059885224901E-3</v>
      </c>
      <c r="O14">
        <v>6.9730152476221103E-3</v>
      </c>
      <c r="P14" s="1">
        <v>9.5496115133436208E-9</v>
      </c>
      <c r="Q14">
        <v>2.3224754325705699E-2</v>
      </c>
      <c r="R14">
        <v>-0.50448680273592805</v>
      </c>
      <c r="S14">
        <v>-1.0075814847487E-3</v>
      </c>
      <c r="Y14">
        <f t="shared" si="0"/>
        <v>2.3958263009156797E-2</v>
      </c>
      <c r="Z14" s="3">
        <f t="shared" si="1"/>
        <v>2.5019360314228214E-2</v>
      </c>
    </row>
    <row r="15" spans="1:31" x14ac:dyDescent="0.2">
      <c r="A15">
        <v>1763.5</v>
      </c>
      <c r="B15">
        <v>1.8398508895160801E-2</v>
      </c>
      <c r="C15">
        <v>6.5844712787963E-3</v>
      </c>
      <c r="D15">
        <v>9.6759054386480004E-4</v>
      </c>
      <c r="E15">
        <v>-1.749426686361E-4</v>
      </c>
      <c r="F15">
        <v>-1.9388005809664001E-3</v>
      </c>
      <c r="G15">
        <v>2.5807868115232E-3</v>
      </c>
      <c r="H15">
        <v>0</v>
      </c>
      <c r="I15">
        <v>-1.7325542530021E-3</v>
      </c>
      <c r="J15">
        <v>2.42396387451E-4</v>
      </c>
      <c r="K15">
        <v>4.4809651309509998E-4</v>
      </c>
      <c r="L15">
        <v>3.08197541803896E-2</v>
      </c>
      <c r="M15">
        <v>-3.0711403692253801E-2</v>
      </c>
      <c r="N15">
        <v>-2.1137432496025001E-3</v>
      </c>
      <c r="O15">
        <v>7.5520721680735698E-3</v>
      </c>
      <c r="P15" s="1">
        <v>1.03454124727889E-8</v>
      </c>
      <c r="Q15">
        <v>2.5375563272698999E-2</v>
      </c>
      <c r="R15">
        <v>2.5483913760834798E-2</v>
      </c>
      <c r="S15">
        <v>-1.0420613524560001E-3</v>
      </c>
      <c r="Y15">
        <f t="shared" si="0"/>
        <v>2.5950570717821902E-2</v>
      </c>
      <c r="Z15" s="3">
        <f t="shared" si="1"/>
        <v>2.7489306522301572E-2</v>
      </c>
    </row>
    <row r="16" spans="1:31" x14ac:dyDescent="0.2">
      <c r="A16">
        <v>1764.5</v>
      </c>
      <c r="B16">
        <v>1.9811424908496501E-2</v>
      </c>
      <c r="C16">
        <v>7.0888458031276996E-3</v>
      </c>
      <c r="D16">
        <v>1.0419624651284E-3</v>
      </c>
      <c r="E16">
        <v>1.7094621618924E-3</v>
      </c>
      <c r="F16">
        <v>4.4775559399964004E-3</v>
      </c>
      <c r="G16">
        <v>2.0090531810703998E-3</v>
      </c>
      <c r="H16">
        <v>0</v>
      </c>
      <c r="I16">
        <v>-1.8939447480380001E-3</v>
      </c>
      <c r="J16">
        <v>-2.9266577755950003E-4</v>
      </c>
      <c r="K16">
        <v>4.825654756409E-4</v>
      </c>
      <c r="L16">
        <v>-5.9352262883603001E-3</v>
      </c>
      <c r="M16">
        <v>0.16959958020524901</v>
      </c>
      <c r="N16">
        <v>6.1870181018888002E-3</v>
      </c>
      <c r="O16">
        <v>8.1308194094695304E-3</v>
      </c>
      <c r="P16" s="1">
        <v>1.11412134322071E-8</v>
      </c>
      <c r="Q16">
        <v>3.44342705509686E-2</v>
      </c>
      <c r="R16">
        <v>0.198098624467857</v>
      </c>
      <c r="S16">
        <v>-1.7040450499566E-3</v>
      </c>
      <c r="Y16">
        <f t="shared" si="0"/>
        <v>2.7942233176752602E-2</v>
      </c>
      <c r="Z16" s="3">
        <f t="shared" si="1"/>
        <v>2.8247252449079829E-2</v>
      </c>
    </row>
    <row r="17" spans="1:26" x14ac:dyDescent="0.2">
      <c r="A17">
        <v>1765.5</v>
      </c>
      <c r="B17">
        <v>2.12240055258879E-2</v>
      </c>
      <c r="C17">
        <v>7.5929194095742001E-3</v>
      </c>
      <c r="D17">
        <v>1.1163261073125E-3</v>
      </c>
      <c r="E17">
        <v>-4.7186459283530001E-4</v>
      </c>
      <c r="F17">
        <v>-4.4388364378483E-3</v>
      </c>
      <c r="G17">
        <v>3.4119157780669999E-3</v>
      </c>
      <c r="H17">
        <v>0</v>
      </c>
      <c r="I17">
        <v>-2.0576975005510002E-3</v>
      </c>
      <c r="J17">
        <v>5.1460167878980003E-4</v>
      </c>
      <c r="K17">
        <v>5.1703443818660005E-4</v>
      </c>
      <c r="L17">
        <v>-3.5779147186797797E-2</v>
      </c>
      <c r="M17">
        <v>0.23295098580325199</v>
      </c>
      <c r="N17">
        <v>-4.9107010306835997E-3</v>
      </c>
      <c r="O17">
        <v>8.7092574539010901E-3</v>
      </c>
      <c r="P17" s="1">
        <v>1.19370143916524E-8</v>
      </c>
      <c r="Q17">
        <v>2.74084163435977E-2</v>
      </c>
      <c r="R17">
        <v>0.22458025496005199</v>
      </c>
      <c r="S17">
        <v>-1.0260613835746E-3</v>
      </c>
      <c r="Y17">
        <f t="shared" si="0"/>
        <v>2.9933251042774601E-2</v>
      </c>
      <c r="Z17" s="3">
        <f t="shared" si="1"/>
        <v>3.2319117374281392E-2</v>
      </c>
    </row>
    <row r="18" spans="1:26" x14ac:dyDescent="0.2">
      <c r="A18">
        <v>1766.5</v>
      </c>
      <c r="B18">
        <v>2.2636250921933099E-2</v>
      </c>
      <c r="C18">
        <v>8.0966925742206996E-3</v>
      </c>
      <c r="D18">
        <v>1.1906814751517999E-3</v>
      </c>
      <c r="E18">
        <v>7.2487941514510004E-4</v>
      </c>
      <c r="F18">
        <v>-2.00869682442E-4</v>
      </c>
      <c r="G18">
        <v>3.3574452977346001E-3</v>
      </c>
      <c r="H18">
        <v>0</v>
      </c>
      <c r="I18">
        <v>-2.2237859743677001E-3</v>
      </c>
      <c r="J18">
        <v>3.2124811539650002E-4</v>
      </c>
      <c r="K18">
        <v>5.5150340073240002E-4</v>
      </c>
      <c r="L18">
        <v>-4.9897677460235303E-2</v>
      </c>
      <c r="M18">
        <v>-0.24227234730856301</v>
      </c>
      <c r="N18">
        <v>5.2400973270309999E-4</v>
      </c>
      <c r="O18">
        <v>9.2873867821878509E-3</v>
      </c>
      <c r="P18" s="1">
        <v>1.2732815351124801E-8</v>
      </c>
      <c r="Q18">
        <v>3.4454058276319803E-2</v>
      </c>
      <c r="R18">
        <v>-0.25771596649247802</v>
      </c>
      <c r="S18">
        <v>-1.3510344582388001E-3</v>
      </c>
      <c r="Y18">
        <f t="shared" si="0"/>
        <v>3.1923624971305596E-2</v>
      </c>
      <c r="Z18" s="3">
        <f t="shared" si="1"/>
        <v>3.3930048543616746E-2</v>
      </c>
    </row>
    <row r="19" spans="1:26" x14ac:dyDescent="0.2">
      <c r="A19">
        <v>1767.5</v>
      </c>
      <c r="B19">
        <v>2.4048161271091099E-2</v>
      </c>
      <c r="C19">
        <v>8.6001657718953999E-3</v>
      </c>
      <c r="D19">
        <v>1.2650285733723E-3</v>
      </c>
      <c r="E19">
        <v>5.9053234562270001E-4</v>
      </c>
      <c r="F19">
        <v>-3.0911383591820002E-4</v>
      </c>
      <c r="G19">
        <v>3.5532887604649002E-3</v>
      </c>
      <c r="H19">
        <v>0</v>
      </c>
      <c r="I19">
        <v>-2.3921635477628001E-3</v>
      </c>
      <c r="J19">
        <v>3.609544222213E-4</v>
      </c>
      <c r="K19">
        <v>5.8597236327819998E-4</v>
      </c>
      <c r="L19">
        <v>-3.6715182343047797E-2</v>
      </c>
      <c r="M19">
        <v>3.0143531443610001E-3</v>
      </c>
      <c r="N19">
        <v>2.8141850970449998E-4</v>
      </c>
      <c r="O19">
        <v>9.8652078738840094E-3</v>
      </c>
      <c r="P19" s="1">
        <v>1.3528616310570099E-8</v>
      </c>
      <c r="Q19">
        <v>3.6302839652881197E-2</v>
      </c>
      <c r="R19">
        <v>2.60201045419441E-3</v>
      </c>
      <c r="S19">
        <v>-1.4452367622632999E-3</v>
      </c>
      <c r="Y19">
        <f t="shared" si="0"/>
        <v>3.3913355616358803E-2</v>
      </c>
      <c r="Z19" s="3">
        <f t="shared" si="1"/>
        <v>3.6021421143176711E-2</v>
      </c>
    </row>
    <row r="20" spans="1:26" x14ac:dyDescent="0.2">
      <c r="A20">
        <v>1768.5</v>
      </c>
      <c r="B20">
        <v>2.5459736747684699E-2</v>
      </c>
      <c r="C20">
        <v>9.1033394761736008E-3</v>
      </c>
      <c r="D20">
        <v>1.3393674066922E-3</v>
      </c>
      <c r="E20">
        <v>-8.4485903383249995E-4</v>
      </c>
      <c r="F20">
        <v>-1.16935039344416E-2</v>
      </c>
      <c r="G20">
        <v>5.7787177597102002E-3</v>
      </c>
      <c r="H20">
        <v>0</v>
      </c>
      <c r="I20">
        <v>-2.5628368600826E-3</v>
      </c>
      <c r="J20">
        <v>1.4537515476816E-3</v>
      </c>
      <c r="K20">
        <v>6.2044132582399995E-4</v>
      </c>
      <c r="L20">
        <v>1.94469270319521E-2</v>
      </c>
      <c r="M20">
        <v>0.167134713979911</v>
      </c>
      <c r="N20">
        <v>-1.2538362968274E-2</v>
      </c>
      <c r="O20">
        <v>1.0442721207283E-2</v>
      </c>
      <c r="P20" s="1">
        <v>1.43244172700154E-8</v>
      </c>
      <c r="Q20">
        <v>2.8654168759826799E-2</v>
      </c>
      <c r="R20">
        <v>0.21523580977168999</v>
      </c>
      <c r="S20">
        <v>-4.8864398657699998E-4</v>
      </c>
      <c r="Y20">
        <f t="shared" si="0"/>
        <v>3.59024436305505E-2</v>
      </c>
      <c r="Z20" s="3">
        <f t="shared" si="1"/>
        <v>4.1192531728100966E-2</v>
      </c>
    </row>
    <row r="21" spans="1:26" x14ac:dyDescent="0.2">
      <c r="A21">
        <v>1769.5</v>
      </c>
      <c r="B21">
        <v>2.6870977525904199E-2</v>
      </c>
      <c r="C21">
        <v>9.6062141593842992E-3</v>
      </c>
      <c r="D21">
        <v>1.4136979798185E-3</v>
      </c>
      <c r="E21">
        <v>-4.2288855047780002E-4</v>
      </c>
      <c r="F21">
        <v>-6.0407711539765003E-3</v>
      </c>
      <c r="G21">
        <v>4.6166053385718001E-3</v>
      </c>
      <c r="H21">
        <v>0</v>
      </c>
      <c r="I21">
        <v>-2.7357544666088999E-3</v>
      </c>
      <c r="J21">
        <v>7.6501835008699998E-4</v>
      </c>
      <c r="K21">
        <v>6.5491028836980002E-4</v>
      </c>
      <c r="L21">
        <v>8.5593411406952105E-2</v>
      </c>
      <c r="M21">
        <v>3.4183551722879298E-2</v>
      </c>
      <c r="N21">
        <v>-6.4636597044542997E-3</v>
      </c>
      <c r="O21">
        <v>1.1019927259421001E-2</v>
      </c>
      <c r="P21" s="1">
        <v>1.5120218229460698E-8</v>
      </c>
      <c r="Q21">
        <v>3.4728024591290603E-2</v>
      </c>
      <c r="R21">
        <v>0.15450498772112201</v>
      </c>
      <c r="S21">
        <v>-1.3158258281520999E-3</v>
      </c>
      <c r="Y21">
        <f t="shared" si="0"/>
        <v>3.7890889665107001E-2</v>
      </c>
      <c r="Z21" s="3">
        <f t="shared" si="1"/>
        <v>4.1191684295744928E-2</v>
      </c>
    </row>
    <row r="22" spans="1:26" x14ac:dyDescent="0.2">
      <c r="A22">
        <v>1770.5</v>
      </c>
      <c r="B22">
        <v>2.8281883779798699E-2</v>
      </c>
      <c r="C22">
        <v>1.01087902926126E-2</v>
      </c>
      <c r="D22">
        <v>1.4880202974513999E-3</v>
      </c>
      <c r="E22">
        <v>-4.0944920110910001E-4</v>
      </c>
      <c r="F22">
        <v>-6.2485134975305001E-3</v>
      </c>
      <c r="G22">
        <v>4.9168545956400998E-3</v>
      </c>
      <c r="H22">
        <v>0</v>
      </c>
      <c r="I22">
        <v>-2.9303801786677002E-3</v>
      </c>
      <c r="J22">
        <v>8.0056222535819998E-4</v>
      </c>
      <c r="K22">
        <v>6.8937925091550002E-4</v>
      </c>
      <c r="L22">
        <v>0.117262600860077</v>
      </c>
      <c r="M22">
        <v>0.17953389169481901</v>
      </c>
      <c r="N22">
        <v>-6.6579626986396001E-3</v>
      </c>
      <c r="O22">
        <v>1.15968265060831E-2</v>
      </c>
      <c r="P22" s="1">
        <v>1.5916019188878899E-8</v>
      </c>
      <c r="Q22">
        <v>3.66971634804883E-2</v>
      </c>
      <c r="R22">
        <v>0.333493656035385</v>
      </c>
      <c r="S22">
        <v>-1.440438702394E-3</v>
      </c>
      <c r="Y22">
        <f t="shared" si="0"/>
        <v>3.9878694369862702E-2</v>
      </c>
      <c r="Z22" s="3">
        <f t="shared" si="1"/>
        <v>4.3355126179127991E-2</v>
      </c>
    </row>
    <row r="23" spans="1:26" x14ac:dyDescent="0.2">
      <c r="A23">
        <v>1771.5</v>
      </c>
      <c r="B23">
        <v>2.9692455683285199E-2</v>
      </c>
      <c r="C23">
        <v>1.0611068345705899E-2</v>
      </c>
      <c r="D23">
        <v>1.5623343642816E-3</v>
      </c>
      <c r="E23">
        <v>6.3639158959539999E-4</v>
      </c>
      <c r="F23">
        <v>-2.016023231483E-4</v>
      </c>
      <c r="G23">
        <v>3.9782068869466001E-3</v>
      </c>
      <c r="H23">
        <v>0</v>
      </c>
      <c r="I23">
        <v>-3.1467552503883001E-3</v>
      </c>
      <c r="J23">
        <v>2.2104409023050001E-4</v>
      </c>
      <c r="K23">
        <v>7.2384821346129999E-4</v>
      </c>
      <c r="L23">
        <v>0.10971191726632699</v>
      </c>
      <c r="M23">
        <v>0.23405969221259801</v>
      </c>
      <c r="N23">
        <v>4.3478926644709999E-4</v>
      </c>
      <c r="O23">
        <v>1.2173419421807601E-2</v>
      </c>
      <c r="P23" s="1">
        <v>1.6711820148351299E-8</v>
      </c>
      <c r="Q23">
        <v>4.4077008311789997E-2</v>
      </c>
      <c r="R23">
        <v>0.387848617790716</v>
      </c>
      <c r="S23">
        <v>-2.2018629466965E-3</v>
      </c>
      <c r="Y23">
        <f t="shared" si="0"/>
        <v>4.1865858393272698E-2</v>
      </c>
      <c r="Z23" s="3">
        <f t="shared" si="1"/>
        <v>4.3642219045342948E-2</v>
      </c>
    </row>
    <row r="24" spans="1:26" x14ac:dyDescent="0.2">
      <c r="A24">
        <v>1772.5</v>
      </c>
      <c r="B24">
        <v>3.1102693410144901E-2</v>
      </c>
      <c r="C24">
        <v>1.1113048787277501E-2</v>
      </c>
      <c r="D24">
        <v>1.6366401849903E-3</v>
      </c>
      <c r="E24">
        <v>1.3004194698453E-3</v>
      </c>
      <c r="F24">
        <v>3.3275172525929999E-4</v>
      </c>
      <c r="G24">
        <v>3.7205126003557998E-3</v>
      </c>
      <c r="H24">
        <v>0</v>
      </c>
      <c r="I24">
        <v>-3.3652764885343999E-3</v>
      </c>
      <c r="J24" s="1">
        <v>2.00411316170876E-5</v>
      </c>
      <c r="K24">
        <v>7.5831717600709995E-4</v>
      </c>
      <c r="L24">
        <v>8.6779055938202093E-2</v>
      </c>
      <c r="M24">
        <v>0.243692271687524</v>
      </c>
      <c r="N24">
        <v>1.6331711951045999E-3</v>
      </c>
      <c r="O24">
        <v>1.2749706479888901E-2</v>
      </c>
      <c r="P24" s="1">
        <v>1.7507621107769499E-8</v>
      </c>
      <c r="Q24">
        <v>4.6619165504583997E-2</v>
      </c>
      <c r="R24">
        <v>0.37709049313031001</v>
      </c>
      <c r="S24">
        <v>-2.5869181809102101E-3</v>
      </c>
      <c r="Y24">
        <f t="shared" si="0"/>
        <v>4.3852382382412701E-2</v>
      </c>
      <c r="Z24" s="3">
        <f t="shared" si="1"/>
        <v>4.4985994309479395E-2</v>
      </c>
    </row>
    <row r="25" spans="1:26" x14ac:dyDescent="0.2">
      <c r="A25">
        <v>1773.5</v>
      </c>
      <c r="B25">
        <v>3.2512597134019702E-2</v>
      </c>
      <c r="C25">
        <v>1.1614732084711799E-2</v>
      </c>
      <c r="D25">
        <v>1.7109377642501001E-3</v>
      </c>
      <c r="E25">
        <v>1.0151691169454E-3</v>
      </c>
      <c r="F25" s="1">
        <v>7.7061013358352401E-5</v>
      </c>
      <c r="G25">
        <v>3.9040656699311999E-3</v>
      </c>
      <c r="H25">
        <v>0</v>
      </c>
      <c r="I25">
        <v>-3.5859331932671999E-3</v>
      </c>
      <c r="J25">
        <v>1.182254688847E-4</v>
      </c>
      <c r="K25">
        <v>7.9278613855290002E-4</v>
      </c>
      <c r="L25">
        <v>5.0835305938202097E-2</v>
      </c>
      <c r="M25">
        <v>0.24524535292173399</v>
      </c>
      <c r="N25">
        <v>1.09223013030375E-3</v>
      </c>
      <c r="O25">
        <v>1.3325688152383899E-2</v>
      </c>
      <c r="P25" s="1">
        <v>1.8303422067214801E-8</v>
      </c>
      <c r="Q25">
        <v>4.8159659500808999E-2</v>
      </c>
      <c r="R25">
        <v>0.34424031836074498</v>
      </c>
      <c r="S25">
        <v>-2.6749215858295899E-3</v>
      </c>
      <c r="Y25">
        <f t="shared" si="0"/>
        <v>4.5838266982981601E-2</v>
      </c>
      <c r="Z25" s="3">
        <f t="shared" si="1"/>
        <v>4.7067429370505273E-2</v>
      </c>
    </row>
    <row r="26" spans="1:26" x14ac:dyDescent="0.2">
      <c r="A26">
        <v>1774.5</v>
      </c>
      <c r="B26">
        <v>3.3922167028420699E-2</v>
      </c>
      <c r="C26">
        <v>1.2116118704168E-2</v>
      </c>
      <c r="D26">
        <v>1.7852271067252999E-3</v>
      </c>
      <c r="E26">
        <v>-7.0772529710400002E-4</v>
      </c>
      <c r="F26">
        <v>-8.7014794461873993E-3</v>
      </c>
      <c r="G26">
        <v>5.6986906474284999E-3</v>
      </c>
      <c r="H26">
        <v>0</v>
      </c>
      <c r="I26">
        <v>-3.8087091152127E-3</v>
      </c>
      <c r="J26">
        <v>1.0823496359076E-3</v>
      </c>
      <c r="K26">
        <v>8.2725510109860003E-4</v>
      </c>
      <c r="L26">
        <v>1.0086575469452101E-2</v>
      </c>
      <c r="M26">
        <v>0.24548460749392501</v>
      </c>
      <c r="N26">
        <v>-9.4092047432913998E-3</v>
      </c>
      <c r="O26">
        <v>1.3901364910116299E-2</v>
      </c>
      <c r="P26" s="1">
        <v>1.90992230266601E-8</v>
      </c>
      <c r="Q26">
        <v>4.2213913464467602E-2</v>
      </c>
      <c r="R26">
        <v>0.29778509642784401</v>
      </c>
      <c r="S26">
        <v>-1.8991043782065E-3</v>
      </c>
      <c r="Y26">
        <f t="shared" si="0"/>
        <v>4.7823512839313999E-2</v>
      </c>
      <c r="Z26" s="3">
        <f t="shared" si="1"/>
        <v>5.1623118207759028E-2</v>
      </c>
    </row>
    <row r="27" spans="1:26" x14ac:dyDescent="0.2">
      <c r="A27">
        <v>1775.5</v>
      </c>
      <c r="B27">
        <v>3.5331403266720199E-2</v>
      </c>
      <c r="C27">
        <v>1.2617209110585699E-2</v>
      </c>
      <c r="D27">
        <v>1.8595082170708001E-3</v>
      </c>
      <c r="E27">
        <v>5.7843984184610003E-4</v>
      </c>
      <c r="F27">
        <v>-4.7173100069802E-3</v>
      </c>
      <c r="G27">
        <v>5.7800302170447002E-3</v>
      </c>
      <c r="H27">
        <v>0</v>
      </c>
      <c r="I27">
        <v>-4.0335401960378998E-3</v>
      </c>
      <c r="J27">
        <v>1.0028907149647001E-3</v>
      </c>
      <c r="K27">
        <v>8.6172406364439999E-4</v>
      </c>
      <c r="L27">
        <v>-2.5638766327422801E-2</v>
      </c>
      <c r="M27">
        <v>0.24552050623190599</v>
      </c>
      <c r="N27">
        <v>-4.1388701651341002E-3</v>
      </c>
      <c r="O27">
        <v>1.44767372226804E-2</v>
      </c>
      <c r="P27" s="1">
        <v>1.9895023986105399E-8</v>
      </c>
      <c r="Q27">
        <v>4.9280375123882399E-2</v>
      </c>
      <c r="R27">
        <v>0.26916211502836501</v>
      </c>
      <c r="S27">
        <v>-2.1689254174287998E-3</v>
      </c>
      <c r="Y27">
        <f t="shared" si="0"/>
        <v>4.9808120594376698E-2</v>
      </c>
      <c r="Z27" s="3">
        <f t="shared" si="1"/>
        <v>5.3419245289016593E-2</v>
      </c>
    </row>
    <row r="28" spans="1:26" x14ac:dyDescent="0.2">
      <c r="A28">
        <v>1776.5</v>
      </c>
      <c r="B28">
        <v>3.6740306022155202E-2</v>
      </c>
      <c r="C28">
        <v>1.31180037676883E-2</v>
      </c>
      <c r="D28">
        <v>1.9337810999329999E-3</v>
      </c>
      <c r="E28">
        <v>6.6991832289279999E-4</v>
      </c>
      <c r="F28">
        <v>-4.6309795508170002E-4</v>
      </c>
      <c r="G28">
        <v>4.6243238883023003E-3</v>
      </c>
      <c r="H28">
        <v>0</v>
      </c>
      <c r="I28">
        <v>-4.2604658554265002E-3</v>
      </c>
      <c r="J28">
        <v>4.478225115576E-4</v>
      </c>
      <c r="K28">
        <v>8.9619302619019995E-4</v>
      </c>
      <c r="L28">
        <v>-4.67931608586728E-2</v>
      </c>
      <c r="M28">
        <v>0.24552581078549901</v>
      </c>
      <c r="N28">
        <v>2.0682036781109899E-4</v>
      </c>
      <c r="O28">
        <v>1.50518055584462E-2</v>
      </c>
      <c r="P28" s="1">
        <v>2.0690824945550701E-8</v>
      </c>
      <c r="Q28">
        <v>5.3706805519036102E-2</v>
      </c>
      <c r="R28">
        <v>0.25243945544586199</v>
      </c>
      <c r="S28">
        <v>-2.9164503176786999E-3</v>
      </c>
      <c r="Y28">
        <f t="shared" si="0"/>
        <v>5.1792090889776501E-2</v>
      </c>
      <c r="Z28" s="3">
        <f t="shared" si="1"/>
        <v>5.3499985151225046E-2</v>
      </c>
    </row>
    <row r="29" spans="1:26" x14ac:dyDescent="0.2">
      <c r="A29">
        <v>1777.5</v>
      </c>
      <c r="B29">
        <v>3.8148875467830003E-2</v>
      </c>
      <c r="C29">
        <v>1.3618503137987899E-2</v>
      </c>
      <c r="D29">
        <v>2.0080457599496002E-3</v>
      </c>
      <c r="E29">
        <v>6.9233534198769996E-4</v>
      </c>
      <c r="F29">
        <v>-6.7408559930623004E-3</v>
      </c>
      <c r="G29">
        <v>6.4842819260590998E-3</v>
      </c>
      <c r="H29">
        <v>0</v>
      </c>
      <c r="I29">
        <v>-4.4893914890366E-3</v>
      </c>
      <c r="J29">
        <v>1.3499015400366E-3</v>
      </c>
      <c r="K29">
        <v>9.3066198873600003E-4</v>
      </c>
      <c r="L29">
        <v>-4.29866178899228E-2</v>
      </c>
      <c r="M29">
        <v>0.24552658769902999</v>
      </c>
      <c r="N29">
        <v>-6.0485206510746004E-3</v>
      </c>
      <c r="O29">
        <v>1.5626570384563401E-2</v>
      </c>
      <c r="P29" s="1">
        <v>2.1486625905023101E-8</v>
      </c>
      <c r="Q29">
        <v>5.20023791671139E-2</v>
      </c>
      <c r="R29">
        <v>0.25454234897622102</v>
      </c>
      <c r="S29">
        <v>-2.2088279602639998E-3</v>
      </c>
      <c r="Y29">
        <f t="shared" si="0"/>
        <v>5.3775424365767502E-2</v>
      </c>
      <c r="Z29" s="3">
        <f t="shared" si="1"/>
        <v>5.8050899818188506E-2</v>
      </c>
    </row>
    <row r="30" spans="1:26" x14ac:dyDescent="0.2">
      <c r="A30">
        <v>1778.5</v>
      </c>
      <c r="B30">
        <v>3.9557111776713803E-2</v>
      </c>
      <c r="C30">
        <v>1.41187076827899E-2</v>
      </c>
      <c r="D30">
        <v>2.0823022017495999E-3</v>
      </c>
      <c r="E30">
        <v>2.7095068034990001E-4</v>
      </c>
      <c r="F30">
        <v>-1.0926001753768099E-2</v>
      </c>
      <c r="G30">
        <v>7.5966713003976999E-3</v>
      </c>
      <c r="H30">
        <v>0</v>
      </c>
      <c r="I30">
        <v>-4.7203494495928998E-3</v>
      </c>
      <c r="J30">
        <v>1.7866116744804999E-3</v>
      </c>
      <c r="K30">
        <v>9.6513095128179999E-4</v>
      </c>
      <c r="L30">
        <v>1.6466584772646001E-3</v>
      </c>
      <c r="M30">
        <v>0.242553280513122</v>
      </c>
      <c r="N30">
        <v>-1.06550510734181E-2</v>
      </c>
      <c r="O30">
        <v>1.6201032166966299E-2</v>
      </c>
      <c r="P30" s="1">
        <v>2.2282426864441301E-8</v>
      </c>
      <c r="Q30">
        <v>5.0731157346829002E-2</v>
      </c>
      <c r="R30">
        <v>0.29493109633721498</v>
      </c>
      <c r="S30">
        <v>-1.9686068238306E-3</v>
      </c>
      <c r="Y30">
        <f t="shared" si="0"/>
        <v>5.5758121661253303E-2</v>
      </c>
      <c r="Z30" s="3">
        <f t="shared" si="1"/>
        <v>6.1386208420247265E-2</v>
      </c>
    </row>
    <row r="31" spans="1:26" x14ac:dyDescent="0.2">
      <c r="A31">
        <v>1779.5</v>
      </c>
      <c r="B31">
        <v>4.0965015121637603E-2</v>
      </c>
      <c r="C31">
        <v>1.4618617862197199E-2</v>
      </c>
      <c r="D31">
        <v>2.1565504299533998E-3</v>
      </c>
      <c r="E31">
        <v>6.5551928849630001E-4</v>
      </c>
      <c r="F31">
        <v>-5.7719399806998003E-3</v>
      </c>
      <c r="G31">
        <v>6.2972943154365E-3</v>
      </c>
      <c r="H31">
        <v>0</v>
      </c>
      <c r="I31">
        <v>-4.9532727299954997E-3</v>
      </c>
      <c r="J31">
        <v>1.2089841321597E-3</v>
      </c>
      <c r="K31">
        <v>9.995999138275001E-4</v>
      </c>
      <c r="L31">
        <v>7.30505403132021E-2</v>
      </c>
      <c r="M31">
        <v>0.165436256200344</v>
      </c>
      <c r="N31">
        <v>-5.1164206922035002E-3</v>
      </c>
      <c r="O31">
        <v>1.67751913703784E-2</v>
      </c>
      <c r="P31" s="1">
        <v>2.30782278238866E-8</v>
      </c>
      <c r="Q31">
        <v>5.6176391431240702E-2</v>
      </c>
      <c r="R31">
        <v>0.29466318794478702</v>
      </c>
      <c r="S31">
        <v>-2.74468868400829E-3</v>
      </c>
      <c r="Y31">
        <f t="shared" si="0"/>
        <v>5.7740183413788199E-2</v>
      </c>
      <c r="Z31" s="3">
        <f t="shared" si="1"/>
        <v>6.1292812123444222E-2</v>
      </c>
    </row>
    <row r="32" spans="1:26" x14ac:dyDescent="0.2">
      <c r="A32">
        <v>1780.5</v>
      </c>
      <c r="B32">
        <v>4.2372585675301298E-2</v>
      </c>
      <c r="C32">
        <v>1.51182341351144E-2</v>
      </c>
      <c r="D32">
        <v>2.2307904491722999E-3</v>
      </c>
      <c r="E32">
        <v>-5.4400766782959999E-4</v>
      </c>
      <c r="F32">
        <v>-1.19315177410861E-2</v>
      </c>
      <c r="G32">
        <v>6.9959271505794004E-3</v>
      </c>
      <c r="H32">
        <v>0</v>
      </c>
      <c r="I32">
        <v>-5.1786450139968002E-3</v>
      </c>
      <c r="J32">
        <v>1.6331909169073999E-3</v>
      </c>
      <c r="K32">
        <v>1.0340688763733001E-3</v>
      </c>
      <c r="L32">
        <v>0.115827346953827</v>
      </c>
      <c r="M32">
        <v>0.19198439580035401</v>
      </c>
      <c r="N32">
        <v>-1.2475525408915699E-2</v>
      </c>
      <c r="O32">
        <v>1.7349048458315398E-2</v>
      </c>
      <c r="P32" s="1">
        <v>2.3874028783359001E-8</v>
      </c>
      <c r="Q32">
        <v>5.1730650654564302E-2</v>
      </c>
      <c r="R32">
        <v>0.359542393408745</v>
      </c>
      <c r="S32">
        <v>-2.5113852207161E-3</v>
      </c>
      <c r="Y32">
        <f t="shared" si="0"/>
        <v>5.9721610259587998E-2</v>
      </c>
      <c r="Z32" s="3">
        <f t="shared" si="1"/>
        <v>6.4206176063480086E-2</v>
      </c>
    </row>
    <row r="33" spans="1:26" x14ac:dyDescent="0.2">
      <c r="A33">
        <v>1781.5</v>
      </c>
      <c r="B33">
        <v>4.3779823610271398E-2</v>
      </c>
      <c r="C33">
        <v>1.56175569592528E-2</v>
      </c>
      <c r="D33">
        <v>2.3050222640096998E-3</v>
      </c>
      <c r="E33">
        <v>4.4619803351420001E-4</v>
      </c>
      <c r="F33">
        <v>-9.4412198673530998E-3</v>
      </c>
      <c r="G33">
        <v>7.3589838247772E-3</v>
      </c>
      <c r="H33">
        <v>0</v>
      </c>
      <c r="I33">
        <v>-5.3964773596267002E-3</v>
      </c>
      <c r="J33">
        <v>1.6499073382205999E-3</v>
      </c>
      <c r="K33">
        <v>1.0685378389191E-3</v>
      </c>
      <c r="L33">
        <v>0.115671341094452</v>
      </c>
      <c r="M33">
        <v>0.23645367447632401</v>
      </c>
      <c r="N33">
        <v>-8.9950218338388996E-3</v>
      </c>
      <c r="O33">
        <v>1.79226038930922E-2</v>
      </c>
      <c r="P33" s="1">
        <v>2.4669829742777201E-8</v>
      </c>
      <c r="Q33">
        <v>5.7388357311814901E-2</v>
      </c>
      <c r="R33">
        <v>0.40951337288259099</v>
      </c>
      <c r="S33">
        <v>-2.6780321824869998E-3</v>
      </c>
      <c r="Y33">
        <f t="shared" si="0"/>
        <v>6.1702402833533898E-2</v>
      </c>
      <c r="Z33" s="3">
        <f t="shared" si="1"/>
        <v>6.6383379145653842E-2</v>
      </c>
    </row>
    <row r="34" spans="1:26" x14ac:dyDescent="0.2">
      <c r="A34">
        <v>1782.5</v>
      </c>
      <c r="B34">
        <v>4.5186729098972797E-2</v>
      </c>
      <c r="C34">
        <v>1.61165867911338E-2</v>
      </c>
      <c r="D34">
        <v>2.3792458790593998E-3</v>
      </c>
      <c r="E34">
        <v>1.9151694854870001E-4</v>
      </c>
      <c r="F34">
        <v>-7.1956059974325999E-3</v>
      </c>
      <c r="G34">
        <v>6.4693213012116998E-3</v>
      </c>
      <c r="H34">
        <v>0</v>
      </c>
      <c r="I34">
        <v>-5.6162010287138997E-3</v>
      </c>
      <c r="J34">
        <v>1.2190555550324999E-3</v>
      </c>
      <c r="K34">
        <v>1.1030068014649E-3</v>
      </c>
      <c r="L34">
        <v>9.1381228789764596E-2</v>
      </c>
      <c r="M34">
        <v>0.24414492866645501</v>
      </c>
      <c r="N34">
        <v>-7.0040890488839002E-3</v>
      </c>
      <c r="O34">
        <v>1.8495858135823901E-2</v>
      </c>
      <c r="P34" s="1">
        <v>2.54656307022225E-8</v>
      </c>
      <c r="Q34">
        <v>5.9853680814907897E-2</v>
      </c>
      <c r="R34">
        <v>0.39537983827112699</v>
      </c>
      <c r="S34">
        <v>-3.2941386722164902E-3</v>
      </c>
      <c r="Y34">
        <f t="shared" si="0"/>
        <v>6.3682561769165993E-2</v>
      </c>
      <c r="Z34" s="3">
        <f t="shared" si="1"/>
        <v>6.6857769863791897E-2</v>
      </c>
    </row>
    <row r="35" spans="1:26" x14ac:dyDescent="0.2">
      <c r="A35">
        <v>1783.5</v>
      </c>
      <c r="B35">
        <v>4.6593302313703303E-2</v>
      </c>
      <c r="C35">
        <v>1.66153240860944E-2</v>
      </c>
      <c r="D35">
        <v>2.4534612989083999E-3</v>
      </c>
      <c r="E35">
        <v>4.285464534238E-4</v>
      </c>
      <c r="F35">
        <v>-5.4975982546602003E-3</v>
      </c>
      <c r="G35">
        <v>6.4945824298496997E-3</v>
      </c>
      <c r="H35">
        <v>0</v>
      </c>
      <c r="I35">
        <v>-5.8377725302465999E-3</v>
      </c>
      <c r="J35">
        <v>1.0814211260276999E-3</v>
      </c>
      <c r="K35">
        <v>1.1374757640107E-3</v>
      </c>
      <c r="L35">
        <v>5.4517044219452103E-2</v>
      </c>
      <c r="M35">
        <v>-2.09200576532827</v>
      </c>
      <c r="N35">
        <v>-5.0690518012363999E-3</v>
      </c>
      <c r="O35">
        <v>1.9068811646434401E-2</v>
      </c>
      <c r="P35" s="1">
        <v>2.6261431661667802E-8</v>
      </c>
      <c r="Q35">
        <v>6.3468768948542795E-2</v>
      </c>
      <c r="R35">
        <v>-1.9740199521602799</v>
      </c>
      <c r="S35">
        <v>-3.6188756402082E-3</v>
      </c>
      <c r="Y35">
        <f t="shared" si="0"/>
        <v>6.5662087698706101E-2</v>
      </c>
      <c r="Z35" s="3">
        <f t="shared" si="1"/>
        <v>6.8537820749779266E-2</v>
      </c>
    </row>
    <row r="36" spans="1:26" x14ac:dyDescent="0.2">
      <c r="A36">
        <v>1784.5</v>
      </c>
      <c r="B36">
        <v>4.7999543426625602E-2</v>
      </c>
      <c r="C36">
        <v>1.7113769298289901E-2</v>
      </c>
      <c r="D36">
        <v>2.5276685281327002E-3</v>
      </c>
      <c r="E36">
        <v>2.0429026623510001E-3</v>
      </c>
      <c r="F36">
        <v>-4.7269523631719999E-4</v>
      </c>
      <c r="G36">
        <v>6.6559179215062002E-3</v>
      </c>
      <c r="H36">
        <v>0</v>
      </c>
      <c r="I36">
        <v>-6.0612011718882003E-3</v>
      </c>
      <c r="J36">
        <v>9.4011210298079999E-4</v>
      </c>
      <c r="K36">
        <v>1.1719447265564E-3</v>
      </c>
      <c r="L36">
        <v>1.09914094538271E-2</v>
      </c>
      <c r="M36">
        <v>-3.0453962703050799</v>
      </c>
      <c r="N36">
        <v>1.5702074260337999E-3</v>
      </c>
      <c r="O36">
        <v>1.9641464883655198E-2</v>
      </c>
      <c r="P36" s="1">
        <v>2.7057232621085999E-8</v>
      </c>
      <c r="Q36">
        <v>7.1917989315469805E-2</v>
      </c>
      <c r="R36">
        <v>-2.9624868715357802</v>
      </c>
      <c r="S36">
        <v>-3.9491443423509999E-3</v>
      </c>
      <c r="Y36">
        <f t="shared" si="0"/>
        <v>6.7640981253048196E-2</v>
      </c>
      <c r="Z36" s="3">
        <f t="shared" si="1"/>
        <v>7.0347781889436023E-2</v>
      </c>
    </row>
    <row r="37" spans="1:26" x14ac:dyDescent="0.2">
      <c r="A37">
        <v>1785.5</v>
      </c>
      <c r="B37">
        <v>4.9405452609764498E-2</v>
      </c>
      <c r="C37">
        <v>1.7611922880700299E-2</v>
      </c>
      <c r="D37">
        <v>2.6018675713016001E-3</v>
      </c>
      <c r="E37">
        <v>2.3324752678159999E-4</v>
      </c>
      <c r="F37">
        <v>-7.8707695780756998E-3</v>
      </c>
      <c r="G37">
        <v>7.2927017547496998E-3</v>
      </c>
      <c r="H37">
        <v>0</v>
      </c>
      <c r="I37">
        <v>-6.2864410399200996E-3</v>
      </c>
      <c r="J37">
        <v>1.3391229053227999E-3</v>
      </c>
      <c r="K37">
        <v>1.2064136891021999E-3</v>
      </c>
      <c r="L37">
        <v>-2.5701168671172801E-2</v>
      </c>
      <c r="M37">
        <v>-0.31178893004656399</v>
      </c>
      <c r="N37">
        <v>-7.6375220512940999E-3</v>
      </c>
      <c r="O37">
        <v>2.0213818305035401E-2</v>
      </c>
      <c r="P37" s="1">
        <v>2.7853033580558399E-8</v>
      </c>
      <c r="Q37">
        <v>6.5533546172760401E-2</v>
      </c>
      <c r="R37">
        <v>-0.27195655254497703</v>
      </c>
      <c r="S37">
        <v>-3.7409044454950898E-3</v>
      </c>
      <c r="Y37">
        <f t="shared" si="0"/>
        <v>6.9619243061766395E-2</v>
      </c>
      <c r="Z37" s="3">
        <f t="shared" si="1"/>
        <v>7.3171068224054572E-2</v>
      </c>
    </row>
    <row r="38" spans="1:26" x14ac:dyDescent="0.2">
      <c r="A38">
        <v>1786.5</v>
      </c>
      <c r="B38">
        <v>5.0811030035014797E-2</v>
      </c>
      <c r="C38">
        <v>1.8109785285132299E-2</v>
      </c>
      <c r="D38">
        <v>2.6760584329759999E-3</v>
      </c>
      <c r="E38">
        <v>1.2896378960465E-3</v>
      </c>
      <c r="F38">
        <v>-3.4791497340436002E-3</v>
      </c>
      <c r="G38">
        <v>7.3021667064482E-3</v>
      </c>
      <c r="H38">
        <v>0</v>
      </c>
      <c r="I38">
        <v>-6.5134439043489003E-3</v>
      </c>
      <c r="J38">
        <v>1.2392335079980999E-3</v>
      </c>
      <c r="K38">
        <v>1.2408826516479999E-3</v>
      </c>
      <c r="L38">
        <v>-4.49990934758603E-2</v>
      </c>
      <c r="M38">
        <v>-5.4343722181830402E-2</v>
      </c>
      <c r="N38">
        <v>-2.1895118379971E-3</v>
      </c>
      <c r="O38">
        <v>2.0785872366942799E-2</v>
      </c>
      <c r="P38" s="1">
        <v>2.8648834540003701E-8</v>
      </c>
      <c r="Q38">
        <v>7.2676229525705904E-2</v>
      </c>
      <c r="R38">
        <v>-2.66665861319847E-2</v>
      </c>
      <c r="S38">
        <v>-4.0333277447028E-3</v>
      </c>
      <c r="Y38">
        <f t="shared" si="0"/>
        <v>7.1596873753123097E-2</v>
      </c>
      <c r="Z38" s="3">
        <f t="shared" si="1"/>
        <v>7.4865741363703039E-2</v>
      </c>
    </row>
    <row r="39" spans="1:26" x14ac:dyDescent="0.2">
      <c r="A39">
        <v>1787.5</v>
      </c>
      <c r="B39">
        <v>5.2216275874138698E-2</v>
      </c>
      <c r="C39">
        <v>1.8607356962225499E-2</v>
      </c>
      <c r="D39">
        <v>2.7502411177068998E-3</v>
      </c>
      <c r="E39">
        <v>7.9404653450380002E-4</v>
      </c>
      <c r="F39">
        <v>-8.3316070269983007E-3</v>
      </c>
      <c r="G39">
        <v>8.2307286056003005E-3</v>
      </c>
      <c r="H39">
        <v>0</v>
      </c>
      <c r="I39">
        <v>-6.7422182082465002E-3</v>
      </c>
      <c r="J39">
        <v>1.6584806636493999E-3</v>
      </c>
      <c r="K39">
        <v>1.2753516141938001E-3</v>
      </c>
      <c r="L39">
        <v>-3.1301779022735302E-2</v>
      </c>
      <c r="M39">
        <v>0.15166222378755501</v>
      </c>
      <c r="N39">
        <v>-7.5375604924944996E-3</v>
      </c>
      <c r="O39">
        <v>2.13576275245679E-2</v>
      </c>
      <c r="P39" s="1">
        <v>2.9444635499449E-8</v>
      </c>
      <c r="Q39">
        <v>7.0458685581409095E-2</v>
      </c>
      <c r="R39">
        <v>0.19081913034622899</v>
      </c>
      <c r="S39">
        <v>-3.8083859304033E-3</v>
      </c>
      <c r="Y39">
        <f t="shared" si="0"/>
        <v>7.3573873954071098E-2</v>
      </c>
      <c r="Z39" s="3">
        <f t="shared" si="1"/>
        <v>7.7996246073903583E-2</v>
      </c>
    </row>
    <row r="40" spans="1:26" x14ac:dyDescent="0.2">
      <c r="A40">
        <v>1788.5</v>
      </c>
      <c r="B40">
        <v>5.3621190298757698E-2</v>
      </c>
      <c r="C40">
        <v>1.9104638361455002E-2</v>
      </c>
      <c r="D40">
        <v>2.8244156300384002E-3</v>
      </c>
      <c r="E40">
        <v>-4.8896951628569997E-4</v>
      </c>
      <c r="F40">
        <v>-1.9207074823714101E-2</v>
      </c>
      <c r="G40">
        <v>1.03834199079763E-2</v>
      </c>
      <c r="H40">
        <v>0</v>
      </c>
      <c r="I40">
        <v>-6.9727011773362E-3</v>
      </c>
      <c r="J40">
        <v>2.7459283402749999E-3</v>
      </c>
      <c r="K40">
        <v>1.3098205767396E-3</v>
      </c>
      <c r="L40">
        <v>3.7309597930389599E-2</v>
      </c>
      <c r="M40">
        <v>0.13836946104081699</v>
      </c>
      <c r="N40">
        <v>-1.9696044339999799E-2</v>
      </c>
      <c r="O40">
        <v>2.19290842319298E-2</v>
      </c>
      <c r="P40" s="1">
        <v>3.0240436458894298E-8</v>
      </c>
      <c r="Q40">
        <v>6.3320697838342405E-2</v>
      </c>
      <c r="R40">
        <v>0.23899975680954899</v>
      </c>
      <c r="S40">
        <v>-2.9169522603215898E-3</v>
      </c>
      <c r="Y40">
        <f t="shared" si="0"/>
        <v>7.555024429025109E-2</v>
      </c>
      <c r="Z40" s="3">
        <f t="shared" si="1"/>
        <v>8.3016742178342262E-2</v>
      </c>
    </row>
    <row r="41" spans="1:26" x14ac:dyDescent="0.2">
      <c r="A41">
        <v>1789.5</v>
      </c>
      <c r="B41">
        <v>5.5025773480366899E-2</v>
      </c>
      <c r="C41">
        <v>1.9601629931137302E-2</v>
      </c>
      <c r="D41">
        <v>2.898581974505E-3</v>
      </c>
      <c r="E41" s="1">
        <v>-4.2765571080194203E-5</v>
      </c>
      <c r="F41">
        <v>-1.32524798769747E-2</v>
      </c>
      <c r="G41">
        <v>9.1739948193768992E-3</v>
      </c>
      <c r="H41">
        <v>0</v>
      </c>
      <c r="I41">
        <v>-7.2049003241444996E-3</v>
      </c>
      <c r="J41">
        <v>2.0309816642816998E-3</v>
      </c>
      <c r="K41">
        <v>1.3442895392853E-3</v>
      </c>
      <c r="L41">
        <v>0.117449807891327</v>
      </c>
      <c r="M41">
        <v>0.217801210049229</v>
      </c>
      <c r="N41">
        <v>-1.3295245448054801E-2</v>
      </c>
      <c r="O41">
        <v>2.2500242941879699E-2</v>
      </c>
      <c r="P41" s="1">
        <v>3.10362374183396E-8</v>
      </c>
      <c r="Q41">
        <v>6.9575136672991103E-2</v>
      </c>
      <c r="R41">
        <v>0.40482615461354698</v>
      </c>
      <c r="S41">
        <v>-3.82962912057749E-3</v>
      </c>
      <c r="Y41">
        <f t="shared" si="0"/>
        <v>7.7525985386009202E-2</v>
      </c>
      <c r="Z41" s="3">
        <f t="shared" si="1"/>
        <v>8.2870382121046013E-2</v>
      </c>
    </row>
    <row r="42" spans="1:26" x14ac:dyDescent="0.2">
      <c r="A42">
        <v>1790.5</v>
      </c>
      <c r="B42">
        <v>5.6430025590327199E-2</v>
      </c>
      <c r="C42">
        <v>2.00983321184325E-2</v>
      </c>
      <c r="D42">
        <v>2.9727401556337001E-3</v>
      </c>
      <c r="E42" s="1">
        <v>-8.2669025583034095E-5</v>
      </c>
      <c r="F42">
        <v>-1.43342779202098E-2</v>
      </c>
      <c r="G42">
        <v>9.6433302082697993E-3</v>
      </c>
      <c r="H42">
        <v>0</v>
      </c>
      <c r="I42">
        <v>-7.4644972612032002E-3</v>
      </c>
      <c r="J42">
        <v>2.1772503889697001E-3</v>
      </c>
      <c r="K42">
        <v>1.3787585018311E-3</v>
      </c>
      <c r="L42">
        <v>0.14462602859445201</v>
      </c>
      <c r="M42">
        <v>-5.0680728559543697E-2</v>
      </c>
      <c r="N42">
        <v>-1.44169469457928E-2</v>
      </c>
      <c r="O42">
        <v>2.3071104106104499E-2</v>
      </c>
      <c r="P42" s="1">
        <v>3.1832038377784902E-8</v>
      </c>
      <c r="Q42">
        <v>7.0819024588506294E-2</v>
      </c>
      <c r="R42">
        <v>0.164764324623414</v>
      </c>
      <c r="S42">
        <v>-3.9084883704023996E-3</v>
      </c>
      <c r="Y42">
        <f t="shared" si="0"/>
        <v>7.9501097864393397E-2</v>
      </c>
      <c r="Z42" s="3">
        <f t="shared" si="1"/>
        <v>8.5235971534299182E-2</v>
      </c>
    </row>
    <row r="43" spans="1:26" x14ac:dyDescent="0.2">
      <c r="A43">
        <v>1791.5</v>
      </c>
      <c r="B43">
        <v>5.7833946799862299E-2</v>
      </c>
      <c r="C43">
        <v>2.0594745369350499E-2</v>
      </c>
      <c r="D43">
        <v>3.0468901779430002E-3</v>
      </c>
      <c r="E43">
        <v>9.2152687562809996E-4</v>
      </c>
      <c r="F43">
        <v>-6.9396774566144997E-3</v>
      </c>
      <c r="G43">
        <v>8.6283790481222998E-3</v>
      </c>
      <c r="H43">
        <v>0</v>
      </c>
      <c r="I43">
        <v>-7.7514385009118999E-3</v>
      </c>
      <c r="J43">
        <v>1.5267558136103001E-3</v>
      </c>
      <c r="K43">
        <v>1.4132274643769E-3</v>
      </c>
      <c r="L43">
        <v>0.13052309890695199</v>
      </c>
      <c r="M43">
        <v>0.10515062839028901</v>
      </c>
      <c r="N43">
        <v>-6.01815058098639E-3</v>
      </c>
      <c r="O43">
        <v>2.3641668175132802E-2</v>
      </c>
      <c r="P43" s="1">
        <v>3.2627839337230198E-8</v>
      </c>
      <c r="Q43">
        <v>7.9274388219206293E-2</v>
      </c>
      <c r="R43">
        <v>0.31494811551644702</v>
      </c>
      <c r="S43">
        <v>-4.8114552229246996E-3</v>
      </c>
      <c r="Y43">
        <f t="shared" si="0"/>
        <v>8.1475582347155809E-2</v>
      </c>
      <c r="Z43" s="3">
        <f t="shared" si="1"/>
        <v>8.5292538800192733E-2</v>
      </c>
    </row>
    <row r="44" spans="1:26" x14ac:dyDescent="0.2">
      <c r="A44">
        <v>1792.5</v>
      </c>
      <c r="B44">
        <v>5.9237537280066997E-2</v>
      </c>
      <c r="C44">
        <v>2.1090870128753401E-2</v>
      </c>
      <c r="D44">
        <v>3.1210320459421998E-3</v>
      </c>
      <c r="E44">
        <v>1.4833831351451999E-3</v>
      </c>
      <c r="F44">
        <v>-3.8696640608606998E-3</v>
      </c>
      <c r="G44">
        <v>8.6577897262342992E-3</v>
      </c>
      <c r="H44">
        <v>0</v>
      </c>
      <c r="I44">
        <v>-8.0399910248139996E-3</v>
      </c>
      <c r="J44">
        <v>1.3928776153422E-3</v>
      </c>
      <c r="K44">
        <v>1.4476964269226999E-3</v>
      </c>
      <c r="L44">
        <v>0.112348416289764</v>
      </c>
      <c r="M44">
        <v>0.21596772852325899</v>
      </c>
      <c r="N44">
        <v>-2.3862809257155001E-3</v>
      </c>
      <c r="O44">
        <v>2.4211935598335899E-2</v>
      </c>
      <c r="P44" s="1">
        <v>3.3423640296648401E-8</v>
      </c>
      <c r="Q44">
        <v>8.4521564696372495E-2</v>
      </c>
      <c r="R44">
        <v>0.41283770950939602</v>
      </c>
      <c r="S44">
        <v>-5.1994169825490899E-3</v>
      </c>
      <c r="Y44">
        <f t="shared" si="0"/>
        <v>8.3449439454762603E-2</v>
      </c>
      <c r="Z44" s="3">
        <f t="shared" si="1"/>
        <v>8.6907845622088101E-2</v>
      </c>
    </row>
    <row r="45" spans="1:26" x14ac:dyDescent="0.2">
      <c r="A45">
        <v>1793.5</v>
      </c>
      <c r="B45">
        <v>6.0640797201902803E-2</v>
      </c>
      <c r="C45">
        <v>2.15867068403609E-2</v>
      </c>
      <c r="D45">
        <v>3.1951657641337999E-3</v>
      </c>
      <c r="E45">
        <v>1.1565750894705999E-3</v>
      </c>
      <c r="F45">
        <v>-4.3870784365179997E-3</v>
      </c>
      <c r="G45">
        <v>8.4698217002305998E-3</v>
      </c>
      <c r="H45">
        <v>0</v>
      </c>
      <c r="I45">
        <v>-8.3301366964970997E-3</v>
      </c>
      <c r="J45">
        <v>1.2863791501306E-3</v>
      </c>
      <c r="K45">
        <v>1.4821653894684999E-3</v>
      </c>
      <c r="L45">
        <v>8.1568460235077106E-2</v>
      </c>
      <c r="M45">
        <v>0.19572452212378699</v>
      </c>
      <c r="N45">
        <v>-3.23050334704739E-3</v>
      </c>
      <c r="O45">
        <v>2.4781906823935902E-2</v>
      </c>
      <c r="P45" s="1">
        <v>3.4219441256093697E-8</v>
      </c>
      <c r="Q45">
        <v>8.5100430222123893E-2</v>
      </c>
      <c r="R45">
        <v>0.36239341258098801</v>
      </c>
      <c r="S45">
        <v>-5.5615921568980004E-3</v>
      </c>
      <c r="Y45">
        <f t="shared" si="0"/>
        <v>8.5422669806397497E-2</v>
      </c>
      <c r="Z45" s="3">
        <f t="shared" si="1"/>
        <v>8.8330933569171349E-2</v>
      </c>
    </row>
    <row r="46" spans="1:26" x14ac:dyDescent="0.2">
      <c r="A46">
        <v>1794.5</v>
      </c>
      <c r="B46">
        <v>6.2043726736196403E-2</v>
      </c>
      <c r="C46">
        <v>2.2082255946753698E-2</v>
      </c>
      <c r="D46">
        <v>3.2692913370108E-3</v>
      </c>
      <c r="E46">
        <v>-6.4938860195969995E-4</v>
      </c>
      <c r="F46">
        <v>-1.6228417621827699E-2</v>
      </c>
      <c r="G46">
        <v>1.0326871032329699E-2</v>
      </c>
      <c r="H46">
        <v>0</v>
      </c>
      <c r="I46">
        <v>-8.6218291978106005E-3</v>
      </c>
      <c r="J46">
        <v>2.2434581126384999E-3</v>
      </c>
      <c r="K46">
        <v>1.5166343520141999E-3</v>
      </c>
      <c r="L46">
        <v>4.5702713164764597E-2</v>
      </c>
      <c r="M46">
        <v>0.215489482080235</v>
      </c>
      <c r="N46">
        <v>-1.68778062237874E-2</v>
      </c>
      <c r="O46">
        <v>2.5351582299006699E-2</v>
      </c>
      <c r="P46" s="1">
        <v>3.5015242215566097E-8</v>
      </c>
      <c r="Q46">
        <v>7.5982637110587503E-2</v>
      </c>
      <c r="R46">
        <v>0.33717483235558698</v>
      </c>
      <c r="S46">
        <v>-4.8617367331579E-3</v>
      </c>
      <c r="Y46">
        <f t="shared" si="0"/>
        <v>8.7395274019960903E-2</v>
      </c>
      <c r="Z46" s="3">
        <f t="shared" si="1"/>
        <v>9.2860443334374917E-2</v>
      </c>
    </row>
    <row r="47" spans="1:26" x14ac:dyDescent="0.2">
      <c r="A47">
        <v>1795.5</v>
      </c>
      <c r="B47">
        <v>6.3446326053641602E-2</v>
      </c>
      <c r="C47">
        <v>2.2577517889377799E-2</v>
      </c>
      <c r="D47">
        <v>3.3434087690583001E-3</v>
      </c>
      <c r="E47">
        <v>5.1192114514389997E-4</v>
      </c>
      <c r="F47">
        <v>-1.22187597869335E-2</v>
      </c>
      <c r="G47">
        <v>1.0332804537097199E-2</v>
      </c>
      <c r="H47">
        <v>0</v>
      </c>
      <c r="I47">
        <v>-8.9150884724876998E-3</v>
      </c>
      <c r="J47">
        <v>2.0973009817446E-3</v>
      </c>
      <c r="K47">
        <v>1.5511033145600001E-3</v>
      </c>
      <c r="L47">
        <v>7.8088899225771001E-3</v>
      </c>
      <c r="M47">
        <v>-0.163848227942861</v>
      </c>
      <c r="N47">
        <v>-1.17068386417896E-2</v>
      </c>
      <c r="O47">
        <v>2.5920962469479201E-2</v>
      </c>
      <c r="P47" s="1">
        <v>3.5811043174984301E-8</v>
      </c>
      <c r="Q47">
        <v>8.2726570242245306E-2</v>
      </c>
      <c r="R47">
        <v>-7.3312767778039301E-2</v>
      </c>
      <c r="S47">
        <v>-5.2666841761830896E-3</v>
      </c>
      <c r="Y47">
        <f t="shared" si="0"/>
        <v>8.9367252712077697E-2</v>
      </c>
      <c r="Z47" s="3">
        <f t="shared" si="1"/>
        <v>9.4433408884034967E-2</v>
      </c>
    </row>
    <row r="48" spans="1:26" x14ac:dyDescent="0.2">
      <c r="A48">
        <v>1796.5</v>
      </c>
      <c r="B48">
        <v>6.4848595324803499E-2</v>
      </c>
      <c r="C48">
        <v>2.3072493108548701E-2</v>
      </c>
      <c r="D48">
        <v>3.4175180647534002E-3</v>
      </c>
      <c r="E48">
        <v>5.0167249752180001E-4</v>
      </c>
      <c r="F48">
        <v>-7.2350667775651998E-3</v>
      </c>
      <c r="G48">
        <v>8.8937250307826003E-3</v>
      </c>
      <c r="H48">
        <v>0</v>
      </c>
      <c r="I48">
        <v>-9.2098494653223006E-3</v>
      </c>
      <c r="J48">
        <v>1.3682815552158E-3</v>
      </c>
      <c r="K48">
        <v>1.5855722771058E-3</v>
      </c>
      <c r="L48">
        <v>-2.6059982147735299E-2</v>
      </c>
      <c r="M48">
        <v>0.13185453784565401</v>
      </c>
      <c r="N48">
        <v>-6.7333942800434001E-3</v>
      </c>
      <c r="O48">
        <v>2.64900477801462E-2</v>
      </c>
      <c r="P48" s="1">
        <v>3.6606844134429603E-8</v>
      </c>
      <c r="Q48">
        <v>8.72429782226882E-2</v>
      </c>
      <c r="R48">
        <v>0.19303753392060699</v>
      </c>
      <c r="S48">
        <v>-6.2559956330006999E-3</v>
      </c>
      <c r="Y48">
        <f t="shared" si="0"/>
        <v>9.1338606498105601E-2</v>
      </c>
      <c r="Z48" s="3">
        <f t="shared" si="1"/>
        <v>9.3976372502731637E-2</v>
      </c>
    </row>
    <row r="49" spans="1:26" x14ac:dyDescent="0.2">
      <c r="A49">
        <v>1797.5</v>
      </c>
      <c r="B49">
        <v>6.6250534720109902E-2</v>
      </c>
      <c r="C49">
        <v>2.3567182043454999E-2</v>
      </c>
      <c r="D49">
        <v>3.4916192285647002E-3</v>
      </c>
      <c r="E49">
        <v>5.3852789975779997E-4</v>
      </c>
      <c r="F49">
        <v>-1.36706722668414E-2</v>
      </c>
      <c r="G49">
        <v>1.0983386923965501E-2</v>
      </c>
      <c r="H49">
        <v>0</v>
      </c>
      <c r="I49">
        <v>-9.5060856078031004E-3</v>
      </c>
      <c r="J49">
        <v>2.3165497273843999E-3</v>
      </c>
      <c r="K49">
        <v>1.6200412396516E-3</v>
      </c>
      <c r="L49">
        <v>-5.1098922577422802E-2</v>
      </c>
      <c r="M49">
        <v>3.5266678178743398E-2</v>
      </c>
      <c r="N49">
        <v>-1.31321443670836E-2</v>
      </c>
      <c r="O49">
        <v>2.7058838674664701E-2</v>
      </c>
      <c r="P49" s="1">
        <v>3.7402645093902003E-8</v>
      </c>
      <c r="Q49">
        <v>8.5591121310889404E-2</v>
      </c>
      <c r="R49">
        <v>6.9758876912210097E-2</v>
      </c>
      <c r="S49">
        <v>-5.5694946407671003E-3</v>
      </c>
      <c r="Y49">
        <f t="shared" si="0"/>
        <v>9.3309335992129594E-2</v>
      </c>
      <c r="Z49" s="3">
        <f t="shared" si="1"/>
        <v>9.8723265677973099E-2</v>
      </c>
    </row>
    <row r="50" spans="1:26" x14ac:dyDescent="0.2">
      <c r="A50">
        <v>1798.5</v>
      </c>
      <c r="B50">
        <v>6.7652144409860296E-2</v>
      </c>
      <c r="C50">
        <v>2.40615851321632E-2</v>
      </c>
      <c r="D50">
        <v>3.5657122649530998E-3</v>
      </c>
      <c r="E50">
        <v>1.1790691116820001E-4</v>
      </c>
      <c r="F50">
        <v>-1.71292742232406E-2</v>
      </c>
      <c r="G50">
        <v>1.19676567668474E-2</v>
      </c>
      <c r="H50">
        <v>0</v>
      </c>
      <c r="I50">
        <v>-9.8037864631790993E-3</v>
      </c>
      <c r="J50">
        <v>2.6550911492491999E-3</v>
      </c>
      <c r="K50">
        <v>1.6545102021973E-3</v>
      </c>
      <c r="L50">
        <v>-6.3329781952422795E-2</v>
      </c>
      <c r="M50">
        <v>0.176899324696077</v>
      </c>
      <c r="N50">
        <v>-1.7011367312072399E-2</v>
      </c>
      <c r="O50">
        <v>2.76273355955623E-2</v>
      </c>
      <c r="P50" s="1">
        <v>3.8198446053347299E-8</v>
      </c>
      <c r="Q50">
        <v>8.4741584348465002E-2</v>
      </c>
      <c r="R50">
        <v>0.19831112709211901</v>
      </c>
      <c r="S50">
        <v>-5.4941851117325897E-3</v>
      </c>
      <c r="Y50">
        <f t="shared" si="0"/>
        <v>9.5279441806976603E-2</v>
      </c>
      <c r="Z50" s="3">
        <f t="shared" si="1"/>
        <v>0.10175295166053745</v>
      </c>
    </row>
    <row r="51" spans="1:26" x14ac:dyDescent="0.2">
      <c r="A51">
        <v>1799.5</v>
      </c>
      <c r="B51">
        <v>6.9053424564221796E-2</v>
      </c>
      <c r="C51">
        <v>2.4555702811620801E-2</v>
      </c>
      <c r="D51">
        <v>3.6397971783713999E-3</v>
      </c>
      <c r="E51" s="1">
        <v>-9.6406422413566797E-5</v>
      </c>
      <c r="F51">
        <v>-1.5065268017012801E-2</v>
      </c>
      <c r="G51">
        <v>1.1037857583112201E-2</v>
      </c>
      <c r="H51">
        <v>0</v>
      </c>
      <c r="I51">
        <v>-1.0102893401811501E-2</v>
      </c>
      <c r="J51">
        <v>2.2643408968098999E-3</v>
      </c>
      <c r="K51">
        <v>1.6889791647431E-3</v>
      </c>
      <c r="L51">
        <v>-6.0802487030547803E-2</v>
      </c>
      <c r="M51">
        <v>0.23345251379010601</v>
      </c>
      <c r="N51">
        <v>-1.5161674439426299E-2</v>
      </c>
      <c r="O51">
        <v>2.81955389842392E-2</v>
      </c>
      <c r="P51" s="1">
        <v>3.8994247012792601E-8</v>
      </c>
      <c r="Q51">
        <v>8.6975573351888297E-2</v>
      </c>
      <c r="R51">
        <v>0.25962560011144697</v>
      </c>
      <c r="S51">
        <v>-6.1495733402585004E-3</v>
      </c>
      <c r="Y51">
        <f t="shared" si="0"/>
        <v>9.7248924554213995E-2</v>
      </c>
      <c r="Z51" s="3">
        <f t="shared" si="1"/>
        <v>0.10213724779131471</v>
      </c>
    </row>
    <row r="52" spans="1:26" x14ac:dyDescent="0.2">
      <c r="A52">
        <v>1800.5</v>
      </c>
      <c r="B52">
        <v>7.0454375353226101E-2</v>
      </c>
      <c r="C52">
        <v>2.50495355176612E-2</v>
      </c>
      <c r="D52">
        <v>3.7138739732632E-3</v>
      </c>
      <c r="E52">
        <v>-8.977889038082E-4</v>
      </c>
      <c r="F52">
        <v>-1.8135996650654601E-2</v>
      </c>
      <c r="G52">
        <v>1.13480968048727E-2</v>
      </c>
      <c r="H52">
        <v>0</v>
      </c>
      <c r="I52">
        <v>-1.04621097733405E-2</v>
      </c>
      <c r="J52">
        <v>2.4201910374977999E-3</v>
      </c>
      <c r="K52">
        <v>1.7234481272888999E-3</v>
      </c>
      <c r="L52">
        <v>-4.2596603241485301E-2</v>
      </c>
      <c r="M52">
        <v>-0.14933365414136801</v>
      </c>
      <c r="N52">
        <v>-1.90337855544628E-2</v>
      </c>
      <c r="O52">
        <v>2.8763449280972301E-2</v>
      </c>
      <c r="P52" s="1">
        <v>3.9790047972238002E-8</v>
      </c>
      <c r="Q52">
        <v>8.5213665276054507E-2</v>
      </c>
      <c r="R52">
        <v>-0.106716592106799</v>
      </c>
      <c r="S52">
        <v>-6.3184706085537999E-3</v>
      </c>
      <c r="Y52">
        <f t="shared" si="0"/>
        <v>9.9217784844150503E-2</v>
      </c>
      <c r="Z52" s="3">
        <f t="shared" si="1"/>
        <v>0.10424745083051738</v>
      </c>
    </row>
    <row r="53" spans="1:26" x14ac:dyDescent="0.2">
      <c r="A53">
        <v>1801.5</v>
      </c>
      <c r="B53">
        <v>7.1854996946778105E-2</v>
      </c>
      <c r="C53">
        <v>2.5543083685007E-2</v>
      </c>
      <c r="D53">
        <v>3.7879426540646998E-3</v>
      </c>
      <c r="E53" s="1">
        <v>9.2913647106018601E-5</v>
      </c>
      <c r="F53">
        <v>-1.61923676706697E-2</v>
      </c>
      <c r="G53">
        <v>1.17830141758402E-2</v>
      </c>
      <c r="H53">
        <v>0</v>
      </c>
      <c r="I53">
        <v>-1.0881455956559601E-2</v>
      </c>
      <c r="J53">
        <v>2.5072193678581001E-3</v>
      </c>
      <c r="K53">
        <v>1.7579170898346999E-3</v>
      </c>
      <c r="L53">
        <v>-1.27214811711728E-2</v>
      </c>
      <c r="M53">
        <v>0.117349029813704</v>
      </c>
      <c r="N53">
        <v>-1.6099454023563602E-2</v>
      </c>
      <c r="O53">
        <v>2.9331066924920601E-2</v>
      </c>
      <c r="P53" s="1">
        <v>4.05858489316561E-8</v>
      </c>
      <c r="Q53">
        <v>9.0253304525108394E-2</v>
      </c>
      <c r="R53">
        <v>0.19488085316764001</v>
      </c>
      <c r="S53">
        <v>-6.6163194988668001E-3</v>
      </c>
      <c r="Y53">
        <f t="shared" si="0"/>
        <v>0.1011860232858498</v>
      </c>
      <c r="Z53" s="3">
        <f t="shared" si="1"/>
        <v>0.10635275854867213</v>
      </c>
    </row>
    <row r="54" spans="1:26" x14ac:dyDescent="0.2">
      <c r="A54">
        <v>1802.5</v>
      </c>
      <c r="B54">
        <v>7.3255289514647104E-2</v>
      </c>
      <c r="C54">
        <v>2.60363477472739E-2</v>
      </c>
      <c r="D54">
        <v>3.8620032252047001E-3</v>
      </c>
      <c r="E54">
        <v>-4.5575415625670002E-4</v>
      </c>
      <c r="F54">
        <v>-1.6194998074974501E-2</v>
      </c>
      <c r="G54">
        <v>1.1166896890477999E-2</v>
      </c>
      <c r="H54">
        <v>0</v>
      </c>
      <c r="I54">
        <v>-1.13021017271421E-2</v>
      </c>
      <c r="J54">
        <v>2.2938173258477E-3</v>
      </c>
      <c r="K54">
        <v>1.7923860523805001E-3</v>
      </c>
      <c r="L54">
        <v>1.5421975860077101E-2</v>
      </c>
      <c r="M54">
        <v>0.18257801925306399</v>
      </c>
      <c r="N54">
        <v>-1.6650752231231199E-2</v>
      </c>
      <c r="O54">
        <v>2.98983923541284E-2</v>
      </c>
      <c r="P54" s="1">
        <v>4.1381649891101402E-8</v>
      </c>
      <c r="Q54">
        <v>9.0453928179108495E-2</v>
      </c>
      <c r="R54">
        <v>0.28845392329225</v>
      </c>
      <c r="S54">
        <v>-7.2158983489138996E-3</v>
      </c>
      <c r="Y54">
        <f t="shared" si="0"/>
        <v>0.10315364048712571</v>
      </c>
      <c r="Z54" s="3">
        <f t="shared" si="1"/>
        <v>0.10710468041033969</v>
      </c>
    </row>
    <row r="55" spans="1:26" x14ac:dyDescent="0.2">
      <c r="A55">
        <v>1803.5</v>
      </c>
      <c r="B55">
        <v>7.4655253226471194E-2</v>
      </c>
      <c r="C55">
        <v>2.6529328136975699E-2</v>
      </c>
      <c r="D55">
        <v>3.9360556911031E-3</v>
      </c>
      <c r="E55">
        <v>1.9051643525499999E-4</v>
      </c>
      <c r="F55">
        <v>-1.23383072530488E-2</v>
      </c>
      <c r="G55">
        <v>1.07573671096232E-2</v>
      </c>
      <c r="H55">
        <v>0</v>
      </c>
      <c r="I55">
        <v>-1.1724066269092901E-2</v>
      </c>
      <c r="J55">
        <v>1.9778952016046999E-3</v>
      </c>
      <c r="K55">
        <v>1.8268550149262001E-3</v>
      </c>
      <c r="L55">
        <v>3.2582620391327102E-2</v>
      </c>
      <c r="M55">
        <v>0.218720483191085</v>
      </c>
      <c r="N55">
        <v>-1.21477908177938E-2</v>
      </c>
      <c r="O55">
        <v>3.0465426005529601E-2</v>
      </c>
      <c r="P55" s="1">
        <v>4.2177450850573901E-8</v>
      </c>
      <c r="Q55">
        <v>9.5810939471268203E-2</v>
      </c>
      <c r="R55">
        <v>0.34711404305368099</v>
      </c>
      <c r="S55">
        <v>-7.9193160525620008E-3</v>
      </c>
      <c r="Y55">
        <f t="shared" si="0"/>
        <v>0.10512063705454999</v>
      </c>
      <c r="Z55" s="3">
        <f t="shared" si="1"/>
        <v>0.10795873028906204</v>
      </c>
    </row>
    <row r="56" spans="1:26" x14ac:dyDescent="0.2">
      <c r="A56">
        <v>1804.5</v>
      </c>
      <c r="B56">
        <v>7.6054888251759101E-2</v>
      </c>
      <c r="C56">
        <v>2.7022025285526701E-2</v>
      </c>
      <c r="D56">
        <v>4.0101000561723003E-3</v>
      </c>
      <c r="E56">
        <v>1.4095744697539001E-3</v>
      </c>
      <c r="F56">
        <v>-1.07270165694805E-2</v>
      </c>
      <c r="G56">
        <v>1.15900465483632E-2</v>
      </c>
      <c r="H56">
        <v>0</v>
      </c>
      <c r="I56">
        <v>-1.2147331185046E-2</v>
      </c>
      <c r="J56">
        <v>2.2832964873674001E-3</v>
      </c>
      <c r="K56">
        <v>1.8613239774720001E-3</v>
      </c>
      <c r="L56">
        <v>3.48603059382021E-2</v>
      </c>
      <c r="M56">
        <v>0.236857881914563</v>
      </c>
      <c r="N56">
        <v>-9.3174420997266007E-3</v>
      </c>
      <c r="O56">
        <v>3.10321683149508E-2</v>
      </c>
      <c r="P56" s="1">
        <v>4.2973251809992098E-8</v>
      </c>
      <c r="Q56">
        <v>0.101356950295139</v>
      </c>
      <c r="R56">
        <v>0.37307513814790499</v>
      </c>
      <c r="S56">
        <v>-8.0027107202065902E-3</v>
      </c>
      <c r="Y56">
        <f t="shared" si="0"/>
        <v>0.10708701359345811</v>
      </c>
      <c r="Z56" s="3">
        <f t="shared" si="1"/>
        <v>0.11067439239486651</v>
      </c>
    </row>
    <row r="57" spans="1:26" x14ac:dyDescent="0.2">
      <c r="A57">
        <v>1805.5</v>
      </c>
      <c r="B57">
        <v>7.7454194759888906E-2</v>
      </c>
      <c r="C57">
        <v>2.7514439623247101E-2</v>
      </c>
      <c r="D57">
        <v>4.0841363248163001E-3</v>
      </c>
      <c r="E57">
        <v>-1.5870579654619999E-4</v>
      </c>
      <c r="F57">
        <v>-1.7367192345310301E-2</v>
      </c>
      <c r="G57">
        <v>1.20106537175305E-2</v>
      </c>
      <c r="H57">
        <v>0</v>
      </c>
      <c r="I57">
        <v>-1.25718523371593E-2</v>
      </c>
      <c r="J57">
        <v>2.5887842702288001E-3</v>
      </c>
      <c r="K57">
        <v>1.8957929400178E-3</v>
      </c>
      <c r="L57">
        <v>2.63111848444521E-2</v>
      </c>
      <c r="M57">
        <v>0.14819752087274901</v>
      </c>
      <c r="N57">
        <v>-1.75258981418565E-2</v>
      </c>
      <c r="O57">
        <v>3.1598619717116097E-2</v>
      </c>
      <c r="P57" s="1">
        <v>4.37690527694374E-8</v>
      </c>
      <c r="Q57">
        <v>9.5450294925766399E-2</v>
      </c>
      <c r="R57">
        <v>0.26995900064296802</v>
      </c>
      <c r="S57">
        <v>-8.0872751269127005E-3</v>
      </c>
      <c r="Y57">
        <f t="shared" si="0"/>
        <v>0.1090527707079523</v>
      </c>
      <c r="Z57" s="3">
        <f t="shared" si="1"/>
        <v>0.11297619306762288</v>
      </c>
    </row>
    <row r="58" spans="1:26" x14ac:dyDescent="0.2">
      <c r="A58">
        <v>1806.5</v>
      </c>
      <c r="B58">
        <v>7.8853172920103298E-2</v>
      </c>
      <c r="C58">
        <v>2.80065715793653E-2</v>
      </c>
      <c r="D58">
        <v>4.1581645014306997E-3</v>
      </c>
      <c r="E58">
        <v>7.2355252648560004E-4</v>
      </c>
      <c r="F58">
        <v>-1.5939107175118001E-2</v>
      </c>
      <c r="G58">
        <v>1.2404801367039401E-2</v>
      </c>
      <c r="H58">
        <v>0</v>
      </c>
      <c r="I58">
        <v>-1.29976101904509E-2</v>
      </c>
      <c r="J58">
        <v>2.7432180302186999E-3</v>
      </c>
      <c r="K58">
        <v>1.9302619025636E-3</v>
      </c>
      <c r="L58">
        <v>1.18338410944521E-2</v>
      </c>
      <c r="M58">
        <v>0.224419562615087</v>
      </c>
      <c r="N58">
        <v>-1.52155546486324E-2</v>
      </c>
      <c r="O58">
        <v>3.2164780645649697E-2</v>
      </c>
      <c r="P58" s="1">
        <v>4.4564853728855597E-8</v>
      </c>
      <c r="Q58">
        <v>9.9883070026491397E-2</v>
      </c>
      <c r="R58">
        <v>0.33613647373603001</v>
      </c>
      <c r="S58">
        <v>-8.3241302576686008E-3</v>
      </c>
      <c r="Y58">
        <f t="shared" si="0"/>
        <v>0.11101790900089929</v>
      </c>
      <c r="Z58" s="3">
        <f t="shared" si="1"/>
        <v>0.11509862467512383</v>
      </c>
    </row>
    <row r="59" spans="1:26" x14ac:dyDescent="0.2">
      <c r="A59">
        <v>1807.5</v>
      </c>
      <c r="B59">
        <v>8.0251822901519193E-2</v>
      </c>
      <c r="C59">
        <v>2.8498421582023301E-2</v>
      </c>
      <c r="D59">
        <v>4.2321845904045004E-3</v>
      </c>
      <c r="E59">
        <v>3.574257436693E-4</v>
      </c>
      <c r="F59">
        <v>-1.8955940116249102E-2</v>
      </c>
      <c r="G59">
        <v>1.29994006109206E-2</v>
      </c>
      <c r="H59">
        <v>0</v>
      </c>
      <c r="I59">
        <v>-1.34245584688469E-2</v>
      </c>
      <c r="J59">
        <v>3.0382997121980002E-3</v>
      </c>
      <c r="K59">
        <v>1.9647308651094E-3</v>
      </c>
      <c r="L59">
        <v>-8.2129118352352991E-3</v>
      </c>
      <c r="M59">
        <v>0.24224585571580301</v>
      </c>
      <c r="N59">
        <v>-1.85985143725798E-2</v>
      </c>
      <c r="O59">
        <v>3.2730651533082397E-2</v>
      </c>
      <c r="P59" s="1">
        <v>4.5360654688327998E-8</v>
      </c>
      <c r="Q59">
        <v>9.89618327814029E-2</v>
      </c>
      <c r="R59">
        <v>0.33299477666197003</v>
      </c>
      <c r="S59">
        <v>-8.4215278915395E-3</v>
      </c>
      <c r="Y59">
        <f t="shared" si="0"/>
        <v>0.112982429073947</v>
      </c>
      <c r="Z59" s="3">
        <f t="shared" si="1"/>
        <v>0.11756034715398278</v>
      </c>
    </row>
    <row r="60" spans="1:26" x14ac:dyDescent="0.2">
      <c r="A60">
        <v>1808.5</v>
      </c>
      <c r="B60">
        <v>8.1650144873119002E-2</v>
      </c>
      <c r="C60">
        <v>2.8989990058279801E-2</v>
      </c>
      <c r="D60">
        <v>4.3061965961182997E-3</v>
      </c>
      <c r="E60">
        <v>-7.3062174039409996E-4</v>
      </c>
      <c r="F60">
        <v>-2.9358894860456598E-2</v>
      </c>
      <c r="G60">
        <v>1.5234224888223499E-2</v>
      </c>
      <c r="H60">
        <v>0</v>
      </c>
      <c r="I60">
        <v>-1.3852702279794699E-2</v>
      </c>
      <c r="J60">
        <v>4.1809622107996996E-3</v>
      </c>
      <c r="K60">
        <v>1.9991998276551E-3</v>
      </c>
      <c r="L60">
        <v>-2.9866525116485299E-2</v>
      </c>
      <c r="M60">
        <v>0.24503255165482299</v>
      </c>
      <c r="N60">
        <v>-3.0089516600850699E-2</v>
      </c>
      <c r="O60">
        <v>3.3296232810853699E-2</v>
      </c>
      <c r="P60" s="1">
        <v>4.6156455647800398E-8</v>
      </c>
      <c r="Q60">
        <v>9.2418545730005602E-2</v>
      </c>
      <c r="R60">
        <v>0.30758457226834302</v>
      </c>
      <c r="S60">
        <v>-7.6725402413398902E-3</v>
      </c>
      <c r="Y60">
        <f t="shared" si="0"/>
        <v>0.11494633152751711</v>
      </c>
      <c r="Z60" s="3">
        <f t="shared" si="1"/>
        <v>0.12250806233085634</v>
      </c>
    </row>
    <row r="61" spans="1:26" x14ac:dyDescent="0.2">
      <c r="A61">
        <v>1809.5</v>
      </c>
      <c r="B61">
        <v>8.3048139003754295E-2</v>
      </c>
      <c r="C61">
        <v>2.94812774341137E-2</v>
      </c>
      <c r="D61">
        <v>4.3802005229435E-3</v>
      </c>
      <c r="E61">
        <v>-4.3554016405989999E-4</v>
      </c>
      <c r="F61">
        <v>-2.4245947142691501E-2</v>
      </c>
      <c r="G61">
        <v>1.4058867286342499E-2</v>
      </c>
      <c r="H61">
        <v>0</v>
      </c>
      <c r="I61">
        <v>-1.42819937459323E-2</v>
      </c>
      <c r="J61">
        <v>3.5336537752857998E-3</v>
      </c>
      <c r="K61">
        <v>2.0336687902009001E-3</v>
      </c>
      <c r="L61">
        <v>-4.9382858124297803E-2</v>
      </c>
      <c r="M61">
        <v>-3.43631610430901</v>
      </c>
      <c r="N61">
        <v>-2.4681487306751401E-2</v>
      </c>
      <c r="O61">
        <v>3.3861524909313802E-2</v>
      </c>
      <c r="P61" s="1">
        <v>4.6952256607218602E-8</v>
      </c>
      <c r="Q61">
        <v>9.7572372712213501E-2</v>
      </c>
      <c r="R61">
        <v>-3.3881265897210899</v>
      </c>
      <c r="S61">
        <v>-8.7146711804455997E-3</v>
      </c>
      <c r="Y61">
        <f t="shared" si="0"/>
        <v>0.11690961696081149</v>
      </c>
      <c r="Z61" s="3">
        <f t="shared" si="1"/>
        <v>0.122253860018965</v>
      </c>
    </row>
    <row r="62" spans="1:26" x14ac:dyDescent="0.2">
      <c r="A62">
        <v>1810.5</v>
      </c>
      <c r="B62">
        <v>8.4445805462148596E-2</v>
      </c>
      <c r="C62">
        <v>2.99722841344288E-2</v>
      </c>
      <c r="D62">
        <v>4.4541963752449997E-3</v>
      </c>
      <c r="E62">
        <v>-5.0256031680420005E-4</v>
      </c>
      <c r="F62">
        <v>-2.5937585074586E-2</v>
      </c>
      <c r="G62">
        <v>1.4522764191233E-2</v>
      </c>
      <c r="H62">
        <v>0</v>
      </c>
      <c r="I62">
        <v>-1.47288367503201E-2</v>
      </c>
      <c r="J62">
        <v>3.7605258949256E-3</v>
      </c>
      <c r="K62">
        <v>2.0681377527466999E-3</v>
      </c>
      <c r="L62">
        <v>-6.2799362030547798E-2</v>
      </c>
      <c r="M62">
        <v>-4.0104552529950999</v>
      </c>
      <c r="N62">
        <v>-2.64401453913902E-2</v>
      </c>
      <c r="O62">
        <v>3.4426528257731299E-2</v>
      </c>
      <c r="P62" s="1">
        <v>4.7748057566663897E-8</v>
      </c>
      <c r="Q62">
        <v>9.8054779417074897E-2</v>
      </c>
      <c r="R62">
        <v>-3.9751998356085698</v>
      </c>
      <c r="S62">
        <v>-8.9001731026478008E-3</v>
      </c>
      <c r="Y62">
        <f t="shared" si="0"/>
        <v>0.11887228597182239</v>
      </c>
      <c r="Z62" s="3">
        <f t="shared" si="1"/>
        <v>0.12449492480846516</v>
      </c>
    </row>
    <row r="63" spans="1:26" x14ac:dyDescent="0.2">
      <c r="A63">
        <v>1811.5</v>
      </c>
      <c r="B63">
        <v>8.5843144416894807E-2</v>
      </c>
      <c r="C63">
        <v>3.04630105830569E-2</v>
      </c>
      <c r="D63">
        <v>4.5281841573805003E-3</v>
      </c>
      <c r="E63">
        <v>4.3585193122230002E-4</v>
      </c>
      <c r="F63">
        <v>-2.1040046203089399E-2</v>
      </c>
      <c r="G63">
        <v>1.4004477725974299E-2</v>
      </c>
      <c r="H63">
        <v>0</v>
      </c>
      <c r="I63">
        <v>-1.51931593246906E-2</v>
      </c>
      <c r="J63">
        <v>3.3922947598294998E-3</v>
      </c>
      <c r="K63">
        <v>2.1026067152925001E-3</v>
      </c>
      <c r="L63">
        <v>-6.7495138397735299E-2</v>
      </c>
      <c r="M63">
        <v>-1.6555353813875699</v>
      </c>
      <c r="N63">
        <v>-2.0604194271867E-2</v>
      </c>
      <c r="O63">
        <v>3.4991243284295898E-2</v>
      </c>
      <c r="P63" s="1">
        <v>4.8543858526109199E-8</v>
      </c>
      <c r="Q63">
        <v>0.10453641330572901</v>
      </c>
      <c r="R63">
        <v>-1.6184941064795699</v>
      </c>
      <c r="S63">
        <v>-9.6982578495685996E-3</v>
      </c>
      <c r="Y63">
        <f t="shared" si="0"/>
        <v>0.1208343391573322</v>
      </c>
      <c r="Z63" s="3">
        <f t="shared" si="1"/>
        <v>0.12514060757759643</v>
      </c>
    </row>
    <row r="64" spans="1:26" x14ac:dyDescent="0.2">
      <c r="A64">
        <v>1812.5</v>
      </c>
      <c r="B64">
        <v>8.7240156036452202E-2</v>
      </c>
      <c r="C64">
        <v>3.0953457202761801E-2</v>
      </c>
      <c r="D64">
        <v>4.6021638736978001E-3</v>
      </c>
      <c r="E64">
        <v>1.0846365601793E-3</v>
      </c>
      <c r="F64">
        <v>-1.7013257407619199E-2</v>
      </c>
      <c r="G64">
        <v>1.35540063076803E-2</v>
      </c>
      <c r="H64">
        <v>0</v>
      </c>
      <c r="I64">
        <v>-1.5658580347665998E-2</v>
      </c>
      <c r="J64">
        <v>3.0676979664507002E-3</v>
      </c>
      <c r="K64">
        <v>2.1370756778382998E-3</v>
      </c>
      <c r="L64">
        <v>-6.2222140350860301E-2</v>
      </c>
      <c r="M64">
        <v>-0.667432941565275</v>
      </c>
      <c r="N64">
        <v>-1.59286208474399E-2</v>
      </c>
      <c r="O64">
        <v>3.5555670416118998E-2</v>
      </c>
      <c r="P64" s="1">
        <v>4.9339659485554501E-8</v>
      </c>
      <c r="Q64">
        <v>0.109967405209434</v>
      </c>
      <c r="R64">
        <v>-0.619687676706701</v>
      </c>
      <c r="S64">
        <v>-1.04538067033769E-2</v>
      </c>
      <c r="Y64">
        <f t="shared" si="0"/>
        <v>0.1227957771129118</v>
      </c>
      <c r="Z64" s="3">
        <f t="shared" si="1"/>
        <v>0.12589602605687461</v>
      </c>
    </row>
    <row r="65" spans="1:28" x14ac:dyDescent="0.2">
      <c r="A65">
        <v>1813.5</v>
      </c>
      <c r="B65">
        <v>8.8636840489153296E-2</v>
      </c>
      <c r="C65">
        <v>3.1443624415243197E-2</v>
      </c>
      <c r="D65">
        <v>4.6761355285385E-3</v>
      </c>
      <c r="E65">
        <v>5.7748891097550003E-4</v>
      </c>
      <c r="F65">
        <v>-1.9220316780008798E-2</v>
      </c>
      <c r="G65">
        <v>1.3672971064500199E-2</v>
      </c>
      <c r="H65">
        <v>0</v>
      </c>
      <c r="I65">
        <v>-1.6125049088898499E-2</v>
      </c>
      <c r="J65">
        <v>3.1775132685297001E-3</v>
      </c>
      <c r="K65">
        <v>2.1715446403839998E-3</v>
      </c>
      <c r="L65">
        <v>-4.6543551483672799E-2</v>
      </c>
      <c r="M65">
        <v>-0.78014476522771004</v>
      </c>
      <c r="N65">
        <v>-1.86428278690332E-2</v>
      </c>
      <c r="O65">
        <v>3.6119810079242101E-2</v>
      </c>
      <c r="P65" s="1">
        <v>5.0135460444999803E-8</v>
      </c>
      <c r="Q65">
        <v>0.10901080258387701</v>
      </c>
      <c r="R65">
        <v>-0.71767751412750502</v>
      </c>
      <c r="S65">
        <v>-1.0775991179984699E-2</v>
      </c>
      <c r="Y65">
        <f t="shared" si="0"/>
        <v>0.124756600432935</v>
      </c>
      <c r="Z65" s="3">
        <f t="shared" si="1"/>
        <v>0.12765363045291084</v>
      </c>
    </row>
    <row r="66" spans="1:28" x14ac:dyDescent="0.2">
      <c r="A66">
        <v>1814.5</v>
      </c>
      <c r="B66">
        <v>9.0033197943201596E-2</v>
      </c>
      <c r="C66">
        <v>3.1933512641140201E-2</v>
      </c>
      <c r="D66">
        <v>4.7500991262362001E-3</v>
      </c>
      <c r="E66">
        <v>-1.1020996701685E-3</v>
      </c>
      <c r="F66">
        <v>-2.99439600140128E-2</v>
      </c>
      <c r="G66">
        <v>1.5489015191210501E-2</v>
      </c>
      <c r="H66">
        <v>0</v>
      </c>
      <c r="I66">
        <v>-1.6592523671048801E-2</v>
      </c>
      <c r="J66">
        <v>4.1413397364694002E-3</v>
      </c>
      <c r="K66">
        <v>2.2060136029298E-3</v>
      </c>
      <c r="L66">
        <v>-2.5638766327422801E-2</v>
      </c>
      <c r="M66">
        <v>-0.49298229644824598</v>
      </c>
      <c r="N66">
        <v>-3.1046059684181299E-2</v>
      </c>
      <c r="O66">
        <v>3.6683662698637799E-2</v>
      </c>
      <c r="P66" s="1">
        <v>5.0931261404445098E-8</v>
      </c>
      <c r="Q66">
        <v>0.100914645817219</v>
      </c>
      <c r="R66">
        <v>-0.41770641695845001</v>
      </c>
      <c r="S66">
        <v>-1.02451703316496E-2</v>
      </c>
      <c r="Y66">
        <f t="shared" si="0"/>
        <v>0.126716809710578</v>
      </c>
      <c r="Z66" s="3">
        <f t="shared" si="1"/>
        <v>0.13196070550140029</v>
      </c>
    </row>
    <row r="67" spans="1:28" x14ac:dyDescent="0.2">
      <c r="A67">
        <v>1815.5</v>
      </c>
      <c r="B67">
        <v>9.14292285666638E-2</v>
      </c>
      <c r="C67">
        <v>3.2423122300035398E-2</v>
      </c>
      <c r="D67">
        <v>4.8240546711160997E-3</v>
      </c>
      <c r="E67" s="1">
        <v>-2.49704470784301E-5</v>
      </c>
      <c r="F67">
        <v>-2.7159511311418201E-2</v>
      </c>
      <c r="G67">
        <v>1.5659133515288099E-2</v>
      </c>
      <c r="H67">
        <v>0</v>
      </c>
      <c r="I67">
        <v>-1.7060975369741702E-2</v>
      </c>
      <c r="J67">
        <v>4.1229687548699004E-3</v>
      </c>
      <c r="K67">
        <v>2.2404825654756002E-3</v>
      </c>
      <c r="L67">
        <v>-6.6684538274227999E-3</v>
      </c>
      <c r="M67">
        <v>-3.2674763460613598</v>
      </c>
      <c r="N67">
        <v>-2.7184481758496599E-2</v>
      </c>
      <c r="O67">
        <v>3.72472286982138E-2</v>
      </c>
      <c r="P67" s="1">
        <v>5.1727062363863302E-8</v>
      </c>
      <c r="Q67">
        <v>0.106453584972272</v>
      </c>
      <c r="R67">
        <v>-3.16769121491651</v>
      </c>
      <c r="S67">
        <v>-1.0697524049396201E-2</v>
      </c>
      <c r="Y67">
        <f t="shared" ref="Y67:Y130" si="2">SUM(B67:D67)</f>
        <v>0.12867640553781529</v>
      </c>
      <c r="Z67" s="3">
        <f t="shared" si="1"/>
        <v>0.13363806673076956</v>
      </c>
    </row>
    <row r="68" spans="1:28" x14ac:dyDescent="0.2">
      <c r="A68">
        <v>1816.5</v>
      </c>
      <c r="B68">
        <v>9.2824932527483903E-2</v>
      </c>
      <c r="C68">
        <v>3.2912453810458001E-2</v>
      </c>
      <c r="D68">
        <v>4.8980021674964996E-3</v>
      </c>
      <c r="E68">
        <v>-2.8825770224330001E-4</v>
      </c>
      <c r="F68">
        <v>-2.5517030508246101E-2</v>
      </c>
      <c r="G68">
        <v>1.48505764423722E-2</v>
      </c>
      <c r="H68">
        <v>0</v>
      </c>
      <c r="I68">
        <v>-1.7530374042064999E-2</v>
      </c>
      <c r="J68">
        <v>3.7708003673355001E-3</v>
      </c>
      <c r="K68">
        <v>2.2749515280213999E-3</v>
      </c>
      <c r="L68">
        <v>4.9383821100771001E-3</v>
      </c>
      <c r="M68">
        <v>-5.8939420739674402</v>
      </c>
      <c r="N68">
        <v>-2.5805288210489399E-2</v>
      </c>
      <c r="O68">
        <v>3.7810508500817797E-2</v>
      </c>
      <c r="P68" s="1">
        <v>5.2522863323335702E-8</v>
      </c>
      <c r="Q68">
        <v>0.10819610711347601</v>
      </c>
      <c r="R68">
        <v>-5.7808075847438802</v>
      </c>
      <c r="S68">
        <v>-1.1484622146708E-2</v>
      </c>
      <c r="Y68">
        <f t="shared" si="2"/>
        <v>0.1306353885054384</v>
      </c>
      <c r="Z68" s="3">
        <f t="shared" ref="Z68:Z131" si="3">K68+J68+I68+H68+G68+D68+C68+B68+P68</f>
        <v>0.13400139532396585</v>
      </c>
    </row>
    <row r="69" spans="1:28" x14ac:dyDescent="0.2">
      <c r="A69">
        <v>1817.5</v>
      </c>
      <c r="B69">
        <v>9.4220309993474999E-2</v>
      </c>
      <c r="C69">
        <v>3.3401507589888003E-2</v>
      </c>
      <c r="D69">
        <v>4.9719416196868996E-3</v>
      </c>
      <c r="E69" s="1">
        <v>4.5096571166684299E-5</v>
      </c>
      <c r="F69">
        <v>-2.8548324546459398E-2</v>
      </c>
      <c r="G69">
        <v>1.6121812382677202E-2</v>
      </c>
      <c r="H69">
        <v>0</v>
      </c>
      <c r="I69">
        <v>-1.80007216462389E-2</v>
      </c>
      <c r="J69">
        <v>4.3551985183782E-3</v>
      </c>
      <c r="K69">
        <v>2.3094204905672001E-3</v>
      </c>
      <c r="L69">
        <v>6.6856477350771002E-3</v>
      </c>
      <c r="M69">
        <v>-3.6175976790608999</v>
      </c>
      <c r="N69">
        <v>-2.85032279752927E-2</v>
      </c>
      <c r="O69">
        <v>3.8373502528239102E-2</v>
      </c>
      <c r="P69" s="1">
        <v>5.3318664282780998E-8</v>
      </c>
      <c r="Q69">
        <v>0.108876294291805</v>
      </c>
      <c r="R69">
        <v>-3.5020357370340198</v>
      </c>
      <c r="S69">
        <v>-1.13361026372935E-2</v>
      </c>
      <c r="Y69">
        <f t="shared" si="2"/>
        <v>0.13259375920304989</v>
      </c>
      <c r="Z69" s="3">
        <f t="shared" si="3"/>
        <v>0.1373795222670979</v>
      </c>
    </row>
    <row r="70" spans="1:28" x14ac:dyDescent="0.2">
      <c r="A70">
        <v>1818.5</v>
      </c>
      <c r="B70">
        <v>9.5615361132317195E-2</v>
      </c>
      <c r="C70">
        <v>3.3890284054760002E-2</v>
      </c>
      <c r="D70">
        <v>5.0458730319908E-3</v>
      </c>
      <c r="E70">
        <v>-5.7113278435170004E-4</v>
      </c>
      <c r="F70">
        <v>-3.4400792513536498E-2</v>
      </c>
      <c r="G70">
        <v>1.7694851509683598E-2</v>
      </c>
      <c r="H70">
        <v>0</v>
      </c>
      <c r="I70">
        <v>-1.8471975091325501E-2</v>
      </c>
      <c r="J70">
        <v>5.0072129456978001E-3</v>
      </c>
      <c r="K70">
        <v>2.3438894531129001E-3</v>
      </c>
      <c r="L70">
        <v>-6.6222824148530002E-4</v>
      </c>
      <c r="M70">
        <v>-2.56613685237124</v>
      </c>
      <c r="N70">
        <v>-3.4971925297888097E-2</v>
      </c>
      <c r="O70">
        <v>3.8936211201216001E-2</v>
      </c>
      <c r="P70" s="1">
        <v>5.41144652422263E-8</v>
      </c>
      <c r="Q70">
        <v>0.106153625852813</v>
      </c>
      <c r="R70">
        <v>-2.4606454547599199</v>
      </c>
      <c r="S70">
        <v>-1.1120872692514799E-2</v>
      </c>
      <c r="Y70">
        <f t="shared" si="2"/>
        <v>0.13455151821906799</v>
      </c>
      <c r="Z70" s="3">
        <f t="shared" si="3"/>
        <v>0.14112555115070202</v>
      </c>
    </row>
    <row r="71" spans="1:28" x14ac:dyDescent="0.2">
      <c r="A71">
        <v>1819.5</v>
      </c>
      <c r="B71">
        <v>9.70100861115646E-2</v>
      </c>
      <c r="C71">
        <v>3.4378783620466501E-2</v>
      </c>
      <c r="D71">
        <v>5.1197964087024003E-3</v>
      </c>
      <c r="E71">
        <v>-3.6907925344959998E-4</v>
      </c>
      <c r="F71">
        <v>-3.10542994969077E-2</v>
      </c>
      <c r="G71">
        <v>1.6563228694830099E-2</v>
      </c>
      <c r="H71">
        <v>0</v>
      </c>
      <c r="I71">
        <v>-1.8944087299822301E-2</v>
      </c>
      <c r="J71">
        <v>4.5742289536871003E-3</v>
      </c>
      <c r="K71">
        <v>2.3783584156586999E-3</v>
      </c>
      <c r="L71">
        <v>-1.4063131561797801E-2</v>
      </c>
      <c r="M71">
        <v>-1.0909619120085601</v>
      </c>
      <c r="N71">
        <v>-3.1423378750357299E-2</v>
      </c>
      <c r="O71">
        <v>3.9498634939435097E-2</v>
      </c>
      <c r="P71" s="1">
        <v>5.4910266201671602E-8</v>
      </c>
      <c r="Q71">
        <v>0.109657071064995</v>
      </c>
      <c r="R71">
        <v>-0.99536797250536202</v>
      </c>
      <c r="S71">
        <v>-1.1991499930476501E-2</v>
      </c>
      <c r="Y71">
        <f t="shared" si="2"/>
        <v>0.13650866614073348</v>
      </c>
      <c r="Z71" s="3">
        <f t="shared" si="3"/>
        <v>0.14108044981535331</v>
      </c>
    </row>
    <row r="72" spans="1:28" x14ac:dyDescent="0.2">
      <c r="A72">
        <v>1820.5</v>
      </c>
      <c r="B72">
        <v>9.8404485098642303E-2</v>
      </c>
      <c r="C72">
        <v>3.4867006701361503E-2</v>
      </c>
      <c r="D72">
        <v>5.1937117541093003E-3</v>
      </c>
      <c r="E72">
        <v>-1.3670634988168001E-3</v>
      </c>
      <c r="F72">
        <v>-3.5559485453722901E-2</v>
      </c>
      <c r="G72">
        <v>1.70709010285926E-2</v>
      </c>
      <c r="H72">
        <v>0</v>
      </c>
      <c r="I72">
        <v>-1.9463691464551201E-2</v>
      </c>
      <c r="J72">
        <v>4.8816299007904997E-3</v>
      </c>
      <c r="K72">
        <v>2.4128273782045E-3</v>
      </c>
      <c r="L72">
        <v>-3.1379781952422803E-2</v>
      </c>
      <c r="M72">
        <v>-0.10794352334978501</v>
      </c>
      <c r="N72">
        <v>-3.6926548952539703E-2</v>
      </c>
      <c r="O72">
        <v>4.0060774161537901E-2</v>
      </c>
      <c r="P72" s="1">
        <v>5.5706067161116897E-8</v>
      </c>
      <c r="Q72">
        <v>0.106440377150676</v>
      </c>
      <c r="R72">
        <v>-3.2882928151531397E-2</v>
      </c>
      <c r="S72">
        <v>-1.21692341855562E-2</v>
      </c>
      <c r="Y72">
        <f t="shared" si="2"/>
        <v>0.1384652035541131</v>
      </c>
      <c r="Z72" s="3">
        <f t="shared" si="3"/>
        <v>0.14336692610321666</v>
      </c>
    </row>
    <row r="73" spans="1:28" x14ac:dyDescent="0.2">
      <c r="A73">
        <v>1821.5</v>
      </c>
      <c r="B73">
        <v>9.9798558260843703E-2</v>
      </c>
      <c r="C73">
        <v>3.5354953710764303E-2</v>
      </c>
      <c r="D73">
        <v>5.2676190724912997E-3</v>
      </c>
      <c r="E73">
        <v>-5.1525852952550005E-4</v>
      </c>
      <c r="F73">
        <v>-3.5039173773860302E-2</v>
      </c>
      <c r="G73">
        <v>1.7715170464225102E-2</v>
      </c>
      <c r="H73">
        <v>0</v>
      </c>
      <c r="I73">
        <v>-2.00307551592196E-2</v>
      </c>
      <c r="J73">
        <v>5.1248404736652002E-3</v>
      </c>
      <c r="K73">
        <v>2.4472963407502998E-3</v>
      </c>
      <c r="L73">
        <v>-4.7978805389922802E-2</v>
      </c>
      <c r="M73">
        <v>2.3528134126556698E-2</v>
      </c>
      <c r="N73">
        <v>-3.55544323033858E-2</v>
      </c>
      <c r="O73">
        <v>4.0622629285123703E-2</v>
      </c>
      <c r="P73" s="1">
        <v>5.6501868120562199E-8</v>
      </c>
      <c r="Q73">
        <v>0.110123307362002</v>
      </c>
      <c r="R73">
        <v>8.5672636098636498E-2</v>
      </c>
      <c r="S73">
        <v>-1.24586183448041E-2</v>
      </c>
      <c r="Y73">
        <f t="shared" si="2"/>
        <v>0.14042113104409931</v>
      </c>
      <c r="Z73" s="3">
        <f t="shared" si="3"/>
        <v>0.14567773966538844</v>
      </c>
    </row>
    <row r="74" spans="1:28" x14ac:dyDescent="0.2">
      <c r="A74">
        <v>1822.5</v>
      </c>
      <c r="B74">
        <v>0.101192305765333</v>
      </c>
      <c r="C74">
        <v>3.5842625060963397E-2</v>
      </c>
      <c r="D74">
        <v>5.3415183681196996E-3</v>
      </c>
      <c r="E74">
        <v>-9.6967999154559995E-4</v>
      </c>
      <c r="F74">
        <v>-3.3473489317483202E-2</v>
      </c>
      <c r="G74">
        <v>1.6605371889558702E-2</v>
      </c>
      <c r="H74">
        <v>0</v>
      </c>
      <c r="I74">
        <v>-2.05985911607065E-2</v>
      </c>
      <c r="J74">
        <v>4.7129482431113997E-3</v>
      </c>
      <c r="K74">
        <v>2.4817653032959998E-3</v>
      </c>
      <c r="L74">
        <v>-5.9398434296172802E-2</v>
      </c>
      <c r="M74">
        <v>-2.7464039440100001E-3</v>
      </c>
      <c r="N74">
        <v>-3.4443169309028798E-2</v>
      </c>
      <c r="O74">
        <v>4.11842007267521E-2</v>
      </c>
      <c r="P74" s="1">
        <v>5.7297669080007501E-8</v>
      </c>
      <c r="Q74">
        <v>0.111134831458316</v>
      </c>
      <c r="R74">
        <v>4.8989993218133403E-2</v>
      </c>
      <c r="S74">
        <v>-1.3403877614299099E-2</v>
      </c>
      <c r="Y74">
        <f t="shared" si="2"/>
        <v>0.14237644919441608</v>
      </c>
      <c r="Z74" s="3">
        <f t="shared" si="3"/>
        <v>0.14557800076734478</v>
      </c>
    </row>
    <row r="75" spans="1:28" x14ac:dyDescent="0.2">
      <c r="A75">
        <v>1823.5</v>
      </c>
      <c r="B75">
        <v>0.10258572777915</v>
      </c>
      <c r="C75">
        <v>3.6330021163219497E-2</v>
      </c>
      <c r="D75">
        <v>5.4154096452597002E-3</v>
      </c>
      <c r="E75">
        <v>-2.254136044167E-4</v>
      </c>
      <c r="F75">
        <v>-2.9987213574502101E-2</v>
      </c>
      <c r="G75">
        <v>1.6276422010120702E-2</v>
      </c>
      <c r="H75">
        <v>0</v>
      </c>
      <c r="I75">
        <v>-2.1167193269671501E-2</v>
      </c>
      <c r="J75">
        <v>4.4654244480989997E-3</v>
      </c>
      <c r="K75">
        <v>2.5162342658418E-3</v>
      </c>
      <c r="L75">
        <v>-6.18009245305478E-2</v>
      </c>
      <c r="M75">
        <v>-0.45880862370646402</v>
      </c>
      <c r="N75">
        <v>-3.0212627178918799E-2</v>
      </c>
      <c r="O75">
        <v>4.17454889019492E-2</v>
      </c>
      <c r="P75" s="1">
        <v>5.8093470039425698E-8</v>
      </c>
      <c r="Q75">
        <v>0.11620947695657</v>
      </c>
      <c r="R75">
        <v>-0.40440007128044098</v>
      </c>
      <c r="S75">
        <v>-1.4185534555730701E-2</v>
      </c>
      <c r="Y75">
        <f t="shared" si="2"/>
        <v>0.14433115858762918</v>
      </c>
      <c r="Z75" s="3">
        <f t="shared" si="3"/>
        <v>0.14642210413548923</v>
      </c>
    </row>
    <row r="76" spans="1:28" x14ac:dyDescent="0.2">
      <c r="A76">
        <v>1824.5</v>
      </c>
      <c r="B76">
        <v>0.1039788244692</v>
      </c>
      <c r="C76">
        <v>3.6817142427769602E-2</v>
      </c>
      <c r="D76">
        <v>5.4892929081685003E-3</v>
      </c>
      <c r="E76">
        <v>8.3546443880230001E-4</v>
      </c>
      <c r="F76">
        <v>-3.05188335127143E-2</v>
      </c>
      <c r="G76">
        <v>1.7336344623321401E-2</v>
      </c>
      <c r="H76">
        <v>0</v>
      </c>
      <c r="I76">
        <v>-2.1736550146782802E-2</v>
      </c>
      <c r="J76">
        <v>4.9679993842316004E-3</v>
      </c>
      <c r="K76">
        <v>2.5507032283876001E-3</v>
      </c>
      <c r="L76">
        <v>-5.0178488007110299E-2</v>
      </c>
      <c r="M76">
        <v>-6.3608989299799801E-2</v>
      </c>
      <c r="N76">
        <v>-2.9683369073911999E-2</v>
      </c>
      <c r="O76">
        <v>4.2306494225209101E-2</v>
      </c>
      <c r="P76" s="1">
        <v>5.8889270998871E-8</v>
      </c>
      <c r="Q76">
        <v>0.119720446709655</v>
      </c>
      <c r="R76">
        <v>5.9329694027454799E-3</v>
      </c>
      <c r="S76">
        <v>-1.4217847534163599E-2</v>
      </c>
      <c r="Y76">
        <f t="shared" si="2"/>
        <v>0.1462852598051381</v>
      </c>
      <c r="Z76" s="3">
        <f t="shared" si="3"/>
        <v>0.1494038157835669</v>
      </c>
    </row>
    <row r="77" spans="1:28" x14ac:dyDescent="0.2">
      <c r="A77">
        <v>1825.5</v>
      </c>
      <c r="B77">
        <v>0.10537159600226401</v>
      </c>
      <c r="C77">
        <v>3.7303989263830203E-2</v>
      </c>
      <c r="D77">
        <v>5.5631681610947004E-3</v>
      </c>
      <c r="E77">
        <v>-4.9755862857500004E-4</v>
      </c>
      <c r="F77">
        <v>-3.5563841711610603E-2</v>
      </c>
      <c r="G77">
        <v>1.7558914567560101E-2</v>
      </c>
      <c r="H77">
        <v>0</v>
      </c>
      <c r="I77">
        <v>-2.2306606368026099E-2</v>
      </c>
      <c r="J77">
        <v>5.2001525463035003E-3</v>
      </c>
      <c r="K77">
        <v>2.5851721909333999E-3</v>
      </c>
      <c r="L77">
        <v>-2.0240963593047799E-2</v>
      </c>
      <c r="M77">
        <v>7.7164765435686997E-2</v>
      </c>
      <c r="N77">
        <v>-3.6061400340185602E-2</v>
      </c>
      <c r="O77">
        <v>4.2867217109996802E-2</v>
      </c>
      <c r="P77" s="1">
        <v>5.9685071958316296E-8</v>
      </c>
      <c r="Q77">
        <v>0.115215045708847</v>
      </c>
      <c r="R77">
        <v>0.17213884755148601</v>
      </c>
      <c r="S77">
        <v>-1.4521281630789201E-2</v>
      </c>
      <c r="Y77">
        <f t="shared" si="2"/>
        <v>0.1482387534271889</v>
      </c>
      <c r="Z77" s="3">
        <f t="shared" si="3"/>
        <v>0.15127644604903179</v>
      </c>
      <c r="AA77">
        <f t="shared" ref="AA77:AA101" si="4">10^((Z77+$V$100)/$V$99)</f>
        <v>285.90766568854042</v>
      </c>
      <c r="AB77">
        <f t="shared" ref="AB77:AB101" si="5">LOG10(AA77)</f>
        <v>2.456225799714765</v>
      </c>
    </row>
    <row r="78" spans="1:28" x14ac:dyDescent="0.2">
      <c r="A78">
        <v>1826.5</v>
      </c>
      <c r="B78">
        <v>0.106764042544995</v>
      </c>
      <c r="C78">
        <v>3.7790562079601402E-2</v>
      </c>
      <c r="D78">
        <v>5.6370354082808998E-3</v>
      </c>
      <c r="E78">
        <v>4.2506605492389999E-4</v>
      </c>
      <c r="F78">
        <v>-3.3394631833278801E-2</v>
      </c>
      <c r="G78">
        <v>1.7580310010132001E-2</v>
      </c>
      <c r="H78">
        <v>0</v>
      </c>
      <c r="I78">
        <v>-2.2877352741618499E-2</v>
      </c>
      <c r="J78">
        <v>5.2350265032027003E-3</v>
      </c>
      <c r="K78">
        <v>2.6196411534792001E-3</v>
      </c>
      <c r="L78">
        <v>1.3144290313202101E-2</v>
      </c>
      <c r="M78">
        <v>0.20123790921649701</v>
      </c>
      <c r="N78">
        <v>-3.2969565778354901E-2</v>
      </c>
      <c r="O78">
        <v>4.3427657968755203E-2</v>
      </c>
      <c r="P78" s="1">
        <v>6.0480872917761598E-8</v>
      </c>
      <c r="Q78">
        <v>0.11977975966059</v>
      </c>
      <c r="R78">
        <v>0.33416195919029001</v>
      </c>
      <c r="S78">
        <v>-1.50226850849366E-2</v>
      </c>
      <c r="Y78">
        <f t="shared" si="2"/>
        <v>0.1501916400328773</v>
      </c>
      <c r="Z78" s="3">
        <f t="shared" si="3"/>
        <v>0.15274932543894562</v>
      </c>
      <c r="AA78">
        <f t="shared" si="4"/>
        <v>285.98376548183279</v>
      </c>
      <c r="AB78">
        <f t="shared" si="5"/>
        <v>2.45634138011585</v>
      </c>
    </row>
    <row r="79" spans="1:28" x14ac:dyDescent="0.2">
      <c r="A79">
        <v>1827.5</v>
      </c>
      <c r="B79">
        <v>0.108156164263913</v>
      </c>
      <c r="C79">
        <v>3.8276861282269398E-2</v>
      </c>
      <c r="D79">
        <v>5.7108946539618996E-3</v>
      </c>
      <c r="E79">
        <v>1.530098899439E-4</v>
      </c>
      <c r="F79">
        <v>-3.7098197672099598E-2</v>
      </c>
      <c r="G79">
        <v>1.8360468090220201E-2</v>
      </c>
      <c r="H79">
        <v>0</v>
      </c>
      <c r="I79">
        <v>-2.3448756738581201E-2</v>
      </c>
      <c r="J79">
        <v>5.6762239992516998E-3</v>
      </c>
      <c r="K79">
        <v>2.6541101160249001E-3</v>
      </c>
      <c r="L79">
        <v>3.7543606719452102E-2</v>
      </c>
      <c r="M79">
        <v>0.16409646985875001</v>
      </c>
      <c r="N79">
        <v>-3.6945187782155699E-2</v>
      </c>
      <c r="O79">
        <v>4.3987817212905102E-2</v>
      </c>
      <c r="P79" s="1">
        <v>6.12766738772069E-8</v>
      </c>
      <c r="Q79">
        <v>0.11844083916157799</v>
      </c>
      <c r="R79">
        <v>0.32008091573977998</v>
      </c>
      <c r="S79">
        <v>-1.51184226233046E-2</v>
      </c>
      <c r="Y79">
        <f t="shared" si="2"/>
        <v>0.15214392020014431</v>
      </c>
      <c r="Z79" s="3">
        <f t="shared" si="3"/>
        <v>0.15538602694373377</v>
      </c>
      <c r="AA79">
        <f t="shared" si="4"/>
        <v>286.1200474842916</v>
      </c>
      <c r="AB79">
        <f t="shared" si="5"/>
        <v>2.4565482884476202</v>
      </c>
    </row>
    <row r="80" spans="1:28" x14ac:dyDescent="0.2">
      <c r="A80">
        <v>1828.5</v>
      </c>
      <c r="B80">
        <v>0.109547961325411</v>
      </c>
      <c r="C80">
        <v>3.8762887278011103E-2</v>
      </c>
      <c r="D80">
        <v>5.7847459023641001E-3</v>
      </c>
      <c r="E80">
        <v>-1.2217626581321999E-3</v>
      </c>
      <c r="F80">
        <v>-4.8377911351787699E-2</v>
      </c>
      <c r="G80">
        <v>2.0578004722502301E-2</v>
      </c>
      <c r="H80">
        <v>0</v>
      </c>
      <c r="I80">
        <v>-2.4020767488506099E-2</v>
      </c>
      <c r="J80">
        <v>6.8808149449342002E-3</v>
      </c>
      <c r="K80">
        <v>2.6885790785706998E-3</v>
      </c>
      <c r="L80">
        <v>4.49538850397646E-2</v>
      </c>
      <c r="M80">
        <v>0.20833485857127801</v>
      </c>
      <c r="N80">
        <v>-4.9599674009919902E-2</v>
      </c>
      <c r="O80">
        <v>4.4547695252850003E-2</v>
      </c>
      <c r="P80" s="1">
        <v>6.2072474836679293E-8</v>
      </c>
      <c r="Q80">
        <v>0.110622613825843</v>
      </c>
      <c r="R80">
        <v>0.36391135743688602</v>
      </c>
      <c r="S80">
        <v>-1.44513734650011E-2</v>
      </c>
      <c r="Y80">
        <f t="shared" si="2"/>
        <v>0.15409559450578622</v>
      </c>
      <c r="Z80" s="3">
        <f t="shared" si="3"/>
        <v>0.16022228783576214</v>
      </c>
      <c r="AA80">
        <f t="shared" si="4"/>
        <v>286.37018594929924</v>
      </c>
      <c r="AB80">
        <f t="shared" si="5"/>
        <v>2.4569278015139866</v>
      </c>
    </row>
    <row r="81" spans="1:28" x14ac:dyDescent="0.2">
      <c r="A81">
        <v>1829.5</v>
      </c>
      <c r="B81">
        <v>0.11093943389576</v>
      </c>
      <c r="C81">
        <v>3.92486404719972E-2</v>
      </c>
      <c r="D81">
        <v>5.8585891577078997E-3</v>
      </c>
      <c r="E81">
        <v>-8.6545922702430003E-4</v>
      </c>
      <c r="F81">
        <v>-4.3741696890211602E-2</v>
      </c>
      <c r="G81">
        <v>1.9518595053898601E-2</v>
      </c>
      <c r="H81">
        <v>0</v>
      </c>
      <c r="I81">
        <v>-2.45934010777238E-2</v>
      </c>
      <c r="J81">
        <v>6.3033076958083998E-3</v>
      </c>
      <c r="K81">
        <v>2.7230480411165E-3</v>
      </c>
      <c r="L81">
        <v>3.5921145781952102E-2</v>
      </c>
      <c r="M81">
        <v>0.11233136631189899</v>
      </c>
      <c r="N81">
        <v>-4.4607156117235897E-2</v>
      </c>
      <c r="O81">
        <v>4.5107292497980803E-2</v>
      </c>
      <c r="P81" s="1">
        <v>6.2868275796097504E-8</v>
      </c>
      <c r="Q81">
        <v>0.115391119989605</v>
      </c>
      <c r="R81">
        <v>0.26364363208345598</v>
      </c>
      <c r="S81">
        <v>-1.5567045340798899E-2</v>
      </c>
      <c r="Y81">
        <f t="shared" si="2"/>
        <v>0.15604666352546509</v>
      </c>
      <c r="Z81" s="3">
        <f t="shared" si="3"/>
        <v>0.15999827610684059</v>
      </c>
      <c r="AA81">
        <f t="shared" si="4"/>
        <v>286.35859490752784</v>
      </c>
      <c r="AB81">
        <f t="shared" si="5"/>
        <v>2.4569102227728798</v>
      </c>
    </row>
    <row r="82" spans="1:28" x14ac:dyDescent="0.2">
      <c r="A82">
        <v>1830.5</v>
      </c>
      <c r="B82">
        <v>0.112330582141095</v>
      </c>
      <c r="C82">
        <v>3.9734121268395498E-2</v>
      </c>
      <c r="D82">
        <v>5.9324244242051002E-3</v>
      </c>
      <c r="E82">
        <v>-1.3478135553059E-3</v>
      </c>
      <c r="F82">
        <v>-4.7912359504967E-2</v>
      </c>
      <c r="G82">
        <v>2.0120988789450501E-2</v>
      </c>
      <c r="H82">
        <v>0</v>
      </c>
      <c r="I82">
        <v>-2.52714740240951E-2</v>
      </c>
      <c r="J82">
        <v>6.7132195700666001E-3</v>
      </c>
      <c r="K82">
        <v>2.7575170036623002E-3</v>
      </c>
      <c r="L82">
        <v>1.6186404571014602E-2</v>
      </c>
      <c r="M82">
        <v>0.19059516616762701</v>
      </c>
      <c r="N82">
        <v>-4.9260173060272902E-2</v>
      </c>
      <c r="O82">
        <v>4.5666609356677303E-2</v>
      </c>
      <c r="P82" s="1">
        <v>6.3664076755569897E-8</v>
      </c>
      <c r="Q82">
        <v>0.11305726977658399</v>
      </c>
      <c r="R82">
        <v>0.31983884051522499</v>
      </c>
      <c r="S82">
        <v>-1.5800737450366101E-2</v>
      </c>
      <c r="Y82">
        <f t="shared" si="2"/>
        <v>0.1579971278336956</v>
      </c>
      <c r="Z82" s="3">
        <f t="shared" si="3"/>
        <v>0.16231744283685665</v>
      </c>
      <c r="AA82">
        <f t="shared" si="4"/>
        <v>286.4786182989605</v>
      </c>
      <c r="AB82">
        <f t="shared" si="5"/>
        <v>2.457092213384382</v>
      </c>
    </row>
    <row r="83" spans="1:28" x14ac:dyDescent="0.2">
      <c r="A83">
        <v>1831.5</v>
      </c>
      <c r="B83">
        <v>0.113721406227427</v>
      </c>
      <c r="C83">
        <v>4.0219330070374502E-2</v>
      </c>
      <c r="D83">
        <v>6.0062517060606004E-3</v>
      </c>
      <c r="E83">
        <v>-1.16714951797E-4</v>
      </c>
      <c r="F83">
        <v>-4.10860068583669E-2</v>
      </c>
      <c r="G83">
        <v>1.9114738215432799E-2</v>
      </c>
      <c r="H83">
        <v>0</v>
      </c>
      <c r="I83">
        <v>-2.6054930658664901E-2</v>
      </c>
      <c r="J83">
        <v>6.1467081821756E-3</v>
      </c>
      <c r="K83">
        <v>2.7919859662080999E-3</v>
      </c>
      <c r="L83">
        <v>-1.03657926946103E-2</v>
      </c>
      <c r="M83">
        <v>-2.2322494195648601</v>
      </c>
      <c r="N83">
        <v>-4.1202721810163899E-2</v>
      </c>
      <c r="O83">
        <v>4.6225646236312798E-2</v>
      </c>
      <c r="P83" s="1">
        <v>6.4459877715015199E-8</v>
      </c>
      <c r="Q83">
        <v>0.120742832358728</v>
      </c>
      <c r="R83">
        <v>-2.12187237990074</v>
      </c>
      <c r="S83">
        <v>-1.7116236510281199E-2</v>
      </c>
      <c r="Y83">
        <f t="shared" si="2"/>
        <v>0.15994698800386209</v>
      </c>
      <c r="Z83" s="3">
        <f t="shared" si="3"/>
        <v>0.16194555416889142</v>
      </c>
      <c r="AA83">
        <f t="shared" si="4"/>
        <v>286.45936862989299</v>
      </c>
      <c r="AB83">
        <f t="shared" si="5"/>
        <v>2.4570630303829111</v>
      </c>
    </row>
    <row r="84" spans="1:28" x14ac:dyDescent="0.2">
      <c r="A84">
        <v>1832.5</v>
      </c>
      <c r="B84">
        <v>0.115111906320642</v>
      </c>
      <c r="C84">
        <v>4.0704267280107197E-2</v>
      </c>
      <c r="D84">
        <v>6.0800710074720996E-3</v>
      </c>
      <c r="E84">
        <v>4.1594676354840001E-4</v>
      </c>
      <c r="F84">
        <v>-3.9568119745293999E-2</v>
      </c>
      <c r="G84">
        <v>1.9144572275716601E-2</v>
      </c>
      <c r="H84">
        <v>0</v>
      </c>
      <c r="I84">
        <v>-2.6838895497883101E-2</v>
      </c>
      <c r="J84">
        <v>6.1186114976845996E-3</v>
      </c>
      <c r="K84">
        <v>2.8264549287537999E-3</v>
      </c>
      <c r="L84">
        <v>-3.5482736053985303E-2</v>
      </c>
      <c r="M84">
        <v>-1.7917386387049601</v>
      </c>
      <c r="N84">
        <v>-3.91521729817456E-2</v>
      </c>
      <c r="O84">
        <v>4.6784403543257899E-2</v>
      </c>
      <c r="P84" s="1">
        <v>6.5255678674433396E-8</v>
      </c>
      <c r="Q84">
        <v>0.12399488008642599</v>
      </c>
      <c r="R84">
        <v>-1.70322649467251</v>
      </c>
      <c r="S84">
        <v>-1.7893829071444701E-2</v>
      </c>
      <c r="Y84">
        <f t="shared" si="2"/>
        <v>0.1618962446082213</v>
      </c>
      <c r="Z84" s="3">
        <f t="shared" si="3"/>
        <v>0.16314705306817187</v>
      </c>
      <c r="AA84">
        <f t="shared" si="4"/>
        <v>286.52156517362562</v>
      </c>
      <c r="AB84">
        <f t="shared" si="5"/>
        <v>2.4571573149018158</v>
      </c>
    </row>
    <row r="85" spans="1:28" x14ac:dyDescent="0.2">
      <c r="A85">
        <v>1833.5</v>
      </c>
      <c r="B85">
        <v>0.116502082586492</v>
      </c>
      <c r="C85">
        <v>4.1188933298773697E-2</v>
      </c>
      <c r="D85">
        <v>6.1538823326297001E-3</v>
      </c>
      <c r="E85" s="1">
        <v>-5.8504799842184598E-5</v>
      </c>
      <c r="F85">
        <v>-4.1673382427019998E-2</v>
      </c>
      <c r="G85">
        <v>1.91750186780799E-2</v>
      </c>
      <c r="H85">
        <v>0</v>
      </c>
      <c r="I85">
        <v>-2.76233690882467E-2</v>
      </c>
      <c r="J85">
        <v>6.2529522292113001E-3</v>
      </c>
      <c r="K85">
        <v>2.8609238912996001E-3</v>
      </c>
      <c r="L85">
        <v>-5.1052120819610303E-2</v>
      </c>
      <c r="M85">
        <v>-0.75523991729195705</v>
      </c>
      <c r="N85">
        <v>-4.1731887226862101E-2</v>
      </c>
      <c r="O85">
        <v>4.7342881682883003E-2</v>
      </c>
      <c r="P85" s="1">
        <v>6.6051479633878698E-8</v>
      </c>
      <c r="Q85">
        <v>0.122778602752857</v>
      </c>
      <c r="R85">
        <v>-0.68351343535871001</v>
      </c>
      <c r="S85">
        <v>-1.85094929677358E-2</v>
      </c>
      <c r="Y85">
        <f t="shared" si="2"/>
        <v>0.16384489821789538</v>
      </c>
      <c r="Z85" s="3">
        <f t="shared" si="3"/>
        <v>0.16451048997971915</v>
      </c>
      <c r="AA85">
        <f t="shared" si="4"/>
        <v>286.59216092421963</v>
      </c>
      <c r="AB85">
        <f t="shared" si="5"/>
        <v>2.4572643070874425</v>
      </c>
    </row>
    <row r="86" spans="1:28" x14ac:dyDescent="0.2">
      <c r="A86">
        <v>1834.5</v>
      </c>
      <c r="B86">
        <v>0.11789193519060701</v>
      </c>
      <c r="C86">
        <v>4.1673328526565703E-2</v>
      </c>
      <c r="D86">
        <v>6.2276856857162001E-3</v>
      </c>
      <c r="E86">
        <v>-1.4796424565146999E-3</v>
      </c>
      <c r="F86">
        <v>-5.1223507964624097E-2</v>
      </c>
      <c r="G86">
        <v>2.07468725844763E-2</v>
      </c>
      <c r="H86">
        <v>0</v>
      </c>
      <c r="I86">
        <v>-2.8408284718179199E-2</v>
      </c>
      <c r="J86">
        <v>7.1807834947048002E-3</v>
      </c>
      <c r="K86">
        <v>2.8953928538453999E-3</v>
      </c>
      <c r="L86">
        <v>-4.8509225311797799E-2</v>
      </c>
      <c r="M86">
        <v>-7.8318737204715799E-2</v>
      </c>
      <c r="N86">
        <v>-5.2703150421138698E-2</v>
      </c>
      <c r="O86">
        <v>4.7901081059562499E-2</v>
      </c>
      <c r="P86" s="1">
        <v>6.6847280593324E-8</v>
      </c>
      <c r="Q86">
        <v>0.115504630043878</v>
      </c>
      <c r="R86">
        <v>-1.13233324726346E-2</v>
      </c>
      <c r="S86">
        <v>-1.83321083696289E-2</v>
      </c>
      <c r="Y86">
        <f t="shared" si="2"/>
        <v>0.16579294940288891</v>
      </c>
      <c r="Z86" s="3">
        <f t="shared" si="3"/>
        <v>0.1682077804650168</v>
      </c>
      <c r="AA86">
        <f t="shared" si="4"/>
        <v>286.78368600614749</v>
      </c>
      <c r="AB86">
        <f t="shared" si="5"/>
        <v>2.4575544423966509</v>
      </c>
    </row>
    <row r="87" spans="1:28" x14ac:dyDescent="0.2">
      <c r="A87">
        <v>1835.5</v>
      </c>
      <c r="B87">
        <v>0.119281464298488</v>
      </c>
      <c r="C87">
        <v>4.2157453362689098E-2</v>
      </c>
      <c r="D87">
        <v>6.3014810709078996E-3</v>
      </c>
      <c r="E87">
        <v>-2.225654359811E-4</v>
      </c>
      <c r="F87">
        <v>-4.7985007040972E-2</v>
      </c>
      <c r="G87">
        <v>2.06790963064514E-2</v>
      </c>
      <c r="H87">
        <v>0</v>
      </c>
      <c r="I87">
        <v>-2.91936596716608E-2</v>
      </c>
      <c r="J87">
        <v>7.1451524547640997E-3</v>
      </c>
      <c r="K87">
        <v>2.9298618163912001E-3</v>
      </c>
      <c r="L87">
        <v>-1.51551725774228E-2</v>
      </c>
      <c r="M87">
        <v>-1.9846821892149999</v>
      </c>
      <c r="N87">
        <v>-4.8207572476953099E-2</v>
      </c>
      <c r="O87">
        <v>4.8459002076678498E-2</v>
      </c>
      <c r="P87" s="1">
        <v>6.7643081552769302E-8</v>
      </c>
      <c r="Q87">
        <v>0.12109334480415899</v>
      </c>
      <c r="R87">
        <v>-1.8787440169882601</v>
      </c>
      <c r="S87">
        <v>-1.91186454005055E-2</v>
      </c>
      <c r="Y87">
        <f t="shared" si="2"/>
        <v>0.16774039873208499</v>
      </c>
      <c r="Z87" s="3">
        <f t="shared" si="3"/>
        <v>0.16930091728111243</v>
      </c>
      <c r="AA87">
        <f t="shared" si="4"/>
        <v>286.84033661160032</v>
      </c>
      <c r="AB87">
        <f t="shared" si="5"/>
        <v>2.4576402234813144</v>
      </c>
    </row>
    <row r="88" spans="1:28" x14ac:dyDescent="0.2">
      <c r="A88">
        <v>1836.5</v>
      </c>
      <c r="B88">
        <v>0.120670670075507</v>
      </c>
      <c r="C88">
        <v>4.2641308205367698E-2</v>
      </c>
      <c r="D88">
        <v>6.3752684923723997E-3</v>
      </c>
      <c r="E88">
        <v>-8.6701032276770003E-4</v>
      </c>
      <c r="F88">
        <v>-5.0202764235749403E-2</v>
      </c>
      <c r="G88">
        <v>2.0309386894328901E-2</v>
      </c>
      <c r="H88">
        <v>0</v>
      </c>
      <c r="I88">
        <v>-2.9979426128226301E-2</v>
      </c>
      <c r="J88">
        <v>7.1980804698829996E-3</v>
      </c>
      <c r="K88">
        <v>2.9643307789369998E-3</v>
      </c>
      <c r="L88">
        <v>4.3861844024139597E-2</v>
      </c>
      <c r="M88">
        <v>-1.9528896502044499</v>
      </c>
      <c r="N88">
        <v>-5.1069774558517099E-2</v>
      </c>
      <c r="O88">
        <v>4.90166451366226E-2</v>
      </c>
      <c r="P88" s="1">
        <v>6.8438882512214604E-8</v>
      </c>
      <c r="Q88">
        <v>0.119109912668535</v>
      </c>
      <c r="R88">
        <v>-1.7899178935117801</v>
      </c>
      <c r="S88">
        <v>-1.9817014879406299E-2</v>
      </c>
      <c r="Y88">
        <f t="shared" si="2"/>
        <v>0.16968724677324709</v>
      </c>
      <c r="Z88" s="3">
        <f t="shared" si="3"/>
        <v>0.17017968722705221</v>
      </c>
      <c r="AA88">
        <f t="shared" si="4"/>
        <v>286.88588600523582</v>
      </c>
      <c r="AB88">
        <f t="shared" si="5"/>
        <v>2.4577091826802206</v>
      </c>
    </row>
    <row r="89" spans="1:28" x14ac:dyDescent="0.2">
      <c r="A89">
        <v>1837.5</v>
      </c>
      <c r="B89">
        <v>0.12205955268691</v>
      </c>
      <c r="C89">
        <v>4.3124893451846398E-2</v>
      </c>
      <c r="D89">
        <v>6.4490479542713003E-3</v>
      </c>
      <c r="E89">
        <v>-4.1432411652509999E-4</v>
      </c>
      <c r="F89">
        <v>-5.3134170185183703E-2</v>
      </c>
      <c r="G89">
        <v>2.16170903153944E-2</v>
      </c>
      <c r="H89">
        <v>0</v>
      </c>
      <c r="I89">
        <v>-3.0765580883883099E-2</v>
      </c>
      <c r="J89">
        <v>7.8276942119359007E-3</v>
      </c>
      <c r="K89">
        <v>2.9987997414826998E-3</v>
      </c>
      <c r="L89">
        <v>8.7793094024139595E-2</v>
      </c>
      <c r="M89">
        <v>-0.51360370952605405</v>
      </c>
      <c r="N89">
        <v>-5.3548494301708799E-2</v>
      </c>
      <c r="O89">
        <v>4.9574010640801101E-2</v>
      </c>
      <c r="P89" s="1">
        <v>6.9234683471659906E-8</v>
      </c>
      <c r="Q89">
        <v>0.11976307241093299</v>
      </c>
      <c r="R89">
        <v>-0.30604754309098098</v>
      </c>
      <c r="S89">
        <v>-1.9939086930464499E-2</v>
      </c>
      <c r="Y89">
        <f t="shared" si="2"/>
        <v>0.17163349409302769</v>
      </c>
      <c r="Z89" s="3">
        <f t="shared" si="3"/>
        <v>0.17331156671264106</v>
      </c>
      <c r="AA89">
        <f t="shared" si="4"/>
        <v>287.04827994361642</v>
      </c>
      <c r="AB89">
        <f t="shared" si="5"/>
        <v>2.4579549488234465</v>
      </c>
    </row>
    <row r="90" spans="1:28" x14ac:dyDescent="0.2">
      <c r="A90">
        <v>1838.5</v>
      </c>
      <c r="B90">
        <v>0.123448112297821</v>
      </c>
      <c r="C90">
        <v>4.3608209498394897E-2</v>
      </c>
      <c r="D90">
        <v>6.5228194607578997E-3</v>
      </c>
      <c r="E90">
        <v>-9.0228726622620004E-4</v>
      </c>
      <c r="F90">
        <v>-5.8581005821437403E-2</v>
      </c>
      <c r="G90">
        <v>2.2943164514396E-2</v>
      </c>
      <c r="H90">
        <v>0</v>
      </c>
      <c r="I90">
        <v>-3.1552101800550902E-2</v>
      </c>
      <c r="J90">
        <v>8.4785394438063998E-3</v>
      </c>
      <c r="K90">
        <v>3.0332687040285E-3</v>
      </c>
      <c r="L90">
        <v>9.9618338164764605E-2</v>
      </c>
      <c r="M90">
        <v>-0.48577911301353499</v>
      </c>
      <c r="N90">
        <v>-5.9483293087663598E-2</v>
      </c>
      <c r="O90">
        <v>5.0131098989637198E-2</v>
      </c>
      <c r="P90" s="1">
        <v>7.0030484431078103E-8</v>
      </c>
      <c r="Q90">
        <v>0.116998789061474</v>
      </c>
      <c r="R90">
        <v>-0.269161985787296</v>
      </c>
      <c r="S90">
        <v>-2.0040293652716E-2</v>
      </c>
      <c r="Y90">
        <f t="shared" si="2"/>
        <v>0.1735791412569738</v>
      </c>
      <c r="Z90" s="3">
        <f t="shared" si="3"/>
        <v>0.17648208214913824</v>
      </c>
      <c r="AA90">
        <f t="shared" si="4"/>
        <v>287.21277086246209</v>
      </c>
      <c r="AB90">
        <f t="shared" si="5"/>
        <v>2.4582037468230018</v>
      </c>
    </row>
    <row r="91" spans="1:28" x14ac:dyDescent="0.2">
      <c r="A91">
        <v>1839.5</v>
      </c>
      <c r="B91">
        <v>0.12483634907322801</v>
      </c>
      <c r="C91">
        <v>4.4091256740311002E-2</v>
      </c>
      <c r="D91">
        <v>6.5965830159793997E-3</v>
      </c>
      <c r="E91">
        <v>-8.776189325424E-4</v>
      </c>
      <c r="F91">
        <v>-5.6643128470409303E-2</v>
      </c>
      <c r="G91">
        <v>2.2006478345235701E-2</v>
      </c>
      <c r="H91">
        <v>0</v>
      </c>
      <c r="I91">
        <v>-3.2338946601976302E-2</v>
      </c>
      <c r="J91">
        <v>8.1745739198935997E-3</v>
      </c>
      <c r="K91">
        <v>3.0677376665743002E-3</v>
      </c>
      <c r="L91">
        <v>8.5936624297577105E-2</v>
      </c>
      <c r="M91">
        <v>1.0451609319781801E-2</v>
      </c>
      <c r="N91">
        <v>-5.7520747402951697E-2</v>
      </c>
      <c r="O91">
        <v>5.0687910582575699E-2</v>
      </c>
      <c r="P91" s="1">
        <v>7.0826285390577602E-8</v>
      </c>
      <c r="Q91">
        <v>0.118913355582579</v>
      </c>
      <c r="R91">
        <v>0.215301589199938</v>
      </c>
      <c r="S91">
        <v>-2.1096635015508399E-2</v>
      </c>
      <c r="Y91">
        <f t="shared" si="2"/>
        <v>0.1755241888295184</v>
      </c>
      <c r="Z91" s="3">
        <f t="shared" si="3"/>
        <v>0.17643410298553108</v>
      </c>
      <c r="AA91">
        <f t="shared" si="4"/>
        <v>287.21028093188812</v>
      </c>
      <c r="AB91">
        <f t="shared" si="5"/>
        <v>2.4581999817822178</v>
      </c>
    </row>
    <row r="92" spans="1:28" x14ac:dyDescent="0.2">
      <c r="A92">
        <v>1840.5</v>
      </c>
      <c r="B92">
        <v>0.12622426317800101</v>
      </c>
      <c r="C92">
        <v>4.4574035571923402E-2</v>
      </c>
      <c r="D92">
        <v>6.6703386240758999E-3</v>
      </c>
      <c r="E92">
        <v>-1.5251701171272E-3</v>
      </c>
      <c r="F92">
        <v>-5.7922991384257702E-2</v>
      </c>
      <c r="G92">
        <v>2.15490080312052E-2</v>
      </c>
      <c r="H92">
        <v>0</v>
      </c>
      <c r="I92">
        <v>-3.3099986756601002E-2</v>
      </c>
      <c r="J92">
        <v>8.1088000475078997E-3</v>
      </c>
      <c r="K92">
        <v>3.1022066291200999E-3</v>
      </c>
      <c r="L92">
        <v>6.3502981719452095E-2</v>
      </c>
      <c r="M92">
        <v>0.20036372013654</v>
      </c>
      <c r="N92">
        <v>-5.9448161501384898E-2</v>
      </c>
      <c r="O92">
        <v>5.1244445818085599E-2</v>
      </c>
      <c r="P92" s="1">
        <v>7.1622086349995799E-8</v>
      </c>
      <c r="Q92">
        <v>0.11768057544593399</v>
      </c>
      <c r="R92">
        <v>0.381547277301926</v>
      </c>
      <c r="S92">
        <v>-2.1888980079972999E-2</v>
      </c>
      <c r="Y92">
        <f t="shared" si="2"/>
        <v>0.17746863737400032</v>
      </c>
      <c r="Z92" s="3">
        <f t="shared" si="3"/>
        <v>0.17712873694731884</v>
      </c>
      <c r="AA92">
        <f t="shared" si="4"/>
        <v>287.24633181854927</v>
      </c>
      <c r="AB92">
        <f t="shared" si="5"/>
        <v>2.4582544913859641</v>
      </c>
    </row>
    <row r="93" spans="1:28" x14ac:dyDescent="0.2">
      <c r="A93">
        <v>1841.5</v>
      </c>
      <c r="B93">
        <v>0.127611854776878</v>
      </c>
      <c r="C93">
        <v>4.5056546386595703E-2</v>
      </c>
      <c r="D93">
        <v>6.7440862891787997E-3</v>
      </c>
      <c r="E93">
        <v>-1.1383150272778E-3</v>
      </c>
      <c r="F93">
        <v>-6.22869221313831E-2</v>
      </c>
      <c r="G93">
        <v>2.3244264046429298E-2</v>
      </c>
      <c r="H93">
        <v>0</v>
      </c>
      <c r="I93">
        <v>-3.3835181313713901E-2</v>
      </c>
      <c r="J93">
        <v>8.9296805919647001E-3</v>
      </c>
      <c r="K93">
        <v>3.1366755916657999E-3</v>
      </c>
      <c r="L93">
        <v>3.0710550078827101E-2</v>
      </c>
      <c r="M93">
        <v>0.23789711960035101</v>
      </c>
      <c r="N93">
        <v>-6.3425237158660899E-2</v>
      </c>
      <c r="O93">
        <v>5.1800705093661803E-2</v>
      </c>
      <c r="P93" s="1">
        <v>7.2417887309441101E-8</v>
      </c>
      <c r="Q93">
        <v>0.117462761628224</v>
      </c>
      <c r="R93">
        <v>0.38607043130740298</v>
      </c>
      <c r="S93">
        <v>-2.1768825130083401E-2</v>
      </c>
      <c r="Y93">
        <f t="shared" si="2"/>
        <v>0.17941248745265251</v>
      </c>
      <c r="Z93" s="3">
        <f t="shared" si="3"/>
        <v>0.18088799878688572</v>
      </c>
      <c r="AA93">
        <f t="shared" si="4"/>
        <v>287.44151270041817</v>
      </c>
      <c r="AB93">
        <f t="shared" si="5"/>
        <v>2.4585494897369342</v>
      </c>
    </row>
    <row r="94" spans="1:28" x14ac:dyDescent="0.2">
      <c r="A94">
        <v>1842.5</v>
      </c>
      <c r="B94">
        <v>0.128999124034471</v>
      </c>
      <c r="C94">
        <v>4.5538789576729598E-2</v>
      </c>
      <c r="D94">
        <v>6.8178260154133996E-3</v>
      </c>
      <c r="E94">
        <v>-1.537798286476E-3</v>
      </c>
      <c r="F94">
        <v>-5.9975436050256598E-2</v>
      </c>
      <c r="G94">
        <v>2.2055839806336498E-2</v>
      </c>
      <c r="H94">
        <v>0</v>
      </c>
      <c r="I94">
        <v>-3.4570639805207401E-2</v>
      </c>
      <c r="J94">
        <v>8.3853893623126001E-3</v>
      </c>
      <c r="K94">
        <v>3.1711445542116001E-3</v>
      </c>
      <c r="L94">
        <v>-4.1411589055477998E-3</v>
      </c>
      <c r="M94">
        <v>0.24431583725419601</v>
      </c>
      <c r="N94">
        <v>-6.15132343367326E-2</v>
      </c>
      <c r="O94">
        <v>5.2356688805831199E-2</v>
      </c>
      <c r="P94" s="1">
        <v>7.3213688268886403E-8</v>
      </c>
      <c r="Q94">
        <v>0.11888431242122301</v>
      </c>
      <c r="R94">
        <v>0.35905899076987102</v>
      </c>
      <c r="S94">
        <v>-2.30141058886832E-2</v>
      </c>
      <c r="Y94">
        <f t="shared" si="2"/>
        <v>0.181355739626614</v>
      </c>
      <c r="Z94" s="3">
        <f t="shared" si="3"/>
        <v>0.18039754675795558</v>
      </c>
      <c r="AA94">
        <f t="shared" si="4"/>
        <v>287.41604090941343</v>
      </c>
      <c r="AB94">
        <f t="shared" si="5"/>
        <v>2.4585110027823305</v>
      </c>
    </row>
    <row r="95" spans="1:28" x14ac:dyDescent="0.2">
      <c r="A95">
        <v>1843.5</v>
      </c>
      <c r="B95">
        <v>0.13038607111526901</v>
      </c>
      <c r="C95">
        <v>4.6020765533767397E-2</v>
      </c>
      <c r="D95">
        <v>6.8915578068986004E-3</v>
      </c>
      <c r="E95">
        <v>-7.5032216919820004E-4</v>
      </c>
      <c r="F95">
        <v>-5.5199509826880599E-2</v>
      </c>
      <c r="G95">
        <v>2.1098315982701201E-2</v>
      </c>
      <c r="H95">
        <v>0</v>
      </c>
      <c r="I95">
        <v>-3.5306307433275397E-2</v>
      </c>
      <c r="J95">
        <v>7.8963738043651005E-3</v>
      </c>
      <c r="K95">
        <v>3.2056135167573998E-3</v>
      </c>
      <c r="L95">
        <v>-3.4468697968047801E-2</v>
      </c>
      <c r="M95">
        <v>-0.19284787080466001</v>
      </c>
      <c r="N95">
        <v>-5.5949831996078801E-2</v>
      </c>
      <c r="O95">
        <v>5.2912397350155203E-2</v>
      </c>
      <c r="P95" s="1">
        <v>7.40094892283046E-8</v>
      </c>
      <c r="Q95">
        <v>0.12424263233989299</v>
      </c>
      <c r="R95">
        <v>-0.103073936432814</v>
      </c>
      <c r="S95">
        <v>-2.4204320112152799E-2</v>
      </c>
      <c r="Y95">
        <f t="shared" si="2"/>
        <v>0.18329839445593499</v>
      </c>
      <c r="Z95" s="3">
        <f t="shared" si="3"/>
        <v>0.18019246433597255</v>
      </c>
      <c r="AA95">
        <f t="shared" si="4"/>
        <v>287.40539055415201</v>
      </c>
      <c r="AB95">
        <f t="shared" si="5"/>
        <v>2.4584949094696329</v>
      </c>
    </row>
    <row r="96" spans="1:28" x14ac:dyDescent="0.2">
      <c r="A96">
        <v>1844.5</v>
      </c>
      <c r="B96">
        <v>0.13177269618363399</v>
      </c>
      <c r="C96">
        <v>4.6502474648196498E-2</v>
      </c>
      <c r="D96">
        <v>6.9652816677446003E-3</v>
      </c>
      <c r="E96">
        <v>1.3406085713989999E-4</v>
      </c>
      <c r="F96">
        <v>-5.7100728322944903E-2</v>
      </c>
      <c r="G96">
        <v>2.2219000221414799E-2</v>
      </c>
      <c r="H96">
        <v>0</v>
      </c>
      <c r="I96">
        <v>-3.60421592039991E-2</v>
      </c>
      <c r="J96">
        <v>8.4897206325897003E-3</v>
      </c>
      <c r="K96">
        <v>3.2400824793032E-3</v>
      </c>
      <c r="L96">
        <v>-5.3002194061797799E-2</v>
      </c>
      <c r="M96">
        <v>4.9309456432658001E-2</v>
      </c>
      <c r="N96">
        <v>-5.6966667465804997E-2</v>
      </c>
      <c r="O96">
        <v>5.3467831121231199E-2</v>
      </c>
      <c r="P96" s="1">
        <v>7.4805290187776994E-8</v>
      </c>
      <c r="Q96">
        <v>0.126180503968369</v>
      </c>
      <c r="R96">
        <v>0.122487766339229</v>
      </c>
      <c r="S96">
        <v>-2.4312356092106101E-2</v>
      </c>
      <c r="Y96">
        <f t="shared" si="2"/>
        <v>0.18524045249957508</v>
      </c>
      <c r="Z96" s="3">
        <f t="shared" si="3"/>
        <v>0.18314717143417386</v>
      </c>
      <c r="AA96">
        <f t="shared" si="4"/>
        <v>287.55887274239007</v>
      </c>
      <c r="AB96">
        <f t="shared" si="5"/>
        <v>2.4587267724679465</v>
      </c>
    </row>
    <row r="97" spans="1:31" x14ac:dyDescent="0.2">
      <c r="A97">
        <v>1845.5</v>
      </c>
      <c r="B97">
        <v>0.133158999403798</v>
      </c>
      <c r="C97">
        <v>4.6983917309552002E-2</v>
      </c>
      <c r="D97">
        <v>7.0389976020559996E-3</v>
      </c>
      <c r="E97">
        <v>-1.4605191224379001E-3</v>
      </c>
      <c r="F97">
        <v>-6.4658230804263903E-2</v>
      </c>
      <c r="G97">
        <v>2.2749939821894698E-2</v>
      </c>
      <c r="H97">
        <v>0</v>
      </c>
      <c r="I97">
        <v>-3.6778182178666803E-2</v>
      </c>
      <c r="J97">
        <v>9.0012094904431995E-3</v>
      </c>
      <c r="K97">
        <v>3.2745514418490002E-3</v>
      </c>
      <c r="L97">
        <v>-5.4250240936797797E-2</v>
      </c>
      <c r="M97">
        <v>0.12695727794463799</v>
      </c>
      <c r="N97">
        <v>-6.6118749926701803E-2</v>
      </c>
      <c r="O97">
        <v>5.4022990512699098E-2</v>
      </c>
      <c r="P97" s="1">
        <v>7.5601091147222296E-8</v>
      </c>
      <c r="Q97">
        <v>0.11931075856531501</v>
      </c>
      <c r="R97">
        <v>0.19201779557315601</v>
      </c>
      <c r="S97">
        <v>-2.4502421246374601E-2</v>
      </c>
      <c r="Y97">
        <f t="shared" si="2"/>
        <v>0.18718191431540601</v>
      </c>
      <c r="Z97" s="3">
        <f t="shared" si="3"/>
        <v>0.18542950849201723</v>
      </c>
      <c r="AA97">
        <f t="shared" si="4"/>
        <v>287.67748479143012</v>
      </c>
      <c r="AB97">
        <f t="shared" si="5"/>
        <v>2.4589058729661701</v>
      </c>
    </row>
    <row r="98" spans="1:31" x14ac:dyDescent="0.2">
      <c r="A98">
        <v>1846.5</v>
      </c>
      <c r="B98">
        <v>0.13454498093987399</v>
      </c>
      <c r="C98">
        <v>4.7465093906419599E-2</v>
      </c>
      <c r="D98">
        <v>7.1127056139293999E-3</v>
      </c>
      <c r="E98">
        <v>-3.6267113083699999E-4</v>
      </c>
      <c r="F98">
        <v>-6.2587087330062602E-2</v>
      </c>
      <c r="G98">
        <v>2.2738937565265498E-2</v>
      </c>
      <c r="H98">
        <v>0</v>
      </c>
      <c r="I98">
        <v>-3.7514351073978297E-2</v>
      </c>
      <c r="J98">
        <v>9.0937550674653998E-3</v>
      </c>
      <c r="K98">
        <v>3.3090204043947002E-3</v>
      </c>
      <c r="L98">
        <v>-4.1878976288360299E-2</v>
      </c>
      <c r="M98">
        <v>-0.43453287907097599</v>
      </c>
      <c r="N98">
        <v>-6.2949758460899605E-2</v>
      </c>
      <c r="O98">
        <v>5.45778759172411E-2</v>
      </c>
      <c r="P98" s="1">
        <v>7.6396892106640506E-8</v>
      </c>
      <c r="Q98">
        <v>0.123800460359362</v>
      </c>
      <c r="R98">
        <v>-0.35261139499997401</v>
      </c>
      <c r="S98">
        <v>-2.5111575602118099E-2</v>
      </c>
      <c r="V98" cm="1">
        <f t="array" ref="V98">SUMSQ(V102:V274-B102:B274)</f>
        <v>3.7918344462078292E-2</v>
      </c>
      <c r="W98" t="s">
        <v>23</v>
      </c>
      <c r="Y98">
        <f t="shared" si="2"/>
        <v>0.18912278046022299</v>
      </c>
      <c r="Z98" s="3">
        <f t="shared" si="3"/>
        <v>0.18675021882026241</v>
      </c>
      <c r="AA98">
        <f t="shared" si="4"/>
        <v>287.74614386966255</v>
      </c>
      <c r="AB98">
        <f t="shared" si="5"/>
        <v>2.4590095122936679</v>
      </c>
    </row>
    <row r="99" spans="1:31" x14ac:dyDescent="0.2">
      <c r="A99">
        <v>1847.5</v>
      </c>
      <c r="B99">
        <v>0.13593064095584201</v>
      </c>
      <c r="C99">
        <v>4.7946004826439598E-2</v>
      </c>
      <c r="D99">
        <v>7.1864057074550996E-3</v>
      </c>
      <c r="E99">
        <v>-1.1089733067060001E-3</v>
      </c>
      <c r="F99">
        <v>-7.0351873183237101E-2</v>
      </c>
      <c r="G99">
        <v>2.4031181056182099E-2</v>
      </c>
      <c r="H99">
        <v>0</v>
      </c>
      <c r="I99">
        <v>-3.8250614058114599E-2</v>
      </c>
      <c r="J99">
        <v>9.9672460327516008E-3</v>
      </c>
      <c r="K99">
        <v>3.3434893669405E-3</v>
      </c>
      <c r="L99">
        <v>-2.95389128117978E-2</v>
      </c>
      <c r="M99">
        <v>-4.2754419175332998E-3</v>
      </c>
      <c r="N99">
        <v>-7.1460846489943095E-2</v>
      </c>
      <c r="O99">
        <v>5.5132487726587701E-2</v>
      </c>
      <c r="P99" s="1">
        <v>7.7192693066085795E-8</v>
      </c>
      <c r="Q99">
        <v>0.118693584590246</v>
      </c>
      <c r="R99">
        <v>8.4879229860915797E-2</v>
      </c>
      <c r="S99">
        <v>-2.4939878658422499E-2</v>
      </c>
      <c r="V99">
        <v>12.743331707472763</v>
      </c>
      <c r="Y99">
        <f t="shared" si="2"/>
        <v>0.19106305148973671</v>
      </c>
      <c r="Z99" s="3">
        <f t="shared" si="3"/>
        <v>0.19015443108018937</v>
      </c>
      <c r="AA99">
        <f t="shared" si="4"/>
        <v>287.92319243819929</v>
      </c>
      <c r="AB99">
        <f t="shared" si="5"/>
        <v>2.4592766490470752</v>
      </c>
    </row>
    <row r="100" spans="1:31" x14ac:dyDescent="0.2">
      <c r="A100">
        <v>1848.5</v>
      </c>
      <c r="B100">
        <v>0.137315979615561</v>
      </c>
      <c r="C100">
        <v>4.84266504563097E-2</v>
      </c>
      <c r="D100">
        <v>7.2600978867150999E-3</v>
      </c>
      <c r="E100">
        <v>-2.4366531492517E-3</v>
      </c>
      <c r="F100">
        <v>-7.9618403603126997E-2</v>
      </c>
      <c r="G100">
        <v>2.5785611965104299E-2</v>
      </c>
      <c r="H100">
        <v>0</v>
      </c>
      <c r="I100">
        <v>-3.8986961683707903E-2</v>
      </c>
      <c r="J100">
        <v>1.0914292639936899E-2</v>
      </c>
      <c r="K100">
        <v>3.3779583294863001E-3</v>
      </c>
      <c r="L100">
        <v>-1.7167648163360302E-2</v>
      </c>
      <c r="M100">
        <v>0.19689949244137001</v>
      </c>
      <c r="N100">
        <v>-8.2055056752378702E-2</v>
      </c>
      <c r="O100">
        <v>5.56868263315188E-2</v>
      </c>
      <c r="P100" s="1">
        <v>7.7988494025558202E-8</v>
      </c>
      <c r="Q100">
        <v>0.11203865044552</v>
      </c>
      <c r="R100">
        <v>0.291770494723531</v>
      </c>
      <c r="S100">
        <v>-2.4694710714284699E-2</v>
      </c>
      <c r="U100" t="s">
        <v>20</v>
      </c>
      <c r="V100">
        <v>31.149223668168769</v>
      </c>
      <c r="Y100">
        <f t="shared" si="2"/>
        <v>0.19300272795858581</v>
      </c>
      <c r="Z100" s="3">
        <f t="shared" si="3"/>
        <v>0.19409370719789942</v>
      </c>
      <c r="AA100">
        <f t="shared" si="4"/>
        <v>288.12820493950272</v>
      </c>
      <c r="AB100">
        <f t="shared" si="5"/>
        <v>2.4595857735529845</v>
      </c>
    </row>
    <row r="101" spans="1:31" x14ac:dyDescent="0.2">
      <c r="A101">
        <v>1849.5</v>
      </c>
      <c r="B101">
        <v>0.13870099708276301</v>
      </c>
      <c r="C101">
        <v>4.8907031181788199E-2</v>
      </c>
      <c r="D101">
        <v>7.3337821557863999E-3</v>
      </c>
      <c r="E101">
        <v>-2.1648165416529E-3</v>
      </c>
      <c r="F101">
        <v>-7.7621973629557001E-2</v>
      </c>
      <c r="G101">
        <v>2.5180044174058499E-2</v>
      </c>
      <c r="H101">
        <v>0</v>
      </c>
      <c r="I101">
        <v>-3.97233774451827E-2</v>
      </c>
      <c r="J101">
        <v>1.06309647347828E-2</v>
      </c>
      <c r="K101">
        <v>3.4124272920320999E-3</v>
      </c>
      <c r="L101">
        <v>-4.7963835149228001E-3</v>
      </c>
      <c r="M101">
        <v>0.23735601850325799</v>
      </c>
      <c r="N101">
        <v>-7.9786790171209904E-2</v>
      </c>
      <c r="O101">
        <v>5.6240892121869501E-2</v>
      </c>
      <c r="P101" s="1">
        <v>7.8784294985003504E-8</v>
      </c>
      <c r="Q101">
        <v>0.114655157789113</v>
      </c>
      <c r="R101">
        <v>0.34721479277744799</v>
      </c>
      <c r="S101">
        <v>-2.5679985418367801E-2</v>
      </c>
      <c r="W101" t="s">
        <v>24</v>
      </c>
      <c r="Y101">
        <f t="shared" si="2"/>
        <v>0.19494181042033759</v>
      </c>
      <c r="Z101" s="3">
        <f t="shared" si="3"/>
        <v>0.19444194796032327</v>
      </c>
      <c r="AA101">
        <f t="shared" si="4"/>
        <v>288.14633552140629</v>
      </c>
      <c r="AB101">
        <f t="shared" si="5"/>
        <v>2.4596131008462248</v>
      </c>
    </row>
    <row r="102" spans="1:31" x14ac:dyDescent="0.2">
      <c r="A102">
        <v>1850.5</v>
      </c>
      <c r="B102">
        <v>0.14008569352105599</v>
      </c>
      <c r="C102">
        <v>4.9387147387697498E-2</v>
      </c>
      <c r="D102">
        <v>7.4074585187372003E-3</v>
      </c>
      <c r="E102">
        <v>-2.3160861633847998E-3</v>
      </c>
      <c r="F102">
        <v>-8.0306524149115099E-2</v>
      </c>
      <c r="G102">
        <v>2.5615178377157301E-2</v>
      </c>
      <c r="H102">
        <v>0</v>
      </c>
      <c r="I102">
        <v>-4.0767195482068301E-2</v>
      </c>
      <c r="J102">
        <v>1.10086154164866E-2</v>
      </c>
      <c r="K102">
        <v>3.4468962545779001E-3</v>
      </c>
      <c r="L102">
        <v>7.5280793757020997E-3</v>
      </c>
      <c r="M102">
        <v>0.24414237078544701</v>
      </c>
      <c r="N102">
        <v>-8.26226103124999E-2</v>
      </c>
      <c r="O102">
        <v>5.6794685486530598E-2</v>
      </c>
      <c r="P102" s="1">
        <v>7.9580095944448899E-8</v>
      </c>
      <c r="Q102">
        <v>0.11356126326124</v>
      </c>
      <c r="R102">
        <v>0.36523171342239003</v>
      </c>
      <c r="S102">
        <v>-2.6311683811003801E-2</v>
      </c>
      <c r="U102">
        <v>285.2</v>
      </c>
      <c r="V102">
        <f>LOG10(U102)*$V$99-$V$100</f>
        <v>0.13756107166869924</v>
      </c>
      <c r="W102">
        <f>10^((B102+$V$100)/$V$99)</f>
        <v>285.33013005680175</v>
      </c>
      <c r="Y102">
        <f t="shared" si="2"/>
        <v>0.19688029942749069</v>
      </c>
      <c r="Z102" s="3">
        <f t="shared" si="3"/>
        <v>0.19618387357374015</v>
      </c>
      <c r="AA102">
        <f>10^((Z102+$V$100)/$V$99)</f>
        <v>288.23704313787636</v>
      </c>
      <c r="AB102">
        <f>LOG10(AA102)</f>
        <v>2.4597497939539141</v>
      </c>
      <c r="AE102">
        <f>F102+E102</f>
        <v>-8.26226103124999E-2</v>
      </c>
    </row>
    <row r="103" spans="1:31" x14ac:dyDescent="0.2">
      <c r="A103">
        <v>1851.5</v>
      </c>
      <c r="B103">
        <v>0.142429459537909</v>
      </c>
      <c r="C103">
        <v>4.9490247924459801E-2</v>
      </c>
      <c r="D103">
        <v>7.7054542676670999E-3</v>
      </c>
      <c r="E103">
        <v>-9.1928298838879995E-4</v>
      </c>
      <c r="F103">
        <v>-7.3427570770690204E-2</v>
      </c>
      <c r="G103">
        <v>2.44545646332581E-2</v>
      </c>
      <c r="H103">
        <v>0</v>
      </c>
      <c r="I103">
        <v>-4.2118476049946903E-2</v>
      </c>
      <c r="J103">
        <v>1.04160039356036E-2</v>
      </c>
      <c r="K103">
        <v>3.4543252956207998E-3</v>
      </c>
      <c r="L103">
        <v>2.0678742975771E-3</v>
      </c>
      <c r="M103">
        <v>0.24503909103006</v>
      </c>
      <c r="N103">
        <v>-7.4346853759078999E-2</v>
      </c>
      <c r="O103">
        <v>5.7195784474900202E-2</v>
      </c>
      <c r="P103" s="1">
        <v>8.2282773313246105E-8</v>
      </c>
      <c r="Q103">
        <v>0.121484808068266</v>
      </c>
      <c r="R103">
        <v>0.36859177339590399</v>
      </c>
      <c r="S103">
        <v>-2.8248146818722501E-2</v>
      </c>
      <c r="U103">
        <v>285.10000000000002</v>
      </c>
      <c r="V103">
        <f>LOG10(U103)*$V$99-$V$100</f>
        <v>0.13562021292826998</v>
      </c>
      <c r="W103">
        <f t="shared" ref="W103:W166" si="6">10^((B103+$V$100)/$V$99)</f>
        <v>285.45099115937978</v>
      </c>
      <c r="Y103">
        <f t="shared" si="2"/>
        <v>0.19962516173003592</v>
      </c>
      <c r="Z103" s="3">
        <f t="shared" si="3"/>
        <v>0.19583166182734482</v>
      </c>
      <c r="AA103">
        <f t="shared" ref="AA103:AA166" si="7">10^((Z103+$V$100)/$V$99)</f>
        <v>288.21870004727595</v>
      </c>
      <c r="AE103">
        <f t="shared" ref="AE103:AE166" si="8">F103+E103</f>
        <v>-7.4346853759078999E-2</v>
      </c>
    </row>
    <row r="104" spans="1:31" x14ac:dyDescent="0.2">
      <c r="A104">
        <v>1852.5</v>
      </c>
      <c r="B104">
        <v>0.14508001508361201</v>
      </c>
      <c r="C104">
        <v>4.9951328977854502E-2</v>
      </c>
      <c r="D104">
        <v>8.0033537370740003E-3</v>
      </c>
      <c r="E104">
        <v>-2.6402083393850003E-4</v>
      </c>
      <c r="F104">
        <v>-7.0948095186532306E-2</v>
      </c>
      <c r="G104">
        <v>2.3995277997243401E-2</v>
      </c>
      <c r="H104">
        <v>0</v>
      </c>
      <c r="I104">
        <v>-4.3469704117507599E-2</v>
      </c>
      <c r="J104">
        <v>1.02191343553711E-2</v>
      </c>
      <c r="K104">
        <v>3.4874697611877998E-3</v>
      </c>
      <c r="L104">
        <v>1.2566438288271E-3</v>
      </c>
      <c r="M104">
        <v>0.24501131905809201</v>
      </c>
      <c r="N104">
        <v>-7.1212116020470798E-2</v>
      </c>
      <c r="O104">
        <v>5.7954768049044598E-2</v>
      </c>
      <c r="P104" s="1">
        <v>8.5334116190815399E-8</v>
      </c>
      <c r="Q104">
        <v>0.12605484510848</v>
      </c>
      <c r="R104">
        <v>0.37232280799540002</v>
      </c>
      <c r="S104">
        <v>-2.97631000009487E-2</v>
      </c>
      <c r="U104">
        <v>285</v>
      </c>
      <c r="V104">
        <f t="shared" ref="V104:V167" si="9">LOG10(U104)*$V$99-$V$100</f>
        <v>0.1336786733042139</v>
      </c>
      <c r="W104">
        <f t="shared" si="6"/>
        <v>285.58773417960492</v>
      </c>
      <c r="Y104">
        <f t="shared" si="2"/>
        <v>0.20303469779854053</v>
      </c>
      <c r="Z104" s="3">
        <f t="shared" si="3"/>
        <v>0.1972669611289514</v>
      </c>
      <c r="AA104">
        <f t="shared" si="7"/>
        <v>288.29345735393321</v>
      </c>
      <c r="AE104">
        <f t="shared" si="8"/>
        <v>-7.1212116020470811E-2</v>
      </c>
    </row>
    <row r="105" spans="1:31" x14ac:dyDescent="0.2">
      <c r="A105">
        <v>1853.5</v>
      </c>
      <c r="B105">
        <v>0.14746031502902801</v>
      </c>
      <c r="C105">
        <v>5.0712848909545402E-2</v>
      </c>
      <c r="D105">
        <v>8.3819220246500008E-3</v>
      </c>
      <c r="E105">
        <v>-6.9165275536979998E-4</v>
      </c>
      <c r="F105">
        <v>-7.4799540703898895E-2</v>
      </c>
      <c r="G105">
        <v>2.4671005400443102E-2</v>
      </c>
      <c r="H105">
        <v>0</v>
      </c>
      <c r="I105">
        <v>-4.4820886343830302E-2</v>
      </c>
      <c r="J105">
        <v>1.06287661545454E-2</v>
      </c>
      <c r="K105">
        <v>3.5422400856967001E-3</v>
      </c>
      <c r="L105">
        <v>-8.8681364446103004E-3</v>
      </c>
      <c r="M105">
        <v>-1.4298549791615001E-3</v>
      </c>
      <c r="N105">
        <v>-7.5491193459268593E-2</v>
      </c>
      <c r="O105">
        <v>5.9094859332705002E-2</v>
      </c>
      <c r="P105" s="1">
        <v>8.8398509636488802E-8</v>
      </c>
      <c r="Q105">
        <v>0.12508510619932001</v>
      </c>
      <c r="R105">
        <v>0.114787114775548</v>
      </c>
      <c r="S105">
        <v>-3.0649880103588101E-2</v>
      </c>
      <c r="U105">
        <v>285</v>
      </c>
      <c r="V105">
        <f t="shared" si="9"/>
        <v>0.1336786733042139</v>
      </c>
      <c r="W105">
        <f t="shared" si="6"/>
        <v>285.71059045239417</v>
      </c>
      <c r="Y105">
        <f t="shared" si="2"/>
        <v>0.20655508596322342</v>
      </c>
      <c r="Z105" s="3">
        <f t="shared" si="3"/>
        <v>0.20057629965858792</v>
      </c>
      <c r="AA105">
        <f t="shared" si="7"/>
        <v>288.46589756085478</v>
      </c>
      <c r="AE105">
        <f t="shared" si="8"/>
        <v>-7.5491193459268691E-2</v>
      </c>
    </row>
    <row r="106" spans="1:31" x14ac:dyDescent="0.2">
      <c r="A106">
        <v>1854.5</v>
      </c>
      <c r="B106">
        <v>0.14949455008318399</v>
      </c>
      <c r="C106">
        <v>5.1526920754934098E-2</v>
      </c>
      <c r="D106">
        <v>8.7714732960104003E-3</v>
      </c>
      <c r="E106">
        <v>-2.7176601562913E-3</v>
      </c>
      <c r="F106">
        <v>-8.8982038167403299E-2</v>
      </c>
      <c r="G106">
        <v>2.6801355649060402E-2</v>
      </c>
      <c r="H106">
        <v>0</v>
      </c>
      <c r="I106">
        <v>-4.6171978566128702E-2</v>
      </c>
      <c r="J106">
        <v>1.1971739449402901E-2</v>
      </c>
      <c r="K106">
        <v>3.6008423653574998E-3</v>
      </c>
      <c r="L106">
        <v>-2.2721456757110299E-2</v>
      </c>
      <c r="M106">
        <v>-0.28257773092962102</v>
      </c>
      <c r="N106">
        <v>-9.1699698323694595E-2</v>
      </c>
      <c r="O106">
        <v>6.0298485522123003E-2</v>
      </c>
      <c r="P106" s="1">
        <v>9.1471178545154795E-8</v>
      </c>
      <c r="Q106">
        <v>0.11429529617930401</v>
      </c>
      <c r="R106">
        <v>-0.191003891507427</v>
      </c>
      <c r="S106">
        <v>-3.0599396751368298E-2</v>
      </c>
      <c r="U106">
        <v>284.89999999999998</v>
      </c>
      <c r="V106">
        <f t="shared" si="9"/>
        <v>0.13173645231863063</v>
      </c>
      <c r="W106">
        <f t="shared" si="6"/>
        <v>285.81562689183409</v>
      </c>
      <c r="Y106">
        <f t="shared" si="2"/>
        <v>0.2097929441341285</v>
      </c>
      <c r="Z106" s="3">
        <f t="shared" si="3"/>
        <v>0.20599499450299913</v>
      </c>
      <c r="AA106">
        <f t="shared" si="7"/>
        <v>288.74847305757135</v>
      </c>
      <c r="AE106">
        <f t="shared" si="8"/>
        <v>-9.1699698323694595E-2</v>
      </c>
    </row>
    <row r="107" spans="1:31" x14ac:dyDescent="0.2">
      <c r="A107">
        <v>1855.5</v>
      </c>
      <c r="B107">
        <v>0.151143816021309</v>
      </c>
      <c r="C107">
        <v>5.2506068175209697E-2</v>
      </c>
      <c r="D107">
        <v>9.1903876117692008E-3</v>
      </c>
      <c r="E107">
        <v>-1.3974304828491999E-3</v>
      </c>
      <c r="F107">
        <v>-8.5175845089504501E-2</v>
      </c>
      <c r="G107">
        <v>2.6757796483058299E-2</v>
      </c>
      <c r="H107">
        <v>0</v>
      </c>
      <c r="I107">
        <v>-4.75229670497797E-2</v>
      </c>
      <c r="J107">
        <v>1.18125383079659E-2</v>
      </c>
      <c r="K107">
        <v>3.6713966956110002E-3</v>
      </c>
      <c r="L107">
        <v>-3.1254977264922802E-2</v>
      </c>
      <c r="M107">
        <v>7.3721743285808203E-2</v>
      </c>
      <c r="N107">
        <v>-8.6573275572353697E-2</v>
      </c>
      <c r="O107">
        <v>6.1696550344091099E-2</v>
      </c>
      <c r="P107" s="1">
        <v>9.4557112197471597E-8</v>
      </c>
      <c r="Q107">
        <v>0.120985855229902</v>
      </c>
      <c r="R107">
        <v>0.16345262125078799</v>
      </c>
      <c r="S107">
        <v>-3.2039032046202801E-2</v>
      </c>
      <c r="U107">
        <v>285.10000000000002</v>
      </c>
      <c r="V107">
        <f t="shared" si="9"/>
        <v>0.13562021292826998</v>
      </c>
      <c r="W107">
        <f t="shared" si="6"/>
        <v>285.90081403874427</v>
      </c>
      <c r="Y107">
        <f t="shared" si="2"/>
        <v>0.21284027180828791</v>
      </c>
      <c r="Z107" s="3">
        <f t="shared" si="3"/>
        <v>0.20755913080225558</v>
      </c>
      <c r="AA107">
        <f t="shared" si="7"/>
        <v>288.83009151157864</v>
      </c>
      <c r="AE107">
        <f t="shared" si="8"/>
        <v>-8.6573275572353697E-2</v>
      </c>
    </row>
    <row r="108" spans="1:31" x14ac:dyDescent="0.2">
      <c r="A108">
        <v>1856.5</v>
      </c>
      <c r="B108">
        <v>0.153042086551721</v>
      </c>
      <c r="C108">
        <v>5.3401331302478698E-2</v>
      </c>
      <c r="D108">
        <v>9.6126156275036997E-3</v>
      </c>
      <c r="E108">
        <v>-2.0844075287152E-3</v>
      </c>
      <c r="F108">
        <v>-8.6395580970214506E-2</v>
      </c>
      <c r="G108">
        <v>2.6150637243928399E-2</v>
      </c>
      <c r="H108">
        <v>0</v>
      </c>
      <c r="I108">
        <v>-4.8873806767308799E-2</v>
      </c>
      <c r="J108">
        <v>1.16257779231944E-2</v>
      </c>
      <c r="K108">
        <v>3.7359803674520999E-3</v>
      </c>
      <c r="L108">
        <v>-3.3641866913360297E-2</v>
      </c>
      <c r="M108">
        <v>0.155121350677206</v>
      </c>
      <c r="N108">
        <v>-8.8479988498929699E-2</v>
      </c>
      <c r="O108">
        <v>6.3014044587935594E-2</v>
      </c>
      <c r="P108" s="1">
        <v>9.7657953230594994E-8</v>
      </c>
      <c r="Q108">
        <v>0.12021473140799301</v>
      </c>
      <c r="R108">
        <v>0.24169421517183901</v>
      </c>
      <c r="S108">
        <v>-3.3512048476662198E-2</v>
      </c>
      <c r="U108">
        <v>285.39999999999998</v>
      </c>
      <c r="V108">
        <f t="shared" si="9"/>
        <v>0.14144074840776</v>
      </c>
      <c r="W108">
        <f t="shared" si="6"/>
        <v>285.99889408938321</v>
      </c>
      <c r="Y108">
        <f t="shared" si="2"/>
        <v>0.21605603348170341</v>
      </c>
      <c r="Z108" s="3">
        <f t="shared" si="3"/>
        <v>0.20869471990692273</v>
      </c>
      <c r="AA108">
        <f t="shared" si="7"/>
        <v>288.88936232844446</v>
      </c>
      <c r="AE108">
        <f t="shared" si="8"/>
        <v>-8.8479988498929713E-2</v>
      </c>
    </row>
    <row r="109" spans="1:31" x14ac:dyDescent="0.2">
      <c r="A109">
        <v>1857.5</v>
      </c>
      <c r="B109">
        <v>0.15584122463272401</v>
      </c>
      <c r="C109">
        <v>5.44125543393702E-2</v>
      </c>
      <c r="D109">
        <v>9.9945862436090997E-3</v>
      </c>
      <c r="E109">
        <v>-2.1112453522318E-3</v>
      </c>
      <c r="F109">
        <v>-9.32080796823508E-2</v>
      </c>
      <c r="G109">
        <v>2.8748672158205899E-2</v>
      </c>
      <c r="H109">
        <v>0</v>
      </c>
      <c r="I109">
        <v>-5.0224479376700798E-2</v>
      </c>
      <c r="J109">
        <v>1.27183378019536E-2</v>
      </c>
      <c r="K109">
        <v>3.8090007808881002E-3</v>
      </c>
      <c r="L109">
        <v>-2.7666842499297802E-2</v>
      </c>
      <c r="M109">
        <v>-0.78204914257840696</v>
      </c>
      <c r="N109">
        <v>-9.5319325034582597E-2</v>
      </c>
      <c r="O109">
        <v>6.4407241358326206E-2</v>
      </c>
      <c r="P109" s="1">
        <v>1.00775346921678E-7</v>
      </c>
      <c r="Q109">
        <v>0.119980672320814</v>
      </c>
      <c r="R109">
        <v>-0.68973531275689004</v>
      </c>
      <c r="S109">
        <v>-3.3697140793859097E-2</v>
      </c>
      <c r="U109">
        <v>285.60000000000002</v>
      </c>
      <c r="V109">
        <f t="shared" si="9"/>
        <v>0.14531770733451665</v>
      </c>
      <c r="W109">
        <f t="shared" si="6"/>
        <v>286.14358165493366</v>
      </c>
      <c r="Y109">
        <f t="shared" si="2"/>
        <v>0.22024836521570332</v>
      </c>
      <c r="Z109" s="3">
        <f t="shared" si="3"/>
        <v>0.21529999735539704</v>
      </c>
      <c r="AA109">
        <f t="shared" si="7"/>
        <v>289.23435868401322</v>
      </c>
      <c r="AE109">
        <f t="shared" si="8"/>
        <v>-9.5319325034582597E-2</v>
      </c>
    </row>
    <row r="110" spans="1:31" x14ac:dyDescent="0.2">
      <c r="A110">
        <v>1858.5</v>
      </c>
      <c r="B110">
        <v>0.15883038925548401</v>
      </c>
      <c r="C110">
        <v>5.5572837088404797E-2</v>
      </c>
      <c r="D110">
        <v>1.03177446866987E-2</v>
      </c>
      <c r="E110">
        <v>-2.4741871715577E-3</v>
      </c>
      <c r="F110">
        <v>-9.7187043333259296E-2</v>
      </c>
      <c r="G110">
        <v>3.0128814928752801E-2</v>
      </c>
      <c r="H110">
        <v>0</v>
      </c>
      <c r="I110">
        <v>-5.1574969057191597E-2</v>
      </c>
      <c r="J110">
        <v>1.3208750605888501E-2</v>
      </c>
      <c r="K110">
        <v>3.8928784005878999E-3</v>
      </c>
      <c r="L110">
        <v>-1.08026091008603E-2</v>
      </c>
      <c r="M110">
        <v>-0.39629725383660802</v>
      </c>
      <c r="N110">
        <v>-9.9661230504816997E-2</v>
      </c>
      <c r="O110">
        <v>6.5890685686036607E-2</v>
      </c>
      <c r="P110" s="1">
        <v>1.0391093318721401E-7</v>
      </c>
      <c r="Q110">
        <v>0.120715319314742</v>
      </c>
      <c r="R110">
        <v>-0.28638454362272597</v>
      </c>
      <c r="S110">
        <v>-3.4473340050715201E-2</v>
      </c>
      <c r="U110">
        <v>285.89999999999998</v>
      </c>
      <c r="V110">
        <f t="shared" si="9"/>
        <v>0.15112805814812091</v>
      </c>
      <c r="W110">
        <f t="shared" si="6"/>
        <v>286.29817252167925</v>
      </c>
      <c r="Y110">
        <f t="shared" si="2"/>
        <v>0.2247209710305875</v>
      </c>
      <c r="Z110" s="3">
        <f t="shared" si="3"/>
        <v>0.22037654981955829</v>
      </c>
      <c r="AA110">
        <f t="shared" si="7"/>
        <v>289.49978908419115</v>
      </c>
      <c r="AE110">
        <f t="shared" si="8"/>
        <v>-9.9661230504816997E-2</v>
      </c>
    </row>
    <row r="111" spans="1:31" x14ac:dyDescent="0.2">
      <c r="A111">
        <v>1859.5</v>
      </c>
      <c r="B111">
        <v>0.16202958981250201</v>
      </c>
      <c r="C111">
        <v>5.6815067727597403E-2</v>
      </c>
      <c r="D111">
        <v>1.08533924941044E-2</v>
      </c>
      <c r="E111">
        <v>-3.0944315929098002E-3</v>
      </c>
      <c r="F111">
        <v>-9.9134155398992202E-2</v>
      </c>
      <c r="G111">
        <v>2.9795695283390499E-2</v>
      </c>
      <c r="H111">
        <v>0</v>
      </c>
      <c r="I111">
        <v>-5.29252208552142E-2</v>
      </c>
      <c r="J111">
        <v>1.31547979572248E-2</v>
      </c>
      <c r="K111">
        <v>3.9828232826112997E-3</v>
      </c>
      <c r="L111">
        <v>3.4563264460145998E-3</v>
      </c>
      <c r="M111">
        <v>7.62076808811777E-2</v>
      </c>
      <c r="N111">
        <v>-0.102228586991902</v>
      </c>
      <c r="O111">
        <v>6.76685672880597E-2</v>
      </c>
      <c r="P111" s="1">
        <v>1.07066357947141E-7</v>
      </c>
      <c r="Q111">
        <v>0.121477665776672</v>
      </c>
      <c r="R111">
        <v>0.20114167310386399</v>
      </c>
      <c r="S111">
        <v>-3.5787599615378099E-2</v>
      </c>
      <c r="U111">
        <v>286.10000000000002</v>
      </c>
      <c r="V111">
        <f t="shared" si="9"/>
        <v>0.15499823917410183</v>
      </c>
      <c r="W111">
        <f t="shared" si="6"/>
        <v>286.46371836248824</v>
      </c>
      <c r="Y111">
        <f t="shared" si="2"/>
        <v>0.22969805003420379</v>
      </c>
      <c r="Z111" s="3">
        <f t="shared" si="3"/>
        <v>0.22370625276857414</v>
      </c>
      <c r="AA111">
        <f t="shared" si="7"/>
        <v>289.67401674054287</v>
      </c>
      <c r="AE111">
        <f t="shared" si="8"/>
        <v>-0.102228586991902</v>
      </c>
    </row>
    <row r="112" spans="1:31" x14ac:dyDescent="0.2">
      <c r="A112">
        <v>1860.5</v>
      </c>
      <c r="B112">
        <v>0.165571217496918</v>
      </c>
      <c r="C112">
        <v>5.7979688287446103E-2</v>
      </c>
      <c r="D112">
        <v>1.14693923500178E-2</v>
      </c>
      <c r="E112">
        <v>-4.0869966373882002E-3</v>
      </c>
      <c r="F112">
        <v>-0.10342109310207501</v>
      </c>
      <c r="G112">
        <v>3.0012339244427901E-2</v>
      </c>
      <c r="H112">
        <v>0</v>
      </c>
      <c r="I112">
        <v>-5.4019179069640898E-2</v>
      </c>
      <c r="J112">
        <v>1.3289313871516001E-2</v>
      </c>
      <c r="K112">
        <v>4.0672778423373997E-3</v>
      </c>
      <c r="L112">
        <v>1.4033523711639601E-2</v>
      </c>
      <c r="M112">
        <v>0.177820531029249</v>
      </c>
      <c r="N112">
        <v>-0.10750808973946301</v>
      </c>
      <c r="O112">
        <v>6.9449190880725806E-2</v>
      </c>
      <c r="P112" s="1">
        <v>1.10243261911873E-7</v>
      </c>
      <c r="Q112">
        <v>0.12086207052682001</v>
      </c>
      <c r="R112">
        <v>0.31271612526770898</v>
      </c>
      <c r="S112">
        <v>-3.6662587355787403E-2</v>
      </c>
      <c r="U112">
        <v>286.39999999999998</v>
      </c>
      <c r="V112">
        <f t="shared" si="9"/>
        <v>0.16079844090145556</v>
      </c>
      <c r="W112">
        <f t="shared" si="6"/>
        <v>286.64709508102959</v>
      </c>
      <c r="Y112">
        <f t="shared" si="2"/>
        <v>0.23502029813438188</v>
      </c>
      <c r="Z112" s="3">
        <f t="shared" si="3"/>
        <v>0.22837016026628421</v>
      </c>
      <c r="AA112">
        <f t="shared" si="7"/>
        <v>289.91823333869161</v>
      </c>
      <c r="AE112">
        <f t="shared" si="8"/>
        <v>-0.10750808973946321</v>
      </c>
    </row>
    <row r="113" spans="1:31" x14ac:dyDescent="0.2">
      <c r="A113">
        <v>1861.5</v>
      </c>
      <c r="B113">
        <v>0.169110682874305</v>
      </c>
      <c r="C113">
        <v>5.9246128765853799E-2</v>
      </c>
      <c r="D113">
        <v>1.21692517795684E-2</v>
      </c>
      <c r="E113">
        <v>-3.4298077792666E-3</v>
      </c>
      <c r="F113">
        <v>-0.104941077410766</v>
      </c>
      <c r="G113">
        <v>3.1387472579703202E-2</v>
      </c>
      <c r="H113">
        <v>0</v>
      </c>
      <c r="I113">
        <v>-5.4856788760812999E-2</v>
      </c>
      <c r="J113">
        <v>1.3682401454669301E-2</v>
      </c>
      <c r="K113">
        <v>4.1592487230581003E-3</v>
      </c>
      <c r="L113">
        <v>1.19118440241396E-2</v>
      </c>
      <c r="M113">
        <v>0.222045378524522</v>
      </c>
      <c r="N113">
        <v>-0.108370885190032</v>
      </c>
      <c r="O113">
        <v>7.1415493988713094E-2</v>
      </c>
      <c r="P113" s="1">
        <v>1.1344329098089E-7</v>
      </c>
      <c r="Q113">
        <v>0.12652762566960299</v>
      </c>
      <c r="R113">
        <v>0.36048484821826499</v>
      </c>
      <c r="S113">
        <v>-3.7015138583085597E-2</v>
      </c>
      <c r="U113">
        <v>286.60000000000002</v>
      </c>
      <c r="V113">
        <f t="shared" si="9"/>
        <v>0.16466186768426283</v>
      </c>
      <c r="W113">
        <f t="shared" si="6"/>
        <v>286.83047711983198</v>
      </c>
      <c r="Y113">
        <f t="shared" si="2"/>
        <v>0.24052606341972721</v>
      </c>
      <c r="Z113" s="3">
        <f t="shared" si="3"/>
        <v>0.23489851085963578</v>
      </c>
      <c r="AA113">
        <f t="shared" si="7"/>
        <v>290.26042377904059</v>
      </c>
      <c r="AE113">
        <f t="shared" si="8"/>
        <v>-0.1083708851900326</v>
      </c>
    </row>
    <row r="114" spans="1:31" x14ac:dyDescent="0.2">
      <c r="A114">
        <v>1862.5</v>
      </c>
      <c r="B114">
        <v>0.172131493191573</v>
      </c>
      <c r="C114">
        <v>6.0838961033796997E-2</v>
      </c>
      <c r="D114">
        <v>1.2839510275541401E-2</v>
      </c>
      <c r="E114">
        <v>-3.9273259241021001E-3</v>
      </c>
      <c r="F114">
        <v>-0.104573308504365</v>
      </c>
      <c r="G114">
        <v>3.1250035918133301E-2</v>
      </c>
      <c r="H114">
        <v>0</v>
      </c>
      <c r="I114">
        <v>-5.5694069637460299E-2</v>
      </c>
      <c r="J114">
        <v>1.3421259309783801E-2</v>
      </c>
      <c r="K114">
        <v>4.2750915036606002E-3</v>
      </c>
      <c r="L114">
        <v>-3.5021652273530002E-4</v>
      </c>
      <c r="M114">
        <v>-1.00426315395521</v>
      </c>
      <c r="N114">
        <v>-0.108500634428467</v>
      </c>
      <c r="O114">
        <v>7.3678597836425497E-2</v>
      </c>
      <c r="P114" s="1">
        <v>1.26527087167862E-7</v>
      </c>
      <c r="Q114">
        <v>0.13056177369364799</v>
      </c>
      <c r="R114">
        <v>-0.874051596784301</v>
      </c>
      <c r="S114">
        <v>-3.7997718824015897E-2</v>
      </c>
      <c r="U114">
        <v>286.7</v>
      </c>
      <c r="V114">
        <f t="shared" si="9"/>
        <v>0.1665925701778086</v>
      </c>
      <c r="W114">
        <f t="shared" si="6"/>
        <v>286.98708008561766</v>
      </c>
      <c r="Y114">
        <f t="shared" si="2"/>
        <v>0.24580996450091139</v>
      </c>
      <c r="Z114" s="3">
        <f t="shared" si="3"/>
        <v>0.23906240812211596</v>
      </c>
      <c r="AA114">
        <f t="shared" si="7"/>
        <v>290.47888980921533</v>
      </c>
      <c r="AE114">
        <f t="shared" si="8"/>
        <v>-0.10850063442846709</v>
      </c>
    </row>
    <row r="115" spans="1:31" x14ac:dyDescent="0.2">
      <c r="A115">
        <v>1863.5</v>
      </c>
      <c r="B115">
        <v>0.17522724782080201</v>
      </c>
      <c r="C115">
        <v>6.2734807668182901E-2</v>
      </c>
      <c r="D115">
        <v>1.3432613903928199E-2</v>
      </c>
      <c r="E115">
        <v>-3.658631561239E-3</v>
      </c>
      <c r="F115">
        <v>-0.102777594588363</v>
      </c>
      <c r="G115">
        <v>3.1137437645462201E-2</v>
      </c>
      <c r="H115">
        <v>0</v>
      </c>
      <c r="I115">
        <v>-5.6531023128200297E-2</v>
      </c>
      <c r="J115">
        <v>1.3051253444786901E-2</v>
      </c>
      <c r="K115">
        <v>4.4132256368166999E-3</v>
      </c>
      <c r="L115">
        <v>-7.5420866399227996E-3</v>
      </c>
      <c r="M115">
        <v>-1.27684246020491</v>
      </c>
      <c r="N115">
        <v>-0.10643622614960099</v>
      </c>
      <c r="O115">
        <v>7.6167551350403595E-2</v>
      </c>
      <c r="P115" s="1">
        <v>1.2977829247885799E-7</v>
      </c>
      <c r="Q115">
        <v>0.137029466620469</v>
      </c>
      <c r="R115">
        <v>-1.1473550802243699</v>
      </c>
      <c r="S115">
        <v>-3.9066544046596603E-2</v>
      </c>
      <c r="U115">
        <v>286.8</v>
      </c>
      <c r="V115">
        <f t="shared" si="9"/>
        <v>0.16852259936619873</v>
      </c>
      <c r="W115">
        <f t="shared" si="6"/>
        <v>287.14765697797486</v>
      </c>
      <c r="Y115">
        <f t="shared" si="2"/>
        <v>0.25139466939291311</v>
      </c>
      <c r="Z115" s="3">
        <f t="shared" si="3"/>
        <v>0.2434656927700711</v>
      </c>
      <c r="AA115">
        <f t="shared" si="7"/>
        <v>290.71009459402455</v>
      </c>
      <c r="AE115">
        <f t="shared" si="8"/>
        <v>-0.10643622614960199</v>
      </c>
    </row>
    <row r="116" spans="1:31" x14ac:dyDescent="0.2">
      <c r="A116">
        <v>1864.5</v>
      </c>
      <c r="B116">
        <v>0.178321406849516</v>
      </c>
      <c r="C116">
        <v>6.4807638820240598E-2</v>
      </c>
      <c r="D116">
        <v>1.40035256796841E-2</v>
      </c>
      <c r="E116">
        <v>-3.4321122852123001E-3</v>
      </c>
      <c r="F116">
        <v>-0.107305660938343</v>
      </c>
      <c r="G116">
        <v>3.3020242752429999E-2</v>
      </c>
      <c r="H116">
        <v>0</v>
      </c>
      <c r="I116">
        <v>-5.7367637383894297E-2</v>
      </c>
      <c r="J116">
        <v>1.37179066917831E-2</v>
      </c>
      <c r="K116">
        <v>4.5645891389496001E-3</v>
      </c>
      <c r="L116">
        <v>-1.4593551483672799E-2</v>
      </c>
      <c r="M116">
        <v>-0.22878655607052301</v>
      </c>
      <c r="N116">
        <v>-0.11073777322355501</v>
      </c>
      <c r="O116">
        <v>7.8811297557473597E-2</v>
      </c>
      <c r="P116" s="1">
        <v>1.330575489276E-7</v>
      </c>
      <c r="Q116">
        <v>0.140330032382702</v>
      </c>
      <c r="R116">
        <v>-0.103050075171494</v>
      </c>
      <c r="S116">
        <v>-3.9085141553161597E-2</v>
      </c>
      <c r="U116">
        <v>286.89999999999998</v>
      </c>
      <c r="V116">
        <f t="shared" si="9"/>
        <v>0.17045195571888172</v>
      </c>
      <c r="W116">
        <f t="shared" si="6"/>
        <v>287.30824088405797</v>
      </c>
      <c r="Y116">
        <f t="shared" si="2"/>
        <v>0.25713257134944068</v>
      </c>
      <c r="Z116" s="3">
        <f t="shared" si="3"/>
        <v>0.25106780560625802</v>
      </c>
      <c r="AA116">
        <f t="shared" si="7"/>
        <v>291.10969455477789</v>
      </c>
      <c r="AE116">
        <f t="shared" si="8"/>
        <v>-0.1107377732235553</v>
      </c>
    </row>
    <row r="117" spans="1:31" x14ac:dyDescent="0.2">
      <c r="A117">
        <v>1865.5</v>
      </c>
      <c r="B117">
        <v>0.181433745049011</v>
      </c>
      <c r="C117">
        <v>6.6786780371653906E-2</v>
      </c>
      <c r="D117">
        <v>1.46141718227572E-2</v>
      </c>
      <c r="E117">
        <v>-5.4837532847995E-3</v>
      </c>
      <c r="F117">
        <v>-0.118204435765546</v>
      </c>
      <c r="G117">
        <v>3.5122569546433197E-2</v>
      </c>
      <c r="H117">
        <v>0</v>
      </c>
      <c r="I117">
        <v>-5.82038623544417E-2</v>
      </c>
      <c r="J117">
        <v>1.46054428930231E-2</v>
      </c>
      <c r="K117">
        <v>4.7094533445994E-3</v>
      </c>
      <c r="L117">
        <v>-2.0272164764922801E-2</v>
      </c>
      <c r="M117">
        <v>0.14927461223767199</v>
      </c>
      <c r="N117">
        <v>-0.123688189050346</v>
      </c>
      <c r="O117">
        <v>8.1401088560921306E-2</v>
      </c>
      <c r="P117" s="1">
        <v>1.3636651024587301E-7</v>
      </c>
      <c r="Q117">
        <v>0.13538024798920001</v>
      </c>
      <c r="R117">
        <v>0.26438269546194898</v>
      </c>
      <c r="S117">
        <v>-3.8888966116819197E-2</v>
      </c>
      <c r="U117">
        <v>287.10000000000002</v>
      </c>
      <c r="V117">
        <f t="shared" si="9"/>
        <v>0.17430865179245814</v>
      </c>
      <c r="W117">
        <f t="shared" si="6"/>
        <v>287.4698588695183</v>
      </c>
      <c r="Y117">
        <f t="shared" si="2"/>
        <v>0.26283469724342212</v>
      </c>
      <c r="Z117" s="3">
        <f t="shared" si="3"/>
        <v>0.25906843703954635</v>
      </c>
      <c r="AA117">
        <f t="shared" si="7"/>
        <v>291.53083561465706</v>
      </c>
      <c r="AE117">
        <f t="shared" si="8"/>
        <v>-0.1236881890503455</v>
      </c>
    </row>
    <row r="118" spans="1:31" x14ac:dyDescent="0.2">
      <c r="A118">
        <v>1866.5</v>
      </c>
      <c r="B118">
        <v>0.18444832021816901</v>
      </c>
      <c r="C118">
        <v>6.8867934423256796E-2</v>
      </c>
      <c r="D118">
        <v>1.5253793313372999E-2</v>
      </c>
      <c r="E118">
        <v>-4.8656837907983001E-3</v>
      </c>
      <c r="F118">
        <v>-0.116925495105768</v>
      </c>
      <c r="G118">
        <v>3.5691885930806098E-2</v>
      </c>
      <c r="H118">
        <v>0</v>
      </c>
      <c r="I118">
        <v>-5.9039662749601103E-2</v>
      </c>
      <c r="J118">
        <v>1.45398746285543E-2</v>
      </c>
      <c r="K118">
        <v>4.8621371001879004E-3</v>
      </c>
      <c r="L118">
        <v>-2.3158273163360301E-2</v>
      </c>
      <c r="M118">
        <v>0.22625527577410601</v>
      </c>
      <c r="N118">
        <v>-0.121791178896566</v>
      </c>
      <c r="O118">
        <v>8.4121867443427298E-2</v>
      </c>
      <c r="P118" s="1">
        <v>1.3970679756411399E-7</v>
      </c>
      <c r="Q118">
        <v>0.14283324367497799</v>
      </c>
      <c r="R118">
        <v>0.345930246285723</v>
      </c>
      <c r="S118">
        <v>-3.9637651020858901E-2</v>
      </c>
      <c r="U118">
        <v>287.2</v>
      </c>
      <c r="V118">
        <f t="shared" si="9"/>
        <v>0.1762359924497936</v>
      </c>
      <c r="W118">
        <f t="shared" si="6"/>
        <v>287.62648687586551</v>
      </c>
      <c r="Y118">
        <f t="shared" si="2"/>
        <v>0.26857004795479883</v>
      </c>
      <c r="Z118" s="3">
        <f t="shared" si="3"/>
        <v>0.26462442257154356</v>
      </c>
      <c r="AA118">
        <f t="shared" si="7"/>
        <v>291.82365263596171</v>
      </c>
      <c r="AE118">
        <f t="shared" si="8"/>
        <v>-0.12179117889656629</v>
      </c>
    </row>
    <row r="119" spans="1:31" x14ac:dyDescent="0.2">
      <c r="A119">
        <v>1867.5</v>
      </c>
      <c r="B119">
        <v>0.18759470231429101</v>
      </c>
      <c r="C119">
        <v>7.1042751236409199E-2</v>
      </c>
      <c r="D119">
        <v>1.58821080727862E-2</v>
      </c>
      <c r="E119">
        <v>-6.2469637178262996E-3</v>
      </c>
      <c r="F119">
        <v>-0.12633952904682499</v>
      </c>
      <c r="G119">
        <v>3.7868644255091101E-2</v>
      </c>
      <c r="H119">
        <v>0</v>
      </c>
      <c r="I119">
        <v>-5.98750312698808E-2</v>
      </c>
      <c r="J119">
        <v>1.5379172384488901E-2</v>
      </c>
      <c r="K119">
        <v>5.0220741994567997E-3</v>
      </c>
      <c r="L119">
        <v>-2.7542037811797801E-2</v>
      </c>
      <c r="M119">
        <v>0.23954295099141601</v>
      </c>
      <c r="N119">
        <v>-0.13258649276465201</v>
      </c>
      <c r="O119">
        <v>8.6925012248277006E-2</v>
      </c>
      <c r="P119" s="1">
        <v>1.5293908161157001E-7</v>
      </c>
      <c r="Q119">
        <v>0.14032808136707201</v>
      </c>
      <c r="R119">
        <v>0.35232899454669098</v>
      </c>
      <c r="S119">
        <v>-3.9473784685935098E-2</v>
      </c>
      <c r="U119">
        <v>287.3</v>
      </c>
      <c r="V119">
        <f t="shared" si="9"/>
        <v>0.17816266214431664</v>
      </c>
      <c r="W119">
        <f t="shared" si="6"/>
        <v>287.79005418068516</v>
      </c>
      <c r="Y119">
        <f t="shared" si="2"/>
        <v>0.27451956162348645</v>
      </c>
      <c r="Z119" s="3">
        <f t="shared" si="3"/>
        <v>0.27291457413172404</v>
      </c>
      <c r="AA119">
        <f t="shared" si="7"/>
        <v>292.2611152814253</v>
      </c>
      <c r="AE119">
        <f t="shared" si="8"/>
        <v>-0.13258649276465129</v>
      </c>
    </row>
    <row r="120" spans="1:31" x14ac:dyDescent="0.2">
      <c r="A120">
        <v>1868.5</v>
      </c>
      <c r="B120">
        <v>0.19028257565704801</v>
      </c>
      <c r="C120">
        <v>7.2986283857762999E-2</v>
      </c>
      <c r="D120">
        <v>1.6557550204908199E-2</v>
      </c>
      <c r="E120">
        <v>-7.6214459349302002E-3</v>
      </c>
      <c r="F120">
        <v>-0.13622491808915299</v>
      </c>
      <c r="G120">
        <v>4.0491696913001501E-2</v>
      </c>
      <c r="H120">
        <v>0</v>
      </c>
      <c r="I120">
        <v>-6.0709931811094901E-2</v>
      </c>
      <c r="J120">
        <v>1.6437489055347601E-2</v>
      </c>
      <c r="K120">
        <v>5.1653524908945999E-3</v>
      </c>
      <c r="L120">
        <v>-1.7760470428985299E-2</v>
      </c>
      <c r="M120">
        <v>0.23562063062727001</v>
      </c>
      <c r="N120">
        <v>-0.14384636402408299</v>
      </c>
      <c r="O120">
        <v>8.9543990409651997E-2</v>
      </c>
      <c r="P120" s="1">
        <v>1.56346980879816E-7</v>
      </c>
      <c r="Q120">
        <v>0.13736480869076501</v>
      </c>
      <c r="R120">
        <v>0.35522496888904997</v>
      </c>
      <c r="S120">
        <v>-3.9107090264852699E-2</v>
      </c>
      <c r="U120">
        <v>287.39999999999998</v>
      </c>
      <c r="V120">
        <f t="shared" si="9"/>
        <v>0.18008866134301726</v>
      </c>
      <c r="W120">
        <f t="shared" si="6"/>
        <v>287.9298591949464</v>
      </c>
      <c r="Y120">
        <f t="shared" si="2"/>
        <v>0.27982640971971917</v>
      </c>
      <c r="Z120" s="3">
        <f t="shared" si="3"/>
        <v>0.28121117271484886</v>
      </c>
      <c r="AA120">
        <f t="shared" si="7"/>
        <v>292.69957467996625</v>
      </c>
      <c r="AE120">
        <f t="shared" si="8"/>
        <v>-0.14384636402408318</v>
      </c>
    </row>
    <row r="121" spans="1:31" x14ac:dyDescent="0.2">
      <c r="A121">
        <v>1869.5</v>
      </c>
      <c r="B121">
        <v>0.19239684933135301</v>
      </c>
      <c r="C121">
        <v>7.4703631751770805E-2</v>
      </c>
      <c r="D121">
        <v>1.7203372572556899E-2</v>
      </c>
      <c r="E121">
        <v>-7.5798083324922997E-3</v>
      </c>
      <c r="F121">
        <v>-0.13423890915442199</v>
      </c>
      <c r="G121">
        <v>3.9913056291134001E-2</v>
      </c>
      <c r="H121">
        <v>0</v>
      </c>
      <c r="I121">
        <v>-6.1544320106477798E-2</v>
      </c>
      <c r="J121">
        <v>1.5914193249426799E-2</v>
      </c>
      <c r="K121">
        <v>5.2922269014895997E-3</v>
      </c>
      <c r="L121" s="1">
        <v>8.6599883514645602E-5</v>
      </c>
      <c r="M121" s="1">
        <v>7.4067562158005904E-5</v>
      </c>
      <c r="N121">
        <v>-0.14181871748691399</v>
      </c>
      <c r="O121">
        <v>9.1907164115480694E-2</v>
      </c>
      <c r="P121" s="1">
        <v>1.5979115304561101E-7</v>
      </c>
      <c r="Q121">
        <v>0.142060452295492</v>
      </c>
      <c r="R121">
        <v>0.142221119741164</v>
      </c>
      <c r="S121">
        <v>-4.0337899955561397E-2</v>
      </c>
      <c r="U121">
        <v>287.5</v>
      </c>
      <c r="V121">
        <f t="shared" si="9"/>
        <v>0.18201399051242007</v>
      </c>
      <c r="W121">
        <f t="shared" si="6"/>
        <v>288.0398771495818</v>
      </c>
      <c r="Y121">
        <f t="shared" si="2"/>
        <v>0.28430385365568067</v>
      </c>
      <c r="Z121" s="3">
        <f t="shared" si="3"/>
        <v>0.28387916978240635</v>
      </c>
      <c r="AA121">
        <f t="shared" si="7"/>
        <v>292.84071296185874</v>
      </c>
      <c r="AE121">
        <f t="shared" si="8"/>
        <v>-0.1418187174869143</v>
      </c>
    </row>
    <row r="122" spans="1:31" x14ac:dyDescent="0.2">
      <c r="A122">
        <v>1870.5</v>
      </c>
      <c r="B122">
        <v>0.194701138261486</v>
      </c>
      <c r="C122">
        <v>7.6075620346083506E-2</v>
      </c>
      <c r="D122">
        <v>1.78089738753127E-2</v>
      </c>
      <c r="E122">
        <v>-8.6203020888009994E-3</v>
      </c>
      <c r="F122">
        <v>-0.14175102805591699</v>
      </c>
      <c r="G122">
        <v>4.1631479843784597E-2</v>
      </c>
      <c r="H122">
        <v>0</v>
      </c>
      <c r="I122">
        <v>-6.2929437723189402E-2</v>
      </c>
      <c r="J122">
        <v>1.66818544661404E-2</v>
      </c>
      <c r="K122">
        <v>5.3937776700901004E-3</v>
      </c>
      <c r="L122">
        <v>1.4750520319521E-3</v>
      </c>
      <c r="M122">
        <v>0.160483839716585</v>
      </c>
      <c r="N122">
        <v>-0.15037133014471801</v>
      </c>
      <c r="O122">
        <v>9.3884757494638899E-2</v>
      </c>
      <c r="P122" s="1">
        <v>1.6327324272339699E-7</v>
      </c>
      <c r="Q122">
        <v>0.138992239868232</v>
      </c>
      <c r="R122">
        <v>0.30095113161677001</v>
      </c>
      <c r="S122">
        <v>-4.0853805586958898E-2</v>
      </c>
      <c r="U122">
        <v>287.7</v>
      </c>
      <c r="V122">
        <f t="shared" si="9"/>
        <v>0.18586264062691882</v>
      </c>
      <c r="W122">
        <f t="shared" si="6"/>
        <v>288.15983057823212</v>
      </c>
      <c r="Y122">
        <f t="shared" si="2"/>
        <v>0.28858573248288222</v>
      </c>
      <c r="Z122" s="3">
        <f t="shared" si="3"/>
        <v>0.2893635700129506</v>
      </c>
      <c r="AA122">
        <f t="shared" si="7"/>
        <v>293.13105405097218</v>
      </c>
      <c r="AE122">
        <f t="shared" si="8"/>
        <v>-0.15037133014471799</v>
      </c>
    </row>
    <row r="123" spans="1:31" x14ac:dyDescent="0.2">
      <c r="A123">
        <v>1871.5</v>
      </c>
      <c r="B123">
        <v>0.19717536386180801</v>
      </c>
      <c r="C123">
        <v>7.7002204347480799E-2</v>
      </c>
      <c r="D123">
        <v>1.85017547798902E-2</v>
      </c>
      <c r="E123">
        <v>-8.3502275987482003E-3</v>
      </c>
      <c r="F123">
        <v>-0.13989487570071199</v>
      </c>
      <c r="G123">
        <v>4.1194038642133599E-2</v>
      </c>
      <c r="H123">
        <v>0</v>
      </c>
      <c r="I123">
        <v>-6.4865233795444899E-2</v>
      </c>
      <c r="J123">
        <v>1.62202986789295E-2</v>
      </c>
      <c r="K123">
        <v>5.4624911591432002E-3</v>
      </c>
      <c r="L123">
        <v>1.22394563288271E-2</v>
      </c>
      <c r="M123">
        <v>0.22602326502569001</v>
      </c>
      <c r="N123">
        <v>-0.14824510329946</v>
      </c>
      <c r="O123">
        <v>9.55041357812524E-2</v>
      </c>
      <c r="P123" s="1">
        <v>1.7665388147630101E-7</v>
      </c>
      <c r="Q123">
        <v>0.142445991028361</v>
      </c>
      <c r="R123">
        <v>0.38070871238287901</v>
      </c>
      <c r="S123">
        <v>-4.3182443957372099E-2</v>
      </c>
      <c r="U123">
        <v>287.89999999999998</v>
      </c>
      <c r="V123">
        <f t="shared" si="9"/>
        <v>0.18970861621019708</v>
      </c>
      <c r="W123">
        <f t="shared" si="6"/>
        <v>288.28868594752237</v>
      </c>
      <c r="Y123">
        <f t="shared" si="2"/>
        <v>0.29267932298917898</v>
      </c>
      <c r="Z123" s="3">
        <f t="shared" si="3"/>
        <v>0.29069109432782186</v>
      </c>
      <c r="AA123">
        <f t="shared" si="7"/>
        <v>293.20137570916006</v>
      </c>
      <c r="AE123">
        <f t="shared" si="8"/>
        <v>-0.1482451032994602</v>
      </c>
    </row>
    <row r="124" spans="1:31" x14ac:dyDescent="0.2">
      <c r="A124">
        <v>1872.5</v>
      </c>
      <c r="B124">
        <v>0.20023946111490801</v>
      </c>
      <c r="C124">
        <v>7.7739262524549296E-2</v>
      </c>
      <c r="D124">
        <v>1.9165125698973301E-2</v>
      </c>
      <c r="E124">
        <v>-8.8005138665564996E-3</v>
      </c>
      <c r="F124">
        <v>-0.14180676207683901</v>
      </c>
      <c r="G124">
        <v>4.0502642910590997E-2</v>
      </c>
      <c r="H124">
        <v>0</v>
      </c>
      <c r="I124">
        <v>-6.6800449223537395E-2</v>
      </c>
      <c r="J124">
        <v>1.60604453007108E-2</v>
      </c>
      <c r="K124">
        <v>5.5172185485803998E-3</v>
      </c>
      <c r="L124">
        <v>6.5608430475770996E-3</v>
      </c>
      <c r="M124">
        <v>0.18301670981971699</v>
      </c>
      <c r="N124">
        <v>-0.15060727594339601</v>
      </c>
      <c r="O124">
        <v>9.69045684402495E-2</v>
      </c>
      <c r="P124" s="1">
        <v>1.80216726981636E-7</v>
      </c>
      <c r="Q124">
        <v>0.14181661114810601</v>
      </c>
      <c r="R124">
        <v>0.33139416401540001</v>
      </c>
      <c r="S124">
        <v>-4.5222785374246198E-2</v>
      </c>
      <c r="U124">
        <v>288</v>
      </c>
      <c r="V124">
        <f t="shared" si="9"/>
        <v>0.19163060221375616</v>
      </c>
      <c r="W124">
        <f t="shared" si="6"/>
        <v>288.44834114966767</v>
      </c>
      <c r="Y124">
        <f t="shared" si="2"/>
        <v>0.29714384933843063</v>
      </c>
      <c r="Z124" s="3">
        <f t="shared" si="3"/>
        <v>0.29242388709150241</v>
      </c>
      <c r="AA124">
        <f t="shared" si="7"/>
        <v>293.29319064183943</v>
      </c>
      <c r="AE124">
        <f t="shared" si="8"/>
        <v>-0.15060727594339551</v>
      </c>
    </row>
    <row r="125" spans="1:31" x14ac:dyDescent="0.2">
      <c r="A125">
        <v>1873.5</v>
      </c>
      <c r="B125">
        <v>0.20379612502070299</v>
      </c>
      <c r="C125">
        <v>7.8295194076457894E-2</v>
      </c>
      <c r="D125">
        <v>1.9817481912719401E-2</v>
      </c>
      <c r="E125">
        <v>-1.11382531497862E-2</v>
      </c>
      <c r="F125">
        <v>-0.155160454597595</v>
      </c>
      <c r="G125">
        <v>4.26384586048556E-2</v>
      </c>
      <c r="H125">
        <v>0</v>
      </c>
      <c r="I125">
        <v>-6.8735075381562497E-2</v>
      </c>
      <c r="J125">
        <v>1.7200598526374698E-2</v>
      </c>
      <c r="K125">
        <v>5.5585501956378998E-3</v>
      </c>
      <c r="L125">
        <v>-3.0959196477352998E-3</v>
      </c>
      <c r="M125">
        <v>-1.0959882961443901</v>
      </c>
      <c r="N125">
        <v>-0.16629870774738101</v>
      </c>
      <c r="O125">
        <v>9.8112859811588002E-2</v>
      </c>
      <c r="P125" s="1">
        <v>1.8382241078235599E-7</v>
      </c>
      <c r="Q125">
        <v>0.13227280903021499</v>
      </c>
      <c r="R125">
        <v>-0.96681140676191302</v>
      </c>
      <c r="S125">
        <v>-4.5975926659549901E-2</v>
      </c>
      <c r="U125">
        <v>288.2</v>
      </c>
      <c r="V125">
        <f t="shared" si="9"/>
        <v>0.19547257296271781</v>
      </c>
      <c r="W125">
        <f t="shared" si="6"/>
        <v>288.63377248747236</v>
      </c>
      <c r="Y125">
        <f t="shared" si="2"/>
        <v>0.30190880100988032</v>
      </c>
      <c r="Z125" s="3">
        <f t="shared" si="3"/>
        <v>0.2985715167775968</v>
      </c>
      <c r="AA125">
        <f t="shared" si="7"/>
        <v>293.61916512995271</v>
      </c>
      <c r="AE125">
        <f t="shared" si="8"/>
        <v>-0.1662987077473812</v>
      </c>
    </row>
    <row r="126" spans="1:31" x14ac:dyDescent="0.2">
      <c r="A126">
        <v>1874.5</v>
      </c>
      <c r="B126">
        <v>0.207446429366549</v>
      </c>
      <c r="C126">
        <v>7.9275043892396396E-2</v>
      </c>
      <c r="D126">
        <v>2.0447392529057001E-2</v>
      </c>
      <c r="E126">
        <v>-1.1900293525326301E-2</v>
      </c>
      <c r="F126">
        <v>-0.1587437802103</v>
      </c>
      <c r="G126">
        <v>4.42466125860278E-2</v>
      </c>
      <c r="H126">
        <v>0</v>
      </c>
      <c r="I126">
        <v>-7.0669065719771607E-2</v>
      </c>
      <c r="J126">
        <v>1.7614022900124201E-2</v>
      </c>
      <c r="K126">
        <v>5.6313881350191003E-3</v>
      </c>
      <c r="L126">
        <v>-1.1473434296172799E-2</v>
      </c>
      <c r="M126">
        <v>-0.53054116812106</v>
      </c>
      <c r="N126">
        <v>-0.17064407373562601</v>
      </c>
      <c r="O126">
        <v>9.9722633753030906E-2</v>
      </c>
      <c r="P126" s="1">
        <v>1.9733157751316801E-7</v>
      </c>
      <c r="Q126">
        <v>0.13334794728535301</v>
      </c>
      <c r="R126">
        <v>-0.40866665513188</v>
      </c>
      <c r="S126">
        <v>-4.7423654684628301E-2</v>
      </c>
      <c r="U126">
        <v>288.39999999999998</v>
      </c>
      <c r="V126">
        <f t="shared" si="9"/>
        <v>0.19931187845253007</v>
      </c>
      <c r="W126">
        <f t="shared" si="6"/>
        <v>288.82420984819913</v>
      </c>
      <c r="Y126">
        <f t="shared" si="2"/>
        <v>0.3071688657880024</v>
      </c>
      <c r="Z126" s="3">
        <f t="shared" si="3"/>
        <v>0.30399202102097944</v>
      </c>
      <c r="AA126">
        <f t="shared" si="7"/>
        <v>293.90688475549086</v>
      </c>
      <c r="AE126">
        <f t="shared" si="8"/>
        <v>-0.17064407373562629</v>
      </c>
    </row>
    <row r="127" spans="1:31" x14ac:dyDescent="0.2">
      <c r="A127">
        <v>1875.5</v>
      </c>
      <c r="B127">
        <v>0.21164481030107801</v>
      </c>
      <c r="C127">
        <v>8.0252073647995595E-2</v>
      </c>
      <c r="D127">
        <v>2.1088003432533899E-2</v>
      </c>
      <c r="E127">
        <v>-1.14973179738403E-2</v>
      </c>
      <c r="F127">
        <v>-0.15613890508834499</v>
      </c>
      <c r="G127">
        <v>4.3636472438754702E-2</v>
      </c>
      <c r="H127">
        <v>0</v>
      </c>
      <c r="I127">
        <v>-7.26023942299069E-2</v>
      </c>
      <c r="J127">
        <v>1.7102077072157801E-2</v>
      </c>
      <c r="K127">
        <v>5.7040999526269997E-3</v>
      </c>
      <c r="L127">
        <v>-2.7074020233672801E-2</v>
      </c>
      <c r="M127">
        <v>-9.8148948662366398E-2</v>
      </c>
      <c r="N127">
        <v>-0.16763622306218501</v>
      </c>
      <c r="O127">
        <v>0.101340278108401</v>
      </c>
      <c r="P127" s="1">
        <v>2.01027871768085E-7</v>
      </c>
      <c r="Q127">
        <v>0.139189120580926</v>
      </c>
      <c r="R127">
        <v>1.39661516848874E-2</v>
      </c>
      <c r="S127">
        <v>-4.9796217205122097E-2</v>
      </c>
      <c r="U127">
        <v>288.60000000000002</v>
      </c>
      <c r="V127">
        <f t="shared" si="9"/>
        <v>0.20314852237853387</v>
      </c>
      <c r="W127">
        <f t="shared" si="6"/>
        <v>289.04339588034185</v>
      </c>
      <c r="Y127">
        <f t="shared" si="2"/>
        <v>0.31298488738160751</v>
      </c>
      <c r="Z127" s="3">
        <f t="shared" si="3"/>
        <v>0.30682534364311187</v>
      </c>
      <c r="AA127">
        <f t="shared" si="7"/>
        <v>294.05738931710533</v>
      </c>
      <c r="AE127">
        <f t="shared" si="8"/>
        <v>-0.16763622306218529</v>
      </c>
    </row>
    <row r="128" spans="1:31" x14ac:dyDescent="0.2">
      <c r="A128">
        <v>1876.5</v>
      </c>
      <c r="B128">
        <v>0.21582175134770801</v>
      </c>
      <c r="C128">
        <v>8.1075232688114104E-2</v>
      </c>
      <c r="D128">
        <v>2.16592055794767E-2</v>
      </c>
      <c r="E128">
        <v>-1.3136537711519699E-2</v>
      </c>
      <c r="F128">
        <v>-0.16115659108379299</v>
      </c>
      <c r="G128">
        <v>4.4149221406728903E-2</v>
      </c>
      <c r="H128">
        <v>0</v>
      </c>
      <c r="I128">
        <v>-7.4535046734142005E-2</v>
      </c>
      <c r="J128">
        <v>1.7250865333491901E-2</v>
      </c>
      <c r="K128">
        <v>5.7654286093426002E-3</v>
      </c>
      <c r="L128">
        <v>-3.42190885930478E-2</v>
      </c>
      <c r="M128">
        <v>0.10100491614682</v>
      </c>
      <c r="N128">
        <v>-0.174293128795313</v>
      </c>
      <c r="O128">
        <v>0.102734652898528</v>
      </c>
      <c r="P128" s="1">
        <v>2.1463093817432999E-7</v>
      </c>
      <c r="Q128">
        <v>0.136893744066345</v>
      </c>
      <c r="R128">
        <v>0.20367957162011799</v>
      </c>
      <c r="S128">
        <v>-5.15187527913075E-2</v>
      </c>
      <c r="U128">
        <v>288.7</v>
      </c>
      <c r="V128">
        <f t="shared" si="9"/>
        <v>0.20506584740779843</v>
      </c>
      <c r="W128">
        <f t="shared" si="6"/>
        <v>289.26162766039613</v>
      </c>
      <c r="Y128">
        <f t="shared" si="2"/>
        <v>0.3185561896152988</v>
      </c>
      <c r="Z128" s="3">
        <f t="shared" si="3"/>
        <v>0.31118687286165841</v>
      </c>
      <c r="AA128">
        <f t="shared" si="7"/>
        <v>294.2892220342639</v>
      </c>
      <c r="AE128">
        <f t="shared" si="8"/>
        <v>-0.1742931287953127</v>
      </c>
    </row>
    <row r="129" spans="1:31" x14ac:dyDescent="0.2">
      <c r="A129">
        <v>1877.5</v>
      </c>
      <c r="B129">
        <v>0.220053161376671</v>
      </c>
      <c r="C129">
        <v>8.1974411504589603E-2</v>
      </c>
      <c r="D129">
        <v>2.2153747008489901E-2</v>
      </c>
      <c r="E129">
        <v>-1.33669517604014E-2</v>
      </c>
      <c r="F129">
        <v>-0.166020969296099</v>
      </c>
      <c r="G129">
        <v>4.58467340119003E-2</v>
      </c>
      <c r="H129">
        <v>0</v>
      </c>
      <c r="I129">
        <v>-7.6466969691638798E-2</v>
      </c>
      <c r="J129">
        <v>1.78657841667079E-2</v>
      </c>
      <c r="K129">
        <v>5.8324676305983002E-3</v>
      </c>
      <c r="L129">
        <v>-3.8790060272735301E-2</v>
      </c>
      <c r="M129">
        <v>0.116705037446646</v>
      </c>
      <c r="N129">
        <v>-0.1793879210565</v>
      </c>
      <c r="O129">
        <v>0.1041283769375</v>
      </c>
      <c r="P129" s="1">
        <v>2.18424421345076E-7</v>
      </c>
      <c r="Q129">
        <v>0.137871633375239</v>
      </c>
      <c r="R129">
        <v>0.21578661054915099</v>
      </c>
      <c r="S129">
        <v>-5.2768717894332601E-2</v>
      </c>
      <c r="U129">
        <v>288.89999999999998</v>
      </c>
      <c r="V129">
        <f t="shared" si="9"/>
        <v>0.208898505900045</v>
      </c>
      <c r="W129">
        <f t="shared" si="6"/>
        <v>289.48287327572001</v>
      </c>
      <c r="Y129">
        <f t="shared" si="2"/>
        <v>0.32418131988975046</v>
      </c>
      <c r="Z129" s="3">
        <f t="shared" si="3"/>
        <v>0.31725955443173953</v>
      </c>
      <c r="AA129">
        <f t="shared" si="7"/>
        <v>294.61231377586154</v>
      </c>
      <c r="AE129">
        <f t="shared" si="8"/>
        <v>-0.17938792105650039</v>
      </c>
    </row>
    <row r="130" spans="1:31" x14ac:dyDescent="0.2">
      <c r="A130">
        <v>1878.5</v>
      </c>
      <c r="B130">
        <v>0.22445166826572899</v>
      </c>
      <c r="C130">
        <v>8.3014126668055493E-2</v>
      </c>
      <c r="D130">
        <v>2.2680760439839999E-2</v>
      </c>
      <c r="E130">
        <v>-1.38000885122455E-2</v>
      </c>
      <c r="F130">
        <v>-0.16949601228025801</v>
      </c>
      <c r="G130">
        <v>4.7295530013531199E-2</v>
      </c>
      <c r="H130">
        <v>0</v>
      </c>
      <c r="I130">
        <v>-7.8398129755249499E-2</v>
      </c>
      <c r="J130">
        <v>1.82460469826747E-2</v>
      </c>
      <c r="K130">
        <v>5.9100633126154996E-3</v>
      </c>
      <c r="L130">
        <v>-4.4453072968047798E-2</v>
      </c>
      <c r="M130">
        <v>0.208018174838174</v>
      </c>
      <c r="N130">
        <v>-0.183296100792503</v>
      </c>
      <c r="O130">
        <v>0.105695119235848</v>
      </c>
      <c r="P130" s="1">
        <v>2.3212795284257399E-7</v>
      </c>
      <c r="Q130">
        <v>0.139904197262645</v>
      </c>
      <c r="R130">
        <v>0.30346929913277199</v>
      </c>
      <c r="S130">
        <v>-5.4242019459959198E-2</v>
      </c>
      <c r="U130">
        <v>289.5</v>
      </c>
      <c r="V130">
        <f t="shared" si="9"/>
        <v>0.22038058188918086</v>
      </c>
      <c r="W130">
        <f t="shared" si="6"/>
        <v>289.71303518104042</v>
      </c>
      <c r="Y130">
        <f t="shared" si="2"/>
        <v>0.33014655537362447</v>
      </c>
      <c r="Z130" s="3">
        <f t="shared" si="3"/>
        <v>0.32320029805514927</v>
      </c>
      <c r="AA130">
        <f t="shared" si="7"/>
        <v>294.92872910794881</v>
      </c>
      <c r="AE130">
        <f t="shared" si="8"/>
        <v>-0.18329610079250352</v>
      </c>
    </row>
    <row r="131" spans="1:31" x14ac:dyDescent="0.2">
      <c r="A131">
        <v>1879.5</v>
      </c>
      <c r="B131">
        <v>0.22860064057056001</v>
      </c>
      <c r="C131">
        <v>8.4278639863027804E-2</v>
      </c>
      <c r="D131">
        <v>2.31820269517337E-2</v>
      </c>
      <c r="E131">
        <v>-1.6087487881378398E-2</v>
      </c>
      <c r="F131">
        <v>-0.17878262152718899</v>
      </c>
      <c r="G131">
        <v>4.7817092335549899E-2</v>
      </c>
      <c r="H131">
        <v>0</v>
      </c>
      <c r="I131">
        <v>-8.0328531701043399E-2</v>
      </c>
      <c r="J131">
        <v>1.8719165283583899E-2</v>
      </c>
      <c r="K131">
        <v>6.0045378447065E-3</v>
      </c>
      <c r="L131">
        <v>-4.3267428436797803E-2</v>
      </c>
      <c r="M131">
        <v>0.23428572358667901</v>
      </c>
      <c r="N131">
        <v>-0.194870109408567</v>
      </c>
      <c r="O131">
        <v>0.10746090283995099</v>
      </c>
      <c r="P131" s="1">
        <v>2.36025190345816E-7</v>
      </c>
      <c r="Q131">
        <v>0.13340369776474101</v>
      </c>
      <c r="R131">
        <v>0.32442199291462298</v>
      </c>
      <c r="S131">
        <v>-5.5604828572752903E-2</v>
      </c>
      <c r="U131">
        <v>290.10000000000002</v>
      </c>
      <c r="V131">
        <f t="shared" si="9"/>
        <v>0.23183888544726017</v>
      </c>
      <c r="W131">
        <f t="shared" si="6"/>
        <v>289.93030733648646</v>
      </c>
      <c r="Y131">
        <f t="shared" ref="Y131:Y194" si="10">SUM(B131:D131)</f>
        <v>0.33606130738532153</v>
      </c>
      <c r="Z131" s="3">
        <f t="shared" si="3"/>
        <v>0.32827380717330873</v>
      </c>
      <c r="AA131">
        <f t="shared" si="7"/>
        <v>295.19922290222587</v>
      </c>
      <c r="AE131">
        <f t="shared" si="8"/>
        <v>-0.19487010940856739</v>
      </c>
    </row>
    <row r="132" spans="1:31" x14ac:dyDescent="0.2">
      <c r="A132">
        <v>1880.5</v>
      </c>
      <c r="B132">
        <v>0.23314426374453101</v>
      </c>
      <c r="C132">
        <v>8.5699406438036502E-2</v>
      </c>
      <c r="D132">
        <v>2.3686514682964101E-2</v>
      </c>
      <c r="E132">
        <v>-1.8501065175742099E-2</v>
      </c>
      <c r="F132">
        <v>-0.186301780888531</v>
      </c>
      <c r="G132">
        <v>4.7753718911940198E-2</v>
      </c>
      <c r="H132">
        <v>0</v>
      </c>
      <c r="I132">
        <v>-8.1979494256841298E-2</v>
      </c>
      <c r="J132">
        <v>1.86778504343054E-2</v>
      </c>
      <c r="K132">
        <v>6.110838305617E-3</v>
      </c>
      <c r="L132">
        <v>-2.9351705780547799E-2</v>
      </c>
      <c r="M132">
        <v>0.12196622606657</v>
      </c>
      <c r="N132">
        <v>-0.20480284606427299</v>
      </c>
      <c r="O132">
        <v>0.10938617095677899</v>
      </c>
      <c r="P132" s="1">
        <v>2.4983577844823899E-7</v>
      </c>
      <c r="Q132">
        <v>0.128290502032058</v>
      </c>
      <c r="R132">
        <v>0.22090502231808101</v>
      </c>
      <c r="S132">
        <v>-5.7190805516918797E-2</v>
      </c>
      <c r="U132">
        <v>290.8</v>
      </c>
      <c r="V132">
        <f t="shared" si="9"/>
        <v>0.24517699157323491</v>
      </c>
      <c r="W132">
        <f t="shared" si="6"/>
        <v>290.16843338723379</v>
      </c>
      <c r="Y132">
        <f t="shared" si="10"/>
        <v>0.34253018486553166</v>
      </c>
      <c r="Z132" s="3">
        <f t="shared" ref="Z132:Z195" si="11">K132+J132+I132+H132+G132+D132+C132+B132+P132</f>
        <v>0.33309334809633134</v>
      </c>
      <c r="AA132">
        <f t="shared" si="7"/>
        <v>295.45640616230452</v>
      </c>
      <c r="AE132">
        <f t="shared" si="8"/>
        <v>-0.2048028460642731</v>
      </c>
    </row>
    <row r="133" spans="1:31" x14ac:dyDescent="0.2">
      <c r="A133">
        <v>1881.5</v>
      </c>
      <c r="B133">
        <v>0.23802513933542599</v>
      </c>
      <c r="C133">
        <v>8.7044779872188005E-2</v>
      </c>
      <c r="D133">
        <v>2.4107310019654E-2</v>
      </c>
      <c r="E133">
        <v>-1.8757174436838601E-2</v>
      </c>
      <c r="F133">
        <v>-0.19155020447958601</v>
      </c>
      <c r="G133">
        <v>4.9537997272100301E-2</v>
      </c>
      <c r="H133">
        <v>0</v>
      </c>
      <c r="I133">
        <v>-8.3350960525058901E-2</v>
      </c>
      <c r="J133">
        <v>1.92977481062163E-2</v>
      </c>
      <c r="K133">
        <v>6.2116457607881001E-3</v>
      </c>
      <c r="L133">
        <v>-9.9913786321103003E-3</v>
      </c>
      <c r="M133">
        <v>-2.2910683686403E-3</v>
      </c>
      <c r="N133">
        <v>-0.21030737891642501</v>
      </c>
      <c r="O133">
        <v>0.11115234373519001</v>
      </c>
      <c r="P133" s="1">
        <v>2.5384334872403299E-7</v>
      </c>
      <c r="Q133">
        <v>0.13056653476823701</v>
      </c>
      <c r="R133">
        <v>0.118284087767486</v>
      </c>
      <c r="S133">
        <v>-5.7841566658054497E-2</v>
      </c>
      <c r="U133">
        <v>291.39999999999998</v>
      </c>
      <c r="V133">
        <f t="shared" si="9"/>
        <v>0.2565841243817566</v>
      </c>
      <c r="W133">
        <f t="shared" si="6"/>
        <v>290.42445234480869</v>
      </c>
      <c r="Y133">
        <f t="shared" si="10"/>
        <v>0.34917722922726796</v>
      </c>
      <c r="Z133" s="3">
        <f t="shared" si="11"/>
        <v>0.34087391368466252</v>
      </c>
      <c r="AA133">
        <f t="shared" si="7"/>
        <v>295.87207033730652</v>
      </c>
      <c r="AE133">
        <f t="shared" si="8"/>
        <v>-0.21030737891642462</v>
      </c>
    </row>
    <row r="134" spans="1:31" x14ac:dyDescent="0.2">
      <c r="A134">
        <v>1882.5</v>
      </c>
      <c r="B134">
        <v>0.24318583208746899</v>
      </c>
      <c r="C134">
        <v>8.8375187601585997E-2</v>
      </c>
      <c r="D134">
        <v>2.45387926434553E-2</v>
      </c>
      <c r="E134">
        <v>-2.01295568230275E-2</v>
      </c>
      <c r="F134">
        <v>-0.19424979321542701</v>
      </c>
      <c r="G134">
        <v>4.9006022803538003E-2</v>
      </c>
      <c r="H134">
        <v>0</v>
      </c>
      <c r="I134">
        <v>-8.4721563425724497E-2</v>
      </c>
      <c r="J134">
        <v>1.9047073680444799E-2</v>
      </c>
      <c r="K134">
        <v>6.3114844934033E-3</v>
      </c>
      <c r="L134">
        <v>-1.4125533905547801E-2</v>
      </c>
      <c r="M134">
        <v>0.16548038594524</v>
      </c>
      <c r="N134">
        <v>-0.21437935003845501</v>
      </c>
      <c r="O134">
        <v>0.112914248012587</v>
      </c>
      <c r="P134" s="1">
        <v>2.6776754578736102E-7</v>
      </c>
      <c r="Q134">
        <v>0.131363747613263</v>
      </c>
      <c r="R134">
        <v>0.28271859965295498</v>
      </c>
      <c r="S134">
        <v>-5.9363005251876398E-2</v>
      </c>
      <c r="U134">
        <v>292</v>
      </c>
      <c r="V134">
        <f t="shared" si="9"/>
        <v>0.26796779375347413</v>
      </c>
      <c r="W134">
        <f t="shared" si="6"/>
        <v>290.69539437783766</v>
      </c>
      <c r="Y134">
        <f t="shared" si="10"/>
        <v>0.35609981233251031</v>
      </c>
      <c r="Z134" s="3">
        <f t="shared" si="11"/>
        <v>0.34574309765171773</v>
      </c>
      <c r="AA134">
        <f t="shared" si="7"/>
        <v>296.13249608344614</v>
      </c>
      <c r="AE134">
        <f t="shared" si="8"/>
        <v>-0.21437935003845451</v>
      </c>
    </row>
    <row r="135" spans="1:31" x14ac:dyDescent="0.2">
      <c r="A135">
        <v>1883.5</v>
      </c>
      <c r="B135">
        <v>0.24762395601949699</v>
      </c>
      <c r="C135">
        <v>8.9754578122176604E-2</v>
      </c>
      <c r="D135">
        <v>2.4944611697572099E-2</v>
      </c>
      <c r="E135">
        <v>-2.0745153374722401E-2</v>
      </c>
      <c r="F135">
        <v>-0.19436786013791901</v>
      </c>
      <c r="G135">
        <v>4.8555650039667601E-2</v>
      </c>
      <c r="H135">
        <v>0</v>
      </c>
      <c r="I135">
        <v>-8.6091312387079996E-2</v>
      </c>
      <c r="J135">
        <v>1.8653633424512199E-2</v>
      </c>
      <c r="K135">
        <v>6.4151498142865004E-3</v>
      </c>
      <c r="L135">
        <v>-1.70896452336728E-2</v>
      </c>
      <c r="M135">
        <v>-0.108468493491158</v>
      </c>
      <c r="N135">
        <v>-0.215113013512641</v>
      </c>
      <c r="O135">
        <v>0.114699471570749</v>
      </c>
      <c r="P135" s="1">
        <v>2.81751001210239E-7</v>
      </c>
      <c r="Q135">
        <v>0.134743534968992</v>
      </c>
      <c r="R135">
        <v>9.1853962441605999E-3</v>
      </c>
      <c r="S135">
        <v>-6.1022529148281303E-2</v>
      </c>
      <c r="U135">
        <v>292.5</v>
      </c>
      <c r="V135">
        <f t="shared" si="9"/>
        <v>0.2774363309503336</v>
      </c>
      <c r="W135">
        <f t="shared" si="6"/>
        <v>290.92860290393776</v>
      </c>
      <c r="Y135">
        <f t="shared" si="10"/>
        <v>0.36232314583924574</v>
      </c>
      <c r="Z135" s="3">
        <f t="shared" si="11"/>
        <v>0.34985654848163317</v>
      </c>
      <c r="AA135">
        <f t="shared" si="7"/>
        <v>296.35268045229162</v>
      </c>
      <c r="AE135">
        <f t="shared" si="8"/>
        <v>-0.21511301351264142</v>
      </c>
    </row>
    <row r="136" spans="1:31" x14ac:dyDescent="0.2">
      <c r="A136">
        <v>1884.5</v>
      </c>
      <c r="B136">
        <v>0.25215325369307301</v>
      </c>
      <c r="C136">
        <v>9.1243986266756602E-2</v>
      </c>
      <c r="D136">
        <v>2.5346638725937901E-2</v>
      </c>
      <c r="E136">
        <v>-2.13372481111067E-2</v>
      </c>
      <c r="F136">
        <v>-0.20165408634590101</v>
      </c>
      <c r="G136">
        <v>5.0937128066947703E-2</v>
      </c>
      <c r="H136">
        <v>0</v>
      </c>
      <c r="I136">
        <v>-8.7460143009173402E-2</v>
      </c>
      <c r="J136">
        <v>1.95515181521532E-2</v>
      </c>
      <c r="K136">
        <v>6.5272572436483999E-3</v>
      </c>
      <c r="L136">
        <v>6.1084260553896002E-3</v>
      </c>
      <c r="M136">
        <v>-2.2115905461767502</v>
      </c>
      <c r="N136">
        <v>-0.222991334457008</v>
      </c>
      <c r="O136">
        <v>0.11659092078808</v>
      </c>
      <c r="P136" s="1">
        <v>2.9579538569317002E-7</v>
      </c>
      <c r="Q136">
        <v>0.135308600477721</v>
      </c>
      <c r="R136">
        <v>-2.0701735196436402</v>
      </c>
      <c r="S136">
        <v>-6.1381367613371797E-2</v>
      </c>
      <c r="U136">
        <v>292.89999999999998</v>
      </c>
      <c r="V136">
        <f t="shared" si="9"/>
        <v>0.28499951441863658</v>
      </c>
      <c r="W136">
        <f t="shared" si="6"/>
        <v>291.16679520010132</v>
      </c>
      <c r="Y136">
        <f t="shared" si="10"/>
        <v>0.36874387868576752</v>
      </c>
      <c r="Z136" s="3">
        <f t="shared" si="11"/>
        <v>0.35829993493472911</v>
      </c>
      <c r="AA136">
        <f t="shared" si="7"/>
        <v>296.80515020939043</v>
      </c>
      <c r="AE136">
        <f t="shared" si="8"/>
        <v>-0.22299133445700772</v>
      </c>
    </row>
    <row r="137" spans="1:31" x14ac:dyDescent="0.2">
      <c r="A137">
        <v>1885.5</v>
      </c>
      <c r="B137">
        <v>0.25735822593920399</v>
      </c>
      <c r="C137">
        <v>9.2924437003517504E-2</v>
      </c>
      <c r="D137">
        <v>2.5733811202914899E-2</v>
      </c>
      <c r="E137">
        <v>-2.2484393947189998E-2</v>
      </c>
      <c r="F137">
        <v>-0.204809739327065</v>
      </c>
      <c r="G137">
        <v>5.1777798334541297E-2</v>
      </c>
      <c r="H137">
        <v>0</v>
      </c>
      <c r="I137">
        <v>-8.8828022873321894E-2</v>
      </c>
      <c r="J137">
        <v>1.9642113357398801E-2</v>
      </c>
      <c r="K137">
        <v>6.6539572305145999E-3</v>
      </c>
      <c r="L137">
        <v>-8.3689176946102999E-3</v>
      </c>
      <c r="M137">
        <v>-1.4244469364702399</v>
      </c>
      <c r="N137">
        <v>-0.22729413327425499</v>
      </c>
      <c r="O137">
        <v>0.118658548249854</v>
      </c>
      <c r="P137" s="1">
        <v>3.0004342217639001E-7</v>
      </c>
      <c r="Q137">
        <v>0.13796848696393599</v>
      </c>
      <c r="R137">
        <v>-1.29484736720091</v>
      </c>
      <c r="S137">
        <v>-6.2531952285408504E-2</v>
      </c>
      <c r="U137">
        <v>293.3</v>
      </c>
      <c r="V137">
        <f t="shared" si="9"/>
        <v>0.29255237624133201</v>
      </c>
      <c r="W137">
        <f t="shared" si="6"/>
        <v>291.44076153803286</v>
      </c>
      <c r="Y137">
        <f t="shared" si="10"/>
        <v>0.37601647414563638</v>
      </c>
      <c r="Z137" s="3">
        <f t="shared" si="11"/>
        <v>0.36526262023819139</v>
      </c>
      <c r="AA137">
        <f t="shared" si="7"/>
        <v>297.17879085858647</v>
      </c>
      <c r="AE137">
        <f t="shared" si="8"/>
        <v>-0.22729413327425502</v>
      </c>
    </row>
    <row r="138" spans="1:31" x14ac:dyDescent="0.2">
      <c r="A138">
        <v>1886.5</v>
      </c>
      <c r="B138">
        <v>0.26289793579774201</v>
      </c>
      <c r="C138">
        <v>9.4565251636392095E-2</v>
      </c>
      <c r="D138">
        <v>2.6084508429067899E-2</v>
      </c>
      <c r="E138">
        <v>-2.2018526629970999E-2</v>
      </c>
      <c r="F138">
        <v>-0.20472978428483499</v>
      </c>
      <c r="G138">
        <v>5.2765535696738301E-2</v>
      </c>
      <c r="H138">
        <v>0</v>
      </c>
      <c r="I138">
        <v>-9.0194961953642294E-2</v>
      </c>
      <c r="J138">
        <v>1.97792625679153E-2</v>
      </c>
      <c r="K138">
        <v>6.7778932721381004E-3</v>
      </c>
      <c r="L138">
        <v>-2.4796334686797799E-2</v>
      </c>
      <c r="M138">
        <v>-0.88348401223642903</v>
      </c>
      <c r="N138">
        <v>-0.22674831091480599</v>
      </c>
      <c r="O138">
        <v>0.120650074280006</v>
      </c>
      <c r="P138" s="1">
        <v>3.1421454643429399E-7</v>
      </c>
      <c r="Q138">
        <v>0.14592742874609199</v>
      </c>
      <c r="R138">
        <v>-0.76235291817713502</v>
      </c>
      <c r="S138">
        <v>-6.3637806113588893E-2</v>
      </c>
      <c r="U138">
        <v>293.8</v>
      </c>
      <c r="V138">
        <f t="shared" si="9"/>
        <v>0.30197898155497072</v>
      </c>
      <c r="W138">
        <f t="shared" si="6"/>
        <v>291.73263014708232</v>
      </c>
      <c r="Y138">
        <f t="shared" si="10"/>
        <v>0.38354769586320198</v>
      </c>
      <c r="Z138" s="3">
        <f t="shared" si="11"/>
        <v>0.37267573966089784</v>
      </c>
      <c r="AA138">
        <f t="shared" si="7"/>
        <v>297.57712029683324</v>
      </c>
      <c r="AE138">
        <f t="shared" si="8"/>
        <v>-0.22674831091480599</v>
      </c>
    </row>
    <row r="139" spans="1:31" x14ac:dyDescent="0.2">
      <c r="A139">
        <v>1887.5</v>
      </c>
      <c r="B139">
        <v>0.268639241177482</v>
      </c>
      <c r="C139">
        <v>9.6365376319280605E-2</v>
      </c>
      <c r="D139">
        <v>2.6507530330517899E-2</v>
      </c>
      <c r="E139">
        <v>-2.3756961027549501E-2</v>
      </c>
      <c r="F139">
        <v>-0.21356271626327</v>
      </c>
      <c r="G139">
        <v>5.4500270664676602E-2</v>
      </c>
      <c r="H139">
        <v>0</v>
      </c>
      <c r="I139">
        <v>-9.1560896143304302E-2</v>
      </c>
      <c r="J139">
        <v>2.0437348044938498E-2</v>
      </c>
      <c r="K139">
        <v>6.9141302118121998E-3</v>
      </c>
      <c r="L139">
        <v>-3.4921114960235297E-2</v>
      </c>
      <c r="M139">
        <v>-0.77873912706896797</v>
      </c>
      <c r="N139">
        <v>-0.23731967729082001</v>
      </c>
      <c r="O139">
        <v>0.122873235101384</v>
      </c>
      <c r="P139" s="1">
        <v>3.2845158582717901E-7</v>
      </c>
      <c r="Q139">
        <v>0.14448365176616901</v>
      </c>
      <c r="R139">
        <v>-0.669176590263033</v>
      </c>
      <c r="S139">
        <v>-6.4209417886553599E-2</v>
      </c>
      <c r="U139">
        <v>294</v>
      </c>
      <c r="V139">
        <f t="shared" si="9"/>
        <v>0.305745132528223</v>
      </c>
      <c r="W139">
        <f t="shared" si="6"/>
        <v>292.03542859335425</v>
      </c>
      <c r="Y139">
        <f t="shared" si="10"/>
        <v>0.3915121478272805</v>
      </c>
      <c r="Z139" s="3">
        <f t="shared" si="11"/>
        <v>0.38180332905698933</v>
      </c>
      <c r="AA139">
        <f t="shared" si="7"/>
        <v>298.06830690081182</v>
      </c>
      <c r="AE139">
        <f t="shared" si="8"/>
        <v>-0.23731967729081951</v>
      </c>
    </row>
    <row r="140" spans="1:31" x14ac:dyDescent="0.2">
      <c r="A140">
        <v>1888.5</v>
      </c>
      <c r="B140">
        <v>0.27503329714755398</v>
      </c>
      <c r="C140">
        <v>9.8103723783445701E-2</v>
      </c>
      <c r="D140">
        <v>2.6839628994382601E-2</v>
      </c>
      <c r="E140">
        <v>-2.7701687941071099E-2</v>
      </c>
      <c r="F140">
        <v>-0.23266019258159401</v>
      </c>
      <c r="G140">
        <v>5.6640232098245501E-2</v>
      </c>
      <c r="H140">
        <v>0</v>
      </c>
      <c r="I140">
        <v>-9.2925831623812905E-2</v>
      </c>
      <c r="J140">
        <v>2.17565835706281E-2</v>
      </c>
      <c r="K140">
        <v>7.0459367887722004E-3</v>
      </c>
      <c r="L140">
        <v>-3.88836637883603E-2</v>
      </c>
      <c r="M140">
        <v>-0.165079055956763</v>
      </c>
      <c r="N140">
        <v>-0.26036188052266501</v>
      </c>
      <c r="O140">
        <v>0.12494369553380399</v>
      </c>
      <c r="P140" s="1">
        <v>3.4275597611008198E-7</v>
      </c>
      <c r="Q140">
        <v>0.13213203299252599</v>
      </c>
      <c r="R140">
        <v>-7.1830686752596504E-2</v>
      </c>
      <c r="S140">
        <v>-6.4123311264412605E-2</v>
      </c>
      <c r="U140">
        <v>294.10000000000002</v>
      </c>
      <c r="V140">
        <f t="shared" si="9"/>
        <v>0.30762724737092384</v>
      </c>
      <c r="W140">
        <f t="shared" si="6"/>
        <v>292.37302326121602</v>
      </c>
      <c r="Y140">
        <f t="shared" si="10"/>
        <v>0.39997664992538223</v>
      </c>
      <c r="Z140" s="3">
        <f t="shared" si="11"/>
        <v>0.39249391351519131</v>
      </c>
      <c r="AA140">
        <f t="shared" si="7"/>
        <v>298.64463457739242</v>
      </c>
      <c r="AE140">
        <f t="shared" si="8"/>
        <v>-0.26036188052266512</v>
      </c>
    </row>
    <row r="141" spans="1:31" x14ac:dyDescent="0.2">
      <c r="A141">
        <v>1889.5</v>
      </c>
      <c r="B141">
        <v>0.28143936423514798</v>
      </c>
      <c r="C141">
        <v>9.9975498928873197E-2</v>
      </c>
      <c r="D141">
        <v>2.7265715812890098E-2</v>
      </c>
      <c r="E141">
        <v>-2.74723668474397E-2</v>
      </c>
      <c r="F141">
        <v>-0.229293481631103</v>
      </c>
      <c r="G141">
        <v>5.7194362075602398E-2</v>
      </c>
      <c r="H141">
        <v>0</v>
      </c>
      <c r="I141">
        <v>-9.4289703615481599E-2</v>
      </c>
      <c r="J141">
        <v>2.1337920635260299E-2</v>
      </c>
      <c r="K141">
        <v>7.1881578040685996E-3</v>
      </c>
      <c r="L141">
        <v>-4.0303317108672798E-2</v>
      </c>
      <c r="M141">
        <v>0.10534046546071101</v>
      </c>
      <c r="N141">
        <v>-0.256765848478542</v>
      </c>
      <c r="O141">
        <v>0.127241571871438</v>
      </c>
      <c r="P141" s="1">
        <v>3.5712967516839402E-7</v>
      </c>
      <c r="Q141">
        <v>0.143345824527493</v>
      </c>
      <c r="R141">
        <v>0.208382972879531</v>
      </c>
      <c r="S141">
        <v>-6.5763625176152696E-2</v>
      </c>
      <c r="U141">
        <v>294.2</v>
      </c>
      <c r="V141">
        <f t="shared" si="9"/>
        <v>0.30950872236494575</v>
      </c>
      <c r="W141">
        <f t="shared" si="6"/>
        <v>292.71164345653972</v>
      </c>
      <c r="Y141">
        <f t="shared" si="10"/>
        <v>0.40868057897691129</v>
      </c>
      <c r="Z141" s="3">
        <f t="shared" si="11"/>
        <v>0.40011167300603612</v>
      </c>
      <c r="AA141">
        <f t="shared" si="7"/>
        <v>299.05598656552394</v>
      </c>
      <c r="AE141">
        <f t="shared" si="8"/>
        <v>-0.25676584847854267</v>
      </c>
    </row>
    <row r="142" spans="1:31" x14ac:dyDescent="0.2">
      <c r="A142">
        <v>1890.5</v>
      </c>
      <c r="B142">
        <v>0.28774481065840402</v>
      </c>
      <c r="C142">
        <v>0.101841934808295</v>
      </c>
      <c r="D142">
        <v>2.7586554694242801E-2</v>
      </c>
      <c r="E142">
        <v>-3.05913211049034E-2</v>
      </c>
      <c r="F142">
        <v>-0.24381368432830799</v>
      </c>
      <c r="G142">
        <v>5.8824580143769602E-2</v>
      </c>
      <c r="H142">
        <v>0</v>
      </c>
      <c r="I142">
        <v>-9.5634241462586506E-2</v>
      </c>
      <c r="J142">
        <v>2.22725034074658E-2</v>
      </c>
      <c r="K142">
        <v>7.3302473307078004E-3</v>
      </c>
      <c r="L142">
        <v>-3.6839987030547798E-2</v>
      </c>
      <c r="M142">
        <v>7.0795440442314997E-3</v>
      </c>
      <c r="N142">
        <v>-0.274405005433211</v>
      </c>
      <c r="O142">
        <v>0.12942886107652599</v>
      </c>
      <c r="P142" s="1">
        <v>3.7157398825085399E-7</v>
      </c>
      <c r="Q142">
        <v>0.13556175572107501</v>
      </c>
      <c r="R142">
        <v>0.105801312734759</v>
      </c>
      <c r="S142">
        <v>-6.6031490724412903E-2</v>
      </c>
      <c r="U142">
        <v>294.39999999999998</v>
      </c>
      <c r="V142">
        <f t="shared" si="9"/>
        <v>0.31326975454613049</v>
      </c>
      <c r="W142">
        <f t="shared" si="6"/>
        <v>293.04532790306752</v>
      </c>
      <c r="Y142">
        <f t="shared" si="10"/>
        <v>0.41717330016094184</v>
      </c>
      <c r="Z142" s="3">
        <f t="shared" si="11"/>
        <v>0.40996676115428676</v>
      </c>
      <c r="AA142">
        <f t="shared" si="7"/>
        <v>299.58899299555179</v>
      </c>
      <c r="AE142">
        <f t="shared" si="8"/>
        <v>-0.27440500543321139</v>
      </c>
    </row>
    <row r="143" spans="1:31" x14ac:dyDescent="0.2">
      <c r="A143">
        <v>1891.5</v>
      </c>
      <c r="B143">
        <v>0.294287323452882</v>
      </c>
      <c r="C143">
        <v>0.103736909617496</v>
      </c>
      <c r="D143">
        <v>2.78782464047997E-2</v>
      </c>
      <c r="E143">
        <v>-3.0986518255805701E-2</v>
      </c>
      <c r="F143">
        <v>-0.24219318201231799</v>
      </c>
      <c r="G143">
        <v>5.8461469972508798E-2</v>
      </c>
      <c r="H143">
        <v>0</v>
      </c>
      <c r="I143">
        <v>-9.6959463608144905E-2</v>
      </c>
      <c r="J143">
        <v>2.1795052960337999E-2</v>
      </c>
      <c r="K143">
        <v>7.4748029405296004E-3</v>
      </c>
      <c r="L143">
        <v>-1.14266325383603E-2</v>
      </c>
      <c r="M143">
        <v>0.14449381762730901</v>
      </c>
      <c r="N143">
        <v>-0.27317970026812399</v>
      </c>
      <c r="O143">
        <v>0.131615542122026</v>
      </c>
      <c r="P143" s="1">
        <v>3.86099730678501E-7</v>
      </c>
      <c r="Q143">
        <v>0.14349502757201599</v>
      </c>
      <c r="R143">
        <v>0.27656221266096498</v>
      </c>
      <c r="S143">
        <v>-6.7689607707277305E-2</v>
      </c>
      <c r="U143">
        <v>294.60000000000002</v>
      </c>
      <c r="V143">
        <f t="shared" si="9"/>
        <v>0.31702823254566681</v>
      </c>
      <c r="W143">
        <f t="shared" si="6"/>
        <v>293.39196002984909</v>
      </c>
      <c r="Y143">
        <f t="shared" si="10"/>
        <v>0.42590247947517768</v>
      </c>
      <c r="Z143" s="3">
        <f t="shared" si="11"/>
        <v>0.41667472784013987</v>
      </c>
      <c r="AA143">
        <f t="shared" si="7"/>
        <v>299.95233254459362</v>
      </c>
      <c r="AE143">
        <f t="shared" si="8"/>
        <v>-0.27317970026812366</v>
      </c>
    </row>
    <row r="144" spans="1:31" x14ac:dyDescent="0.2">
      <c r="A144">
        <v>1892.5</v>
      </c>
      <c r="B144">
        <v>0.300691230539129</v>
      </c>
      <c r="C144">
        <v>0.10596381859510499</v>
      </c>
      <c r="D144">
        <v>2.8245556004436598E-2</v>
      </c>
      <c r="E144">
        <v>-3.1214549973585502E-2</v>
      </c>
      <c r="F144">
        <v>-0.24127787330497799</v>
      </c>
      <c r="G144">
        <v>5.8797805455083799E-2</v>
      </c>
      <c r="H144">
        <v>0</v>
      </c>
      <c r="I144">
        <v>-9.8283554803482207E-2</v>
      </c>
      <c r="J144">
        <v>2.1560558218149201E-2</v>
      </c>
      <c r="K144">
        <v>7.6450712914333998E-3</v>
      </c>
      <c r="L144">
        <v>9.4937532038270999E-3</v>
      </c>
      <c r="M144">
        <v>0.21275810366490799</v>
      </c>
      <c r="N144">
        <v>-0.27249242327856399</v>
      </c>
      <c r="O144">
        <v>0.13420977536360601</v>
      </c>
      <c r="P144" s="1">
        <v>4.0076406398388601E-7</v>
      </c>
      <c r="Q144">
        <v>0.152128462785355</v>
      </c>
      <c r="R144">
        <v>0.37438031965409102</v>
      </c>
      <c r="S144">
        <v>-6.9077925293899597E-2</v>
      </c>
      <c r="U144">
        <v>294.8</v>
      </c>
      <c r="V144">
        <f t="shared" si="9"/>
        <v>0.32078415983038866</v>
      </c>
      <c r="W144">
        <f t="shared" si="6"/>
        <v>293.73164569562971</v>
      </c>
      <c r="Y144">
        <f t="shared" si="10"/>
        <v>0.43490060513867063</v>
      </c>
      <c r="Z144" s="3">
        <f t="shared" si="11"/>
        <v>0.42462088606391873</v>
      </c>
      <c r="AA144">
        <f t="shared" si="7"/>
        <v>300.38330941904513</v>
      </c>
      <c r="AE144">
        <f t="shared" si="8"/>
        <v>-0.27249242327856349</v>
      </c>
    </row>
    <row r="145" spans="1:31" x14ac:dyDescent="0.2">
      <c r="A145">
        <v>1893.5</v>
      </c>
      <c r="B145">
        <v>0.30632172123157198</v>
      </c>
      <c r="C145">
        <v>0.108111743564464</v>
      </c>
      <c r="D145">
        <v>2.8674336506882999E-2</v>
      </c>
      <c r="E145">
        <v>-3.1620767224066502E-2</v>
      </c>
      <c r="F145">
        <v>-0.243395995345946</v>
      </c>
      <c r="G145">
        <v>6.0268361027444498E-2</v>
      </c>
      <c r="H145">
        <v>0</v>
      </c>
      <c r="I145">
        <v>-9.9606487305344799E-2</v>
      </c>
      <c r="J145">
        <v>2.17813815288086E-2</v>
      </c>
      <c r="K145">
        <v>7.8097124644986998E-3</v>
      </c>
      <c r="L145">
        <v>2.5936770781952102E-2</v>
      </c>
      <c r="M145">
        <v>5.4553195951474898E-2</v>
      </c>
      <c r="N145">
        <v>-0.27501676257001201</v>
      </c>
      <c r="O145">
        <v>0.13678649560661901</v>
      </c>
      <c r="P145" s="1">
        <v>4.1553527254712402E-7</v>
      </c>
      <c r="Q145">
        <v>0.158344421983586</v>
      </c>
      <c r="R145">
        <v>0.23883438871701301</v>
      </c>
      <c r="S145">
        <v>-7.0015393312037502E-2</v>
      </c>
      <c r="U145">
        <v>294.7</v>
      </c>
      <c r="V145">
        <f t="shared" si="9"/>
        <v>0.31890651481097976</v>
      </c>
      <c r="W145">
        <f t="shared" si="6"/>
        <v>294.03063153664391</v>
      </c>
      <c r="Y145">
        <f t="shared" si="10"/>
        <v>0.44310780130291899</v>
      </c>
      <c r="Z145" s="3">
        <f t="shared" si="11"/>
        <v>0.43336118455359851</v>
      </c>
      <c r="AA145">
        <f t="shared" si="7"/>
        <v>300.85807337979236</v>
      </c>
      <c r="AE145">
        <f t="shared" si="8"/>
        <v>-0.27501676257001251</v>
      </c>
    </row>
    <row r="146" spans="1:31" x14ac:dyDescent="0.2">
      <c r="A146">
        <v>1894.5</v>
      </c>
      <c r="B146">
        <v>0.312021542559834</v>
      </c>
      <c r="C146">
        <v>0.109947853472666</v>
      </c>
      <c r="D146">
        <v>2.91864491748621E-2</v>
      </c>
      <c r="E146">
        <v>-3.4902142268710197E-2</v>
      </c>
      <c r="F146">
        <v>-0.25839703878063103</v>
      </c>
      <c r="G146">
        <v>6.3282419938744505E-2</v>
      </c>
      <c r="H146">
        <v>0</v>
      </c>
      <c r="I146">
        <v>-0.100928224701477</v>
      </c>
      <c r="J146">
        <v>2.2902314492264899E-2</v>
      </c>
      <c r="K146">
        <v>7.9507930169523001E-3</v>
      </c>
      <c r="L146">
        <v>4.5733914336639599E-2</v>
      </c>
      <c r="M146">
        <v>0.15181255911427699</v>
      </c>
      <c r="N146">
        <v>-0.29329918104934199</v>
      </c>
      <c r="O146">
        <v>0.13913473307513299</v>
      </c>
      <c r="P146" s="1">
        <v>4.3042760450657199E-7</v>
      </c>
      <c r="Q146">
        <v>0.151064397332109</v>
      </c>
      <c r="R146">
        <v>0.34861087078302599</v>
      </c>
      <c r="S146">
        <v>-7.00751171922607E-2</v>
      </c>
      <c r="U146">
        <v>294.8</v>
      </c>
      <c r="V146">
        <f t="shared" si="9"/>
        <v>0.32078415983038866</v>
      </c>
      <c r="W146">
        <f t="shared" si="6"/>
        <v>294.33360889745035</v>
      </c>
      <c r="Y146">
        <f t="shared" si="10"/>
        <v>0.45115584520736207</v>
      </c>
      <c r="Z146" s="3">
        <f t="shared" si="11"/>
        <v>0.4443635783814513</v>
      </c>
      <c r="AA146">
        <f t="shared" si="7"/>
        <v>301.4567789806211</v>
      </c>
      <c r="AE146">
        <f t="shared" si="8"/>
        <v>-0.29329918104934122</v>
      </c>
    </row>
    <row r="147" spans="1:31" x14ac:dyDescent="0.2">
      <c r="A147">
        <v>1895.5</v>
      </c>
      <c r="B147">
        <v>0.31723108050061299</v>
      </c>
      <c r="C147">
        <v>0.111519664491059</v>
      </c>
      <c r="D147">
        <v>2.97238710319448E-2</v>
      </c>
      <c r="E147">
        <v>-3.6052553226256202E-2</v>
      </c>
      <c r="F147">
        <v>-0.26377462017589098</v>
      </c>
      <c r="G147">
        <v>6.39217144282858E-2</v>
      </c>
      <c r="H147">
        <v>0</v>
      </c>
      <c r="I147">
        <v>-0.102248752525691</v>
      </c>
      <c r="J147">
        <v>2.31972097371002E-2</v>
      </c>
      <c r="K147">
        <v>8.0718148405821994E-3</v>
      </c>
      <c r="L147">
        <v>2.69976106257021E-2</v>
      </c>
      <c r="M147">
        <v>-9.4271727237387207E-2</v>
      </c>
      <c r="N147">
        <v>-0.29982717340214698</v>
      </c>
      <c r="O147">
        <v>0.14124399082605499</v>
      </c>
      <c r="P147" s="1">
        <v>4.5530305084832002E-7</v>
      </c>
      <c r="Q147">
        <v>0.15158988440479701</v>
      </c>
      <c r="R147">
        <v>8.4315767793112603E-2</v>
      </c>
      <c r="S147">
        <v>-7.0979727948008803E-2</v>
      </c>
      <c r="U147">
        <v>294.8</v>
      </c>
      <c r="V147">
        <f t="shared" si="9"/>
        <v>0.32078415983038866</v>
      </c>
      <c r="W147">
        <f t="shared" si="6"/>
        <v>294.61079801772308</v>
      </c>
      <c r="Y147">
        <f t="shared" si="10"/>
        <v>0.45847461602361678</v>
      </c>
      <c r="Z147" s="3">
        <f t="shared" si="11"/>
        <v>0.45141705780694485</v>
      </c>
      <c r="AA147">
        <f t="shared" si="7"/>
        <v>301.84122727663237</v>
      </c>
      <c r="AE147">
        <f t="shared" si="8"/>
        <v>-0.29982717340214721</v>
      </c>
    </row>
    <row r="148" spans="1:31" x14ac:dyDescent="0.2">
      <c r="A148">
        <v>1896.5</v>
      </c>
      <c r="B148">
        <v>0.322398101268282</v>
      </c>
      <c r="C148">
        <v>0.112403192027351</v>
      </c>
      <c r="D148">
        <v>3.0138798725542499E-2</v>
      </c>
      <c r="E148">
        <v>-3.78334756615867E-2</v>
      </c>
      <c r="F148">
        <v>-0.26278206500329998</v>
      </c>
      <c r="G148">
        <v>6.2501429101551695E-2</v>
      </c>
      <c r="H148">
        <v>0</v>
      </c>
      <c r="I148">
        <v>-0.10356803983383001</v>
      </c>
      <c r="J148">
        <v>2.2376237140217001E-2</v>
      </c>
      <c r="K148">
        <v>8.1399594399348997E-3</v>
      </c>
      <c r="L148">
        <v>1.3814485163271E-3</v>
      </c>
      <c r="M148">
        <v>8.6045484362107599E-2</v>
      </c>
      <c r="N148">
        <v>-0.30061554066488599</v>
      </c>
      <c r="O148">
        <v>0.142542461199093</v>
      </c>
      <c r="P148" s="1">
        <v>4.7044619940502401E-7</v>
      </c>
      <c r="Q148">
        <v>0.15377460765036099</v>
      </c>
      <c r="R148">
        <v>0.241201540528796</v>
      </c>
      <c r="S148">
        <v>-7.3051843253678597E-2</v>
      </c>
      <c r="U148">
        <v>294.89999999999998</v>
      </c>
      <c r="V148">
        <f t="shared" si="9"/>
        <v>0.32266116803614153</v>
      </c>
      <c r="W148">
        <f t="shared" si="6"/>
        <v>294.88598273962492</v>
      </c>
      <c r="Y148">
        <f t="shared" si="10"/>
        <v>0.46494009202117548</v>
      </c>
      <c r="Z148" s="3">
        <f t="shared" si="11"/>
        <v>0.45439014831524843</v>
      </c>
      <c r="AA148">
        <f t="shared" si="7"/>
        <v>302.00342174825806</v>
      </c>
      <c r="AE148">
        <f t="shared" si="8"/>
        <v>-0.30061554066488666</v>
      </c>
    </row>
    <row r="149" spans="1:31" x14ac:dyDescent="0.2">
      <c r="A149">
        <v>1897.5</v>
      </c>
      <c r="B149">
        <v>0.32746794997478201</v>
      </c>
      <c r="C149">
        <v>0.113261944191374</v>
      </c>
      <c r="D149">
        <v>3.0568066680752501E-2</v>
      </c>
      <c r="E149">
        <v>-4.0284992937736401E-2</v>
      </c>
      <c r="F149">
        <v>-0.278154783065856</v>
      </c>
      <c r="G149">
        <v>6.5662915678285902E-2</v>
      </c>
      <c r="H149">
        <v>0</v>
      </c>
      <c r="I149">
        <v>-0.104886061329395</v>
      </c>
      <c r="J149">
        <v>2.3790962686379102E-2</v>
      </c>
      <c r="K149">
        <v>8.2062631980871995E-3</v>
      </c>
      <c r="L149">
        <v>-1.50615690617978E-2</v>
      </c>
      <c r="M149">
        <v>0.17314493364613801</v>
      </c>
      <c r="N149">
        <v>-0.31843977600359302</v>
      </c>
      <c r="O149">
        <v>0.14383049659116801</v>
      </c>
      <c r="P149" s="1">
        <v>4.85719041184513E-7</v>
      </c>
      <c r="Q149">
        <v>0.145632750795714</v>
      </c>
      <c r="R149">
        <v>0.303716115380054</v>
      </c>
      <c r="S149">
        <v>-7.2888835444928801E-2</v>
      </c>
      <c r="U149">
        <v>294.89999999999998</v>
      </c>
      <c r="V149">
        <f t="shared" si="9"/>
        <v>0.32266116803614153</v>
      </c>
      <c r="W149">
        <f t="shared" si="6"/>
        <v>295.15624211338155</v>
      </c>
      <c r="Y149">
        <f t="shared" si="10"/>
        <v>0.47129796084690856</v>
      </c>
      <c r="Z149" s="3">
        <f t="shared" si="11"/>
        <v>0.46407252679930694</v>
      </c>
      <c r="AA149">
        <f t="shared" si="7"/>
        <v>302.53224016895132</v>
      </c>
      <c r="AE149">
        <f t="shared" si="8"/>
        <v>-0.31843977600359241</v>
      </c>
    </row>
    <row r="150" spans="1:31" x14ac:dyDescent="0.2">
      <c r="A150">
        <v>1898.5</v>
      </c>
      <c r="B150">
        <v>0.33303645383567398</v>
      </c>
      <c r="C150">
        <v>0.114825525944834</v>
      </c>
      <c r="D150">
        <v>3.0996386736406201E-2</v>
      </c>
      <c r="E150">
        <v>-4.2797903201092197E-2</v>
      </c>
      <c r="F150">
        <v>-0.28662783045542101</v>
      </c>
      <c r="G150">
        <v>6.6763067879997695E-2</v>
      </c>
      <c r="H150">
        <v>0</v>
      </c>
      <c r="I150">
        <v>-0.106202822957342</v>
      </c>
      <c r="J150">
        <v>2.4190361796394898E-2</v>
      </c>
      <c r="K150">
        <v>8.3270703463583992E-3</v>
      </c>
      <c r="L150">
        <v>-2.2768258514922798E-2</v>
      </c>
      <c r="M150">
        <v>0.19534948033872601</v>
      </c>
      <c r="N150">
        <v>-0.32942573365651301</v>
      </c>
      <c r="O150">
        <v>0.14582242366454101</v>
      </c>
      <c r="P150" s="1">
        <v>5.10983300742134E-7</v>
      </c>
      <c r="Q150">
        <v>0.14251082090910999</v>
      </c>
      <c r="R150">
        <v>0.31509204273291302</v>
      </c>
      <c r="S150">
        <v>-7.3685390814589094E-2</v>
      </c>
      <c r="U150">
        <v>294.89999999999998</v>
      </c>
      <c r="V150">
        <f t="shared" si="9"/>
        <v>0.32266116803614153</v>
      </c>
      <c r="W150">
        <f t="shared" si="6"/>
        <v>295.45336882980223</v>
      </c>
      <c r="Y150">
        <f t="shared" si="10"/>
        <v>0.47885836651691421</v>
      </c>
      <c r="Z150" s="3">
        <f t="shared" si="11"/>
        <v>0.47193655456562389</v>
      </c>
      <c r="AA150">
        <f t="shared" si="7"/>
        <v>302.96242787352622</v>
      </c>
      <c r="AE150">
        <f t="shared" si="8"/>
        <v>-0.32942573365651318</v>
      </c>
    </row>
    <row r="151" spans="1:31" x14ac:dyDescent="0.2">
      <c r="A151">
        <v>1899.5</v>
      </c>
      <c r="B151">
        <v>0.339305875801726</v>
      </c>
      <c r="C151">
        <v>0.116681995519999</v>
      </c>
      <c r="D151">
        <v>3.1543316110345797E-2</v>
      </c>
      <c r="E151">
        <v>-4.8790449479014397E-2</v>
      </c>
      <c r="F151">
        <v>-0.30727572935702202</v>
      </c>
      <c r="G151">
        <v>6.7893834585618498E-2</v>
      </c>
      <c r="H151">
        <v>0</v>
      </c>
      <c r="I151">
        <v>-0.10751823759352</v>
      </c>
      <c r="J151">
        <v>2.5132122561610501E-2</v>
      </c>
      <c r="K151">
        <v>8.4707860388393997E-3</v>
      </c>
      <c r="L151">
        <v>-3.1941403046172802E-2</v>
      </c>
      <c r="M151">
        <v>0.22363261351428099</v>
      </c>
      <c r="N151">
        <v>-0.35606617883603697</v>
      </c>
      <c r="O151">
        <v>0.14822583815404999</v>
      </c>
      <c r="P151" s="1">
        <v>5.2652370534528501E-7</v>
      </c>
      <c r="Q151">
        <v>0.12544404071228701</v>
      </c>
      <c r="R151">
        <v>0.31713525118039598</v>
      </c>
      <c r="S151">
        <v>-7.3915328993070906E-2</v>
      </c>
      <c r="U151">
        <v>295.3</v>
      </c>
      <c r="V151">
        <f t="shared" si="9"/>
        <v>0.33016284135227636</v>
      </c>
      <c r="W151">
        <f t="shared" si="6"/>
        <v>295.78825341692362</v>
      </c>
      <c r="Y151">
        <f t="shared" si="10"/>
        <v>0.4875311874320708</v>
      </c>
      <c r="Z151" s="3">
        <f t="shared" si="11"/>
        <v>0.48151021954832457</v>
      </c>
      <c r="AA151">
        <f t="shared" si="7"/>
        <v>303.48696397921771</v>
      </c>
      <c r="AE151">
        <f t="shared" si="8"/>
        <v>-0.35606617883603642</v>
      </c>
    </row>
    <row r="152" spans="1:31" x14ac:dyDescent="0.2">
      <c r="A152">
        <v>1900.5</v>
      </c>
      <c r="B152">
        <v>0.34610802351387598</v>
      </c>
      <c r="C152">
        <v>0.118538607664537</v>
      </c>
      <c r="D152">
        <v>3.2093536125026897E-2</v>
      </c>
      <c r="E152">
        <v>-5.18133510845896E-2</v>
      </c>
      <c r="F152">
        <v>-0.31456373874495602</v>
      </c>
      <c r="G152">
        <v>6.8506357132514795E-2</v>
      </c>
      <c r="H152">
        <v>0</v>
      </c>
      <c r="I152">
        <v>-0.109089272491213</v>
      </c>
      <c r="J152">
        <v>2.5177901838542599E-2</v>
      </c>
      <c r="K152">
        <v>8.6148076437064999E-3</v>
      </c>
      <c r="L152">
        <v>-3.7245602264922802E-2</v>
      </c>
      <c r="M152">
        <v>0.17872016745418101</v>
      </c>
      <c r="N152">
        <v>-0.36637708982954598</v>
      </c>
      <c r="O152">
        <v>0.150632695841388</v>
      </c>
      <c r="P152" s="1">
        <v>5.5205182427204096E-7</v>
      </c>
      <c r="Q152">
        <v>0.123573423649269</v>
      </c>
      <c r="R152">
        <v>0.26504798883852798</v>
      </c>
      <c r="S152">
        <v>-7.5296563008963993E-2</v>
      </c>
      <c r="U152">
        <v>295.7</v>
      </c>
      <c r="V152">
        <f t="shared" si="9"/>
        <v>0.33765436011598027</v>
      </c>
      <c r="W152">
        <f t="shared" si="6"/>
        <v>296.15202318249737</v>
      </c>
      <c r="Y152">
        <f t="shared" si="10"/>
        <v>0.49674016730343989</v>
      </c>
      <c r="Z152" s="3">
        <f t="shared" si="11"/>
        <v>0.48995051347881502</v>
      </c>
      <c r="AA152">
        <f t="shared" si="7"/>
        <v>303.95015648075787</v>
      </c>
      <c r="AE152">
        <f t="shared" si="8"/>
        <v>-0.36637708982954564</v>
      </c>
    </row>
    <row r="153" spans="1:31" x14ac:dyDescent="0.2">
      <c r="A153">
        <v>1901.5</v>
      </c>
      <c r="B153">
        <v>0.35210432409706699</v>
      </c>
      <c r="C153">
        <v>0.120378450100792</v>
      </c>
      <c r="D153">
        <v>3.2690469846302701E-2</v>
      </c>
      <c r="E153">
        <v>-5.3081686425755101E-2</v>
      </c>
      <c r="F153">
        <v>-0.319187580950131</v>
      </c>
      <c r="G153">
        <v>6.9908907121147806E-2</v>
      </c>
      <c r="H153">
        <v>0</v>
      </c>
      <c r="I153">
        <v>-0.110916009453462</v>
      </c>
      <c r="J153">
        <v>2.5504652656532002E-2</v>
      </c>
      <c r="K153">
        <v>8.7578310081559002E-3</v>
      </c>
      <c r="L153">
        <v>-4.6293942108672798E-2</v>
      </c>
      <c r="M153">
        <v>0.21663124331307099</v>
      </c>
      <c r="N153">
        <v>-0.372269267375886</v>
      </c>
      <c r="O153">
        <v>0.15306948857518901</v>
      </c>
      <c r="P153" s="1">
        <v>5.6862809424438404E-7</v>
      </c>
      <c r="Q153">
        <v>0.12615992662874201</v>
      </c>
      <c r="R153">
        <v>0.29649722783314097</v>
      </c>
      <c r="S153">
        <v>-7.6653525788775004E-2</v>
      </c>
      <c r="U153">
        <v>296.2</v>
      </c>
      <c r="V153">
        <f t="shared" si="9"/>
        <v>0.34700452054514486</v>
      </c>
      <c r="W153">
        <f t="shared" si="6"/>
        <v>296.47306831746772</v>
      </c>
      <c r="Y153">
        <f t="shared" si="10"/>
        <v>0.50517324404416175</v>
      </c>
      <c r="Z153" s="3">
        <f t="shared" si="11"/>
        <v>0.49842919400462965</v>
      </c>
      <c r="AA153">
        <f t="shared" si="7"/>
        <v>304.41616736184443</v>
      </c>
      <c r="AE153">
        <f t="shared" si="8"/>
        <v>-0.37226926737588611</v>
      </c>
    </row>
    <row r="154" spans="1:31" x14ac:dyDescent="0.2">
      <c r="A154">
        <v>1902.5</v>
      </c>
      <c r="B154">
        <v>0.35783503671116801</v>
      </c>
      <c r="C154">
        <v>0.12259874981897299</v>
      </c>
      <c r="D154">
        <v>3.3607792127315503E-2</v>
      </c>
      <c r="E154">
        <v>-5.49721313735618E-2</v>
      </c>
      <c r="F154">
        <v>-0.32231835085221</v>
      </c>
      <c r="G154">
        <v>7.0658854143509905E-2</v>
      </c>
      <c r="H154">
        <v>0</v>
      </c>
      <c r="I154">
        <v>-0.112741845651695</v>
      </c>
      <c r="J154">
        <v>2.5414048362284201E-2</v>
      </c>
      <c r="K154">
        <v>8.9308633043023999E-3</v>
      </c>
      <c r="L154">
        <v>-4.41410612492978E-2</v>
      </c>
      <c r="M154">
        <v>0.13251101461794601</v>
      </c>
      <c r="N154">
        <v>-0.37729048222577199</v>
      </c>
      <c r="O154">
        <v>0.156207396826402</v>
      </c>
      <c r="P154" s="1">
        <v>8.5488011337771902E-7</v>
      </c>
      <c r="Q154">
        <v>0.12901387147019899</v>
      </c>
      <c r="R154">
        <v>0.217383824838847</v>
      </c>
      <c r="S154">
        <v>-7.8396933985109302E-2</v>
      </c>
      <c r="U154">
        <v>296.60000000000002</v>
      </c>
      <c r="V154">
        <f t="shared" si="9"/>
        <v>0.35447329177531728</v>
      </c>
      <c r="W154">
        <f t="shared" si="6"/>
        <v>296.78021897513452</v>
      </c>
      <c r="Y154">
        <f t="shared" si="10"/>
        <v>0.51404157865745648</v>
      </c>
      <c r="Z154" s="3">
        <f t="shared" si="11"/>
        <v>0.50630435369597138</v>
      </c>
      <c r="AA154">
        <f t="shared" si="7"/>
        <v>304.84964710941239</v>
      </c>
      <c r="AE154">
        <f t="shared" si="8"/>
        <v>-0.37729048222577177</v>
      </c>
    </row>
    <row r="155" spans="1:31" x14ac:dyDescent="0.2">
      <c r="A155">
        <v>1903.5</v>
      </c>
      <c r="B155">
        <v>0.36376301850769399</v>
      </c>
      <c r="C155">
        <v>0.124881475922841</v>
      </c>
      <c r="D155">
        <v>3.4693643919261101E-2</v>
      </c>
      <c r="E155">
        <v>-5.9637995244169101E-2</v>
      </c>
      <c r="F155">
        <v>-0.33373825021199299</v>
      </c>
      <c r="G155">
        <v>7.1306679822776206E-2</v>
      </c>
      <c r="H155">
        <v>0</v>
      </c>
      <c r="I155">
        <v>-0.114567093753625</v>
      </c>
      <c r="J155">
        <v>2.5732669649449799E-2</v>
      </c>
      <c r="K155">
        <v>9.1092383334372001E-3</v>
      </c>
      <c r="L155">
        <v>-2.5825973358672798E-2</v>
      </c>
      <c r="M155">
        <v>-0.19817837447155101</v>
      </c>
      <c r="N155">
        <v>-0.39337624545616201</v>
      </c>
      <c r="O155">
        <v>0.159576304496269</v>
      </c>
      <c r="P155" s="1">
        <v>1.1846541666464901E-6</v>
      </c>
      <c r="Q155">
        <v>0.121544571599838</v>
      </c>
      <c r="R155">
        <v>-0.10245977623038501</v>
      </c>
      <c r="S155">
        <v>-7.9725185770738602E-2</v>
      </c>
      <c r="U155">
        <v>297</v>
      </c>
      <c r="V155">
        <f t="shared" si="9"/>
        <v>0.36193199727302883</v>
      </c>
      <c r="W155">
        <f t="shared" si="6"/>
        <v>297.0982775622449</v>
      </c>
      <c r="Y155">
        <f t="shared" si="10"/>
        <v>0.52333813834979603</v>
      </c>
      <c r="Z155" s="3">
        <f t="shared" si="11"/>
        <v>0.51492081705600101</v>
      </c>
      <c r="AA155">
        <f t="shared" si="7"/>
        <v>305.32463831001974</v>
      </c>
      <c r="AE155">
        <f t="shared" si="8"/>
        <v>-0.39337624545616212</v>
      </c>
    </row>
    <row r="156" spans="1:31" x14ac:dyDescent="0.2">
      <c r="A156">
        <v>1904.5</v>
      </c>
      <c r="B156">
        <v>0.36914919961422099</v>
      </c>
      <c r="C156">
        <v>0.12787612541228299</v>
      </c>
      <c r="D156">
        <v>3.5709270360549702E-2</v>
      </c>
      <c r="E156">
        <v>-6.2543553802560103E-2</v>
      </c>
      <c r="F156">
        <v>-0.34772592051068901</v>
      </c>
      <c r="G156">
        <v>7.5199781873242805E-2</v>
      </c>
      <c r="H156">
        <v>0</v>
      </c>
      <c r="I156">
        <v>-0.116392173601085</v>
      </c>
      <c r="J156">
        <v>2.6728326294903602E-2</v>
      </c>
      <c r="K156">
        <v>9.3438234217921995E-3</v>
      </c>
      <c r="L156">
        <v>7.4656770319521002E-3</v>
      </c>
      <c r="M156">
        <v>2.1179427096225199E-2</v>
      </c>
      <c r="N156">
        <v>-0.41026947431324901</v>
      </c>
      <c r="O156">
        <v>0.163586929002625</v>
      </c>
      <c r="P156" s="1">
        <v>1.53322979285128E-6</v>
      </c>
      <c r="Q156">
        <v>0.11734641229245001</v>
      </c>
      <c r="R156">
        <v>0.14599151642062799</v>
      </c>
      <c r="S156">
        <v>-8.0320023884389302E-2</v>
      </c>
      <c r="U156">
        <v>297.5</v>
      </c>
      <c r="V156">
        <f t="shared" si="9"/>
        <v>0.37124126547577774</v>
      </c>
      <c r="W156">
        <f t="shared" si="6"/>
        <v>297.38756204415103</v>
      </c>
      <c r="Y156">
        <f t="shared" si="10"/>
        <v>0.5327345953870537</v>
      </c>
      <c r="Z156" s="3">
        <f t="shared" si="11"/>
        <v>0.52761588660570014</v>
      </c>
      <c r="AA156">
        <f t="shared" si="7"/>
        <v>306.02581559459782</v>
      </c>
      <c r="AE156">
        <f t="shared" si="8"/>
        <v>-0.41026947431324912</v>
      </c>
    </row>
    <row r="157" spans="1:31" x14ac:dyDescent="0.2">
      <c r="A157">
        <v>1905.5</v>
      </c>
      <c r="B157">
        <v>0.37517726805108598</v>
      </c>
      <c r="C157">
        <v>0.13086002105200001</v>
      </c>
      <c r="D157">
        <v>3.6713160251093099E-2</v>
      </c>
      <c r="E157">
        <v>-6.6964988827309696E-2</v>
      </c>
      <c r="F157">
        <v>-0.36340604113409902</v>
      </c>
      <c r="G157">
        <v>7.7925231604110204E-2</v>
      </c>
      <c r="H157">
        <v>0</v>
      </c>
      <c r="I157">
        <v>-0.11821752274104</v>
      </c>
      <c r="J157">
        <v>2.77297785311931E-2</v>
      </c>
      <c r="K157">
        <v>9.5783306903296991E-3</v>
      </c>
      <c r="L157">
        <v>-7.2144743352352998E-3</v>
      </c>
      <c r="M157">
        <v>0.15132702959545299</v>
      </c>
      <c r="N157">
        <v>-0.43037102996140902</v>
      </c>
      <c r="O157">
        <v>0.16757514123310799</v>
      </c>
      <c r="P157" s="1">
        <v>1.9599300146182501E-6</v>
      </c>
      <c r="Q157">
        <v>0.10939719740737699</v>
      </c>
      <c r="R157">
        <v>0.25350975266759501</v>
      </c>
      <c r="S157">
        <v>-8.0909413519518095E-2</v>
      </c>
      <c r="U157">
        <v>298</v>
      </c>
      <c r="V157">
        <f t="shared" si="9"/>
        <v>0.3805349009789758</v>
      </c>
      <c r="W157">
        <f t="shared" si="6"/>
        <v>297.71165546558603</v>
      </c>
      <c r="Y157">
        <f t="shared" si="10"/>
        <v>0.54275044935417904</v>
      </c>
      <c r="Z157" s="3">
        <f t="shared" si="11"/>
        <v>0.53976822736878671</v>
      </c>
      <c r="AA157">
        <f t="shared" si="7"/>
        <v>306.69852515979613</v>
      </c>
      <c r="AE157">
        <f t="shared" si="8"/>
        <v>-0.43037102996140875</v>
      </c>
    </row>
    <row r="158" spans="1:31" x14ac:dyDescent="0.2">
      <c r="A158">
        <v>1906.5</v>
      </c>
      <c r="B158">
        <v>0.38190107035857701</v>
      </c>
      <c r="C158">
        <v>0.134012551802068</v>
      </c>
      <c r="D158">
        <v>3.77229506041553E-2</v>
      </c>
      <c r="E158">
        <v>-7.1403476220588999E-2</v>
      </c>
      <c r="F158">
        <v>-0.37537297306991801</v>
      </c>
      <c r="G158">
        <v>7.9631529698360001E-2</v>
      </c>
      <c r="H158">
        <v>0</v>
      </c>
      <c r="I158">
        <v>-0.120043470534102</v>
      </c>
      <c r="J158">
        <v>2.82721252044262E-2</v>
      </c>
      <c r="K158">
        <v>9.8269099286266998E-3</v>
      </c>
      <c r="L158">
        <v>1.67948274225771E-2</v>
      </c>
      <c r="M158">
        <v>0.18246522417720301</v>
      </c>
      <c r="N158">
        <v>-0.44677644929050703</v>
      </c>
      <c r="O158">
        <v>0.171738034262961</v>
      </c>
      <c r="P158" s="1">
        <v>2.53185673725577E-6</v>
      </c>
      <c r="Q158">
        <v>0.104549749628342</v>
      </c>
      <c r="R158">
        <v>0.30380980122812201</v>
      </c>
      <c r="S158">
        <v>-8.1944435401049495E-2</v>
      </c>
      <c r="U158">
        <v>298.39999999999998</v>
      </c>
      <c r="V158">
        <f t="shared" si="9"/>
        <v>0.38795858906945213</v>
      </c>
      <c r="W158">
        <f t="shared" si="6"/>
        <v>298.0735710774631</v>
      </c>
      <c r="Y158">
        <f t="shared" si="10"/>
        <v>0.55363657276480038</v>
      </c>
      <c r="Z158" s="3">
        <f t="shared" si="11"/>
        <v>0.55132619891884849</v>
      </c>
      <c r="AA158">
        <f t="shared" si="7"/>
        <v>307.33970458727913</v>
      </c>
      <c r="AE158">
        <f t="shared" si="8"/>
        <v>-0.44677644929050703</v>
      </c>
    </row>
    <row r="159" spans="1:31" x14ac:dyDescent="0.2">
      <c r="A159">
        <v>1907.5</v>
      </c>
      <c r="B159">
        <v>0.38977979136611202</v>
      </c>
      <c r="C159">
        <v>0.13738423745682199</v>
      </c>
      <c r="D159">
        <v>3.8806802052685101E-2</v>
      </c>
      <c r="E159">
        <v>-8.0519390990061501E-2</v>
      </c>
      <c r="F159">
        <v>-0.40925866005551798</v>
      </c>
      <c r="G159">
        <v>8.3932055023532307E-2</v>
      </c>
      <c r="H159">
        <v>0</v>
      </c>
      <c r="I159">
        <v>-0.121870450083258</v>
      </c>
      <c r="J159">
        <v>3.0491308150204999E-2</v>
      </c>
      <c r="K159">
        <v>1.0093717788314799E-2</v>
      </c>
      <c r="L159">
        <v>3.8151399225771002E-3</v>
      </c>
      <c r="M159">
        <v>-0.169953800888095</v>
      </c>
      <c r="N159">
        <v>-0.48977805104557998</v>
      </c>
      <c r="O159">
        <v>0.176194346642883</v>
      </c>
      <c r="P159" s="1">
        <v>3.3071333756999399E-6</v>
      </c>
      <c r="Q159">
        <v>7.8842717842209101E-2</v>
      </c>
      <c r="R159">
        <v>-8.7295943123309003E-2</v>
      </c>
      <c r="S159">
        <v>-8.1285424144738896E-2</v>
      </c>
      <c r="U159">
        <v>298.8</v>
      </c>
      <c r="V159">
        <f t="shared" si="9"/>
        <v>0.39537233249775738</v>
      </c>
      <c r="W159">
        <f t="shared" si="6"/>
        <v>298.49821123401614</v>
      </c>
      <c r="Y159">
        <f t="shared" si="10"/>
        <v>0.56597083087561906</v>
      </c>
      <c r="Z159" s="3">
        <f t="shared" si="11"/>
        <v>0.5686207688877889</v>
      </c>
      <c r="AA159">
        <f t="shared" si="7"/>
        <v>308.30162665485403</v>
      </c>
      <c r="AE159">
        <f t="shared" si="8"/>
        <v>-0.48977805104557948</v>
      </c>
    </row>
    <row r="160" spans="1:31" x14ac:dyDescent="0.2">
      <c r="A160">
        <v>1908.5</v>
      </c>
      <c r="B160">
        <v>0.39735338808394999</v>
      </c>
      <c r="C160">
        <v>0.14011526830111701</v>
      </c>
      <c r="D160">
        <v>4.0030865547967601E-2</v>
      </c>
      <c r="E160">
        <v>-7.7621656942759604E-2</v>
      </c>
      <c r="F160">
        <v>-0.40156894681111199</v>
      </c>
      <c r="G160">
        <v>8.6306310824238702E-2</v>
      </c>
      <c r="H160">
        <v>0</v>
      </c>
      <c r="I160">
        <v>-0.12369883663607301</v>
      </c>
      <c r="J160">
        <v>3.0179362863298E-2</v>
      </c>
      <c r="K160">
        <v>1.0310645828421E-2</v>
      </c>
      <c r="L160">
        <v>1.1927444610077101E-2</v>
      </c>
      <c r="M160">
        <v>-9.83927509130786E-2</v>
      </c>
      <c r="N160">
        <v>-0.47919060375387101</v>
      </c>
      <c r="O160">
        <v>0.18015044003143199</v>
      </c>
      <c r="P160" s="1">
        <v>4.3061823480683499E-6</v>
      </c>
      <c r="Q160">
        <v>0.101410707241395</v>
      </c>
      <c r="R160">
        <v>1.49454009383936E-2</v>
      </c>
      <c r="S160">
        <v>-8.3208827944354594E-2</v>
      </c>
      <c r="U160">
        <v>299.3</v>
      </c>
      <c r="V160">
        <f t="shared" si="9"/>
        <v>0.40462556762712154</v>
      </c>
      <c r="W160">
        <f t="shared" si="6"/>
        <v>298.90697632809832</v>
      </c>
      <c r="Y160">
        <f t="shared" si="10"/>
        <v>0.57749952193303467</v>
      </c>
      <c r="Z160" s="3">
        <f t="shared" si="11"/>
        <v>0.58060131099526735</v>
      </c>
      <c r="AA160">
        <f t="shared" si="7"/>
        <v>308.96974768594055</v>
      </c>
      <c r="AE160">
        <f t="shared" si="8"/>
        <v>-0.47919060375387157</v>
      </c>
    </row>
    <row r="161" spans="1:31" x14ac:dyDescent="0.2">
      <c r="A161">
        <v>1909.5</v>
      </c>
      <c r="B161">
        <v>0.40488035329397698</v>
      </c>
      <c r="C161">
        <v>0.14304994957455899</v>
      </c>
      <c r="D161">
        <v>4.1267618710387997E-2</v>
      </c>
      <c r="E161">
        <v>-8.1350037503413297E-2</v>
      </c>
      <c r="F161">
        <v>-0.41049938870534403</v>
      </c>
      <c r="G161">
        <v>8.7889093797526893E-2</v>
      </c>
      <c r="H161">
        <v>0</v>
      </c>
      <c r="I161">
        <v>-0.12552903740632701</v>
      </c>
      <c r="J161">
        <v>3.0520110771363799E-2</v>
      </c>
      <c r="K161">
        <v>1.0544450035158999E-2</v>
      </c>
      <c r="L161">
        <v>-4.9211882024227998E-3</v>
      </c>
      <c r="M161">
        <v>0.16108324972881</v>
      </c>
      <c r="N161">
        <v>-0.49184942620875799</v>
      </c>
      <c r="O161">
        <v>0.18432253281975899</v>
      </c>
      <c r="P161" s="1">
        <v>4.9645348114621097E-6</v>
      </c>
      <c r="Q161">
        <v>0.10077807710270099</v>
      </c>
      <c r="R161">
        <v>0.25694013862908799</v>
      </c>
      <c r="S161">
        <v>-8.44644765998043E-2</v>
      </c>
      <c r="U161">
        <v>299.7</v>
      </c>
      <c r="V161">
        <f t="shared" si="9"/>
        <v>0.41201703268790979</v>
      </c>
      <c r="W161">
        <f t="shared" si="6"/>
        <v>299.31377921280256</v>
      </c>
      <c r="Y161">
        <f t="shared" si="10"/>
        <v>0.58919792157892392</v>
      </c>
      <c r="Z161" s="3">
        <f t="shared" si="11"/>
        <v>0.59262750331145808</v>
      </c>
      <c r="AA161">
        <f t="shared" si="7"/>
        <v>309.64187067667751</v>
      </c>
      <c r="AE161">
        <f t="shared" si="8"/>
        <v>-0.49184942620875732</v>
      </c>
    </row>
    <row r="162" spans="1:31" x14ac:dyDescent="0.2">
      <c r="A162">
        <v>1910.5</v>
      </c>
      <c r="B162">
        <v>0.41282003108151899</v>
      </c>
      <c r="C162">
        <v>0.14601656613209499</v>
      </c>
      <c r="D162">
        <v>4.2592749613476401E-2</v>
      </c>
      <c r="E162">
        <v>-8.6763707467266707E-2</v>
      </c>
      <c r="F162">
        <v>-0.43053468892614</v>
      </c>
      <c r="G162">
        <v>9.1298390553676195E-2</v>
      </c>
      <c r="H162">
        <v>0</v>
      </c>
      <c r="I162">
        <v>-0.12672127351301901</v>
      </c>
      <c r="J162">
        <v>3.1826727336566399E-2</v>
      </c>
      <c r="K162">
        <v>1.07815817099559E-2</v>
      </c>
      <c r="L162">
        <v>-1.7354855194610299E-2</v>
      </c>
      <c r="M162">
        <v>0.221016542841942</v>
      </c>
      <c r="N162">
        <v>-0.51729839639340702</v>
      </c>
      <c r="O162">
        <v>0.188615740066467</v>
      </c>
      <c r="P162" s="1">
        <v>6.4243208948371204E-6</v>
      </c>
      <c r="Q162">
        <v>9.13228008417582E-2</v>
      </c>
      <c r="R162">
        <v>0.29498448848908998</v>
      </c>
      <c r="S162">
        <v>-8.4112964466496895E-2</v>
      </c>
      <c r="U162">
        <v>300.10000000000002</v>
      </c>
      <c r="V162">
        <f t="shared" si="9"/>
        <v>0.41939863917283304</v>
      </c>
      <c r="W162">
        <f t="shared" si="6"/>
        <v>299.74348761870567</v>
      </c>
      <c r="Y162">
        <f t="shared" si="10"/>
        <v>0.60142934682709037</v>
      </c>
      <c r="Z162" s="3">
        <f t="shared" si="11"/>
        <v>0.60862119723516472</v>
      </c>
      <c r="AA162">
        <f t="shared" si="7"/>
        <v>310.53799619976132</v>
      </c>
      <c r="AE162">
        <f t="shared" si="8"/>
        <v>-0.51729839639340669</v>
      </c>
    </row>
    <row r="163" spans="1:31" x14ac:dyDescent="0.2">
      <c r="A163">
        <v>1911.5</v>
      </c>
      <c r="B163">
        <v>0.42095115241383102</v>
      </c>
      <c r="C163">
        <v>0.14858337999878601</v>
      </c>
      <c r="D163">
        <v>4.4071171314050799E-2</v>
      </c>
      <c r="E163">
        <v>-8.5969461321827895E-2</v>
      </c>
      <c r="F163">
        <v>-0.42391990898156501</v>
      </c>
      <c r="G163">
        <v>9.1941160636876101E-2</v>
      </c>
      <c r="H163">
        <v>0</v>
      </c>
      <c r="I163">
        <v>-0.12727590905890199</v>
      </c>
      <c r="J163">
        <v>3.1351619650667399E-2</v>
      </c>
      <c r="K163">
        <v>1.09874754366275E-2</v>
      </c>
      <c r="L163">
        <v>-3.5326730194610301E-2</v>
      </c>
      <c r="M163">
        <v>0.17920674233380299</v>
      </c>
      <c r="N163">
        <v>-0.50988937030339299</v>
      </c>
      <c r="O163">
        <v>0.19267238120979099</v>
      </c>
      <c r="P163" s="1">
        <v>1.7829896954555499E-5</v>
      </c>
      <c r="Q163">
        <v>0.110738509985497</v>
      </c>
      <c r="R163">
        <v>0.25461852212468999</v>
      </c>
      <c r="S163">
        <v>-8.4936813971607503E-2</v>
      </c>
      <c r="U163">
        <v>300.60000000000002</v>
      </c>
      <c r="V163">
        <f t="shared" si="9"/>
        <v>0.42861182365716033</v>
      </c>
      <c r="W163">
        <f t="shared" si="6"/>
        <v>300.18419667191233</v>
      </c>
      <c r="Y163">
        <f t="shared" si="10"/>
        <v>0.61360570372666789</v>
      </c>
      <c r="Z163" s="3">
        <f t="shared" si="11"/>
        <v>0.62062788028889138</v>
      </c>
      <c r="AA163">
        <f t="shared" si="7"/>
        <v>311.21243364636575</v>
      </c>
      <c r="AE163">
        <f t="shared" si="8"/>
        <v>-0.50988937030339287</v>
      </c>
    </row>
    <row r="164" spans="1:31" x14ac:dyDescent="0.2">
      <c r="A164">
        <v>1912.5</v>
      </c>
      <c r="B164">
        <v>0.43039158946029599</v>
      </c>
      <c r="C164">
        <v>0.15085030283137801</v>
      </c>
      <c r="D164">
        <v>4.5158195450731402E-2</v>
      </c>
      <c r="E164">
        <v>-8.8621204270865006E-2</v>
      </c>
      <c r="F164">
        <v>-0.42835025474114502</v>
      </c>
      <c r="G164">
        <v>9.2746015758875006E-2</v>
      </c>
      <c r="H164">
        <v>0</v>
      </c>
      <c r="I164">
        <v>-0.127833543971481</v>
      </c>
      <c r="J164">
        <v>3.1464642113358601E-2</v>
      </c>
      <c r="K164">
        <v>1.1169728039427999E-2</v>
      </c>
      <c r="L164">
        <v>-4.2190988007110297E-2</v>
      </c>
      <c r="M164">
        <v>-0.45090978319806702</v>
      </c>
      <c r="N164">
        <v>-0.51697145901201003</v>
      </c>
      <c r="O164">
        <v>0.19603141736330101</v>
      </c>
      <c r="P164" s="1">
        <v>2.29190811918029E-5</v>
      </c>
      <c r="Q164">
        <v>0.116998389751768</v>
      </c>
      <c r="R164">
        <v>-0.37610238145340902</v>
      </c>
      <c r="S164">
        <v>-8.5199173818694796E-2</v>
      </c>
      <c r="U164">
        <v>301</v>
      </c>
      <c r="V164">
        <f t="shared" si="9"/>
        <v>0.43597134421190731</v>
      </c>
      <c r="W164">
        <f t="shared" si="6"/>
        <v>300.69668394620822</v>
      </c>
      <c r="Y164">
        <f t="shared" si="10"/>
        <v>0.62640008774240541</v>
      </c>
      <c r="Z164" s="3">
        <f t="shared" si="11"/>
        <v>0.63396984876377782</v>
      </c>
      <c r="AA164">
        <f t="shared" si="7"/>
        <v>311.96359484118932</v>
      </c>
      <c r="AE164">
        <f t="shared" si="8"/>
        <v>-0.51697145901201003</v>
      </c>
    </row>
    <row r="165" spans="1:31" x14ac:dyDescent="0.2">
      <c r="A165">
        <v>1913.5</v>
      </c>
      <c r="B165">
        <v>0.44042044156702498</v>
      </c>
      <c r="C165">
        <v>0.15228966134506</v>
      </c>
      <c r="D165">
        <v>4.6406825304229099E-2</v>
      </c>
      <c r="E165">
        <v>-9.3077899593980606E-2</v>
      </c>
      <c r="F165">
        <v>-0.44653779994008802</v>
      </c>
      <c r="G165">
        <v>9.5525222579164196E-2</v>
      </c>
      <c r="H165">
        <v>0</v>
      </c>
      <c r="I165">
        <v>-0.12839454838810899</v>
      </c>
      <c r="J165">
        <v>3.2859931971276499E-2</v>
      </c>
      <c r="K165">
        <v>1.12858552648807E-2</v>
      </c>
      <c r="L165">
        <v>-4.06777311711728E-2</v>
      </c>
      <c r="M165">
        <v>-0.64818299801513801</v>
      </c>
      <c r="N165">
        <v>-0.53961569953406796</v>
      </c>
      <c r="O165">
        <v>0.198724767831923</v>
      </c>
      <c r="P165" s="1">
        <v>2.8281182634079402E-5</v>
      </c>
      <c r="Q165">
        <v>0.11080597129209099</v>
      </c>
      <c r="R165">
        <v>-0.57805475789421901</v>
      </c>
      <c r="S165">
        <v>-8.4248761151952706E-2</v>
      </c>
      <c r="U165">
        <v>301.3</v>
      </c>
      <c r="V165">
        <f t="shared" si="9"/>
        <v>0.44148456928176927</v>
      </c>
      <c r="W165">
        <f t="shared" si="6"/>
        <v>301.24207262680937</v>
      </c>
      <c r="Y165">
        <f t="shared" si="10"/>
        <v>0.63911692821631405</v>
      </c>
      <c r="Z165" s="3">
        <f t="shared" si="11"/>
        <v>0.65042167082616065</v>
      </c>
      <c r="AA165">
        <f t="shared" si="7"/>
        <v>312.89233941128936</v>
      </c>
      <c r="AE165">
        <f t="shared" si="8"/>
        <v>-0.53961569953406863</v>
      </c>
    </row>
    <row r="166" spans="1:31" x14ac:dyDescent="0.2">
      <c r="A166">
        <v>1914.5</v>
      </c>
      <c r="B166">
        <v>0.449555305663218</v>
      </c>
      <c r="C166">
        <v>0.153580430237889</v>
      </c>
      <c r="D166">
        <v>4.7694243185139498E-2</v>
      </c>
      <c r="E166">
        <v>-8.6379425717764594E-2</v>
      </c>
      <c r="F166">
        <v>-0.43021391685571603</v>
      </c>
      <c r="G166">
        <v>9.7646262279786095E-2</v>
      </c>
      <c r="H166">
        <v>0</v>
      </c>
      <c r="I166">
        <v>-0.12895930598156899</v>
      </c>
      <c r="J166">
        <v>3.20358530585323E-2</v>
      </c>
      <c r="K166">
        <v>1.1390204863469399E-2</v>
      </c>
      <c r="L166">
        <v>-2.6980416718047798E-2</v>
      </c>
      <c r="M166">
        <v>1.44928360096757E-2</v>
      </c>
      <c r="N166">
        <v>-0.51659334257348</v>
      </c>
      <c r="O166">
        <v>0.201318508200765</v>
      </c>
      <c r="P166" s="1">
        <v>4.3834777736077201E-5</v>
      </c>
      <c r="Q166">
        <v>0.14639348551072001</v>
      </c>
      <c r="R166">
        <v>0.13390590480234801</v>
      </c>
      <c r="S166">
        <v>-8.5533248059567593E-2</v>
      </c>
      <c r="U166">
        <v>301.39999999999998</v>
      </c>
      <c r="V166">
        <f t="shared" si="9"/>
        <v>0.44332109116409768</v>
      </c>
      <c r="W166">
        <f t="shared" si="6"/>
        <v>301.73970529754649</v>
      </c>
      <c r="Y166">
        <f t="shared" si="10"/>
        <v>0.65082997908624651</v>
      </c>
      <c r="Z166" s="3">
        <f t="shared" si="11"/>
        <v>0.6629868280842014</v>
      </c>
      <c r="AA166">
        <f t="shared" si="7"/>
        <v>313.60353435759686</v>
      </c>
      <c r="AE166">
        <f t="shared" si="8"/>
        <v>-0.51659334257348066</v>
      </c>
    </row>
    <row r="167" spans="1:31" x14ac:dyDescent="0.2">
      <c r="A167">
        <v>1915.5</v>
      </c>
      <c r="B167">
        <v>0.45884118086972397</v>
      </c>
      <c r="C167">
        <v>0.15513199157978799</v>
      </c>
      <c r="D167">
        <v>4.8897861597549899E-2</v>
      </c>
      <c r="E167">
        <v>-8.4333067364114903E-2</v>
      </c>
      <c r="F167">
        <v>-0.42145085015618999</v>
      </c>
      <c r="G167">
        <v>9.7795978524233301E-2</v>
      </c>
      <c r="H167">
        <v>0</v>
      </c>
      <c r="I167">
        <v>-0.12952825079826399</v>
      </c>
      <c r="J167">
        <v>3.1541165152414299E-2</v>
      </c>
      <c r="K167">
        <v>1.1515726819304999E-2</v>
      </c>
      <c r="L167">
        <v>1.2769876250702099E-2</v>
      </c>
      <c r="M167">
        <v>0.19552216867093999</v>
      </c>
      <c r="N167">
        <v>-0.50578391752030505</v>
      </c>
      <c r="O167">
        <v>0.204097081322726</v>
      </c>
      <c r="P167" s="1">
        <v>6.7228145388510896E-5</v>
      </c>
      <c r="Q167">
        <v>0.16847896436983201</v>
      </c>
      <c r="R167">
        <v>0.376771009291474</v>
      </c>
      <c r="S167">
        <v>-8.6471358826545303E-2</v>
      </c>
      <c r="U167">
        <v>301.60000000000002</v>
      </c>
      <c r="V167">
        <f t="shared" si="9"/>
        <v>0.44699230764473441</v>
      </c>
      <c r="W167">
        <f t="shared" ref="W167:W230" si="12">10^((B167+$V$100)/$V$99)</f>
        <v>302.24640704142132</v>
      </c>
      <c r="Y167">
        <f t="shared" si="10"/>
        <v>0.66287103404706194</v>
      </c>
      <c r="Z167" s="3">
        <f t="shared" si="11"/>
        <v>0.67426288189013894</v>
      </c>
      <c r="AA167">
        <f t="shared" ref="AA167:AA230" si="13">10^((Z167+$V$100)/$V$99)</f>
        <v>314.2431414835529</v>
      </c>
      <c r="AE167">
        <f t="shared" ref="AE167:AE230" si="14">F167+E167</f>
        <v>-0.50578391752030494</v>
      </c>
    </row>
    <row r="168" spans="1:31" x14ac:dyDescent="0.2">
      <c r="A168">
        <v>1916.5</v>
      </c>
      <c r="B168">
        <v>0.46865933573906199</v>
      </c>
      <c r="C168">
        <v>0.15893173861398799</v>
      </c>
      <c r="D168">
        <v>4.9859440122873501E-2</v>
      </c>
      <c r="E168">
        <v>-9.2866485284659503E-2</v>
      </c>
      <c r="F168">
        <v>-0.441466828172696</v>
      </c>
      <c r="G168">
        <v>9.9894496120993506E-2</v>
      </c>
      <c r="H168">
        <v>0</v>
      </c>
      <c r="I168">
        <v>-0.13010172814612</v>
      </c>
      <c r="J168">
        <v>3.23088449704114E-2</v>
      </c>
      <c r="K168">
        <v>1.182338203286E-2</v>
      </c>
      <c r="L168">
        <v>4.4751077422577099E-2</v>
      </c>
      <c r="M168">
        <v>0.22700061868797999</v>
      </c>
      <c r="N168">
        <v>-0.53433331345735502</v>
      </c>
      <c r="O168">
        <v>0.20889566507614801</v>
      </c>
      <c r="P168">
        <v>1.04486339286596E-4</v>
      </c>
      <c r="Q168">
        <v>0.15714668233599899</v>
      </c>
      <c r="R168">
        <v>0.42889837844655698</v>
      </c>
      <c r="S168">
        <v>-8.59695011428495E-2</v>
      </c>
      <c r="U168">
        <v>302</v>
      </c>
      <c r="V168">
        <f t="shared" ref="V168:V231" si="15">LOG10(U168)*$V$99-$V$100</f>
        <v>0.45432744276968151</v>
      </c>
      <c r="W168">
        <f t="shared" si="12"/>
        <v>302.78307913140407</v>
      </c>
      <c r="Y168">
        <f t="shared" si="10"/>
        <v>0.67745051447592342</v>
      </c>
      <c r="Z168" s="3">
        <f t="shared" si="11"/>
        <v>0.69147999579335495</v>
      </c>
      <c r="AA168">
        <f t="shared" si="13"/>
        <v>315.22225843728285</v>
      </c>
      <c r="AE168">
        <f t="shared" si="14"/>
        <v>-0.53433331345735546</v>
      </c>
    </row>
    <row r="169" spans="1:31" x14ac:dyDescent="0.2">
      <c r="A169">
        <v>1917.5</v>
      </c>
      <c r="B169">
        <v>0.47806133789564298</v>
      </c>
      <c r="C169">
        <v>0.16170136367968499</v>
      </c>
      <c r="D169">
        <v>5.09581821110901E-2</v>
      </c>
      <c r="E169">
        <v>-9.6885222209627794E-2</v>
      </c>
      <c r="F169">
        <v>-0.45964515243611098</v>
      </c>
      <c r="G169">
        <v>0.104303655577287</v>
      </c>
      <c r="H169">
        <v>0</v>
      </c>
      <c r="I169">
        <v>-0.13068013530025499</v>
      </c>
      <c r="J169">
        <v>3.3928542837455597E-2</v>
      </c>
      <c r="K169">
        <v>1.2048553606738101E-2</v>
      </c>
      <c r="L169">
        <v>6.5874270781952099E-2</v>
      </c>
      <c r="M169">
        <v>0.19118054931106401</v>
      </c>
      <c r="N169">
        <v>-0.55653037464573896</v>
      </c>
      <c r="O169">
        <v>0.21280794600331501</v>
      </c>
      <c r="P169">
        <v>1.48400212539201E-4</v>
      </c>
      <c r="Q169">
        <v>0.15393952597444599</v>
      </c>
      <c r="R169">
        <v>0.41099434606746199</v>
      </c>
      <c r="S169">
        <v>-8.4703038856061202E-2</v>
      </c>
      <c r="U169">
        <v>302.39999999999998</v>
      </c>
      <c r="V169">
        <f t="shared" si="15"/>
        <v>0.46165286891081792</v>
      </c>
      <c r="W169">
        <f t="shared" si="12"/>
        <v>303.29789698501861</v>
      </c>
      <c r="Y169">
        <f t="shared" si="10"/>
        <v>0.69072088368641804</v>
      </c>
      <c r="Z169" s="3">
        <f t="shared" si="11"/>
        <v>0.71046990062018289</v>
      </c>
      <c r="AA169">
        <f t="shared" si="13"/>
        <v>316.30573038166864</v>
      </c>
      <c r="AE169">
        <f t="shared" si="14"/>
        <v>-0.55653037464573873</v>
      </c>
    </row>
    <row r="170" spans="1:31" x14ac:dyDescent="0.2">
      <c r="A170">
        <v>1918.5</v>
      </c>
      <c r="B170">
        <v>0.48585178700999498</v>
      </c>
      <c r="C170">
        <v>0.165242406997579</v>
      </c>
      <c r="D170">
        <v>5.1651370451075797E-2</v>
      </c>
      <c r="E170">
        <v>-9.6398213594296303E-2</v>
      </c>
      <c r="F170">
        <v>-0.45924592192588398</v>
      </c>
      <c r="G170">
        <v>0.106962166214204</v>
      </c>
      <c r="H170">
        <v>0</v>
      </c>
      <c r="I170">
        <v>-0.13126390122015399</v>
      </c>
      <c r="J170">
        <v>3.3962958872541998E-2</v>
      </c>
      <c r="K170">
        <v>1.2337175166307E-2</v>
      </c>
      <c r="L170">
        <v>6.9649612578827097E-2</v>
      </c>
      <c r="M170">
        <v>0.104743477252389</v>
      </c>
      <c r="N170">
        <v>-0.55564413552017999</v>
      </c>
      <c r="O170">
        <v>0.217075979079102</v>
      </c>
      <c r="P170">
        <v>1.82201630447328E-4</v>
      </c>
      <c r="Q170">
        <v>0.16928202960181599</v>
      </c>
      <c r="R170">
        <v>0.34367511943303197</v>
      </c>
      <c r="S170">
        <v>-8.4963767181305799E-2</v>
      </c>
      <c r="U170">
        <v>302.8</v>
      </c>
      <c r="V170">
        <f t="shared" si="15"/>
        <v>0.46896861173632587</v>
      </c>
      <c r="W170">
        <f t="shared" si="12"/>
        <v>303.7251354032731</v>
      </c>
      <c r="Y170">
        <f t="shared" si="10"/>
        <v>0.70274556445864977</v>
      </c>
      <c r="Z170" s="3">
        <f t="shared" si="11"/>
        <v>0.72492616512199615</v>
      </c>
      <c r="AA170">
        <f t="shared" si="13"/>
        <v>317.13303067623787</v>
      </c>
      <c r="AE170">
        <f t="shared" si="14"/>
        <v>-0.55564413552018033</v>
      </c>
    </row>
    <row r="171" spans="1:31" x14ac:dyDescent="0.2">
      <c r="A171">
        <v>1919.5</v>
      </c>
      <c r="B171">
        <v>0.49230997190925202</v>
      </c>
      <c r="C171">
        <v>0.169276929052467</v>
      </c>
      <c r="D171">
        <v>5.1829719149351902E-2</v>
      </c>
      <c r="E171">
        <v>-8.1939663176666899E-2</v>
      </c>
      <c r="F171">
        <v>-0.412643436431616</v>
      </c>
      <c r="G171">
        <v>0.10793765838155001</v>
      </c>
      <c r="H171">
        <v>0</v>
      </c>
      <c r="I171">
        <v>-0.13185339771028401</v>
      </c>
      <c r="J171">
        <v>3.1042080496281502E-2</v>
      </c>
      <c r="K171">
        <v>1.2667127099300001E-2</v>
      </c>
      <c r="L171">
        <v>3.7013186797577098E-2</v>
      </c>
      <c r="M171">
        <v>-8.8343058717193307E-2</v>
      </c>
      <c r="N171">
        <v>-0.49458309960828301</v>
      </c>
      <c r="O171">
        <v>0.22132022298948401</v>
      </c>
      <c r="P171">
        <v>2.1357478766499701E-4</v>
      </c>
      <c r="Q171">
        <v>0.23884056355730099</v>
      </c>
      <c r="R171">
        <v>0.187510691637685</v>
      </c>
      <c r="S171">
        <v>-8.8144190114702897E-2</v>
      </c>
      <c r="U171">
        <v>303</v>
      </c>
      <c r="V171">
        <f t="shared" si="15"/>
        <v>0.47262285989920727</v>
      </c>
      <c r="W171">
        <f t="shared" si="12"/>
        <v>304.07976691982554</v>
      </c>
      <c r="Y171">
        <f t="shared" si="10"/>
        <v>0.71341662011107088</v>
      </c>
      <c r="Z171" s="3">
        <f t="shared" si="11"/>
        <v>0.73342366316558349</v>
      </c>
      <c r="AA171">
        <f t="shared" si="13"/>
        <v>317.62033324892485</v>
      </c>
      <c r="AE171">
        <f t="shared" si="14"/>
        <v>-0.49458309960828289</v>
      </c>
    </row>
    <row r="172" spans="1:31" x14ac:dyDescent="0.2">
      <c r="A172">
        <v>1920.5</v>
      </c>
      <c r="B172">
        <v>0.49997445296237403</v>
      </c>
      <c r="C172">
        <v>0.173261862135866</v>
      </c>
      <c r="D172">
        <v>5.2121902917679701E-2</v>
      </c>
      <c r="E172">
        <v>-9.1257656362587605E-2</v>
      </c>
      <c r="F172">
        <v>-0.44402586444831299</v>
      </c>
      <c r="G172">
        <v>0.112046977479334</v>
      </c>
      <c r="H172">
        <v>0</v>
      </c>
      <c r="I172">
        <v>-0.132729480186318</v>
      </c>
      <c r="J172">
        <v>3.3135994135442298E-2</v>
      </c>
      <c r="K172">
        <v>1.29944412088234E-2</v>
      </c>
      <c r="L172">
        <v>6.0304231257020998E-3</v>
      </c>
      <c r="M172">
        <v>0.111735767222069</v>
      </c>
      <c r="N172">
        <v>-0.53528352081090003</v>
      </c>
      <c r="O172">
        <v>0.22561737733183901</v>
      </c>
      <c r="P172">
        <v>2.3361227829365099E-4</v>
      </c>
      <c r="Q172">
        <v>0.21575624212059399</v>
      </c>
      <c r="R172">
        <v>0.33352243246836599</v>
      </c>
      <c r="S172">
        <v>-8.6599044842052803E-2</v>
      </c>
      <c r="U172">
        <v>303.39999999999998</v>
      </c>
      <c r="V172">
        <f t="shared" si="15"/>
        <v>0.47992412565687204</v>
      </c>
      <c r="W172">
        <f t="shared" si="12"/>
        <v>304.50117585460299</v>
      </c>
      <c r="Y172">
        <f t="shared" si="10"/>
        <v>0.72535821801591971</v>
      </c>
      <c r="Z172" s="3">
        <f t="shared" si="11"/>
        <v>0.75103976293149499</v>
      </c>
      <c r="AA172">
        <f t="shared" si="13"/>
        <v>318.63294306104171</v>
      </c>
      <c r="AE172">
        <f t="shared" si="14"/>
        <v>-0.53528352081090058</v>
      </c>
    </row>
    <row r="173" spans="1:31" x14ac:dyDescent="0.2">
      <c r="A173">
        <v>1921.5</v>
      </c>
      <c r="B173">
        <v>0.50621729876674904</v>
      </c>
      <c r="C173">
        <v>0.17706474678147799</v>
      </c>
      <c r="D173">
        <v>5.2528587151552397E-2</v>
      </c>
      <c r="E173">
        <v>-7.5016366013869698E-2</v>
      </c>
      <c r="F173">
        <v>-0.39328929048129202</v>
      </c>
      <c r="G173">
        <v>0.11264411747931</v>
      </c>
      <c r="H173">
        <v>0</v>
      </c>
      <c r="I173">
        <v>-0.13389256267704699</v>
      </c>
      <c r="J173">
        <v>3.045959497342E-2</v>
      </c>
      <c r="K173">
        <v>1.33081287999564E-2</v>
      </c>
      <c r="L173">
        <v>-1.3142696991485301E-2</v>
      </c>
      <c r="M173">
        <v>0.20876077010656999</v>
      </c>
      <c r="N173">
        <v>-0.46830565649516098</v>
      </c>
      <c r="O173">
        <v>0.229843151113096</v>
      </c>
      <c r="P173">
        <v>2.4981718006584499E-4</v>
      </c>
      <c r="Q173">
        <v>0.29027407196032401</v>
      </c>
      <c r="R173">
        <v>0.48589214507540901</v>
      </c>
      <c r="S173">
        <v>-9.0124838903670706E-2</v>
      </c>
      <c r="U173">
        <v>303.7</v>
      </c>
      <c r="V173">
        <f t="shared" si="15"/>
        <v>0.48539376073388496</v>
      </c>
      <c r="W173">
        <f t="shared" si="12"/>
        <v>304.84485189149359</v>
      </c>
      <c r="Y173">
        <f t="shared" si="10"/>
        <v>0.73581063269977942</v>
      </c>
      <c r="Z173" s="3">
        <f t="shared" si="11"/>
        <v>0.75857972845548471</v>
      </c>
      <c r="AA173">
        <f t="shared" si="13"/>
        <v>319.06734185325371</v>
      </c>
      <c r="AE173">
        <f t="shared" si="14"/>
        <v>-0.4683056564951617</v>
      </c>
    </row>
    <row r="174" spans="1:31" x14ac:dyDescent="0.2">
      <c r="A174">
        <v>1922.5</v>
      </c>
      <c r="B174">
        <v>0.51229139476704599</v>
      </c>
      <c r="C174">
        <v>0.18073018994009599</v>
      </c>
      <c r="D174">
        <v>5.3009965308221697E-2</v>
      </c>
      <c r="E174">
        <v>-7.8628817781827107E-2</v>
      </c>
      <c r="F174">
        <v>-0.39858773411311099</v>
      </c>
      <c r="G174">
        <v>0.114533097182724</v>
      </c>
      <c r="H174">
        <v>0</v>
      </c>
      <c r="I174">
        <v>-0.135062533038592</v>
      </c>
      <c r="J174">
        <v>3.0442598924489601E-2</v>
      </c>
      <c r="K174">
        <v>1.3611699814813199E-2</v>
      </c>
      <c r="L174">
        <v>-3.06465544133603E-2</v>
      </c>
      <c r="M174">
        <v>0.22773811807069999</v>
      </c>
      <c r="N174">
        <v>-0.477216551894939</v>
      </c>
      <c r="O174">
        <v>0.23401741702574999</v>
      </c>
      <c r="P174">
        <v>2.7726177743268198E-4</v>
      </c>
      <c r="Q174">
        <v>0.29261712278129298</v>
      </c>
      <c r="R174">
        <v>0.48970868643863202</v>
      </c>
      <c r="S174">
        <v>-9.10082342992896E-2</v>
      </c>
      <c r="U174">
        <v>304.10000000000002</v>
      </c>
      <c r="V174">
        <f t="shared" si="15"/>
        <v>0.49267820882946012</v>
      </c>
      <c r="W174">
        <f t="shared" si="12"/>
        <v>305.17961035351294</v>
      </c>
      <c r="Y174">
        <f t="shared" si="10"/>
        <v>0.74603155001536359</v>
      </c>
      <c r="Z174" s="3">
        <f t="shared" si="11"/>
        <v>0.76983367467623121</v>
      </c>
      <c r="AA174">
        <f t="shared" si="13"/>
        <v>319.716815490741</v>
      </c>
      <c r="AE174">
        <f t="shared" si="14"/>
        <v>-0.47721655189493811</v>
      </c>
    </row>
    <row r="175" spans="1:31" x14ac:dyDescent="0.2">
      <c r="A175">
        <v>1923.5</v>
      </c>
      <c r="B175">
        <v>0.51801552584996302</v>
      </c>
      <c r="C175">
        <v>0.18391922285047901</v>
      </c>
      <c r="D175">
        <v>5.4082853543989097E-2</v>
      </c>
      <c r="E175">
        <v>-8.5515567134598305E-2</v>
      </c>
      <c r="F175">
        <v>-0.44708285058489999</v>
      </c>
      <c r="G175">
        <v>0.121735200641392</v>
      </c>
      <c r="H175">
        <v>0</v>
      </c>
      <c r="I175">
        <v>-0.13623981143034</v>
      </c>
      <c r="J175">
        <v>3.5572234529366503E-2</v>
      </c>
      <c r="K175">
        <v>1.38770210476427E-2</v>
      </c>
      <c r="L175">
        <v>-3.4624703827422797E-2</v>
      </c>
      <c r="M175">
        <v>0.230675977091409</v>
      </c>
      <c r="N175">
        <v>-0.53259841771949901</v>
      </c>
      <c r="O175">
        <v>0.238323192919802</v>
      </c>
      <c r="P175">
        <v>3.2111652533385702E-4</v>
      </c>
      <c r="Q175">
        <v>0.25868494583832802</v>
      </c>
      <c r="R175">
        <v>0.45473621910231499</v>
      </c>
      <c r="S175">
        <v>-8.6790555853331494E-2</v>
      </c>
      <c r="U175">
        <v>304.5</v>
      </c>
      <c r="V175">
        <f t="shared" si="15"/>
        <v>0.49995308157151541</v>
      </c>
      <c r="W175">
        <f t="shared" si="12"/>
        <v>305.49541782327486</v>
      </c>
      <c r="Y175">
        <f t="shared" si="10"/>
        <v>0.75601760224443115</v>
      </c>
      <c r="Z175" s="3">
        <f t="shared" si="11"/>
        <v>0.79128336355782614</v>
      </c>
      <c r="AA175">
        <f t="shared" si="13"/>
        <v>320.95835645330226</v>
      </c>
      <c r="AE175">
        <f t="shared" si="14"/>
        <v>-0.53259841771949834</v>
      </c>
    </row>
    <row r="176" spans="1:31" x14ac:dyDescent="0.2">
      <c r="A176">
        <v>1924.5</v>
      </c>
      <c r="B176">
        <v>0.52432986376695201</v>
      </c>
      <c r="C176">
        <v>0.186199267154811</v>
      </c>
      <c r="D176">
        <v>5.4591708943373299E-2</v>
      </c>
      <c r="E176">
        <v>-8.5848042394124996E-2</v>
      </c>
      <c r="F176">
        <v>-0.43509545936928101</v>
      </c>
      <c r="G176">
        <v>0.120516880121162</v>
      </c>
      <c r="H176">
        <v>0</v>
      </c>
      <c r="I176">
        <v>-0.137424776901718</v>
      </c>
      <c r="J176">
        <v>3.3891948812261603E-2</v>
      </c>
      <c r="K176">
        <v>1.40671629698735E-2</v>
      </c>
      <c r="L176">
        <v>-2.6902413788360301E-2</v>
      </c>
      <c r="M176">
        <v>-0.16602055407396099</v>
      </c>
      <c r="N176">
        <v>-0.52094350176340598</v>
      </c>
      <c r="O176">
        <v>0.24115679456577399</v>
      </c>
      <c r="P176">
        <v>3.6581846758897802E-4</v>
      </c>
      <c r="Q176">
        <v>0.2755943715709</v>
      </c>
      <c r="R176">
        <v>8.2671403708578603E-2</v>
      </c>
      <c r="S176">
        <v>-8.9465665119582996E-2</v>
      </c>
      <c r="U176">
        <v>304.89999999999998</v>
      </c>
      <c r="V176">
        <f t="shared" si="15"/>
        <v>0.50721840410045971</v>
      </c>
      <c r="W176">
        <f t="shared" si="12"/>
        <v>305.84416684288487</v>
      </c>
      <c r="Y176">
        <f t="shared" si="10"/>
        <v>0.76512083986513624</v>
      </c>
      <c r="Z176" s="3">
        <f t="shared" si="11"/>
        <v>0.79653787333430437</v>
      </c>
      <c r="AA176">
        <f t="shared" si="13"/>
        <v>321.26323002310795</v>
      </c>
      <c r="AE176">
        <f t="shared" si="14"/>
        <v>-0.52094350176340598</v>
      </c>
    </row>
    <row r="177" spans="1:31" x14ac:dyDescent="0.2">
      <c r="A177">
        <v>1925.5</v>
      </c>
      <c r="B177">
        <v>0.52746640817797297</v>
      </c>
      <c r="C177">
        <v>0.187628370680887</v>
      </c>
      <c r="D177">
        <v>5.4779632904090603E-2</v>
      </c>
      <c r="E177">
        <v>-8.6353143881486294E-2</v>
      </c>
      <c r="F177">
        <v>-0.43848528163073802</v>
      </c>
      <c r="G177">
        <v>0.122537642984598</v>
      </c>
      <c r="H177">
        <v>0</v>
      </c>
      <c r="I177">
        <v>-0.138617830549528</v>
      </c>
      <c r="J177">
        <v>3.4398296815614599E-2</v>
      </c>
      <c r="K177">
        <v>1.41865210594739E-2</v>
      </c>
      <c r="L177">
        <v>-5.7636198430478002E-3</v>
      </c>
      <c r="M177">
        <v>-3.1615903274707598E-2</v>
      </c>
      <c r="N177">
        <v>-0.52483842551222404</v>
      </c>
      <c r="O177">
        <v>0.24282779499993401</v>
      </c>
      <c r="P177">
        <v>4.19791414956812E-4</v>
      </c>
      <c r="Q177">
        <v>0.27796040797584198</v>
      </c>
      <c r="R177">
        <v>0.24058088485808701</v>
      </c>
      <c r="S177">
        <v>-9.00330126744395E-2</v>
      </c>
      <c r="U177">
        <v>305.3</v>
      </c>
      <c r="V177">
        <f t="shared" si="15"/>
        <v>0.51447420145783695</v>
      </c>
      <c r="W177">
        <f t="shared" si="12"/>
        <v>306.01755020325459</v>
      </c>
      <c r="Y177">
        <f t="shared" si="10"/>
        <v>0.76987441176295057</v>
      </c>
      <c r="Z177" s="3">
        <f t="shared" si="11"/>
        <v>0.80279883348806591</v>
      </c>
      <c r="AA177">
        <f t="shared" si="13"/>
        <v>321.62687730155295</v>
      </c>
      <c r="AE177">
        <f t="shared" si="14"/>
        <v>-0.52483842551222426</v>
      </c>
    </row>
    <row r="178" spans="1:31" x14ac:dyDescent="0.2">
      <c r="A178">
        <v>1926.5</v>
      </c>
      <c r="B178">
        <v>0.52984404750184699</v>
      </c>
      <c r="C178">
        <v>0.18838780518588799</v>
      </c>
      <c r="D178">
        <v>5.4944558722160301E-2</v>
      </c>
      <c r="E178">
        <v>-9.0500766921391307E-2</v>
      </c>
      <c r="F178">
        <v>-0.44138846276070998</v>
      </c>
      <c r="G178">
        <v>0.123139963465973</v>
      </c>
      <c r="H178">
        <v>0</v>
      </c>
      <c r="I178">
        <v>-0.13981935214077601</v>
      </c>
      <c r="J178">
        <v>3.3749119162040001E-2</v>
      </c>
      <c r="K178">
        <v>1.42500474551736E-2</v>
      </c>
      <c r="L178">
        <v>2.2551443633514599E-2</v>
      </c>
      <c r="M178">
        <v>-0.36800560556886702</v>
      </c>
      <c r="N178">
        <v>-0.53188922968210095</v>
      </c>
      <c r="O178">
        <v>0.243818847742755</v>
      </c>
      <c r="P178">
        <v>4.8648383470607602E-4</v>
      </c>
      <c r="Q178">
        <v>0.27309344350491199</v>
      </c>
      <c r="R178">
        <v>-7.2360718430439896E-2</v>
      </c>
      <c r="S178">
        <v>-9.18201855235624E-2</v>
      </c>
      <c r="U178">
        <v>305.8</v>
      </c>
      <c r="V178">
        <f t="shared" si="15"/>
        <v>0.52353059137209357</v>
      </c>
      <c r="W178">
        <f t="shared" si="12"/>
        <v>306.14904794747321</v>
      </c>
      <c r="Y178">
        <f t="shared" si="10"/>
        <v>0.77317641140989524</v>
      </c>
      <c r="Z178" s="3">
        <f t="shared" si="11"/>
        <v>0.804982673187012</v>
      </c>
      <c r="AA178">
        <f t="shared" si="13"/>
        <v>321.75381525142978</v>
      </c>
      <c r="AE178">
        <f t="shared" si="14"/>
        <v>-0.53188922968210128</v>
      </c>
    </row>
    <row r="179" spans="1:31" x14ac:dyDescent="0.2">
      <c r="A179">
        <v>1927.5</v>
      </c>
      <c r="B179">
        <v>0.53369783704985496</v>
      </c>
      <c r="C179">
        <v>0.189530237482777</v>
      </c>
      <c r="D179">
        <v>5.51365680377311E-2</v>
      </c>
      <c r="E179">
        <v>-9.7212292819767898E-2</v>
      </c>
      <c r="F179">
        <v>-0.46221695553440301</v>
      </c>
      <c r="G179">
        <v>0.126865404305367</v>
      </c>
      <c r="H179">
        <v>0</v>
      </c>
      <c r="I179">
        <v>-0.14102972250632401</v>
      </c>
      <c r="J179">
        <v>3.5009294394210799E-2</v>
      </c>
      <c r="K179">
        <v>1.43456839176433E-2</v>
      </c>
      <c r="L179">
        <v>4.6248733672577098E-2</v>
      </c>
      <c r="M179">
        <v>-9.2402261041415107E-2</v>
      </c>
      <c r="N179">
        <v>-0.55942924835417096</v>
      </c>
      <c r="O179">
        <v>0.24520213453543299</v>
      </c>
      <c r="P179">
        <v>5.3532901492520297E-4</v>
      </c>
      <c r="Q179">
        <v>0.25466138334201499</v>
      </c>
      <c r="R179">
        <v>0.208507855973177</v>
      </c>
      <c r="S179">
        <v>-9.1674744194470803E-2</v>
      </c>
      <c r="U179">
        <v>306.2</v>
      </c>
      <c r="V179">
        <f t="shared" si="15"/>
        <v>0.53076504814292491</v>
      </c>
      <c r="W179">
        <f t="shared" si="12"/>
        <v>306.36230569874925</v>
      </c>
      <c r="Y179">
        <f t="shared" si="10"/>
        <v>0.77836464257036309</v>
      </c>
      <c r="Z179" s="3">
        <f t="shared" si="11"/>
        <v>0.81409063169618534</v>
      </c>
      <c r="AA179">
        <f t="shared" si="13"/>
        <v>322.28376520743274</v>
      </c>
      <c r="AE179">
        <f t="shared" si="14"/>
        <v>-0.55942924835417096</v>
      </c>
    </row>
    <row r="180" spans="1:31" x14ac:dyDescent="0.2">
      <c r="A180">
        <v>1928.5</v>
      </c>
      <c r="B180">
        <v>0.53627101822242296</v>
      </c>
      <c r="C180">
        <v>0.19208587929234799</v>
      </c>
      <c r="D180">
        <v>5.5484866860670501E-2</v>
      </c>
      <c r="E180">
        <v>-9.9753777226760404E-2</v>
      </c>
      <c r="F180">
        <v>-0.46114558410666301</v>
      </c>
      <c r="G180">
        <v>0.12867413359067001</v>
      </c>
      <c r="H180">
        <v>0</v>
      </c>
      <c r="I180">
        <v>-0.14224938471746901</v>
      </c>
      <c r="J180">
        <v>3.4150046337277098E-2</v>
      </c>
      <c r="K180">
        <v>1.45600036521417E-2</v>
      </c>
      <c r="L180">
        <v>3.0710550078827101E-2</v>
      </c>
      <c r="M180">
        <v>0.179378494341386</v>
      </c>
      <c r="N180">
        <v>-0.560899361333423</v>
      </c>
      <c r="O180">
        <v>0.24817249606358799</v>
      </c>
      <c r="P180">
        <v>6.0174991057007003E-4</v>
      </c>
      <c r="Q180">
        <v>0.258678951815208</v>
      </c>
      <c r="R180">
        <v>0.46876799623542098</v>
      </c>
      <c r="S180">
        <v>-9.3539334728050899E-2</v>
      </c>
      <c r="U180">
        <v>306.60000000000002</v>
      </c>
      <c r="V180">
        <f t="shared" si="15"/>
        <v>0.53799006045053588</v>
      </c>
      <c r="W180">
        <f t="shared" si="12"/>
        <v>306.50478092689247</v>
      </c>
      <c r="Y180">
        <f t="shared" si="10"/>
        <v>0.7838417643754414</v>
      </c>
      <c r="Z180" s="3">
        <f t="shared" si="11"/>
        <v>0.81957831314863128</v>
      </c>
      <c r="AA180">
        <f t="shared" si="13"/>
        <v>322.60348929514191</v>
      </c>
      <c r="AE180">
        <f t="shared" si="14"/>
        <v>-0.56089936133342344</v>
      </c>
    </row>
    <row r="181" spans="1:31" x14ac:dyDescent="0.2">
      <c r="A181">
        <v>1929.5</v>
      </c>
      <c r="B181">
        <v>0.53909541970285102</v>
      </c>
      <c r="C181">
        <v>0.19523617879621999</v>
      </c>
      <c r="D181">
        <v>5.5707137424311298E-2</v>
      </c>
      <c r="E181">
        <v>-0.109390258067707</v>
      </c>
      <c r="F181">
        <v>-0.485489147081829</v>
      </c>
      <c r="G181">
        <v>0.132473977668529</v>
      </c>
      <c r="H181">
        <v>0</v>
      </c>
      <c r="I181">
        <v>-0.14347866339716001</v>
      </c>
      <c r="J181">
        <v>3.50816636599122E-2</v>
      </c>
      <c r="K181">
        <v>1.4824890167370101E-2</v>
      </c>
      <c r="L181">
        <v>2.2754251250702101E-2</v>
      </c>
      <c r="M181">
        <v>0.19518769838380701</v>
      </c>
      <c r="N181">
        <v>-0.59487940514953697</v>
      </c>
      <c r="O181">
        <v>0.25163924548920502</v>
      </c>
      <c r="P181">
        <v>6.9592926867388595E-4</v>
      </c>
      <c r="Q181">
        <v>0.23475712814117</v>
      </c>
      <c r="R181">
        <v>0.45269907777567903</v>
      </c>
      <c r="S181">
        <v>-9.3572109569878104E-2</v>
      </c>
      <c r="U181">
        <v>307.2</v>
      </c>
      <c r="V181">
        <f t="shared" si="15"/>
        <v>0.54880992438872767</v>
      </c>
      <c r="W181">
        <f t="shared" si="12"/>
        <v>306.66124232543785</v>
      </c>
      <c r="Y181">
        <f t="shared" si="10"/>
        <v>0.79003873592338236</v>
      </c>
      <c r="Z181" s="3">
        <f t="shared" si="11"/>
        <v>0.82963653329070752</v>
      </c>
      <c r="AA181">
        <f t="shared" si="13"/>
        <v>323.19032645170375</v>
      </c>
      <c r="AE181">
        <f t="shared" si="14"/>
        <v>-0.59487940514953597</v>
      </c>
    </row>
    <row r="182" spans="1:31" x14ac:dyDescent="0.2">
      <c r="A182">
        <v>1930.5</v>
      </c>
      <c r="B182">
        <v>0.54118078157122496</v>
      </c>
      <c r="C182">
        <v>0.198355470965839</v>
      </c>
      <c r="D182">
        <v>5.5890399913080799E-2</v>
      </c>
      <c r="E182">
        <v>-0.10271593258192099</v>
      </c>
      <c r="F182">
        <v>-0.47024219075280299</v>
      </c>
      <c r="G182">
        <v>0.13462665052911199</v>
      </c>
      <c r="H182">
        <v>0</v>
      </c>
      <c r="I182">
        <v>-0.14464337664453999</v>
      </c>
      <c r="J182">
        <v>3.4192821443428001E-2</v>
      </c>
      <c r="K182">
        <v>1.5088005610889301E-2</v>
      </c>
      <c r="L182">
        <v>2.29726594538271E-2</v>
      </c>
      <c r="M182">
        <v>0.209081726917619</v>
      </c>
      <c r="N182">
        <v>-0.57295812333472496</v>
      </c>
      <c r="O182">
        <v>0.25504669163569599</v>
      </c>
      <c r="P182">
        <v>8.0082075677546298E-4</v>
      </c>
      <c r="Q182">
        <v>0.26253345081108498</v>
      </c>
      <c r="R182">
        <v>0.49458783718253202</v>
      </c>
      <c r="S182">
        <v>-9.53625495902235E-2</v>
      </c>
      <c r="U182">
        <v>307.5</v>
      </c>
      <c r="V182">
        <f t="shared" si="15"/>
        <v>0.55421193422867177</v>
      </c>
      <c r="W182">
        <f t="shared" si="12"/>
        <v>306.77681491486356</v>
      </c>
      <c r="Y182">
        <f t="shared" si="10"/>
        <v>0.79542665245014466</v>
      </c>
      <c r="Z182" s="3">
        <f t="shared" si="11"/>
        <v>0.83549157414580943</v>
      </c>
      <c r="AA182">
        <f t="shared" si="13"/>
        <v>323.532424608094</v>
      </c>
      <c r="AE182">
        <f t="shared" si="14"/>
        <v>-0.57295812333472396</v>
      </c>
    </row>
    <row r="183" spans="1:31" x14ac:dyDescent="0.2">
      <c r="A183">
        <v>1931.5</v>
      </c>
      <c r="B183">
        <v>0.54464893028924699</v>
      </c>
      <c r="C183">
        <v>0.20087588061596701</v>
      </c>
      <c r="D183">
        <v>5.6568244524849098E-2</v>
      </c>
      <c r="E183">
        <v>-8.8023231805596902E-2</v>
      </c>
      <c r="F183">
        <v>-0.41438121018155699</v>
      </c>
      <c r="G183">
        <v>0.130399219451588</v>
      </c>
      <c r="H183" s="1">
        <v>2.9376495039801999E-5</v>
      </c>
      <c r="I183">
        <v>-0.14574392809299799</v>
      </c>
      <c r="J183">
        <v>3.0380711399440801E-2</v>
      </c>
      <c r="K183">
        <v>1.53014559101854E-2</v>
      </c>
      <c r="L183">
        <v>7.4182449288959999E-4</v>
      </c>
      <c r="M183">
        <v>0.15707032411343</v>
      </c>
      <c r="N183">
        <v>-0.50240444198715395</v>
      </c>
      <c r="O183">
        <v>0.25836856117899998</v>
      </c>
      <c r="P183">
        <v>9.2443603818312598E-4</v>
      </c>
      <c r="Q183">
        <v>0.33097988464435002</v>
      </c>
      <c r="R183">
        <v>0.488792033250669</v>
      </c>
      <c r="S183">
        <v>-0.100032384288331</v>
      </c>
      <c r="U183">
        <v>308</v>
      </c>
      <c r="V183">
        <f t="shared" si="15"/>
        <v>0.56320358306540541</v>
      </c>
      <c r="W183">
        <f t="shared" si="12"/>
        <v>306.96911923076317</v>
      </c>
      <c r="Y183">
        <f t="shared" si="10"/>
        <v>0.80209305543006304</v>
      </c>
      <c r="Z183" s="3">
        <f t="shared" si="11"/>
        <v>0.8333843266315023</v>
      </c>
      <c r="AA183">
        <f t="shared" si="13"/>
        <v>323.40926072135318</v>
      </c>
      <c r="AE183">
        <f t="shared" si="14"/>
        <v>-0.50240444198715384</v>
      </c>
    </row>
    <row r="184" spans="1:31" x14ac:dyDescent="0.2">
      <c r="A184">
        <v>1932.5</v>
      </c>
      <c r="B184">
        <v>0.54935541018601997</v>
      </c>
      <c r="C184">
        <v>0.20319444324900199</v>
      </c>
      <c r="D184">
        <v>5.6933723868510103E-2</v>
      </c>
      <c r="E184">
        <v>-7.6959829953555894E-2</v>
      </c>
      <c r="F184">
        <v>-0.39051290511394898</v>
      </c>
      <c r="G184">
        <v>0.132162374661801</v>
      </c>
      <c r="H184" s="1">
        <v>5.87529900796041E-5</v>
      </c>
      <c r="I184">
        <v>-0.146855316479271</v>
      </c>
      <c r="J184">
        <v>2.9880539220536299E-2</v>
      </c>
      <c r="K184">
        <v>1.5498193732811E-2</v>
      </c>
      <c r="L184">
        <v>-1.58103971867978E-2</v>
      </c>
      <c r="M184">
        <v>-0.229691141399155</v>
      </c>
      <c r="N184">
        <v>-0.46747273506750497</v>
      </c>
      <c r="O184">
        <v>0.26117646208577899</v>
      </c>
      <c r="P184">
        <v>1.0482949682670401E-3</v>
      </c>
      <c r="Q184">
        <v>0.37380368133025199</v>
      </c>
      <c r="R184">
        <v>0.12830214274429899</v>
      </c>
      <c r="S184">
        <v>-0.10141783053584399</v>
      </c>
      <c r="U184">
        <v>308.3</v>
      </c>
      <c r="V184">
        <f t="shared" si="15"/>
        <v>0.5685915685387819</v>
      </c>
      <c r="W184">
        <f t="shared" si="12"/>
        <v>307.23028020161945</v>
      </c>
      <c r="Y184">
        <f t="shared" si="10"/>
        <v>0.80948357730353204</v>
      </c>
      <c r="Z184" s="3">
        <f t="shared" si="11"/>
        <v>0.84127641639775608</v>
      </c>
      <c r="AA184">
        <f t="shared" si="13"/>
        <v>323.87077682695514</v>
      </c>
      <c r="AE184">
        <f t="shared" si="14"/>
        <v>-0.46747273506750486</v>
      </c>
    </row>
    <row r="185" spans="1:31" x14ac:dyDescent="0.2">
      <c r="A185">
        <v>1933.5</v>
      </c>
      <c r="B185">
        <v>0.55473987606026198</v>
      </c>
      <c r="C185">
        <v>0.20556339069110099</v>
      </c>
      <c r="D185">
        <v>5.7479562359420699E-2</v>
      </c>
      <c r="E185">
        <v>-8.2800365102881898E-2</v>
      </c>
      <c r="F185">
        <v>-0.40053641791564198</v>
      </c>
      <c r="G185">
        <v>0.13276375902800899</v>
      </c>
      <c r="H185" s="1">
        <v>8.8129485119406203E-5</v>
      </c>
      <c r="I185">
        <v>-0.14797790658155799</v>
      </c>
      <c r="J185">
        <v>2.97233071893824E-2</v>
      </c>
      <c r="K185">
        <v>1.5699772484773399E-2</v>
      </c>
      <c r="L185">
        <v>-2.27370573430478E-2</v>
      </c>
      <c r="M185">
        <v>-0.49967968910027699</v>
      </c>
      <c r="N185">
        <v>-0.48333678301852401</v>
      </c>
      <c r="O185">
        <v>0.264219981606375</v>
      </c>
      <c r="P185">
        <v>1.17702855585335E-3</v>
      </c>
      <c r="Q185">
        <v>0.36592013625384001</v>
      </c>
      <c r="R185">
        <v>-0.15649661018948499</v>
      </c>
      <c r="S185">
        <v>-0.102466697422283</v>
      </c>
      <c r="U185">
        <v>308.89999999999998</v>
      </c>
      <c r="V185">
        <f t="shared" si="15"/>
        <v>0.57935182852261491</v>
      </c>
      <c r="W185">
        <f t="shared" si="12"/>
        <v>307.52933489988004</v>
      </c>
      <c r="Y185">
        <f t="shared" si="10"/>
        <v>0.81778282911078359</v>
      </c>
      <c r="Z185" s="3">
        <f t="shared" si="11"/>
        <v>0.84925691927236324</v>
      </c>
      <c r="AA185">
        <f t="shared" si="13"/>
        <v>324.33813289348188</v>
      </c>
      <c r="AE185">
        <f t="shared" si="14"/>
        <v>-0.4833367830185239</v>
      </c>
    </row>
    <row r="186" spans="1:31" x14ac:dyDescent="0.2">
      <c r="A186">
        <v>1934.5</v>
      </c>
      <c r="B186">
        <v>0.56144692592510104</v>
      </c>
      <c r="C186">
        <v>0.20826245120123199</v>
      </c>
      <c r="D186">
        <v>5.7836065365723603E-2</v>
      </c>
      <c r="E186">
        <v>-9.3463858533297306E-2</v>
      </c>
      <c r="F186">
        <v>-0.438476341882653</v>
      </c>
      <c r="G186">
        <v>0.138028790669948</v>
      </c>
      <c r="H186">
        <v>1.175059801592E-4</v>
      </c>
      <c r="I186">
        <v>-0.14911210086584201</v>
      </c>
      <c r="J186">
        <v>3.2141833545347297E-2</v>
      </c>
      <c r="K186">
        <v>1.5929924526972401E-2</v>
      </c>
      <c r="L186">
        <v>-1.50303678899228E-2</v>
      </c>
      <c r="M186">
        <v>-3.62800972250703E-2</v>
      </c>
      <c r="N186">
        <v>-0.53194020041595003</v>
      </c>
      <c r="O186">
        <v>0.26742137655533499</v>
      </c>
      <c r="P186">
        <v>1.3228599883788499E-3</v>
      </c>
      <c r="Q186">
        <v>0.33403405592106999</v>
      </c>
      <c r="R186">
        <v>0.28272359080607701</v>
      </c>
      <c r="S186">
        <v>-0.100922836813363</v>
      </c>
      <c r="U186">
        <v>309.3</v>
      </c>
      <c r="V186">
        <f t="shared" si="15"/>
        <v>0.58651373006122043</v>
      </c>
      <c r="W186">
        <f t="shared" si="12"/>
        <v>307.90225343601634</v>
      </c>
      <c r="Y186">
        <f t="shared" si="10"/>
        <v>0.82754544249205664</v>
      </c>
      <c r="Z186" s="3">
        <f t="shared" si="11"/>
        <v>0.86597425633702041</v>
      </c>
      <c r="AA186">
        <f t="shared" si="13"/>
        <v>325.31932467559585</v>
      </c>
      <c r="AE186">
        <f t="shared" si="14"/>
        <v>-0.53194020041595036</v>
      </c>
    </row>
    <row r="187" spans="1:31" x14ac:dyDescent="0.2">
      <c r="A187">
        <v>1935.5</v>
      </c>
      <c r="B187">
        <v>0.56920332975545596</v>
      </c>
      <c r="C187">
        <v>0.210994584149615</v>
      </c>
      <c r="D187">
        <v>5.8277026254676498E-2</v>
      </c>
      <c r="E187">
        <v>-0.10196949209282299</v>
      </c>
      <c r="F187">
        <v>-0.45615123455127599</v>
      </c>
      <c r="G187">
        <v>0.14012733547724701</v>
      </c>
      <c r="H187">
        <v>1.46882475199E-4</v>
      </c>
      <c r="I187">
        <v>-0.15025829802548399</v>
      </c>
      <c r="J187">
        <v>3.25050223824076E-2</v>
      </c>
      <c r="K187">
        <v>1.6163586511285501E-2</v>
      </c>
      <c r="L187">
        <v>1.1584231719452101E-2</v>
      </c>
      <c r="M187">
        <v>0.182152944150589</v>
      </c>
      <c r="N187">
        <v>-0.55812072664409895</v>
      </c>
      <c r="O187">
        <v>0.27077419857798202</v>
      </c>
      <c r="P187">
        <v>1.5025881736902701E-3</v>
      </c>
      <c r="Q187">
        <v>0.32054133050999301</v>
      </c>
      <c r="R187">
        <v>0.51427850638003503</v>
      </c>
      <c r="S187">
        <v>-0.101442806656592</v>
      </c>
      <c r="U187">
        <v>309.7</v>
      </c>
      <c r="V187">
        <f t="shared" si="15"/>
        <v>0.59366637550478885</v>
      </c>
      <c r="W187">
        <f t="shared" si="12"/>
        <v>308.33408098748862</v>
      </c>
      <c r="Y187">
        <f t="shared" si="10"/>
        <v>0.83847494015974744</v>
      </c>
      <c r="Z187" s="3">
        <f t="shared" si="11"/>
        <v>0.87866205715409285</v>
      </c>
      <c r="AA187">
        <f t="shared" si="13"/>
        <v>326.06599145865874</v>
      </c>
      <c r="AE187">
        <f t="shared" si="14"/>
        <v>-0.55812072664409895</v>
      </c>
    </row>
    <row r="188" spans="1:31" x14ac:dyDescent="0.2">
      <c r="A188">
        <v>1936.5</v>
      </c>
      <c r="B188">
        <v>0.58308023667672104</v>
      </c>
      <c r="C188">
        <v>0.21343151287647699</v>
      </c>
      <c r="D188">
        <v>5.8858904524713901E-2</v>
      </c>
      <c r="E188">
        <v>-0.11035519026276699</v>
      </c>
      <c r="F188">
        <v>-0.488686058754839</v>
      </c>
      <c r="G188">
        <v>0.14564426969092101</v>
      </c>
      <c r="H188">
        <v>1.7625897023879999E-4</v>
      </c>
      <c r="I188">
        <v>-0.151416899881189</v>
      </c>
      <c r="J188">
        <v>3.5011434739323902E-2</v>
      </c>
      <c r="K188">
        <v>1.6372646699497E-2</v>
      </c>
      <c r="L188">
        <v>6.9243997344452093E-2</v>
      </c>
      <c r="M188">
        <v>0.22139775849069501</v>
      </c>
      <c r="N188">
        <v>-0.59904124901760603</v>
      </c>
      <c r="O188">
        <v>0.27402697013949101</v>
      </c>
      <c r="P188">
        <v>1.7365527382999699E-3</v>
      </c>
      <c r="Q188">
        <v>0.30385366801739699</v>
      </c>
      <c r="R188">
        <v>0.59449542385254495</v>
      </c>
      <c r="S188">
        <v>-9.9856559472129805E-2</v>
      </c>
      <c r="U188">
        <v>310.10000000000002</v>
      </c>
      <c r="V188">
        <f t="shared" si="15"/>
        <v>0.6008097887477426</v>
      </c>
      <c r="W188">
        <f t="shared" si="12"/>
        <v>309.10817106067293</v>
      </c>
      <c r="Y188">
        <f t="shared" si="10"/>
        <v>0.85537065407791191</v>
      </c>
      <c r="Z188" s="3">
        <f t="shared" si="11"/>
        <v>0.90289491703500357</v>
      </c>
      <c r="AA188">
        <f t="shared" si="13"/>
        <v>327.49684119834779</v>
      </c>
      <c r="AE188">
        <f t="shared" si="14"/>
        <v>-0.59904124901760603</v>
      </c>
    </row>
    <row r="189" spans="1:31" x14ac:dyDescent="0.2">
      <c r="A189">
        <v>1937.5</v>
      </c>
      <c r="B189">
        <v>0.59633654790731405</v>
      </c>
      <c r="C189">
        <v>0.21572819947121399</v>
      </c>
      <c r="D189">
        <v>5.9596665279389498E-2</v>
      </c>
      <c r="E189">
        <v>-0.11994927551665401</v>
      </c>
      <c r="F189">
        <v>-0.50428274229554304</v>
      </c>
      <c r="G189">
        <v>0.147724952087572</v>
      </c>
      <c r="H189">
        <v>2.0563546527860001E-4</v>
      </c>
      <c r="I189">
        <v>-0.15258829108826399</v>
      </c>
      <c r="J189">
        <v>3.5115619032367797E-2</v>
      </c>
      <c r="K189">
        <v>1.6570248590441001E-2</v>
      </c>
      <c r="L189">
        <v>7.2535720977264601E-2</v>
      </c>
      <c r="M189">
        <v>0.19105459587920201</v>
      </c>
      <c r="N189">
        <v>-0.62423201781219795</v>
      </c>
      <c r="O189">
        <v>0.27731526990564198</v>
      </c>
      <c r="P189">
        <v>1.9904051550391402E-3</v>
      </c>
      <c r="Q189">
        <v>0.29644796408815399</v>
      </c>
      <c r="R189">
        <v>0.56003828094462105</v>
      </c>
      <c r="S189">
        <v>-0.10069678800017701</v>
      </c>
      <c r="U189">
        <v>310.60000000000002</v>
      </c>
      <c r="V189">
        <f t="shared" si="15"/>
        <v>0.6097261087714223</v>
      </c>
      <c r="W189">
        <f t="shared" si="12"/>
        <v>309.84945759199007</v>
      </c>
      <c r="Y189">
        <f t="shared" si="10"/>
        <v>0.87166141265791752</v>
      </c>
      <c r="Z189" s="3">
        <f t="shared" si="11"/>
        <v>0.92067998190035205</v>
      </c>
      <c r="AA189">
        <f t="shared" si="13"/>
        <v>328.55096901819405</v>
      </c>
      <c r="AE189">
        <f t="shared" si="14"/>
        <v>-0.62423201781219706</v>
      </c>
    </row>
    <row r="190" spans="1:31" x14ac:dyDescent="0.2">
      <c r="A190">
        <v>1938.5</v>
      </c>
      <c r="B190">
        <v>0.60561379490053302</v>
      </c>
      <c r="C190">
        <v>0.21792748025009001</v>
      </c>
      <c r="D190">
        <v>6.0462321779046098E-2</v>
      </c>
      <c r="E190">
        <v>-0.110317530042781</v>
      </c>
      <c r="F190">
        <v>-0.47036759303602899</v>
      </c>
      <c r="G190">
        <v>0.145715226229159</v>
      </c>
      <c r="H190">
        <v>2.350119603184E-4</v>
      </c>
      <c r="I190">
        <v>-0.15377288496210001</v>
      </c>
      <c r="J190">
        <v>3.2827371138807099E-2</v>
      </c>
      <c r="K190">
        <v>1.6759987996374098E-2</v>
      </c>
      <c r="L190">
        <v>6.2098928985077101E-2</v>
      </c>
      <c r="M190">
        <v>0.19791973167265201</v>
      </c>
      <c r="N190">
        <v>-0.58068512307881004</v>
      </c>
      <c r="O190">
        <v>0.28063415121121499</v>
      </c>
      <c r="P190">
        <v>2.2443491820782202E-3</v>
      </c>
      <c r="Q190">
        <v>0.34732753539549499</v>
      </c>
      <c r="R190">
        <v>0.60734619605322504</v>
      </c>
      <c r="S190">
        <v>-0.10395051386660099</v>
      </c>
      <c r="U190">
        <v>311</v>
      </c>
      <c r="V190">
        <f t="shared" si="15"/>
        <v>0.61684883644906918</v>
      </c>
      <c r="W190">
        <f t="shared" si="12"/>
        <v>310.36929390661203</v>
      </c>
      <c r="Y190">
        <f t="shared" si="10"/>
        <v>0.88400359692966912</v>
      </c>
      <c r="Z190" s="3">
        <f t="shared" si="11"/>
        <v>0.92801265847430603</v>
      </c>
      <c r="AA190">
        <f t="shared" si="13"/>
        <v>328.98656686184069</v>
      </c>
      <c r="AE190">
        <f t="shared" si="14"/>
        <v>-0.58068512307880993</v>
      </c>
    </row>
    <row r="191" spans="1:31" x14ac:dyDescent="0.2">
      <c r="A191">
        <v>1939.5</v>
      </c>
      <c r="B191">
        <v>0.61535717162316395</v>
      </c>
      <c r="C191">
        <v>0.22112392006155299</v>
      </c>
      <c r="D191">
        <v>6.1168698990802503E-2</v>
      </c>
      <c r="E191">
        <v>-0.119994807007235</v>
      </c>
      <c r="F191">
        <v>-0.50300165282217502</v>
      </c>
      <c r="G191">
        <v>0.15123070003935801</v>
      </c>
      <c r="H191">
        <v>2.6438845535819999E-4</v>
      </c>
      <c r="I191">
        <v>-0.154971042166617</v>
      </c>
      <c r="J191">
        <v>3.4904549077023998E-2</v>
      </c>
      <c r="K191">
        <v>1.7036257672494701E-2</v>
      </c>
      <c r="L191">
        <v>5.91972200007021E-2</v>
      </c>
      <c r="M191">
        <v>0.22191605908409501</v>
      </c>
      <c r="N191">
        <v>-0.62299645982941099</v>
      </c>
      <c r="O191">
        <v>0.28480479809256298</v>
      </c>
      <c r="P191">
        <v>2.5121790402070601E-3</v>
      </c>
      <c r="Q191">
        <v>0.32563036296393399</v>
      </c>
      <c r="R191">
        <v>0.60674364204873199</v>
      </c>
      <c r="S191">
        <v>-0.10276584696174</v>
      </c>
      <c r="U191">
        <v>311.2</v>
      </c>
      <c r="V191">
        <f t="shared" si="15"/>
        <v>0.62040676562440211</v>
      </c>
      <c r="W191">
        <f t="shared" si="12"/>
        <v>310.9161880755417</v>
      </c>
      <c r="Y191">
        <f t="shared" si="10"/>
        <v>0.89764979067551942</v>
      </c>
      <c r="Z191" s="3">
        <f t="shared" si="11"/>
        <v>0.94862682279334443</v>
      </c>
      <c r="AA191">
        <f t="shared" si="13"/>
        <v>330.21424825106158</v>
      </c>
      <c r="AE191">
        <f t="shared" si="14"/>
        <v>-0.62299645982940999</v>
      </c>
    </row>
    <row r="192" spans="1:31" x14ac:dyDescent="0.2">
      <c r="A192">
        <v>1940.5</v>
      </c>
      <c r="B192">
        <v>0.62417926587734696</v>
      </c>
      <c r="C192">
        <v>0.222752744776926</v>
      </c>
      <c r="D192">
        <v>6.2006649731571301E-2</v>
      </c>
      <c r="E192">
        <v>-0.13312017378565399</v>
      </c>
      <c r="F192">
        <v>-0.52457096781740398</v>
      </c>
      <c r="G192">
        <v>0.15296371980590201</v>
      </c>
      <c r="H192">
        <v>2.9376495039800001E-4</v>
      </c>
      <c r="I192">
        <v>-0.15534715076776301</v>
      </c>
      <c r="J192">
        <v>3.5275156039051903E-2</v>
      </c>
      <c r="K192">
        <v>1.7177625353240401E-2</v>
      </c>
      <c r="L192">
        <v>3.9774490508514601E-2</v>
      </c>
      <c r="M192">
        <v>0.22690040221312499</v>
      </c>
      <c r="N192">
        <v>-0.65769114160305797</v>
      </c>
      <c r="O192">
        <v>0.28758025271375098</v>
      </c>
      <c r="P192">
        <v>2.8208582052543299E-3</v>
      </c>
      <c r="Q192">
        <v>0.30443149236887002</v>
      </c>
      <c r="R192">
        <v>0.57110638509051004</v>
      </c>
      <c r="S192">
        <v>-0.102600604425073</v>
      </c>
      <c r="U192">
        <v>311.3</v>
      </c>
      <c r="V192">
        <f t="shared" si="15"/>
        <v>0.62218487283378821</v>
      </c>
      <c r="W192">
        <f t="shared" si="12"/>
        <v>311.4122020590741</v>
      </c>
      <c r="Y192">
        <f t="shared" si="10"/>
        <v>0.90893866038584425</v>
      </c>
      <c r="Z192" s="3">
        <f t="shared" si="11"/>
        <v>0.96212263397192788</v>
      </c>
      <c r="AA192">
        <f t="shared" si="13"/>
        <v>331.0204748731237</v>
      </c>
      <c r="AE192">
        <f t="shared" si="14"/>
        <v>-0.65769114160305797</v>
      </c>
    </row>
    <row r="193" spans="1:31" x14ac:dyDescent="0.2">
      <c r="A193">
        <v>1941.5</v>
      </c>
      <c r="B193">
        <v>0.63206747298427601</v>
      </c>
      <c r="C193">
        <v>0.22433275332719901</v>
      </c>
      <c r="D193">
        <v>6.2890313051611205E-2</v>
      </c>
      <c r="E193">
        <v>-0.13806289922867099</v>
      </c>
      <c r="F193">
        <v>-0.53574507260597004</v>
      </c>
      <c r="G193">
        <v>0.15476924433129099</v>
      </c>
      <c r="H193">
        <v>3.1665572575370003E-4</v>
      </c>
      <c r="I193">
        <v>-0.15490201022192299</v>
      </c>
      <c r="J193">
        <v>3.59559687309721E-2</v>
      </c>
      <c r="K193">
        <v>1.7315021539851198E-2</v>
      </c>
      <c r="L193">
        <v>2.40647004694521E-2</v>
      </c>
      <c r="M193">
        <v>0.22757256873194201</v>
      </c>
      <c r="N193">
        <v>-0.67380797183464103</v>
      </c>
      <c r="O193">
        <v>0.29040901552569498</v>
      </c>
      <c r="P193">
        <v>3.1859491468850601E-3</v>
      </c>
      <c r="Q193">
        <v>0.30212339678127498</v>
      </c>
      <c r="R193">
        <v>0.55376066598267004</v>
      </c>
      <c r="S193">
        <v>-0.101314364225346</v>
      </c>
      <c r="U193">
        <v>311</v>
      </c>
      <c r="V193">
        <f t="shared" si="15"/>
        <v>0.61684883644906918</v>
      </c>
      <c r="W193">
        <f t="shared" si="12"/>
        <v>311.85637916594266</v>
      </c>
      <c r="Y193">
        <f t="shared" si="10"/>
        <v>0.91929053936308625</v>
      </c>
      <c r="Z193" s="3">
        <f t="shared" si="11"/>
        <v>0.97593136861591634</v>
      </c>
      <c r="AA193">
        <f t="shared" si="13"/>
        <v>331.84743269096907</v>
      </c>
      <c r="AE193">
        <f t="shared" si="14"/>
        <v>-0.67380797183464103</v>
      </c>
    </row>
    <row r="194" spans="1:31" x14ac:dyDescent="0.2">
      <c r="A194">
        <v>1942.5</v>
      </c>
      <c r="B194">
        <v>0.63829865448675704</v>
      </c>
      <c r="C194">
        <v>0.22683482136764299</v>
      </c>
      <c r="D194">
        <v>6.3873249270398294E-2</v>
      </c>
      <c r="E194">
        <v>-0.14217651720428101</v>
      </c>
      <c r="F194">
        <v>-0.55367015868439096</v>
      </c>
      <c r="G194">
        <v>0.15694923146998499</v>
      </c>
      <c r="H194">
        <v>3.433616303353E-4</v>
      </c>
      <c r="I194">
        <v>-0.15447328647910599</v>
      </c>
      <c r="J194">
        <v>3.7337893405546503E-2</v>
      </c>
      <c r="K194">
        <v>1.75328512164637E-2</v>
      </c>
      <c r="L194">
        <v>5.5936067194521004E-3</v>
      </c>
      <c r="M194">
        <v>0.22751127419966499</v>
      </c>
      <c r="N194">
        <v>-0.69584667588867199</v>
      </c>
      <c r="O194">
        <v>0.29435301490118498</v>
      </c>
      <c r="P194">
        <v>3.6449442631440298E-3</v>
      </c>
      <c r="Q194">
        <v>0.29449504474249499</v>
      </c>
      <c r="R194">
        <v>0.52759992566161196</v>
      </c>
      <c r="S194">
        <v>-9.9259180226761001E-2</v>
      </c>
      <c r="U194">
        <v>310.7</v>
      </c>
      <c r="V194">
        <f t="shared" si="15"/>
        <v>0.61150765027774767</v>
      </c>
      <c r="W194">
        <f t="shared" si="12"/>
        <v>312.20769865742449</v>
      </c>
      <c r="Y194">
        <f t="shared" si="10"/>
        <v>0.92900672512479832</v>
      </c>
      <c r="Z194" s="3">
        <f t="shared" si="11"/>
        <v>0.99034172063116677</v>
      </c>
      <c r="AA194">
        <f t="shared" si="13"/>
        <v>332.71262227633349</v>
      </c>
      <c r="AE194">
        <f t="shared" si="14"/>
        <v>-0.69584667588867199</v>
      </c>
    </row>
    <row r="195" spans="1:31" x14ac:dyDescent="0.2">
      <c r="A195">
        <v>1943.5</v>
      </c>
      <c r="B195">
        <v>0.64199133266853303</v>
      </c>
      <c r="C195">
        <v>0.22908080033804301</v>
      </c>
      <c r="D195">
        <v>6.6157802504355698E-2</v>
      </c>
      <c r="E195">
        <v>-0.14328200659464399</v>
      </c>
      <c r="F195">
        <v>-0.55635365572706397</v>
      </c>
      <c r="G195">
        <v>0.159806260470821</v>
      </c>
      <c r="H195">
        <v>3.7006753491690002E-4</v>
      </c>
      <c r="I195">
        <v>-0.15406285419395699</v>
      </c>
      <c r="J195">
        <v>3.77624154042338E-2</v>
      </c>
      <c r="K195">
        <v>1.7729589039089302E-2</v>
      </c>
      <c r="L195">
        <v>-1.3064694061797799E-2</v>
      </c>
      <c r="M195">
        <v>-0.38044860566180899</v>
      </c>
      <c r="N195">
        <v>-0.69963566232170904</v>
      </c>
      <c r="O195">
        <v>0.299434845045224</v>
      </c>
      <c r="P195">
        <v>4.1962422028256098E-3</v>
      </c>
      <c r="Q195">
        <v>0.30339599364715197</v>
      </c>
      <c r="R195">
        <v>-9.0117306076455198E-2</v>
      </c>
      <c r="S195">
        <v>-9.8200782215717902E-2</v>
      </c>
      <c r="U195">
        <v>310.5</v>
      </c>
      <c r="V195">
        <f t="shared" si="15"/>
        <v>0.60794399359208384</v>
      </c>
      <c r="W195">
        <f t="shared" si="12"/>
        <v>312.41608183873279</v>
      </c>
      <c r="Y195">
        <f t="shared" ref="Y195:Y258" si="16">SUM(B195:D195)</f>
        <v>0.9372299355109317</v>
      </c>
      <c r="Z195" s="3">
        <f t="shared" si="11"/>
        <v>1.0030316559688615</v>
      </c>
      <c r="AA195">
        <f t="shared" si="13"/>
        <v>333.47638663362244</v>
      </c>
      <c r="AE195">
        <f t="shared" si="14"/>
        <v>-0.69963566232170793</v>
      </c>
    </row>
    <row r="196" spans="1:31" x14ac:dyDescent="0.2">
      <c r="A196">
        <v>1944.5</v>
      </c>
      <c r="B196">
        <v>0.64223548914096795</v>
      </c>
      <c r="C196">
        <v>0.230897415445496</v>
      </c>
      <c r="D196">
        <v>6.6948426775250994E-2</v>
      </c>
      <c r="E196">
        <v>-0.13891739474551801</v>
      </c>
      <c r="F196">
        <v>-0.55035836804608995</v>
      </c>
      <c r="G196">
        <v>0.162601634778199</v>
      </c>
      <c r="H196">
        <v>4.0058856872450001E-4</v>
      </c>
      <c r="I196">
        <v>-0.15367256205284799</v>
      </c>
      <c r="J196">
        <v>3.7920079820131097E-2</v>
      </c>
      <c r="K196">
        <v>1.78885117972882E-2</v>
      </c>
      <c r="L196">
        <v>-7.8696989446102993E-3</v>
      </c>
      <c r="M196">
        <v>-0.28536022900072799</v>
      </c>
      <c r="N196">
        <v>-0.68927576279160896</v>
      </c>
      <c r="O196">
        <v>0.30269682515219798</v>
      </c>
      <c r="P196">
        <v>4.85098293145147E-3</v>
      </c>
      <c r="Q196">
        <v>0.32079480441305203</v>
      </c>
      <c r="R196">
        <v>2.75648764677132E-2</v>
      </c>
      <c r="S196">
        <v>-9.7463381866704696E-2</v>
      </c>
      <c r="U196">
        <v>310.2</v>
      </c>
      <c r="V196">
        <f t="shared" si="15"/>
        <v>0.60259420231845695</v>
      </c>
      <c r="W196">
        <f t="shared" si="12"/>
        <v>312.42986484341469</v>
      </c>
      <c r="Y196">
        <f t="shared" si="16"/>
        <v>0.94008133136171501</v>
      </c>
      <c r="Z196" s="3">
        <f t="shared" ref="Z196:Z259" si="17">K196+J196+I196+H196+G196+D196+C196+B196+P196</f>
        <v>1.010070567204661</v>
      </c>
      <c r="AA196">
        <f t="shared" si="13"/>
        <v>333.90079065065981</v>
      </c>
      <c r="AE196">
        <f t="shared" si="14"/>
        <v>-0.68927576279160796</v>
      </c>
    </row>
    <row r="197" spans="1:31" x14ac:dyDescent="0.2">
      <c r="A197">
        <v>1945.5</v>
      </c>
      <c r="B197">
        <v>0.64157787637785202</v>
      </c>
      <c r="C197">
        <v>0.23242924213713401</v>
      </c>
      <c r="D197">
        <v>6.7767846554643699E-2</v>
      </c>
      <c r="E197">
        <v>-0.119419053761757</v>
      </c>
      <c r="F197">
        <v>-0.49516552412859399</v>
      </c>
      <c r="G197">
        <v>0.161789179683342</v>
      </c>
      <c r="H197">
        <v>4.311096025321E-4</v>
      </c>
      <c r="I197">
        <v>-0.15330431268818601</v>
      </c>
      <c r="J197">
        <v>3.4518341304221101E-2</v>
      </c>
      <c r="K197">
        <v>1.80228327593864E-2</v>
      </c>
      <c r="L197">
        <v>2.7512429961639599E-2</v>
      </c>
      <c r="M197">
        <v>8.3939135820271002E-2</v>
      </c>
      <c r="N197">
        <v>-0.61458457789035104</v>
      </c>
      <c r="O197">
        <v>0.30566086194896702</v>
      </c>
      <c r="P197">
        <v>5.4637732571885898E-3</v>
      </c>
      <c r="Q197">
        <v>0.39411131109776298</v>
      </c>
      <c r="R197">
        <v>0.50556287687967405</v>
      </c>
      <c r="S197">
        <v>-0.10033202902204599</v>
      </c>
      <c r="U197">
        <v>310.3</v>
      </c>
      <c r="V197">
        <f t="shared" si="15"/>
        <v>0.60437804073571044</v>
      </c>
      <c r="W197">
        <f t="shared" si="12"/>
        <v>312.39274298813581</v>
      </c>
      <c r="Y197">
        <f t="shared" si="16"/>
        <v>0.94177496506962977</v>
      </c>
      <c r="Z197" s="3">
        <f t="shared" si="17"/>
        <v>1.0086958889881139</v>
      </c>
      <c r="AA197">
        <f t="shared" si="13"/>
        <v>333.81786340079913</v>
      </c>
      <c r="AE197">
        <f t="shared" si="14"/>
        <v>-0.61458457789035104</v>
      </c>
    </row>
    <row r="198" spans="1:31" x14ac:dyDescent="0.2">
      <c r="A198">
        <v>1946.5</v>
      </c>
      <c r="B198">
        <v>0.641504162538027</v>
      </c>
      <c r="C198">
        <v>0.23460630834738699</v>
      </c>
      <c r="D198">
        <v>6.84893089930705E-2</v>
      </c>
      <c r="E198">
        <v>-0.11479815150391499</v>
      </c>
      <c r="F198">
        <v>-0.48248171614438101</v>
      </c>
      <c r="G198">
        <v>0.161451403523863</v>
      </c>
      <c r="H198">
        <v>4.6926089479160002E-4</v>
      </c>
      <c r="I198">
        <v>-0.15296001325956099</v>
      </c>
      <c r="J198">
        <v>3.4156761250280103E-2</v>
      </c>
      <c r="K198">
        <v>1.8213865584355698E-2</v>
      </c>
      <c r="L198">
        <v>4.4563870391327101E-2</v>
      </c>
      <c r="M198">
        <v>0.19213434662678799</v>
      </c>
      <c r="N198">
        <v>-0.59727986764829599</v>
      </c>
      <c r="O198">
        <v>0.30939366498014398</v>
      </c>
      <c r="P198">
        <v>6.2980476396868896E-3</v>
      </c>
      <c r="Q198">
        <v>0.41494923786360399</v>
      </c>
      <c r="R198">
        <v>0.65164745488172005</v>
      </c>
      <c r="S198">
        <v>-0.100120125530133</v>
      </c>
      <c r="U198">
        <v>310.3</v>
      </c>
      <c r="V198">
        <f t="shared" si="15"/>
        <v>0.60437804073571044</v>
      </c>
      <c r="W198">
        <f t="shared" si="12"/>
        <v>312.38858215997953</v>
      </c>
      <c r="Y198">
        <f t="shared" si="16"/>
        <v>0.94459977987848442</v>
      </c>
      <c r="Z198" s="3">
        <f t="shared" si="17"/>
        <v>1.012229105511901</v>
      </c>
      <c r="AA198">
        <f t="shared" si="13"/>
        <v>334.03104571095679</v>
      </c>
      <c r="AE198">
        <f t="shared" si="14"/>
        <v>-0.59727986764829599</v>
      </c>
    </row>
    <row r="199" spans="1:31" x14ac:dyDescent="0.2">
      <c r="A199">
        <v>1947.5</v>
      </c>
      <c r="B199">
        <v>0.64304087031567603</v>
      </c>
      <c r="C199">
        <v>0.23760109451040801</v>
      </c>
      <c r="D199">
        <v>6.8798951900144401E-2</v>
      </c>
      <c r="E199">
        <v>-0.129482488932608</v>
      </c>
      <c r="F199">
        <v>-0.509374554648516</v>
      </c>
      <c r="G199">
        <v>0.16607238435246899</v>
      </c>
      <c r="H199">
        <v>5.0359705782510001E-4</v>
      </c>
      <c r="I199">
        <v>-0.15264151392575501</v>
      </c>
      <c r="J199">
        <v>3.4698369613447202E-2</v>
      </c>
      <c r="K199">
        <v>1.8476981027875001E-2</v>
      </c>
      <c r="L199">
        <v>9.0055178985077103E-2</v>
      </c>
      <c r="M199">
        <v>-8.3986051238603993E-3</v>
      </c>
      <c r="N199">
        <v>-0.63885704358112405</v>
      </c>
      <c r="O199">
        <v>0.31357291336315601</v>
      </c>
      <c r="P199">
        <v>7.1728669526032202E-3</v>
      </c>
      <c r="Q199">
        <v>0.38486655822356902</v>
      </c>
      <c r="R199">
        <v>0.46652313208478602</v>
      </c>
      <c r="S199">
        <v>-9.8962566226608498E-2</v>
      </c>
      <c r="U199">
        <v>310.39999999999998</v>
      </c>
      <c r="V199">
        <f t="shared" si="15"/>
        <v>0.60616130437015059</v>
      </c>
      <c r="W199">
        <f t="shared" si="12"/>
        <v>312.47533414843701</v>
      </c>
      <c r="Y199">
        <f t="shared" si="16"/>
        <v>0.94944091672622843</v>
      </c>
      <c r="Z199" s="3">
        <f t="shared" si="17"/>
        <v>1.0237236018046929</v>
      </c>
      <c r="AA199">
        <f t="shared" si="13"/>
        <v>334.72552701226618</v>
      </c>
      <c r="AE199">
        <f t="shared" si="14"/>
        <v>-0.63885704358112405</v>
      </c>
    </row>
    <row r="200" spans="1:31" x14ac:dyDescent="0.2">
      <c r="A200">
        <v>1948.5</v>
      </c>
      <c r="B200">
        <v>0.64349906838612303</v>
      </c>
      <c r="C200">
        <v>0.24059274450929999</v>
      </c>
      <c r="D200">
        <v>6.8971521173129893E-2</v>
      </c>
      <c r="E200">
        <v>-0.13550683952949399</v>
      </c>
      <c r="F200">
        <v>-0.53169270311274497</v>
      </c>
      <c r="G200">
        <v>0.17231022055147199</v>
      </c>
      <c r="H200">
        <v>5.4556347931059999E-4</v>
      </c>
      <c r="I200">
        <v>-0.152350718011144</v>
      </c>
      <c r="J200">
        <v>3.6449450373658897E-2</v>
      </c>
      <c r="K200">
        <v>1.87405419227635E-2</v>
      </c>
      <c r="L200">
        <v>0.10562456375070201</v>
      </c>
      <c r="M200">
        <v>5.5896430253197703E-2</v>
      </c>
      <c r="N200">
        <v>-0.66719954264224002</v>
      </c>
      <c r="O200">
        <v>0.31768492208780902</v>
      </c>
      <c r="P200">
        <v>8.1206564053795203E-3</v>
      </c>
      <c r="Q200">
        <v>0.36967950614775302</v>
      </c>
      <c r="R200">
        <v>0.53120050015165299</v>
      </c>
      <c r="S200">
        <v>-9.6615162235411695E-2</v>
      </c>
      <c r="U200">
        <v>310.5</v>
      </c>
      <c r="V200">
        <f t="shared" si="15"/>
        <v>0.60794399359208384</v>
      </c>
      <c r="W200">
        <f t="shared" si="12"/>
        <v>312.50120553326548</v>
      </c>
      <c r="Y200">
        <f t="shared" si="16"/>
        <v>0.95306333406855293</v>
      </c>
      <c r="Z200" s="3">
        <f t="shared" si="17"/>
        <v>1.0368790487899935</v>
      </c>
      <c r="AA200">
        <f t="shared" si="13"/>
        <v>335.52213272341129</v>
      </c>
      <c r="AE200">
        <f t="shared" si="14"/>
        <v>-0.66719954264223902</v>
      </c>
    </row>
    <row r="201" spans="1:31" x14ac:dyDescent="0.2">
      <c r="A201">
        <v>1949.5</v>
      </c>
      <c r="B201">
        <v>0.64530111777849697</v>
      </c>
      <c r="C201">
        <v>0.24294408650059399</v>
      </c>
      <c r="D201">
        <v>6.9135287165369499E-2</v>
      </c>
      <c r="E201">
        <v>-0.135850343636261</v>
      </c>
      <c r="F201">
        <v>-0.52613460805997103</v>
      </c>
      <c r="G201">
        <v>0.17169931795979201</v>
      </c>
      <c r="H201">
        <v>5.8752990079600001E-4</v>
      </c>
      <c r="I201">
        <v>-0.152089481272069</v>
      </c>
      <c r="J201">
        <v>3.5117023008485397E-2</v>
      </c>
      <c r="K201">
        <v>1.8948265756868001E-2</v>
      </c>
      <c r="L201">
        <v>9.0601199492889598E-2</v>
      </c>
      <c r="M201">
        <v>0.18929411327094001</v>
      </c>
      <c r="N201">
        <v>-0.66198495169623295</v>
      </c>
      <c r="O201">
        <v>0.32118212994448903</v>
      </c>
      <c r="P201">
        <v>9.1027562785254198E-3</v>
      </c>
      <c r="Q201">
        <v>0.37876095138062499</v>
      </c>
      <c r="R201">
        <v>0.65865626414445599</v>
      </c>
      <c r="S201">
        <v>-9.7436662605920293E-2</v>
      </c>
      <c r="U201">
        <v>310.89999999999998</v>
      </c>
      <c r="V201">
        <f t="shared" si="15"/>
        <v>0.6150690137478918</v>
      </c>
      <c r="W201">
        <f t="shared" si="12"/>
        <v>312.60297600691086</v>
      </c>
      <c r="Y201">
        <f t="shared" si="16"/>
        <v>0.95738049144446047</v>
      </c>
      <c r="Z201" s="3">
        <f t="shared" si="17"/>
        <v>1.0407459030768584</v>
      </c>
      <c r="AA201">
        <f t="shared" si="13"/>
        <v>335.75664382734175</v>
      </c>
      <c r="AE201">
        <f t="shared" si="14"/>
        <v>-0.66198495169623206</v>
      </c>
    </row>
    <row r="202" spans="1:31" x14ac:dyDescent="0.2">
      <c r="A202">
        <v>1950.5</v>
      </c>
      <c r="B202">
        <v>0.64848113438551203</v>
      </c>
      <c r="C202">
        <v>0.244667669872317</v>
      </c>
      <c r="D202">
        <v>6.9648928728714005E-2</v>
      </c>
      <c r="E202">
        <v>-0.14784302901274399</v>
      </c>
      <c r="F202">
        <v>-0.56625558237176099</v>
      </c>
      <c r="G202">
        <v>0.179816245403769</v>
      </c>
      <c r="H202">
        <v>6.371265807333E-4</v>
      </c>
      <c r="I202">
        <v>-0.15274546215151999</v>
      </c>
      <c r="J202">
        <v>3.7904615923544202E-2</v>
      </c>
      <c r="K202">
        <v>1.9101064900461599E-2</v>
      </c>
      <c r="L202">
        <v>5.6950735625702097E-2</v>
      </c>
      <c r="M202">
        <v>0.21777804305107001</v>
      </c>
      <c r="N202">
        <v>-0.71409861138450403</v>
      </c>
      <c r="O202">
        <v>0.32442132135824397</v>
      </c>
      <c r="P202">
        <v>1.0104722757212799E-2</v>
      </c>
      <c r="Q202">
        <v>0.34351743501623999</v>
      </c>
      <c r="R202">
        <v>0.61824621369301203</v>
      </c>
      <c r="S202">
        <v>-9.5102654746781604E-2</v>
      </c>
      <c r="U202">
        <v>311.3</v>
      </c>
      <c r="V202">
        <f t="shared" si="15"/>
        <v>0.62218487283378821</v>
      </c>
      <c r="W202">
        <f t="shared" si="12"/>
        <v>312.78264783012065</v>
      </c>
      <c r="Y202">
        <f t="shared" si="16"/>
        <v>0.96279773298654303</v>
      </c>
      <c r="Z202" s="3">
        <f t="shared" si="17"/>
        <v>1.057616046400744</v>
      </c>
      <c r="AA202">
        <f t="shared" si="13"/>
        <v>336.7816776047639</v>
      </c>
      <c r="AE202">
        <f t="shared" si="14"/>
        <v>-0.71409861138450492</v>
      </c>
    </row>
    <row r="203" spans="1:31" x14ac:dyDescent="0.2">
      <c r="A203">
        <v>1951.5</v>
      </c>
      <c r="B203">
        <v>0.65172972296057996</v>
      </c>
      <c r="C203">
        <v>0.24714115111162299</v>
      </c>
      <c r="D203">
        <v>7.0089329131017605E-2</v>
      </c>
      <c r="E203">
        <v>-0.15558507893262899</v>
      </c>
      <c r="F203">
        <v>-0.55258999134818998</v>
      </c>
      <c r="G203">
        <v>0.17795582213642</v>
      </c>
      <c r="H203">
        <v>6.8672326067059999E-4</v>
      </c>
      <c r="I203">
        <v>-0.154445423216754</v>
      </c>
      <c r="J203">
        <v>3.5300826829863297E-2</v>
      </c>
      <c r="K203">
        <v>1.9320644181246901E-2</v>
      </c>
      <c r="L203">
        <v>1.2457864531952099E-2</v>
      </c>
      <c r="M203">
        <v>0.103036721328748</v>
      </c>
      <c r="N203">
        <v>-0.70817507028081905</v>
      </c>
      <c r="O203">
        <v>0.32839557500792699</v>
      </c>
      <c r="P203">
        <v>1.11650947652868E-2</v>
      </c>
      <c r="Q203">
        <v>0.35076882087913502</v>
      </c>
      <c r="R203">
        <v>0.46626340673983602</v>
      </c>
      <c r="S203">
        <v>-9.9137228944973899E-2</v>
      </c>
      <c r="U203">
        <v>311.8</v>
      </c>
      <c r="V203">
        <f t="shared" si="15"/>
        <v>0.63106684977086402</v>
      </c>
      <c r="W203">
        <f t="shared" si="12"/>
        <v>312.9663006215344</v>
      </c>
      <c r="Y203">
        <f t="shared" si="16"/>
        <v>0.96896020320322052</v>
      </c>
      <c r="Z203" s="3">
        <f t="shared" si="17"/>
        <v>1.0589438911599542</v>
      </c>
      <c r="AA203">
        <f t="shared" si="13"/>
        <v>336.86249048045528</v>
      </c>
      <c r="AE203">
        <f t="shared" si="14"/>
        <v>-0.70817507028081894</v>
      </c>
    </row>
    <row r="204" spans="1:31" x14ac:dyDescent="0.2">
      <c r="A204">
        <v>1952.5</v>
      </c>
      <c r="B204">
        <v>0.65735932844331602</v>
      </c>
      <c r="C204">
        <v>0.24986003709990101</v>
      </c>
      <c r="D204">
        <v>7.0682507343284406E-2</v>
      </c>
      <c r="E204">
        <v>-0.16165816761021101</v>
      </c>
      <c r="F204">
        <v>-0.56771797352832298</v>
      </c>
      <c r="G204">
        <v>0.18185979568444699</v>
      </c>
      <c r="H204">
        <v>7.401350698339E-4</v>
      </c>
      <c r="I204">
        <v>-0.156148278673475</v>
      </c>
      <c r="J204">
        <v>3.58739104301928E-2</v>
      </c>
      <c r="K204">
        <v>1.9562705338967E-2</v>
      </c>
      <c r="L204">
        <v>1.04453889460146E-2</v>
      </c>
      <c r="M204">
        <v>0.10033306864352499</v>
      </c>
      <c r="N204">
        <v>-0.72937614113853499</v>
      </c>
      <c r="O204">
        <v>0.33275921795232</v>
      </c>
      <c r="P204">
        <v>1.2216673509135001E-2</v>
      </c>
      <c r="Q204">
        <v>0.34263067310706702</v>
      </c>
      <c r="R204">
        <v>0.45340913069660699</v>
      </c>
      <c r="S204">
        <v>-9.9971527834481599E-2</v>
      </c>
      <c r="U204">
        <v>312.2</v>
      </c>
      <c r="V204">
        <f t="shared" si="15"/>
        <v>0.63816218233454336</v>
      </c>
      <c r="W204">
        <f t="shared" si="12"/>
        <v>313.28481507269152</v>
      </c>
      <c r="Y204">
        <f t="shared" si="16"/>
        <v>0.97790187288650143</v>
      </c>
      <c r="Z204" s="3">
        <f t="shared" si="17"/>
        <v>1.0720068142456021</v>
      </c>
      <c r="AA204">
        <f t="shared" si="13"/>
        <v>337.6585368500098</v>
      </c>
      <c r="AE204">
        <f t="shared" si="14"/>
        <v>-0.729376141138534</v>
      </c>
    </row>
    <row r="205" spans="1:31" x14ac:dyDescent="0.2">
      <c r="A205">
        <v>1953.5</v>
      </c>
      <c r="B205">
        <v>0.66404028779976199</v>
      </c>
      <c r="C205">
        <v>0.25431448980789001</v>
      </c>
      <c r="D205">
        <v>7.1773961593615807E-2</v>
      </c>
      <c r="E205">
        <v>-0.16767371692293401</v>
      </c>
      <c r="F205">
        <v>-0.58503140173299095</v>
      </c>
      <c r="G205">
        <v>0.187916988893673</v>
      </c>
      <c r="H205">
        <v>8.0117713744909998E-4</v>
      </c>
      <c r="I205">
        <v>-0.15770565606311099</v>
      </c>
      <c r="J205">
        <v>3.6829661932726999E-2</v>
      </c>
      <c r="K205">
        <v>1.9960792547353001E-2</v>
      </c>
      <c r="L205">
        <v>-2.6123014836728002E-3</v>
      </c>
      <c r="M205">
        <v>0.15960154753765399</v>
      </c>
      <c r="N205">
        <v>-0.75270511865592404</v>
      </c>
      <c r="O205">
        <v>0.33949049602827802</v>
      </c>
      <c r="P205">
        <v>1.34020446267721E-2</v>
      </c>
      <c r="Q205">
        <v>0.33862862962020701</v>
      </c>
      <c r="R205">
        <v>0.49561787567418802</v>
      </c>
      <c r="S205">
        <v>-0.100114024445582</v>
      </c>
      <c r="U205">
        <v>312.60000000000002</v>
      </c>
      <c r="V205">
        <f t="shared" si="15"/>
        <v>0.6452484299628729</v>
      </c>
      <c r="W205">
        <f t="shared" si="12"/>
        <v>313.66323416315186</v>
      </c>
      <c r="Y205">
        <f t="shared" si="16"/>
        <v>0.99012873920126776</v>
      </c>
      <c r="Z205" s="3">
        <f t="shared" si="17"/>
        <v>1.0913337482761312</v>
      </c>
      <c r="AA205">
        <f t="shared" si="13"/>
        <v>338.83975996126065</v>
      </c>
      <c r="AE205">
        <f t="shared" si="14"/>
        <v>-0.75270511865592493</v>
      </c>
    </row>
    <row r="206" spans="1:31" x14ac:dyDescent="0.2">
      <c r="A206">
        <v>1954.5</v>
      </c>
      <c r="B206">
        <v>0.67030946746647502</v>
      </c>
      <c r="C206">
        <v>0.25973968224354099</v>
      </c>
      <c r="D206">
        <v>7.25273902054306E-2</v>
      </c>
      <c r="E206">
        <v>-0.171914304171216</v>
      </c>
      <c r="F206">
        <v>-0.59509520392049398</v>
      </c>
      <c r="G206">
        <v>0.192234695388735</v>
      </c>
      <c r="H206">
        <v>8.6603433429020002E-4</v>
      </c>
      <c r="I206">
        <v>-0.15938663076283499</v>
      </c>
      <c r="J206">
        <v>3.7541538625619202E-2</v>
      </c>
      <c r="K206">
        <v>2.0447707052263502E-2</v>
      </c>
      <c r="L206">
        <v>-2.4562956242977999E-3</v>
      </c>
      <c r="M206">
        <v>0.19674125680635399</v>
      </c>
      <c r="N206">
        <v>-0.76700950809171098</v>
      </c>
      <c r="O206">
        <v>0.34702629476583002</v>
      </c>
      <c r="P206">
        <v>1.47592223168588E-2</v>
      </c>
      <c r="Q206">
        <v>0.34202959877866601</v>
      </c>
      <c r="R206">
        <v>0.53631455996072297</v>
      </c>
      <c r="S206">
        <v>-0.100531350750662</v>
      </c>
      <c r="U206">
        <v>313.2</v>
      </c>
      <c r="V206">
        <f t="shared" si="15"/>
        <v>0.65586081795411033</v>
      </c>
      <c r="W206">
        <f t="shared" si="12"/>
        <v>314.01874515692271</v>
      </c>
      <c r="Y206">
        <f t="shared" si="16"/>
        <v>1.0025765399154467</v>
      </c>
      <c r="Z206" s="3">
        <f t="shared" si="17"/>
        <v>1.1090391068703784</v>
      </c>
      <c r="AA206">
        <f t="shared" si="13"/>
        <v>339.92550204028277</v>
      </c>
      <c r="AE206">
        <f t="shared" si="14"/>
        <v>-0.76700950809170998</v>
      </c>
    </row>
    <row r="207" spans="1:31" x14ac:dyDescent="0.2">
      <c r="A207">
        <v>1955.5</v>
      </c>
      <c r="B207">
        <v>0.67578007796641004</v>
      </c>
      <c r="C207">
        <v>0.26569286737036002</v>
      </c>
      <c r="D207">
        <v>7.3565611182970198E-2</v>
      </c>
      <c r="E207">
        <v>-0.18744168120226401</v>
      </c>
      <c r="F207">
        <v>-0.62326312110957205</v>
      </c>
      <c r="G207">
        <v>0.19994995224966</v>
      </c>
      <c r="H207">
        <v>9.3470666035729998E-4</v>
      </c>
      <c r="I207">
        <v>-0.161121903188678</v>
      </c>
      <c r="J207">
        <v>3.8680085224459301E-2</v>
      </c>
      <c r="K207">
        <v>2.0985188337903901E-2</v>
      </c>
      <c r="L207">
        <v>2.4844729766327098E-2</v>
      </c>
      <c r="M207">
        <v>0.19681370649260599</v>
      </c>
      <c r="N207">
        <v>-0.81070480231183595</v>
      </c>
      <c r="O207">
        <v>0.35556144050446398</v>
      </c>
      <c r="P207">
        <v>1.6302961951133298E-2</v>
      </c>
      <c r="Q207">
        <v>0.32006474544274</v>
      </c>
      <c r="R207">
        <v>0.54172318170167399</v>
      </c>
      <c r="S207">
        <v>-0.10052192296595799</v>
      </c>
      <c r="U207">
        <v>313.7</v>
      </c>
      <c r="V207">
        <f t="shared" si="15"/>
        <v>0.66468895611830803</v>
      </c>
      <c r="W207">
        <f t="shared" si="12"/>
        <v>314.32930030502746</v>
      </c>
      <c r="Y207">
        <f t="shared" si="16"/>
        <v>1.0150385565197402</v>
      </c>
      <c r="Z207" s="3">
        <f t="shared" si="17"/>
        <v>1.1307695477545761</v>
      </c>
      <c r="AA207">
        <f t="shared" si="13"/>
        <v>341.26282987885401</v>
      </c>
      <c r="AE207">
        <f t="shared" si="14"/>
        <v>-0.81070480231183606</v>
      </c>
    </row>
    <row r="208" spans="1:31" x14ac:dyDescent="0.2">
      <c r="A208">
        <v>1956.5</v>
      </c>
      <c r="B208">
        <v>0.68059458430612996</v>
      </c>
      <c r="C208">
        <v>0.272686672053226</v>
      </c>
      <c r="D208">
        <v>7.4762944881488796E-2</v>
      </c>
      <c r="E208">
        <v>-0.20197715388500301</v>
      </c>
      <c r="F208">
        <v>-0.668283032234402</v>
      </c>
      <c r="G208">
        <v>0.20997732437639399</v>
      </c>
      <c r="H208">
        <v>1.0110092448763E-3</v>
      </c>
      <c r="I208">
        <v>-0.16267272161173801</v>
      </c>
      <c r="J208">
        <v>4.2019261722113899E-2</v>
      </c>
      <c r="K208">
        <v>2.1620701126071101E-2</v>
      </c>
      <c r="L208">
        <v>8.4984988555389607E-2</v>
      </c>
      <c r="M208">
        <v>-5.1924125703763903E-2</v>
      </c>
      <c r="N208">
        <v>-0.87026018611940603</v>
      </c>
      <c r="O208">
        <v>0.36552001847368598</v>
      </c>
      <c r="P208">
        <v>1.8070401538971E-2</v>
      </c>
      <c r="Q208">
        <v>0.28780999151812697</v>
      </c>
      <c r="R208">
        <v>0.32087085436975199</v>
      </c>
      <c r="S208">
        <v>-9.8021749518677107E-2</v>
      </c>
      <c r="U208">
        <v>314.3</v>
      </c>
      <c r="V208">
        <f t="shared" si="15"/>
        <v>0.67526416693149827</v>
      </c>
      <c r="W208">
        <f t="shared" si="12"/>
        <v>314.60286386467101</v>
      </c>
      <c r="Y208">
        <f t="shared" si="16"/>
        <v>1.0280442012408448</v>
      </c>
      <c r="Z208" s="3">
        <f t="shared" si="17"/>
        <v>1.1580701776375331</v>
      </c>
      <c r="AA208">
        <f t="shared" si="13"/>
        <v>342.95041609438931</v>
      </c>
      <c r="AE208">
        <f t="shared" si="14"/>
        <v>-0.87026018611940503</v>
      </c>
    </row>
    <row r="209" spans="1:31" x14ac:dyDescent="0.2">
      <c r="A209">
        <v>1957.5</v>
      </c>
      <c r="B209">
        <v>0.68559893083304002</v>
      </c>
      <c r="C209">
        <v>0.27975214710287299</v>
      </c>
      <c r="D209">
        <v>7.5895199205111702E-2</v>
      </c>
      <c r="E209">
        <v>-0.20865086283161199</v>
      </c>
      <c r="F209">
        <v>-0.69617266740793105</v>
      </c>
      <c r="G209">
        <v>0.218166454665738</v>
      </c>
      <c r="H209">
        <v>1.0911269586212E-3</v>
      </c>
      <c r="I209">
        <v>-0.16409135221215801</v>
      </c>
      <c r="J209">
        <v>4.4583271368646503E-2</v>
      </c>
      <c r="K209">
        <v>2.2267178458181301E-2</v>
      </c>
      <c r="L209">
        <v>0.14092868972726399</v>
      </c>
      <c r="M209">
        <v>-7.8840104355248103E-2</v>
      </c>
      <c r="N209">
        <v>-0.90482353023954398</v>
      </c>
      <c r="O209">
        <v>0.37572449241781197</v>
      </c>
      <c r="P209">
        <v>2.0077146109827599E-2</v>
      </c>
      <c r="Q209">
        <v>0.27851657225033699</v>
      </c>
      <c r="R209">
        <v>0.34060515762235399</v>
      </c>
      <c r="S209">
        <v>-9.6149775426709203E-2</v>
      </c>
      <c r="U209">
        <v>314.8</v>
      </c>
      <c r="V209">
        <f t="shared" si="15"/>
        <v>0.68406143256008178</v>
      </c>
      <c r="W209">
        <f t="shared" si="12"/>
        <v>314.88746662882829</v>
      </c>
      <c r="Y209">
        <f t="shared" si="16"/>
        <v>1.0412462771410247</v>
      </c>
      <c r="Z209" s="3">
        <f t="shared" si="17"/>
        <v>1.1833401024898815</v>
      </c>
      <c r="AA209">
        <f t="shared" si="13"/>
        <v>344.51991081293352</v>
      </c>
      <c r="AE209">
        <f t="shared" si="14"/>
        <v>-0.90482353023954309</v>
      </c>
    </row>
    <row r="210" spans="1:31" x14ac:dyDescent="0.2">
      <c r="A210">
        <v>1958.5</v>
      </c>
      <c r="B210">
        <v>0.69163498587122296</v>
      </c>
      <c r="C210">
        <v>0.28530316449127302</v>
      </c>
      <c r="D210">
        <v>7.6804357477177301E-2</v>
      </c>
      <c r="E210">
        <v>-0.20709008087481701</v>
      </c>
      <c r="F210">
        <v>-0.68013557536645197</v>
      </c>
      <c r="G210">
        <v>0.215495088435812</v>
      </c>
      <c r="H210">
        <v>1.178874930818E-3</v>
      </c>
      <c r="I210">
        <v>-0.16489121964051501</v>
      </c>
      <c r="J210">
        <v>4.3961970588094097E-2</v>
      </c>
      <c r="K210">
        <v>2.2778281509128102E-2</v>
      </c>
      <c r="L210">
        <v>0.14833896804757701</v>
      </c>
      <c r="M210">
        <v>0.13548545959467101</v>
      </c>
      <c r="N210">
        <v>-0.88722565624126903</v>
      </c>
      <c r="O210">
        <v>0.38431898919040303</v>
      </c>
      <c r="P210">
        <v>2.2211467221953302E-2</v>
      </c>
      <c r="Q210">
        <v>0.30725131464369398</v>
      </c>
      <c r="R210">
        <v>0.59107574228594295</v>
      </c>
      <c r="S210">
        <v>-9.69720926124754E-2</v>
      </c>
      <c r="U210">
        <v>315.33999999999997</v>
      </c>
      <c r="V210">
        <f t="shared" si="15"/>
        <v>0.69354679898036764</v>
      </c>
      <c r="W210">
        <f t="shared" si="12"/>
        <v>315.23108638098211</v>
      </c>
      <c r="Y210">
        <f t="shared" si="16"/>
        <v>1.0537425078396734</v>
      </c>
      <c r="Z210" s="3">
        <f t="shared" si="17"/>
        <v>1.1944769708849639</v>
      </c>
      <c r="AA210">
        <f t="shared" si="13"/>
        <v>345.21389113524714</v>
      </c>
      <c r="AE210">
        <f t="shared" si="14"/>
        <v>-0.88722565624126903</v>
      </c>
    </row>
    <row r="211" spans="1:31" x14ac:dyDescent="0.2">
      <c r="A211">
        <v>1959.5</v>
      </c>
      <c r="B211">
        <v>0.69957619338299704</v>
      </c>
      <c r="C211">
        <v>0.29000883822462897</v>
      </c>
      <c r="D211">
        <v>7.7558326599142496E-2</v>
      </c>
      <c r="E211">
        <v>-0.21609353801999101</v>
      </c>
      <c r="F211">
        <v>-0.69607613936602797</v>
      </c>
      <c r="G211">
        <v>0.21852842760590699</v>
      </c>
      <c r="H211">
        <v>1.2704380322406999E-3</v>
      </c>
      <c r="I211">
        <v>-0.165036227187353</v>
      </c>
      <c r="J211">
        <v>4.5117496901830603E-2</v>
      </c>
      <c r="K211">
        <v>2.3213738330570499E-2</v>
      </c>
      <c r="L211">
        <v>0.116669778594452</v>
      </c>
      <c r="M211">
        <v>0.20527982719730301</v>
      </c>
      <c r="N211">
        <v>-0.91216967738601895</v>
      </c>
      <c r="O211">
        <v>0.392006002837406</v>
      </c>
      <c r="P211">
        <v>2.44388380136349E-2</v>
      </c>
      <c r="Q211">
        <v>0.30250639251758099</v>
      </c>
      <c r="R211">
        <v>0.62445599830933596</v>
      </c>
      <c r="S211">
        <v>-9.5434553922711204E-2</v>
      </c>
      <c r="U211">
        <v>316.18</v>
      </c>
      <c r="V211">
        <f t="shared" si="15"/>
        <v>0.7082695757747608</v>
      </c>
      <c r="W211">
        <f t="shared" si="12"/>
        <v>315.6837336498823</v>
      </c>
      <c r="Y211">
        <f t="shared" si="16"/>
        <v>1.0671433582067684</v>
      </c>
      <c r="Z211" s="3">
        <f t="shared" si="17"/>
        <v>1.2146760699035992</v>
      </c>
      <c r="AA211">
        <f t="shared" si="13"/>
        <v>346.47614218081804</v>
      </c>
      <c r="AE211">
        <f t="shared" si="14"/>
        <v>-0.91216967738601895</v>
      </c>
    </row>
    <row r="212" spans="1:31" x14ac:dyDescent="0.2">
      <c r="A212">
        <v>1960.5</v>
      </c>
      <c r="B212">
        <v>0.71373400633749096</v>
      </c>
      <c r="C212">
        <v>0.29322514422041401</v>
      </c>
      <c r="D212">
        <v>7.8598239723294397E-2</v>
      </c>
      <c r="E212">
        <v>-0.22842486998168299</v>
      </c>
      <c r="F212">
        <v>-0.72020955250984897</v>
      </c>
      <c r="G212">
        <v>0.22346847333789099</v>
      </c>
      <c r="H212">
        <v>1.3734465213412999E-3</v>
      </c>
      <c r="I212">
        <v>-0.16530398505387001</v>
      </c>
      <c r="J212">
        <v>4.6808972974724097E-2</v>
      </c>
      <c r="K212">
        <v>2.3512908500575001E-2</v>
      </c>
      <c r="L212">
        <v>9.4969363555389597E-2</v>
      </c>
      <c r="M212">
        <v>0.22052083649513199</v>
      </c>
      <c r="N212">
        <v>-0.94863442249153196</v>
      </c>
      <c r="O212">
        <v>0.39879132154318198</v>
      </c>
      <c r="P212">
        <v>2.69679375994731E-2</v>
      </c>
      <c r="Q212">
        <v>0.29375072166980198</v>
      </c>
      <c r="R212">
        <v>0.60924092172032296</v>
      </c>
      <c r="S212">
        <v>-9.3608657057229996E-2</v>
      </c>
      <c r="U212">
        <v>317.07</v>
      </c>
      <c r="V212">
        <f t="shared" si="15"/>
        <v>0.72382609352978733</v>
      </c>
      <c r="W212">
        <f t="shared" si="12"/>
        <v>316.49233915339363</v>
      </c>
      <c r="Y212">
        <f t="shared" si="16"/>
        <v>1.0855573902811995</v>
      </c>
      <c r="Z212" s="3">
        <f t="shared" si="17"/>
        <v>1.2423851441613341</v>
      </c>
      <c r="AA212">
        <f t="shared" si="13"/>
        <v>348.21520674180499</v>
      </c>
      <c r="AE212">
        <f t="shared" si="14"/>
        <v>-0.94863442249153196</v>
      </c>
    </row>
    <row r="213" spans="1:31" x14ac:dyDescent="0.2">
      <c r="A213">
        <v>1961.5</v>
      </c>
      <c r="B213">
        <v>0.72534598657067795</v>
      </c>
      <c r="C213">
        <v>0.29574268316394298</v>
      </c>
      <c r="D213">
        <v>7.9721088329529996E-2</v>
      </c>
      <c r="E213">
        <v>-0.240061254450534</v>
      </c>
      <c r="F213">
        <v>-0.74451816466582799</v>
      </c>
      <c r="G213">
        <v>0.23092647078696199</v>
      </c>
      <c r="H213">
        <v>1.5943870759348999E-3</v>
      </c>
      <c r="I213">
        <v>-0.165846335785861</v>
      </c>
      <c r="J213">
        <v>4.6852780478017497E-2</v>
      </c>
      <c r="K213">
        <v>2.37479712416028E-2</v>
      </c>
      <c r="L213">
        <v>4.6872757110077101E-2</v>
      </c>
      <c r="M213">
        <v>0.22322996459911401</v>
      </c>
      <c r="N213">
        <v>-0.98457941911636204</v>
      </c>
      <c r="O213">
        <v>0.40538028862990799</v>
      </c>
      <c r="P213">
        <v>2.99165171364347E-2</v>
      </c>
      <c r="Q213">
        <v>0.28342212988088</v>
      </c>
      <c r="R213">
        <v>0.55352485159007103</v>
      </c>
      <c r="S213">
        <v>-9.3651196990306301E-2</v>
      </c>
      <c r="U213">
        <v>317.73</v>
      </c>
      <c r="V213">
        <f t="shared" si="15"/>
        <v>0.73533421583480774</v>
      </c>
      <c r="W213">
        <f t="shared" si="12"/>
        <v>317.15708844099476</v>
      </c>
      <c r="Y213">
        <f t="shared" si="16"/>
        <v>1.1008097580641509</v>
      </c>
      <c r="Z213" s="3">
        <f t="shared" si="17"/>
        <v>1.2680015489972418</v>
      </c>
      <c r="AA213">
        <f t="shared" si="13"/>
        <v>349.83069605807128</v>
      </c>
      <c r="AE213">
        <f t="shared" si="14"/>
        <v>-0.98457941911636193</v>
      </c>
    </row>
    <row r="214" spans="1:31" x14ac:dyDescent="0.2">
      <c r="A214">
        <v>1962.5</v>
      </c>
      <c r="B214">
        <v>0.73817301466812102</v>
      </c>
      <c r="C214">
        <v>0.30190361926212</v>
      </c>
      <c r="D214">
        <v>8.0910100132719306E-2</v>
      </c>
      <c r="E214">
        <v>-0.245863145110961</v>
      </c>
      <c r="F214">
        <v>-0.74577806309681605</v>
      </c>
      <c r="G214">
        <v>0.23437057975108999</v>
      </c>
      <c r="H214">
        <v>1.8521067767463999E-3</v>
      </c>
      <c r="I214">
        <v>-0.166816238128359</v>
      </c>
      <c r="J214">
        <v>4.6894452104444803E-2</v>
      </c>
      <c r="K214">
        <v>2.4324561010705101E-2</v>
      </c>
      <c r="L214">
        <v>1.3456302031952101E-2</v>
      </c>
      <c r="M214">
        <v>0.22353487865703101</v>
      </c>
      <c r="N214">
        <v>-0.99164120820777801</v>
      </c>
      <c r="O214">
        <v>0.41611943135505902</v>
      </c>
      <c r="P214">
        <v>3.3305711960219697E-2</v>
      </c>
      <c r="Q214">
        <v>0.30327669933002899</v>
      </c>
      <c r="R214">
        <v>0.54026788001901205</v>
      </c>
      <c r="S214">
        <v>-9.3745118236463407E-2</v>
      </c>
      <c r="U214">
        <v>318.43</v>
      </c>
      <c r="V214">
        <f t="shared" si="15"/>
        <v>0.74751370719756949</v>
      </c>
      <c r="W214">
        <f t="shared" si="12"/>
        <v>317.89301851403832</v>
      </c>
      <c r="Y214">
        <f t="shared" si="16"/>
        <v>1.1209867340629602</v>
      </c>
      <c r="Z214" s="3">
        <f t="shared" si="17"/>
        <v>1.2949179075378074</v>
      </c>
      <c r="AA214">
        <f t="shared" si="13"/>
        <v>351.53624208304586</v>
      </c>
      <c r="AE214">
        <f t="shared" si="14"/>
        <v>-0.99164120820777701</v>
      </c>
    </row>
    <row r="215" spans="1:31" x14ac:dyDescent="0.2">
      <c r="A215">
        <v>1963.5</v>
      </c>
      <c r="B215">
        <v>0.74855592498294699</v>
      </c>
      <c r="C215">
        <v>0.31040628618604998</v>
      </c>
      <c r="D215">
        <v>8.2223466770952894E-2</v>
      </c>
      <c r="E215">
        <v>-0.26443188762134301</v>
      </c>
      <c r="F215">
        <v>-0.79608745720930096</v>
      </c>
      <c r="G215">
        <v>0.249355305935092</v>
      </c>
      <c r="H215">
        <v>2.0558658099780001E-3</v>
      </c>
      <c r="I215">
        <v>-0.16776277718851801</v>
      </c>
      <c r="J215">
        <v>4.96902389089953E-2</v>
      </c>
      <c r="K215">
        <v>2.51257924419813E-2</v>
      </c>
      <c r="L215">
        <v>1.8806672663271001E-3</v>
      </c>
      <c r="M215">
        <v>-0.95657473437866003</v>
      </c>
      <c r="N215">
        <v>-1.06051934483064</v>
      </c>
      <c r="O215">
        <v>0.42988703473738399</v>
      </c>
      <c r="P215">
        <v>3.7257281780380798E-2</v>
      </c>
      <c r="Q215">
        <v>0.27638804079721502</v>
      </c>
      <c r="R215">
        <v>-0.67830602631511705</v>
      </c>
      <c r="S215">
        <v>-9.0890880027563695E-2</v>
      </c>
      <c r="U215">
        <v>319.08</v>
      </c>
      <c r="V215">
        <f t="shared" si="15"/>
        <v>0.75879928503512417</v>
      </c>
      <c r="W215">
        <f t="shared" si="12"/>
        <v>318.48997165736353</v>
      </c>
      <c r="Y215">
        <f t="shared" si="16"/>
        <v>1.1411856779399498</v>
      </c>
      <c r="Z215" s="3">
        <f t="shared" si="17"/>
        <v>1.3369073856278593</v>
      </c>
      <c r="AA215">
        <f t="shared" si="13"/>
        <v>354.21350999416217</v>
      </c>
      <c r="AE215">
        <f t="shared" si="14"/>
        <v>-1.060519344830644</v>
      </c>
    </row>
    <row r="216" spans="1:31" x14ac:dyDescent="0.2">
      <c r="A216">
        <v>1964.5</v>
      </c>
      <c r="B216">
        <v>0.76025755814580598</v>
      </c>
      <c r="C216">
        <v>0.318083065697223</v>
      </c>
      <c r="D216">
        <v>8.3454166457690701E-2</v>
      </c>
      <c r="E216">
        <v>-0.27446625881689801</v>
      </c>
      <c r="F216">
        <v>-0.78000414748963298</v>
      </c>
      <c r="G216">
        <v>0.25050013717827502</v>
      </c>
      <c r="H216">
        <v>2.2561460305714001E-3</v>
      </c>
      <c r="I216">
        <v>-0.16833303765791799</v>
      </c>
      <c r="J216">
        <v>4.7194334604983998E-2</v>
      </c>
      <c r="K216">
        <v>2.5854951988475299E-2</v>
      </c>
      <c r="L216">
        <v>-3.4859342961727998E-3</v>
      </c>
      <c r="M216">
        <v>-1.0808416022623599</v>
      </c>
      <c r="N216">
        <v>-1.05447040630653</v>
      </c>
      <c r="O216">
        <v>0.44336880184047001</v>
      </c>
      <c r="P216">
        <v>4.1831569685555903E-2</v>
      </c>
      <c r="Q216">
        <v>0.30662848582413299</v>
      </c>
      <c r="R216">
        <v>-0.77769905073440404</v>
      </c>
      <c r="S216">
        <v>-9.3027605033888003E-2</v>
      </c>
      <c r="U216">
        <v>319.64999999999998</v>
      </c>
      <c r="V216">
        <f t="shared" si="15"/>
        <v>0.76867696500359273</v>
      </c>
      <c r="W216">
        <f t="shared" si="12"/>
        <v>319.16408690553618</v>
      </c>
      <c r="Y216">
        <f t="shared" si="16"/>
        <v>1.1617947903007197</v>
      </c>
      <c r="Z216" s="3">
        <f t="shared" si="17"/>
        <v>1.3610988921306633</v>
      </c>
      <c r="AA216">
        <f t="shared" si="13"/>
        <v>355.76521894570726</v>
      </c>
      <c r="AE216">
        <f t="shared" si="14"/>
        <v>-1.0544704063065309</v>
      </c>
    </row>
    <row r="217" spans="1:31" x14ac:dyDescent="0.2">
      <c r="A217">
        <v>1965.5</v>
      </c>
      <c r="B217">
        <v>0.76847223749954796</v>
      </c>
      <c r="C217">
        <v>0.32437727907757102</v>
      </c>
      <c r="D217">
        <v>8.4697196285946505E-2</v>
      </c>
      <c r="E217">
        <v>-0.28517074541354898</v>
      </c>
      <c r="F217">
        <v>-0.79405789726671405</v>
      </c>
      <c r="G217">
        <v>0.25852152939577999</v>
      </c>
      <c r="H217">
        <v>2.5247797644886E-3</v>
      </c>
      <c r="I217">
        <v>-0.168948295514768</v>
      </c>
      <c r="J217">
        <v>4.7352488020397099E-2</v>
      </c>
      <c r="K217">
        <v>2.6457045190184599E-2</v>
      </c>
      <c r="L217">
        <v>-4.906217961728E-4</v>
      </c>
      <c r="M217">
        <v>-0.14949924965147701</v>
      </c>
      <c r="N217">
        <v>-1.07922864268026</v>
      </c>
      <c r="O217">
        <v>0.45608689328004198</v>
      </c>
      <c r="P217">
        <v>4.7012417916524198E-2</v>
      </c>
      <c r="Q217">
        <v>0.31123803495540903</v>
      </c>
      <c r="R217">
        <v>0.161248163507759</v>
      </c>
      <c r="S217">
        <v>-9.2613982539698006E-2</v>
      </c>
      <c r="U217">
        <v>320.23</v>
      </c>
      <c r="V217">
        <f t="shared" si="15"/>
        <v>0.77870987395910873</v>
      </c>
      <c r="W217">
        <f t="shared" si="12"/>
        <v>319.63817569649603</v>
      </c>
      <c r="Y217">
        <f t="shared" si="16"/>
        <v>1.1775467128630654</v>
      </c>
      <c r="Z217" s="3">
        <f t="shared" si="17"/>
        <v>1.390466677635672</v>
      </c>
      <c r="AA217">
        <f t="shared" si="13"/>
        <v>357.65808628548643</v>
      </c>
      <c r="AE217">
        <f t="shared" si="14"/>
        <v>-1.0792286426802631</v>
      </c>
    </row>
    <row r="218" spans="1:31" x14ac:dyDescent="0.2">
      <c r="A218">
        <v>1966.5</v>
      </c>
      <c r="B218">
        <v>0.78672210646627005</v>
      </c>
      <c r="C218">
        <v>0.32948621897971803</v>
      </c>
      <c r="D218">
        <v>8.6106766929456596E-2</v>
      </c>
      <c r="E218">
        <v>-0.29315293713707802</v>
      </c>
      <c r="F218">
        <v>-0.80104480216612794</v>
      </c>
      <c r="G218">
        <v>0.26317194191916399</v>
      </c>
      <c r="H218">
        <v>2.8594478033041998E-3</v>
      </c>
      <c r="I218">
        <v>-0.169471948954354</v>
      </c>
      <c r="J218">
        <v>4.7545598408177403E-2</v>
      </c>
      <c r="K218">
        <v>2.69488006244329E-2</v>
      </c>
      <c r="L218">
        <v>2.5141140899139599E-2</v>
      </c>
      <c r="M218">
        <v>5.04802740944768E-2</v>
      </c>
      <c r="N218">
        <v>-1.0941977393032001</v>
      </c>
      <c r="O218">
        <v>0.46837813962563302</v>
      </c>
      <c r="P218">
        <v>5.2785153716457998E-2</v>
      </c>
      <c r="Q218">
        <v>0.33195634658942003</v>
      </c>
      <c r="R218">
        <v>0.40757776158303699</v>
      </c>
      <c r="S218">
        <v>-9.2118102118440098E-2</v>
      </c>
      <c r="U218">
        <v>321.58999999999997</v>
      </c>
      <c r="V218">
        <f t="shared" si="15"/>
        <v>0.80216423505026668</v>
      </c>
      <c r="W218">
        <f t="shared" si="12"/>
        <v>320.69394090712012</v>
      </c>
      <c r="Y218">
        <f t="shared" si="16"/>
        <v>1.2023150923754446</v>
      </c>
      <c r="Z218" s="3">
        <f t="shared" si="17"/>
        <v>1.4261540858926274</v>
      </c>
      <c r="AA218">
        <f t="shared" si="13"/>
        <v>359.97183797753064</v>
      </c>
      <c r="AE218">
        <f t="shared" si="14"/>
        <v>-1.0941977393032061</v>
      </c>
    </row>
    <row r="219" spans="1:31" x14ac:dyDescent="0.2">
      <c r="A219">
        <v>1967.5</v>
      </c>
      <c r="B219">
        <v>0.79691865478857205</v>
      </c>
      <c r="C219">
        <v>0.33495662244985902</v>
      </c>
      <c r="D219">
        <v>8.75119751663469E-2</v>
      </c>
      <c r="E219">
        <v>-0.29864307606254797</v>
      </c>
      <c r="F219">
        <v>-0.82189769578272298</v>
      </c>
      <c r="G219">
        <v>0.27397079370524902</v>
      </c>
      <c r="H219">
        <v>3.5189056772834001E-3</v>
      </c>
      <c r="I219">
        <v>-0.170941397328263</v>
      </c>
      <c r="J219">
        <v>4.9109277412816198E-2</v>
      </c>
      <c r="K219">
        <v>2.7477968606809299E-2</v>
      </c>
      <c r="L219">
        <v>5.6857132110077098E-2</v>
      </c>
      <c r="M219">
        <v>0.13090870508303401</v>
      </c>
      <c r="N219">
        <v>-1.12054077184527</v>
      </c>
      <c r="O219">
        <v>0.48171316682030402</v>
      </c>
      <c r="P219">
        <v>5.9244569204098901E-2</v>
      </c>
      <c r="Q219">
        <v>0.34122659783749998</v>
      </c>
      <c r="R219">
        <v>0.528992435030612</v>
      </c>
      <c r="S219">
        <v>-9.0835245631354297E-2</v>
      </c>
      <c r="U219">
        <v>322.31</v>
      </c>
      <c r="V219">
        <f t="shared" si="15"/>
        <v>0.81454112550756008</v>
      </c>
      <c r="W219">
        <f t="shared" si="12"/>
        <v>321.28533471424458</v>
      </c>
      <c r="Y219">
        <f t="shared" si="16"/>
        <v>1.219387252404778</v>
      </c>
      <c r="Z219" s="3">
        <f t="shared" si="17"/>
        <v>1.4617673696827718</v>
      </c>
      <c r="AA219">
        <f t="shared" si="13"/>
        <v>362.29570528505809</v>
      </c>
      <c r="AE219">
        <f t="shared" si="14"/>
        <v>-1.1205407718452709</v>
      </c>
    </row>
    <row r="220" spans="1:31" x14ac:dyDescent="0.2">
      <c r="A220">
        <v>1968.5</v>
      </c>
      <c r="B220">
        <v>0.81241707147430897</v>
      </c>
      <c r="C220">
        <v>0.34281247834209699</v>
      </c>
      <c r="D220">
        <v>8.8908173398652507E-2</v>
      </c>
      <c r="E220">
        <v>-0.31094396336453201</v>
      </c>
      <c r="F220">
        <v>-0.82965534904924498</v>
      </c>
      <c r="G220">
        <v>0.28017944464236</v>
      </c>
      <c r="H220">
        <v>4.1500110714310003E-3</v>
      </c>
      <c r="I220">
        <v>-0.17398264845508901</v>
      </c>
      <c r="J220">
        <v>4.9240724133311001E-2</v>
      </c>
      <c r="K220">
        <v>2.8242254408862098E-2</v>
      </c>
      <c r="L220">
        <v>7.3596560821014595E-2</v>
      </c>
      <c r="M220">
        <v>8.4227488936367098E-2</v>
      </c>
      <c r="N220">
        <v>-1.1405993124137701</v>
      </c>
      <c r="O220">
        <v>0.49822280659447599</v>
      </c>
      <c r="P220">
        <v>6.6502154853726195E-2</v>
      </c>
      <c r="Q220">
        <v>0.35787035145588197</v>
      </c>
      <c r="R220">
        <v>0.51569440121326304</v>
      </c>
      <c r="S220">
        <v>-9.2349658841485799E-2</v>
      </c>
      <c r="U220">
        <v>323.04000000000002</v>
      </c>
      <c r="V220">
        <f t="shared" si="15"/>
        <v>0.82706172218079388</v>
      </c>
      <c r="W220">
        <f t="shared" si="12"/>
        <v>322.18632306774208</v>
      </c>
      <c r="Y220">
        <f t="shared" si="16"/>
        <v>1.2441377232150586</v>
      </c>
      <c r="Z220" s="3">
        <f t="shared" si="17"/>
        <v>1.4984696638696597</v>
      </c>
      <c r="AA220">
        <f t="shared" si="13"/>
        <v>364.70633193411061</v>
      </c>
      <c r="AE220">
        <f t="shared" si="14"/>
        <v>-1.140599312413777</v>
      </c>
    </row>
    <row r="221" spans="1:31" x14ac:dyDescent="0.2">
      <c r="A221">
        <v>1969.5</v>
      </c>
      <c r="B221">
        <v>0.82706961847909599</v>
      </c>
      <c r="C221">
        <v>0.35074928587781901</v>
      </c>
      <c r="D221">
        <v>9.0311925186465095E-2</v>
      </c>
      <c r="E221">
        <v>-0.32125886023704697</v>
      </c>
      <c r="F221">
        <v>-0.83788530035087205</v>
      </c>
      <c r="G221">
        <v>0.28566341249910798</v>
      </c>
      <c r="H221">
        <v>4.5176693830054002E-3</v>
      </c>
      <c r="I221">
        <v>-0.176217680619908</v>
      </c>
      <c r="J221">
        <v>4.9821722632640002E-2</v>
      </c>
      <c r="K221">
        <v>2.90202740669845E-2</v>
      </c>
      <c r="L221">
        <v>7.6576272735077097E-2</v>
      </c>
      <c r="M221">
        <v>1.32926058936773E-2</v>
      </c>
      <c r="N221">
        <v>-1.15914416058791</v>
      </c>
      <c r="O221">
        <v>0.51567293995180696</v>
      </c>
      <c r="P221">
        <v>7.4611728887522405E-2</v>
      </c>
      <c r="Q221">
        <v>0.37640379580481398</v>
      </c>
      <c r="R221">
        <v>0.46627267443356801</v>
      </c>
      <c r="S221">
        <v>-9.2858014537278294E-2</v>
      </c>
      <c r="U221">
        <v>324.23</v>
      </c>
      <c r="V221">
        <f t="shared" si="15"/>
        <v>0.84741148102562747</v>
      </c>
      <c r="W221">
        <f t="shared" si="12"/>
        <v>323.04046090652781</v>
      </c>
      <c r="Y221">
        <f t="shared" si="16"/>
        <v>1.26813082954338</v>
      </c>
      <c r="Z221" s="3">
        <f t="shared" si="17"/>
        <v>1.5355479563927323</v>
      </c>
      <c r="AA221">
        <f t="shared" si="13"/>
        <v>367.15794176673165</v>
      </c>
      <c r="AE221">
        <f t="shared" si="14"/>
        <v>-1.1591441605879189</v>
      </c>
    </row>
    <row r="222" spans="1:31" x14ac:dyDescent="0.2">
      <c r="A222">
        <v>1970.5</v>
      </c>
      <c r="B222">
        <v>0.85314873715480199</v>
      </c>
      <c r="C222">
        <v>0.36043152890021202</v>
      </c>
      <c r="D222">
        <v>9.1716911987514596E-2</v>
      </c>
      <c r="E222">
        <v>-0.34635414895682698</v>
      </c>
      <c r="F222">
        <v>-0.87945826958098805</v>
      </c>
      <c r="G222">
        <v>0.29919311069160598</v>
      </c>
      <c r="H222">
        <v>4.7018920548368001E-3</v>
      </c>
      <c r="I222">
        <v>-0.17764749174514299</v>
      </c>
      <c r="J222">
        <v>5.2019338840187203E-2</v>
      </c>
      <c r="K222">
        <v>2.9977118298861301E-2</v>
      </c>
      <c r="L222">
        <v>7.8510745391327103E-2</v>
      </c>
      <c r="M222">
        <v>0.161474706712044</v>
      </c>
      <c r="N222">
        <v>-1.2258124185378101</v>
      </c>
      <c r="O222">
        <v>0.53570084269848295</v>
      </c>
      <c r="P222">
        <v>8.35524018107561E-2</v>
      </c>
      <c r="Q222">
        <v>0.37128112945581898</v>
      </c>
      <c r="R222">
        <v>0.611266581559191</v>
      </c>
      <c r="S222">
        <v>-9.0949142551258202E-2</v>
      </c>
      <c r="U222">
        <v>325.54000000000002</v>
      </c>
      <c r="V222">
        <f t="shared" si="15"/>
        <v>0.8697271300813334</v>
      </c>
      <c r="W222">
        <f t="shared" si="12"/>
        <v>324.56629101445168</v>
      </c>
      <c r="Y222">
        <f t="shared" si="16"/>
        <v>1.3052971780425284</v>
      </c>
      <c r="Z222" s="3">
        <f t="shared" si="17"/>
        <v>1.597093547993633</v>
      </c>
      <c r="AA222">
        <f t="shared" si="13"/>
        <v>371.26375917253347</v>
      </c>
      <c r="AE222">
        <f t="shared" si="14"/>
        <v>-1.225812418537815</v>
      </c>
    </row>
    <row r="223" spans="1:31" x14ac:dyDescent="0.2">
      <c r="A223">
        <v>1971.5</v>
      </c>
      <c r="B223">
        <v>0.86352532233209001</v>
      </c>
      <c r="C223">
        <v>0.36926122278121098</v>
      </c>
      <c r="D223">
        <v>9.3153281108966507E-2</v>
      </c>
      <c r="E223">
        <v>-0.34521536231836902</v>
      </c>
      <c r="F223">
        <v>-0.890472785611782</v>
      </c>
      <c r="G223">
        <v>0.306847442930964</v>
      </c>
      <c r="H223">
        <v>5.7512755412595998E-3</v>
      </c>
      <c r="I223">
        <v>-0.178494537248306</v>
      </c>
      <c r="J223">
        <v>5.4102891733888603E-2</v>
      </c>
      <c r="K223">
        <v>3.0857543469942902E-2</v>
      </c>
      <c r="L223">
        <v>4.9836868438202099E-2</v>
      </c>
      <c r="M223">
        <v>0.20991604656205001</v>
      </c>
      <c r="N223">
        <v>-1.23568814793015</v>
      </c>
      <c r="O223">
        <v>0.55563815272628403</v>
      </c>
      <c r="P223">
        <v>9.3223648836106399E-2</v>
      </c>
      <c r="Q223">
        <v>0.402539943555972</v>
      </c>
      <c r="R223">
        <v>0.66229285855622499</v>
      </c>
      <c r="S223">
        <v>-8.7782826503215006E-2</v>
      </c>
      <c r="U223">
        <v>326.42</v>
      </c>
      <c r="V223">
        <f t="shared" si="15"/>
        <v>0.88466742875705862</v>
      </c>
      <c r="W223">
        <f t="shared" si="12"/>
        <v>325.17540387664303</v>
      </c>
      <c r="Y223">
        <f t="shared" si="16"/>
        <v>1.3259398262222677</v>
      </c>
      <c r="Z223" s="3">
        <f t="shared" si="17"/>
        <v>1.6382280914861231</v>
      </c>
      <c r="AA223">
        <f t="shared" si="13"/>
        <v>374.0334857830411</v>
      </c>
      <c r="AE223">
        <f t="shared" si="14"/>
        <v>-1.2356881479301509</v>
      </c>
    </row>
    <row r="224" spans="1:31" x14ac:dyDescent="0.2">
      <c r="A224">
        <v>1972.5</v>
      </c>
      <c r="B224">
        <v>0.89653027721470802</v>
      </c>
      <c r="C224">
        <v>0.37720955769032699</v>
      </c>
      <c r="D224">
        <v>9.4613310297380002E-2</v>
      </c>
      <c r="E224">
        <v>-0.35904348296160699</v>
      </c>
      <c r="F224">
        <v>-0.94560299872622899</v>
      </c>
      <c r="G224">
        <v>0.32281889702218802</v>
      </c>
      <c r="H224">
        <v>6.2692304018647999E-3</v>
      </c>
      <c r="I224">
        <v>-0.179062279856053</v>
      </c>
      <c r="J224">
        <v>5.8898453270419697E-2</v>
      </c>
      <c r="K224">
        <v>3.1656569111908901E-2</v>
      </c>
      <c r="L224">
        <v>4.8058401641327103E-2</v>
      </c>
      <c r="M224">
        <v>0.219643466065988</v>
      </c>
      <c r="N224">
        <v>-1.30464648168783</v>
      </c>
      <c r="O224">
        <v>0.57558523853087795</v>
      </c>
      <c r="P224">
        <v>0.10376237054317</v>
      </c>
      <c r="Q224">
        <v>0.408049904008078</v>
      </c>
      <c r="R224">
        <v>0.67575177171539402</v>
      </c>
      <c r="S224">
        <v>-8.2238027071859898E-2</v>
      </c>
      <c r="U224">
        <v>327.45</v>
      </c>
      <c r="V224">
        <f t="shared" si="15"/>
        <v>0.9021032925091852</v>
      </c>
      <c r="W224">
        <f t="shared" si="12"/>
        <v>327.12042877604711</v>
      </c>
      <c r="Y224">
        <f t="shared" si="16"/>
        <v>1.3683531452024151</v>
      </c>
      <c r="Z224" s="3">
        <f t="shared" si="17"/>
        <v>1.7126963856959136</v>
      </c>
      <c r="AA224">
        <f t="shared" si="13"/>
        <v>379.10035530755056</v>
      </c>
      <c r="AE224">
        <f t="shared" si="14"/>
        <v>-1.304646481687836</v>
      </c>
    </row>
    <row r="225" spans="1:31" x14ac:dyDescent="0.2">
      <c r="A225">
        <v>1973.5</v>
      </c>
      <c r="B225">
        <v>0.93966337403042499</v>
      </c>
      <c r="C225">
        <v>0.38310386636772897</v>
      </c>
      <c r="D225">
        <v>9.6114871363454105E-2</v>
      </c>
      <c r="E225">
        <v>-0.370681035902723</v>
      </c>
      <c r="F225">
        <v>-0.93758298233622395</v>
      </c>
      <c r="G225">
        <v>0.32315103444099702</v>
      </c>
      <c r="H225">
        <v>6.7031811117068997E-3</v>
      </c>
      <c r="I225">
        <v>-0.18043751559511201</v>
      </c>
      <c r="J225">
        <v>5.8043128339378601E-2</v>
      </c>
      <c r="K225">
        <v>3.2253424234867198E-2</v>
      </c>
      <c r="L225">
        <v>1.9290921172577101E-2</v>
      </c>
      <c r="M225">
        <v>0.19542036893290299</v>
      </c>
      <c r="N225">
        <v>-1.30826401823894</v>
      </c>
      <c r="O225">
        <v>0.59473460819957802</v>
      </c>
      <c r="P225">
        <v>0.115515870468394</v>
      </c>
      <c r="Q225">
        <v>0.46584721652289302</v>
      </c>
      <c r="R225">
        <v>0.68055850662837303</v>
      </c>
      <c r="S225">
        <v>-8.34377819091595E-2</v>
      </c>
      <c r="U225">
        <v>329.43</v>
      </c>
      <c r="V225">
        <f t="shared" si="15"/>
        <v>0.93546726552618154</v>
      </c>
      <c r="W225">
        <f t="shared" si="12"/>
        <v>329.6798660242917</v>
      </c>
      <c r="Y225">
        <f t="shared" si="16"/>
        <v>1.4188821117616082</v>
      </c>
      <c r="Z225" s="3">
        <f t="shared" si="17"/>
        <v>1.7741112347618397</v>
      </c>
      <c r="AA225">
        <f t="shared" si="13"/>
        <v>383.33066531999862</v>
      </c>
      <c r="AE225">
        <f t="shared" si="14"/>
        <v>-1.3082640182389469</v>
      </c>
    </row>
    <row r="226" spans="1:31" x14ac:dyDescent="0.2">
      <c r="A226">
        <v>1974.5</v>
      </c>
      <c r="B226">
        <v>0.953761981505167</v>
      </c>
      <c r="C226">
        <v>0.38883961783151</v>
      </c>
      <c r="D226">
        <v>9.76677414437358E-2</v>
      </c>
      <c r="E226">
        <v>-0.36429113664180102</v>
      </c>
      <c r="F226">
        <v>-0.93615191123767605</v>
      </c>
      <c r="G226">
        <v>0.32359140680102499</v>
      </c>
      <c r="H226">
        <v>6.7019161678206996E-3</v>
      </c>
      <c r="I226">
        <v>-0.18143814081013801</v>
      </c>
      <c r="J226">
        <v>5.9158445921743998E-2</v>
      </c>
      <c r="K226">
        <v>3.2837506173986397E-2</v>
      </c>
      <c r="L226">
        <v>5.1723908991396002E-3</v>
      </c>
      <c r="M226">
        <v>0.18937042038744401</v>
      </c>
      <c r="N226">
        <v>-1.30044304787947</v>
      </c>
      <c r="O226">
        <v>0.61502661908085599</v>
      </c>
      <c r="P226">
        <v>0.12851925980560899</v>
      </c>
      <c r="Q226">
        <v>0.50919668696098297</v>
      </c>
      <c r="R226">
        <v>0.70373949824756798</v>
      </c>
      <c r="S226">
        <v>-8.2740272546587501E-2</v>
      </c>
      <c r="U226">
        <v>330.21</v>
      </c>
      <c r="V226">
        <f t="shared" si="15"/>
        <v>0.94855562206128141</v>
      </c>
      <c r="W226">
        <f t="shared" si="12"/>
        <v>330.52078594073095</v>
      </c>
      <c r="Y226">
        <f t="shared" si="16"/>
        <v>1.4402693407804126</v>
      </c>
      <c r="Z226" s="3">
        <f t="shared" si="17"/>
        <v>1.80963973484046</v>
      </c>
      <c r="AA226">
        <f t="shared" si="13"/>
        <v>385.7994197151146</v>
      </c>
      <c r="AE226">
        <f t="shared" si="14"/>
        <v>-1.3004430478794771</v>
      </c>
    </row>
    <row r="227" spans="1:31" x14ac:dyDescent="0.2">
      <c r="A227">
        <v>1975.5</v>
      </c>
      <c r="B227">
        <v>0.95479770307113299</v>
      </c>
      <c r="C227">
        <v>0.39553991950318201</v>
      </c>
      <c r="D227">
        <v>9.9269649973673005E-2</v>
      </c>
      <c r="E227">
        <v>-0.356716205803217</v>
      </c>
      <c r="F227">
        <v>-0.92442057323108295</v>
      </c>
      <c r="G227">
        <v>0.32205523841871098</v>
      </c>
      <c r="H227">
        <v>6.9279517460029E-3</v>
      </c>
      <c r="I227">
        <v>-0.18202111584351299</v>
      </c>
      <c r="J227">
        <v>5.9426198899570799E-2</v>
      </c>
      <c r="K227">
        <v>3.3523585742883499E-2</v>
      </c>
      <c r="L227">
        <v>5.4844026178895999E-3</v>
      </c>
      <c r="M227">
        <v>0.14410051622299</v>
      </c>
      <c r="N227">
        <v>-1.2811367790343</v>
      </c>
      <c r="O227">
        <v>0.63655671000847303</v>
      </c>
      <c r="P227">
        <v>0.14174714053161799</v>
      </c>
      <c r="Q227">
        <v>0.55012949300896097</v>
      </c>
      <c r="R227">
        <v>0.69971441184984096</v>
      </c>
      <c r="S227">
        <v>-8.2143379455056204E-2</v>
      </c>
      <c r="U227">
        <v>331.36</v>
      </c>
      <c r="V227">
        <f t="shared" si="15"/>
        <v>0.96779627338559848</v>
      </c>
      <c r="W227">
        <f t="shared" si="12"/>
        <v>330.58264668421054</v>
      </c>
      <c r="Y227">
        <f t="shared" si="16"/>
        <v>1.4496072725479878</v>
      </c>
      <c r="Z227" s="3">
        <f t="shared" si="17"/>
        <v>1.8312662720432611</v>
      </c>
      <c r="AA227">
        <f t="shared" si="13"/>
        <v>387.30995222674358</v>
      </c>
      <c r="AE227">
        <f t="shared" si="14"/>
        <v>-1.2811367790343</v>
      </c>
    </row>
    <row r="228" spans="1:31" x14ac:dyDescent="0.2">
      <c r="A228">
        <v>1976.5</v>
      </c>
      <c r="B228">
        <v>0.96669723640939498</v>
      </c>
      <c r="C228">
        <v>0.402952251995285</v>
      </c>
      <c r="D228">
        <v>0.100918117463543</v>
      </c>
      <c r="E228">
        <v>-0.37450752483587002</v>
      </c>
      <c r="F228">
        <v>-0.974243348931636</v>
      </c>
      <c r="G228">
        <v>0.33355147915275901</v>
      </c>
      <c r="H228">
        <v>7.1477227160021001E-3</v>
      </c>
      <c r="I228">
        <v>-0.18271382561462701</v>
      </c>
      <c r="J228">
        <v>6.3950007883350604E-2</v>
      </c>
      <c r="K228">
        <v>3.4287479762406398E-2</v>
      </c>
      <c r="L228">
        <v>8.3542800851459998E-4</v>
      </c>
      <c r="M228">
        <v>0.145588761758353</v>
      </c>
      <c r="N228">
        <v>-1.3487508737675</v>
      </c>
      <c r="O228">
        <v>0.65857676975869395</v>
      </c>
      <c r="P228">
        <v>0.15470640029986599</v>
      </c>
      <c r="Q228">
        <v>0.53274599630047403</v>
      </c>
      <c r="R228">
        <v>0.67917018606734203</v>
      </c>
      <c r="S228">
        <v>-7.7328615252868604E-2</v>
      </c>
      <c r="U228">
        <v>331.92</v>
      </c>
      <c r="V228">
        <f t="shared" si="15"/>
        <v>0.97714147172026955</v>
      </c>
      <c r="W228">
        <f t="shared" si="12"/>
        <v>331.29420362529891</v>
      </c>
      <c r="Y228">
        <f t="shared" si="16"/>
        <v>1.4705676058682229</v>
      </c>
      <c r="Z228" s="3">
        <f t="shared" si="17"/>
        <v>1.8814968700679799</v>
      </c>
      <c r="AA228">
        <f t="shared" si="13"/>
        <v>390.84123141564487</v>
      </c>
      <c r="AE228">
        <f t="shared" si="14"/>
        <v>-1.348750873767506</v>
      </c>
    </row>
    <row r="229" spans="1:31" x14ac:dyDescent="0.2">
      <c r="A229">
        <v>1977.5</v>
      </c>
      <c r="B229">
        <v>0.99679871560593802</v>
      </c>
      <c r="C229">
        <v>0.41082074855261602</v>
      </c>
      <c r="D229">
        <v>0.102610470253357</v>
      </c>
      <c r="E229">
        <v>-0.37408298618872499</v>
      </c>
      <c r="F229">
        <v>-0.98345573898067395</v>
      </c>
      <c r="G229">
        <v>0.33967392868472002</v>
      </c>
      <c r="H229">
        <v>7.8060803246344001E-3</v>
      </c>
      <c r="I229">
        <v>-0.18415934194876299</v>
      </c>
      <c r="J229">
        <v>6.6297896669615206E-2</v>
      </c>
      <c r="K229">
        <v>3.5104130251317402E-2</v>
      </c>
      <c r="L229">
        <v>3.0944558867889601E-2</v>
      </c>
      <c r="M229">
        <v>0.20599377926142901</v>
      </c>
      <c r="N229">
        <v>-1.3575387251694</v>
      </c>
      <c r="O229">
        <v>0.68103594187859795</v>
      </c>
      <c r="P229">
        <v>0.167604723072624</v>
      </c>
      <c r="Q229">
        <v>0.58501862629666002</v>
      </c>
      <c r="R229">
        <v>0.82195696442597999</v>
      </c>
      <c r="S229">
        <v>-7.4951234703196701E-2</v>
      </c>
      <c r="U229">
        <v>333.73</v>
      </c>
      <c r="V229">
        <f t="shared" si="15"/>
        <v>1.0072390119581307</v>
      </c>
      <c r="W229">
        <f t="shared" si="12"/>
        <v>333.10102815908488</v>
      </c>
      <c r="Y229">
        <f t="shared" si="16"/>
        <v>1.510229934411911</v>
      </c>
      <c r="Z229" s="3">
        <f t="shared" si="17"/>
        <v>1.942557351466059</v>
      </c>
      <c r="AA229">
        <f t="shared" si="13"/>
        <v>395.17725146908327</v>
      </c>
      <c r="AE229">
        <f t="shared" si="14"/>
        <v>-1.3575387251693989</v>
      </c>
    </row>
    <row r="230" spans="1:31" x14ac:dyDescent="0.2">
      <c r="A230">
        <v>1978.5</v>
      </c>
      <c r="B230">
        <v>1.02424457000581</v>
      </c>
      <c r="C230">
        <v>0.41890003514123803</v>
      </c>
      <c r="D230">
        <v>0.10437071296650099</v>
      </c>
      <c r="E230">
        <v>-0.37325910912709598</v>
      </c>
      <c r="F230">
        <v>-1.00314509477781</v>
      </c>
      <c r="G230">
        <v>0.34698941021286001</v>
      </c>
      <c r="H230">
        <v>8.2975069039629007E-3</v>
      </c>
      <c r="I230">
        <v>-0.18606275733237601</v>
      </c>
      <c r="J230">
        <v>7.0023202912174107E-2</v>
      </c>
      <c r="K230">
        <v>3.5948919312863398E-2</v>
      </c>
      <c r="L230">
        <v>7.7059890899139602E-2</v>
      </c>
      <c r="M230">
        <v>0.21829907860071801</v>
      </c>
      <c r="N230">
        <v>-1.37640420390491</v>
      </c>
      <c r="O230">
        <v>0.70363185842401799</v>
      </c>
      <c r="P230">
        <v>0.180361110316277</v>
      </c>
      <c r="Q230">
        <v>0.62666850653440198</v>
      </c>
      <c r="R230">
        <v>0.92202747603426105</v>
      </c>
      <c r="S230">
        <v>-7.1793128203376202E-2</v>
      </c>
      <c r="U230">
        <v>335.42</v>
      </c>
      <c r="V230">
        <f t="shared" si="15"/>
        <v>1.0351941370898636</v>
      </c>
      <c r="W230">
        <f t="shared" si="12"/>
        <v>334.75703735967653</v>
      </c>
      <c r="Y230">
        <f t="shared" si="16"/>
        <v>1.547515318113549</v>
      </c>
      <c r="Z230" s="3">
        <f t="shared" si="17"/>
        <v>2.0030727104393105</v>
      </c>
      <c r="AA230">
        <f t="shared" si="13"/>
        <v>399.52202163523964</v>
      </c>
      <c r="AE230">
        <f t="shared" si="14"/>
        <v>-1.376404203904906</v>
      </c>
    </row>
    <row r="231" spans="1:31" x14ac:dyDescent="0.2">
      <c r="A231">
        <v>1979.5</v>
      </c>
      <c r="B231">
        <v>1.0523948699868899</v>
      </c>
      <c r="C231">
        <v>0.42694340103862</v>
      </c>
      <c r="D231">
        <v>0.10620179201714899</v>
      </c>
      <c r="E231">
        <v>-0.38162595443414199</v>
      </c>
      <c r="F231">
        <v>-1.0171664822797499</v>
      </c>
      <c r="G231">
        <v>0.35193862025669698</v>
      </c>
      <c r="H231">
        <v>8.8555516907147993E-3</v>
      </c>
      <c r="I231">
        <v>-0.18685811775875</v>
      </c>
      <c r="J231">
        <v>7.1143042267814399E-2</v>
      </c>
      <c r="K231">
        <v>3.6796348881320801E-2</v>
      </c>
      <c r="L231">
        <v>0.115858548125702</v>
      </c>
      <c r="M231">
        <v>0.21882524122701399</v>
      </c>
      <c r="N231">
        <v>-1.39879243671389</v>
      </c>
      <c r="O231">
        <v>0.72527536322156605</v>
      </c>
      <c r="P231">
        <v>0.192130170165796</v>
      </c>
      <c r="Q231">
        <v>0.66075324183235795</v>
      </c>
      <c r="R231">
        <v>0.99543703118507498</v>
      </c>
      <c r="S231">
        <v>-7.0063174918900101E-2</v>
      </c>
      <c r="U231">
        <v>337.1</v>
      </c>
      <c r="V231">
        <f t="shared" si="15"/>
        <v>1.0628445916735281</v>
      </c>
      <c r="W231">
        <f t="shared" ref="W231:W274" si="18">10^((B231+$V$100)/$V$99)</f>
        <v>336.46410379346293</v>
      </c>
      <c r="Y231">
        <f t="shared" si="16"/>
        <v>1.5855400630426588</v>
      </c>
      <c r="Z231" s="3">
        <f t="shared" si="17"/>
        <v>2.0595456785462516</v>
      </c>
      <c r="AA231">
        <f t="shared" ref="AA231:AA275" si="19">10^((Z231+$V$100)/$V$99)</f>
        <v>403.6196418783141</v>
      </c>
      <c r="AE231">
        <f t="shared" ref="AE231:AE276" si="20">F231+E231</f>
        <v>-1.398792436713892</v>
      </c>
    </row>
    <row r="232" spans="1:31" x14ac:dyDescent="0.2">
      <c r="A232">
        <v>1980.5</v>
      </c>
      <c r="B232">
        <v>1.08635045439061</v>
      </c>
      <c r="C232">
        <v>0.43471975230902998</v>
      </c>
      <c r="D232">
        <v>0.108439079899629</v>
      </c>
      <c r="E232">
        <v>-0.38447788860535997</v>
      </c>
      <c r="F232">
        <v>-1.0094464508252601</v>
      </c>
      <c r="G232">
        <v>0.35245698074248799</v>
      </c>
      <c r="H232">
        <v>9.1537125622436002E-3</v>
      </c>
      <c r="I232">
        <v>-0.18778328944523101</v>
      </c>
      <c r="J232">
        <v>6.9178782692066301E-2</v>
      </c>
      <c r="K232">
        <v>3.7622230410653698E-2</v>
      </c>
      <c r="L232">
        <v>0.108214261016327</v>
      </c>
      <c r="M232">
        <v>0.150960511949181</v>
      </c>
      <c r="N232">
        <v>-1.39392433943062</v>
      </c>
      <c r="O232">
        <v>0.74711149298631396</v>
      </c>
      <c r="P232">
        <v>0.20395266077765301</v>
      </c>
      <c r="Q232">
        <v>0.720166024908522</v>
      </c>
      <c r="R232">
        <v>0.97934079787403105</v>
      </c>
      <c r="S232">
        <v>-7.1828563780267599E-2</v>
      </c>
      <c r="U232">
        <v>338.91</v>
      </c>
      <c r="V232">
        <f t="shared" ref="V232:V274" si="21">LOG10(U232)*$V$99-$V$100</f>
        <v>1.0924808783519886</v>
      </c>
      <c r="W232">
        <f t="shared" si="18"/>
        <v>338.53479632635054</v>
      </c>
      <c r="Y232">
        <f t="shared" si="16"/>
        <v>1.6295092865992691</v>
      </c>
      <c r="Z232" s="3">
        <f t="shared" si="17"/>
        <v>2.1140903643391424</v>
      </c>
      <c r="AA232">
        <f t="shared" si="19"/>
        <v>407.61724174667853</v>
      </c>
      <c r="AE232">
        <f t="shared" si="20"/>
        <v>-1.39392433943062</v>
      </c>
    </row>
    <row r="233" spans="1:31" x14ac:dyDescent="0.2">
      <c r="A233">
        <v>1981.5</v>
      </c>
      <c r="B233">
        <v>1.1060386804253699</v>
      </c>
      <c r="C233">
        <v>0.44199398751108399</v>
      </c>
      <c r="D233">
        <v>0.111243041460237</v>
      </c>
      <c r="E233">
        <v>-0.371569141176746</v>
      </c>
      <c r="F233">
        <v>-0.98286735290758798</v>
      </c>
      <c r="G233">
        <v>0.350365738516838</v>
      </c>
      <c r="H233">
        <v>9.1861866200275005E-3</v>
      </c>
      <c r="I233">
        <v>-0.18918510642497999</v>
      </c>
      <c r="J233">
        <v>6.7333955723362995E-2</v>
      </c>
      <c r="K233">
        <v>3.8401065835138998E-2</v>
      </c>
      <c r="L233">
        <v>0.11075715652413901</v>
      </c>
      <c r="M233">
        <v>9.9978665797079494E-2</v>
      </c>
      <c r="N233">
        <v>-1.3544364940843301</v>
      </c>
      <c r="O233">
        <v>0.76867826903286196</v>
      </c>
      <c r="P233">
        <v>0.215441240061541</v>
      </c>
      <c r="Q233">
        <v>0.79638229564428797</v>
      </c>
      <c r="R233">
        <v>1.0071181179655</v>
      </c>
      <c r="S233">
        <v>-7.4263898246450397E-2</v>
      </c>
      <c r="U233">
        <v>340.11</v>
      </c>
      <c r="V233">
        <f t="shared" si="21"/>
        <v>1.1120421203886828</v>
      </c>
      <c r="W233">
        <f t="shared" si="18"/>
        <v>339.74126297866178</v>
      </c>
      <c r="Y233">
        <f t="shared" si="16"/>
        <v>1.6592757093966908</v>
      </c>
      <c r="Z233" s="3">
        <f t="shared" si="17"/>
        <v>2.1508187897286195</v>
      </c>
      <c r="AA233">
        <f t="shared" si="19"/>
        <v>410.33136419807391</v>
      </c>
      <c r="AE233">
        <f t="shared" si="20"/>
        <v>-1.3544364940843341</v>
      </c>
    </row>
    <row r="234" spans="1:31" x14ac:dyDescent="0.2">
      <c r="A234">
        <v>1982.5</v>
      </c>
      <c r="B234">
        <v>1.11830324905778</v>
      </c>
      <c r="C234">
        <v>0.44854001354200501</v>
      </c>
      <c r="D234">
        <v>0.115167061373896</v>
      </c>
      <c r="E234">
        <v>-0.37037971548820398</v>
      </c>
      <c r="F234">
        <v>-1.0226030133559401</v>
      </c>
      <c r="G234">
        <v>0.36291980053968398</v>
      </c>
      <c r="H234">
        <v>9.5825586901550994E-3</v>
      </c>
      <c r="I234">
        <v>-0.190190042333264</v>
      </c>
      <c r="J234">
        <v>7.17388425623295E-2</v>
      </c>
      <c r="K234">
        <v>3.9108242624906898E-2</v>
      </c>
      <c r="L234">
        <v>6.7418728789764598E-2</v>
      </c>
      <c r="M234">
        <v>-0.244035430288224</v>
      </c>
      <c r="N234">
        <v>-1.3929827288441501</v>
      </c>
      <c r="O234">
        <v>0.79046108220979405</v>
      </c>
      <c r="P234">
        <v>0.226754007293892</v>
      </c>
      <c r="Q234">
        <v>0.80894100450723805</v>
      </c>
      <c r="R234">
        <v>0.63232430300877895</v>
      </c>
      <c r="S234">
        <v>-6.9760398455873202E-2</v>
      </c>
      <c r="U234">
        <v>340.86</v>
      </c>
      <c r="V234">
        <f t="shared" si="21"/>
        <v>1.1242328796278009</v>
      </c>
      <c r="W234">
        <f t="shared" si="18"/>
        <v>340.49499085820378</v>
      </c>
      <c r="Y234">
        <f t="shared" si="16"/>
        <v>1.682010323973681</v>
      </c>
      <c r="Z234" s="3">
        <f t="shared" si="17"/>
        <v>2.2019237333513844</v>
      </c>
      <c r="AA234">
        <f t="shared" si="19"/>
        <v>414.13796237749773</v>
      </c>
      <c r="AE234">
        <f t="shared" si="20"/>
        <v>-1.3929827288441441</v>
      </c>
    </row>
    <row r="235" spans="1:31" x14ac:dyDescent="0.2">
      <c r="A235">
        <v>1983.5</v>
      </c>
      <c r="B235">
        <v>1.1455520375521899</v>
      </c>
      <c r="C235">
        <v>0.454180089065223</v>
      </c>
      <c r="D235">
        <v>0.117069288441006</v>
      </c>
      <c r="E235">
        <v>-0.35366691094852598</v>
      </c>
      <c r="F235">
        <v>-0.95639072526772995</v>
      </c>
      <c r="G235">
        <v>0.34902603034362101</v>
      </c>
      <c r="H235">
        <v>1.0008162901095999E-2</v>
      </c>
      <c r="I235">
        <v>-0.19135692967052401</v>
      </c>
      <c r="J235">
        <v>6.7060298773061702E-2</v>
      </c>
      <c r="K235">
        <v>3.9719116048785398E-2</v>
      </c>
      <c r="L235">
        <v>6.5593460235077103E-2</v>
      </c>
      <c r="M235">
        <v>-0.73701864621806101</v>
      </c>
      <c r="N235">
        <v>-1.3100576362162499</v>
      </c>
      <c r="O235">
        <v>0.809419610342341</v>
      </c>
      <c r="P235">
        <v>0.238170232836111</v>
      </c>
      <c r="Q235">
        <v>0.91937069007432304</v>
      </c>
      <c r="R235">
        <v>0.247945504091338</v>
      </c>
      <c r="S235">
        <v>-7.4569351947581602E-2</v>
      </c>
      <c r="U235">
        <v>342.53</v>
      </c>
      <c r="V235">
        <f t="shared" si="21"/>
        <v>1.1512815555787022</v>
      </c>
      <c r="W235">
        <f t="shared" si="18"/>
        <v>342.17557477774773</v>
      </c>
      <c r="Y235">
        <f t="shared" si="16"/>
        <v>1.716801415058419</v>
      </c>
      <c r="Z235" s="3">
        <f t="shared" si="17"/>
        <v>2.2294283262905701</v>
      </c>
      <c r="AA235">
        <f t="shared" si="19"/>
        <v>416.20126337392054</v>
      </c>
      <c r="AE235">
        <f t="shared" si="20"/>
        <v>-1.3100576362162559</v>
      </c>
    </row>
    <row r="236" spans="1:31" x14ac:dyDescent="0.2">
      <c r="A236">
        <v>1984.5</v>
      </c>
      <c r="B236">
        <v>1.1705715181801899</v>
      </c>
      <c r="C236">
        <v>0.459033853963706</v>
      </c>
      <c r="D236">
        <v>0.11935123001893901</v>
      </c>
      <c r="E236">
        <v>-0.35743243302098199</v>
      </c>
      <c r="F236">
        <v>-0.98006807477105096</v>
      </c>
      <c r="G236">
        <v>0.35646565040112699</v>
      </c>
      <c r="H236">
        <v>1.0930144928115001E-2</v>
      </c>
      <c r="I236">
        <v>-0.192385204985349</v>
      </c>
      <c r="J236">
        <v>7.0208374712585994E-2</v>
      </c>
      <c r="K236">
        <v>4.0248229288945697E-2</v>
      </c>
      <c r="L236">
        <v>1.4610745391327101E-2</v>
      </c>
      <c r="M236">
        <v>-0.287759153537549</v>
      </c>
      <c r="N236">
        <v>-1.3375005077920299</v>
      </c>
      <c r="O236">
        <v>0.82799913566356298</v>
      </c>
      <c r="P236">
        <v>0.24961405168091699</v>
      </c>
      <c r="Q236">
        <v>0.94653734039714998</v>
      </c>
      <c r="R236">
        <v>0.673388932250927</v>
      </c>
      <c r="S236">
        <v>-7.0998456055702305E-2</v>
      </c>
      <c r="U236">
        <v>344.07</v>
      </c>
      <c r="V236">
        <f t="shared" si="21"/>
        <v>1.1761080239748161</v>
      </c>
      <c r="W236">
        <f t="shared" si="18"/>
        <v>343.72596862303209</v>
      </c>
      <c r="Y236">
        <f t="shared" si="16"/>
        <v>1.7489566021628349</v>
      </c>
      <c r="Z236" s="3">
        <f t="shared" si="17"/>
        <v>2.2840378481891768</v>
      </c>
      <c r="AA236">
        <f t="shared" si="19"/>
        <v>420.32840052800032</v>
      </c>
      <c r="AE236">
        <f t="shared" si="20"/>
        <v>-1.337500507792033</v>
      </c>
    </row>
    <row r="237" spans="1:31" x14ac:dyDescent="0.2">
      <c r="A237">
        <v>1985.5</v>
      </c>
      <c r="B237">
        <v>1.1943611286017199</v>
      </c>
      <c r="C237">
        <v>0.464103149796532</v>
      </c>
      <c r="D237">
        <v>0.121182342898891</v>
      </c>
      <c r="E237">
        <v>-0.359594123271958</v>
      </c>
      <c r="F237">
        <v>-0.99071103046481301</v>
      </c>
      <c r="G237">
        <v>0.36044041087112</v>
      </c>
      <c r="H237">
        <v>1.1542962766134099E-2</v>
      </c>
      <c r="I237">
        <v>-0.19314419764283</v>
      </c>
      <c r="J237">
        <v>7.1551604162905805E-2</v>
      </c>
      <c r="K237">
        <v>4.0802634413565998E-2</v>
      </c>
      <c r="L237">
        <v>-2.6123014836728002E-3</v>
      </c>
      <c r="M237">
        <v>8.6976050053186992E-3</v>
      </c>
      <c r="N237">
        <v>-1.3503051537367701</v>
      </c>
      <c r="O237">
        <v>0.84775883189952805</v>
      </c>
      <c r="P237">
        <v>0.26247333920410398</v>
      </c>
      <c r="Q237">
        <v>0.98300822133537902</v>
      </c>
      <c r="R237">
        <v>0.98909352485702495</v>
      </c>
      <c r="S237">
        <v>-6.9246996300224406E-2</v>
      </c>
      <c r="U237">
        <v>345.54</v>
      </c>
      <c r="V237">
        <f t="shared" si="21"/>
        <v>1.19970257604189</v>
      </c>
      <c r="W237">
        <f t="shared" si="18"/>
        <v>345.206665375331</v>
      </c>
      <c r="Y237">
        <f t="shared" si="16"/>
        <v>1.7796466212971429</v>
      </c>
      <c r="Z237" s="3">
        <f t="shared" si="17"/>
        <v>2.3333133750721426</v>
      </c>
      <c r="AA237">
        <f t="shared" si="19"/>
        <v>424.08753214676881</v>
      </c>
      <c r="AE237">
        <f t="shared" si="20"/>
        <v>-1.350305153736771</v>
      </c>
    </row>
    <row r="238" spans="1:31" x14ac:dyDescent="0.2">
      <c r="A238">
        <v>1986.5</v>
      </c>
      <c r="B238">
        <v>1.2174107113649799</v>
      </c>
      <c r="C238">
        <v>0.46921414782203502</v>
      </c>
      <c r="D238">
        <v>0.124201056295161</v>
      </c>
      <c r="E238">
        <v>-0.35611452181918202</v>
      </c>
      <c r="F238">
        <v>-0.99592409615988697</v>
      </c>
      <c r="G238">
        <v>0.366479270429453</v>
      </c>
      <c r="H238">
        <v>1.2489887694995601E-2</v>
      </c>
      <c r="I238">
        <v>-0.193808423266882</v>
      </c>
      <c r="J238">
        <v>7.3654314719107994E-2</v>
      </c>
      <c r="K238">
        <v>4.1365832640876399E-2</v>
      </c>
      <c r="L238">
        <v>-4.906217961728E-4</v>
      </c>
      <c r="M238">
        <v>7.6320831090925002E-3</v>
      </c>
      <c r="N238">
        <v>-1.35203861797906</v>
      </c>
      <c r="O238">
        <v>0.86991983649624904</v>
      </c>
      <c r="P238">
        <v>0.27650463237905298</v>
      </c>
      <c r="Q238">
        <v>1.0354728120997101</v>
      </c>
      <c r="R238">
        <v>1.04261427341263</v>
      </c>
      <c r="S238">
        <v>-6.6298388211902703E-2</v>
      </c>
      <c r="U238">
        <v>346.97</v>
      </c>
      <c r="V238">
        <f t="shared" si="21"/>
        <v>1.2225589798663457</v>
      </c>
      <c r="W238">
        <f t="shared" si="18"/>
        <v>346.64738553717888</v>
      </c>
      <c r="Y238">
        <f t="shared" si="16"/>
        <v>1.810825915482176</v>
      </c>
      <c r="Z238" s="3">
        <f t="shared" si="17"/>
        <v>2.3875114300787796</v>
      </c>
      <c r="AA238">
        <f t="shared" si="19"/>
        <v>428.261029750131</v>
      </c>
      <c r="AE238">
        <f t="shared" si="20"/>
        <v>-1.3520386179790691</v>
      </c>
    </row>
    <row r="239" spans="1:31" x14ac:dyDescent="0.2">
      <c r="A239">
        <v>1987.5</v>
      </c>
      <c r="B239">
        <v>1.24487429401469</v>
      </c>
      <c r="C239">
        <v>0.47323219078941098</v>
      </c>
      <c r="D239">
        <v>0.124835261665727</v>
      </c>
      <c r="E239">
        <v>-0.36563313254867802</v>
      </c>
      <c r="F239">
        <v>-1.02773500785534</v>
      </c>
      <c r="G239">
        <v>0.373854999934017</v>
      </c>
      <c r="H239">
        <v>1.33522124969298E-2</v>
      </c>
      <c r="I239">
        <v>-0.194473422871031</v>
      </c>
      <c r="J239">
        <v>7.6548140004552595E-2</v>
      </c>
      <c r="K239">
        <v>4.18080597579258E-2</v>
      </c>
      <c r="L239">
        <v>1.03829866022646E-2</v>
      </c>
      <c r="M239">
        <v>8.8808071560643104E-2</v>
      </c>
      <c r="N239">
        <v>-1.3933681404040199</v>
      </c>
      <c r="O239">
        <v>0.88924017085829898</v>
      </c>
      <c r="P239">
        <v>0.291172718403161</v>
      </c>
      <c r="Q239">
        <v>1.05183631379137</v>
      </c>
      <c r="R239">
        <v>1.1510273719542701</v>
      </c>
      <c r="S239">
        <v>-6.2765010611622804E-2</v>
      </c>
      <c r="U239">
        <v>348.68</v>
      </c>
      <c r="V239">
        <f t="shared" si="21"/>
        <v>1.2497674103660223</v>
      </c>
      <c r="W239">
        <f t="shared" si="18"/>
        <v>348.37185628955245</v>
      </c>
      <c r="Y239">
        <f t="shared" si="16"/>
        <v>1.8429417464698279</v>
      </c>
      <c r="Z239" s="3">
        <f t="shared" si="17"/>
        <v>2.445204454195383</v>
      </c>
      <c r="AA239">
        <f t="shared" si="19"/>
        <v>432.74879554129774</v>
      </c>
      <c r="AE239">
        <f t="shared" si="20"/>
        <v>-1.3933681404040179</v>
      </c>
    </row>
    <row r="240" spans="1:31" x14ac:dyDescent="0.2">
      <c r="A240">
        <v>1988.5</v>
      </c>
      <c r="B240">
        <v>1.2844839993814501</v>
      </c>
      <c r="C240">
        <v>0.47829855712166303</v>
      </c>
      <c r="D240">
        <v>0.127172963997112</v>
      </c>
      <c r="E240">
        <v>-0.36395019953123497</v>
      </c>
      <c r="F240">
        <v>-1.0368131209293601</v>
      </c>
      <c r="G240">
        <v>0.37982168805602801</v>
      </c>
      <c r="H240">
        <v>1.43333673696204E-2</v>
      </c>
      <c r="I240">
        <v>-0.19510405034523101</v>
      </c>
      <c r="J240">
        <v>7.9462845147396904E-2</v>
      </c>
      <c r="K240">
        <v>4.2370136864643297E-2</v>
      </c>
      <c r="L240">
        <v>5.5406277617889597E-2</v>
      </c>
      <c r="M240">
        <v>0.14466033135496101</v>
      </c>
      <c r="N240">
        <v>-1.4007633204606</v>
      </c>
      <c r="O240">
        <v>0.91236156816329095</v>
      </c>
      <c r="P240">
        <v>0.306890047044515</v>
      </c>
      <c r="Q240">
        <v>1.1169662341766</v>
      </c>
      <c r="R240">
        <v>1.31703284314945</v>
      </c>
      <c r="S240">
        <v>-5.8937700963570899E-2</v>
      </c>
      <c r="U240">
        <v>351.16</v>
      </c>
      <c r="V240">
        <f t="shared" si="21"/>
        <v>1.2889914240932576</v>
      </c>
      <c r="W240">
        <f t="shared" si="18"/>
        <v>350.8741163091895</v>
      </c>
      <c r="Y240">
        <f t="shared" si="16"/>
        <v>1.889955520500225</v>
      </c>
      <c r="Z240" s="3">
        <f t="shared" si="17"/>
        <v>2.5177295546371976</v>
      </c>
      <c r="AA240">
        <f t="shared" si="19"/>
        <v>438.45708023531921</v>
      </c>
      <c r="AE240">
        <f t="shared" si="20"/>
        <v>-1.4007633204605949</v>
      </c>
    </row>
    <row r="241" spans="1:32" x14ac:dyDescent="0.2">
      <c r="A241">
        <v>1989.5</v>
      </c>
      <c r="B241">
        <v>1.3103719423800599</v>
      </c>
      <c r="C241">
        <v>0.48371709003637198</v>
      </c>
      <c r="D241">
        <v>0.13066631028777101</v>
      </c>
      <c r="E241">
        <v>-0.360916621938563</v>
      </c>
      <c r="F241">
        <v>-1.0232147294493199</v>
      </c>
      <c r="G241">
        <v>0.38185729173021798</v>
      </c>
      <c r="H241">
        <v>1.5255774483701801E-2</v>
      </c>
      <c r="I241">
        <v>-0.195277671860761</v>
      </c>
      <c r="J241">
        <v>7.8780222753567802E-2</v>
      </c>
      <c r="K241">
        <v>4.2975607933137198E-2</v>
      </c>
      <c r="L241">
        <v>0.117262600860077</v>
      </c>
      <c r="M241">
        <v>0.18383423532792001</v>
      </c>
      <c r="N241">
        <v>-1.3841313513878799</v>
      </c>
      <c r="O241">
        <v>0.93517882791612095</v>
      </c>
      <c r="P241">
        <v>0.32079542759197699</v>
      </c>
      <c r="Q241">
        <v>1.18501064394816</v>
      </c>
      <c r="R241">
        <v>1.48610748013616</v>
      </c>
      <c r="S241">
        <v>-5.8266066690354501E-2</v>
      </c>
      <c r="U241">
        <v>352.78</v>
      </c>
      <c r="V241">
        <f t="shared" si="21"/>
        <v>1.314464267878936</v>
      </c>
      <c r="W241">
        <f t="shared" si="18"/>
        <v>352.5192368197865</v>
      </c>
      <c r="Y241">
        <f t="shared" si="16"/>
        <v>1.9247553427042028</v>
      </c>
      <c r="Z241" s="3">
        <f t="shared" si="17"/>
        <v>2.5691419953360435</v>
      </c>
      <c r="AA241">
        <f t="shared" si="19"/>
        <v>442.54918553537169</v>
      </c>
      <c r="AE241">
        <f t="shared" si="20"/>
        <v>-1.3841313513878828</v>
      </c>
    </row>
    <row r="242" spans="1:32" x14ac:dyDescent="0.2">
      <c r="A242">
        <v>1990.5</v>
      </c>
      <c r="B242">
        <v>1.33030798075079</v>
      </c>
      <c r="C242">
        <v>0.48672681554777503</v>
      </c>
      <c r="D242">
        <v>0.13373705344256501</v>
      </c>
      <c r="E242">
        <v>-0.36201447437965401</v>
      </c>
      <c r="F242">
        <v>-1.03739207962395</v>
      </c>
      <c r="G242">
        <v>0.38517228837260398</v>
      </c>
      <c r="H242">
        <v>1.56981285458834E-2</v>
      </c>
      <c r="I242">
        <v>-0.195453515256022</v>
      </c>
      <c r="J242">
        <v>8.0456589991954999E-2</v>
      </c>
      <c r="K242">
        <v>4.3314889800440501E-2</v>
      </c>
      <c r="L242">
        <v>0.105827371367889</v>
      </c>
      <c r="M242">
        <v>0.180287235122642</v>
      </c>
      <c r="N242">
        <v>-1.39940655400361</v>
      </c>
      <c r="O242">
        <v>0.95312795062998101</v>
      </c>
      <c r="P242">
        <v>0.33266408163963901</v>
      </c>
      <c r="Q242">
        <v>1.2132177588320301</v>
      </c>
      <c r="R242">
        <v>1.4993323653225601</v>
      </c>
      <c r="S242">
        <v>-5.5983906917743798E-2</v>
      </c>
      <c r="U242">
        <v>354.05</v>
      </c>
      <c r="V242">
        <f t="shared" si="21"/>
        <v>1.334352057130797</v>
      </c>
      <c r="W242">
        <f t="shared" si="18"/>
        <v>353.79138245517038</v>
      </c>
      <c r="Y242">
        <f t="shared" si="16"/>
        <v>1.9507718497411302</v>
      </c>
      <c r="Z242" s="3">
        <f t="shared" si="17"/>
        <v>2.6126243128356301</v>
      </c>
      <c r="AA242">
        <f t="shared" si="19"/>
        <v>446.03989840931564</v>
      </c>
      <c r="AE242">
        <f t="shared" si="20"/>
        <v>-1.399406554003604</v>
      </c>
    </row>
    <row r="243" spans="1:32" x14ac:dyDescent="0.2">
      <c r="A243">
        <v>1991.5</v>
      </c>
      <c r="B243">
        <v>1.3514441660271499</v>
      </c>
      <c r="C243">
        <v>0.49199512507054299</v>
      </c>
      <c r="D243">
        <v>0.136048399349014</v>
      </c>
      <c r="E243">
        <v>-0.37362526543971702</v>
      </c>
      <c r="F243">
        <v>-1.11526611550535</v>
      </c>
      <c r="G243">
        <v>0.41152189837863801</v>
      </c>
      <c r="H243">
        <v>1.558858235327E-2</v>
      </c>
      <c r="I243">
        <v>-0.194885384346454</v>
      </c>
      <c r="J243">
        <v>8.85784495797977E-2</v>
      </c>
      <c r="K243">
        <v>4.39065776804674E-2</v>
      </c>
      <c r="L243">
        <v>0.104111306914764</v>
      </c>
      <c r="M243">
        <v>-0.60501799173498605</v>
      </c>
      <c r="N243">
        <v>-1.4888913809450599</v>
      </c>
      <c r="O243">
        <v>0.97021569834594801</v>
      </c>
      <c r="P243">
        <v>0.34217217392638999</v>
      </c>
      <c r="Q243">
        <v>1.19747860707374</v>
      </c>
      <c r="R243">
        <v>0.69657192225352704</v>
      </c>
      <c r="S243">
        <v>-4.6811774732919198E-2</v>
      </c>
      <c r="U243">
        <v>355.39</v>
      </c>
      <c r="V243">
        <f t="shared" si="21"/>
        <v>1.3552588269745804</v>
      </c>
      <c r="W243">
        <f t="shared" si="18"/>
        <v>355.14512514982374</v>
      </c>
      <c r="Y243">
        <f t="shared" si="16"/>
        <v>1.9794876904467069</v>
      </c>
      <c r="Z243" s="3">
        <f t="shared" si="17"/>
        <v>2.6863699880188157</v>
      </c>
      <c r="AA243">
        <f t="shared" si="19"/>
        <v>452.02318325565517</v>
      </c>
      <c r="AE243">
        <f t="shared" si="20"/>
        <v>-1.488891380945067</v>
      </c>
    </row>
    <row r="244" spans="1:32" x14ac:dyDescent="0.2">
      <c r="A244">
        <v>1992.5</v>
      </c>
      <c r="B244">
        <v>1.3624544384656401</v>
      </c>
      <c r="C244">
        <v>0.49496593106383002</v>
      </c>
      <c r="D244">
        <v>0.13777684387386399</v>
      </c>
      <c r="E244">
        <v>-0.33854327884609497</v>
      </c>
      <c r="F244">
        <v>-0.99448003878672597</v>
      </c>
      <c r="G244">
        <v>0.38778750543149998</v>
      </c>
      <c r="H244">
        <v>1.72155610255799E-2</v>
      </c>
      <c r="I244">
        <v>-0.19403294508840199</v>
      </c>
      <c r="J244">
        <v>7.8617629897780705E-2</v>
      </c>
      <c r="K244">
        <v>4.4242122479127302E-2</v>
      </c>
      <c r="L244">
        <v>8.3346927031952095E-2</v>
      </c>
      <c r="M244">
        <v>-1.8721178409435699</v>
      </c>
      <c r="N244">
        <v>-1.3330233176328199</v>
      </c>
      <c r="O244">
        <v>0.98303973958094004</v>
      </c>
      <c r="P244">
        <v>0.350296964643244</v>
      </c>
      <c r="Q244">
        <v>1.34630073415934</v>
      </c>
      <c r="R244">
        <v>-0.44247017975227998</v>
      </c>
      <c r="S244">
        <v>-5.3957631685914498E-2</v>
      </c>
      <c r="U244">
        <v>356.09</v>
      </c>
      <c r="V244">
        <f t="shared" si="21"/>
        <v>1.3661489498147041</v>
      </c>
      <c r="W244">
        <f t="shared" si="18"/>
        <v>355.85236821356449</v>
      </c>
      <c r="Y244">
        <f t="shared" si="16"/>
        <v>1.995197213403334</v>
      </c>
      <c r="Z244" s="3">
        <f t="shared" si="17"/>
        <v>2.6793240517921642</v>
      </c>
      <c r="AA244">
        <f t="shared" si="19"/>
        <v>451.44806693560332</v>
      </c>
      <c r="AC244">
        <f t="shared" ref="AC244:AC273" si="22">Z244/Y244</f>
        <v>1.3428868253188224</v>
      </c>
      <c r="AE244">
        <f t="shared" si="20"/>
        <v>-1.333023317632821</v>
      </c>
    </row>
    <row r="245" spans="1:32" x14ac:dyDescent="0.2">
      <c r="A245">
        <v>1993.5</v>
      </c>
      <c r="B245">
        <v>1.37407653239051</v>
      </c>
      <c r="C245">
        <v>0.49573445111654402</v>
      </c>
      <c r="D245">
        <v>0.138827472731125</v>
      </c>
      <c r="E245">
        <v>-0.332339223056768</v>
      </c>
      <c r="F245">
        <v>-1.0083307499402501</v>
      </c>
      <c r="G245">
        <v>0.39346552211423902</v>
      </c>
      <c r="H245">
        <v>1.8826640289323501E-2</v>
      </c>
      <c r="I245">
        <v>-0.193807705885614</v>
      </c>
      <c r="J245">
        <v>8.16552530826231E-2</v>
      </c>
      <c r="K245">
        <v>4.4329987557759701E-2</v>
      </c>
      <c r="L245">
        <v>3.4485891875702099E-2</v>
      </c>
      <c r="M245">
        <v>-0.81040123705341105</v>
      </c>
      <c r="N245">
        <v>-1.34066997299701</v>
      </c>
      <c r="O245">
        <v>0.98970164980801401</v>
      </c>
      <c r="P245">
        <v>0.35513972596034399</v>
      </c>
      <c r="Q245">
        <v>1.3675779063598299</v>
      </c>
      <c r="R245">
        <v>0.59166256118213001</v>
      </c>
      <c r="S245">
        <v>-4.8995824955908401E-2</v>
      </c>
      <c r="U245">
        <v>356.83</v>
      </c>
      <c r="V245">
        <f t="shared" si="21"/>
        <v>1.3776381123171397</v>
      </c>
      <c r="W245">
        <f t="shared" si="18"/>
        <v>356.60043957489148</v>
      </c>
      <c r="Y245">
        <f t="shared" si="16"/>
        <v>2.0086384562381792</v>
      </c>
      <c r="Z245" s="3">
        <f t="shared" si="17"/>
        <v>2.7082478793568545</v>
      </c>
      <c r="AA245">
        <f t="shared" si="19"/>
        <v>453.81361413472285</v>
      </c>
      <c r="AC245">
        <f t="shared" si="22"/>
        <v>1.3483003230103037</v>
      </c>
      <c r="AE245">
        <f t="shared" si="20"/>
        <v>-1.3406699729970182</v>
      </c>
    </row>
    <row r="246" spans="1:32" x14ac:dyDescent="0.2">
      <c r="A246">
        <v>1994.5</v>
      </c>
      <c r="B246">
        <v>1.39757018747599</v>
      </c>
      <c r="C246">
        <v>0.49789759053281601</v>
      </c>
      <c r="D246">
        <v>0.14061925691609301</v>
      </c>
      <c r="E246">
        <v>-0.335512137074651</v>
      </c>
      <c r="F246">
        <v>-1.06247456870955</v>
      </c>
      <c r="G246">
        <v>0.41102423201791899</v>
      </c>
      <c r="H246">
        <v>2.0049252665336401E-2</v>
      </c>
      <c r="I246">
        <v>-0.193644933307066</v>
      </c>
      <c r="J246">
        <v>8.8263155271136304E-2</v>
      </c>
      <c r="K246">
        <v>4.4575886674492499E-2</v>
      </c>
      <c r="L246">
        <v>4.9071809382020999E-3</v>
      </c>
      <c r="M246">
        <v>-6.8076628053867994E-2</v>
      </c>
      <c r="N246">
        <v>-1.3979867057841999</v>
      </c>
      <c r="O246">
        <v>0.99758465150283604</v>
      </c>
      <c r="P246">
        <v>0.35906780405392702</v>
      </c>
      <c r="Q246">
        <v>1.3674357265164401</v>
      </c>
      <c r="R246">
        <v>1.30426627940078</v>
      </c>
      <c r="S246">
        <v>-4.0756638696101501E-2</v>
      </c>
      <c r="U246">
        <v>358.33</v>
      </c>
      <c r="V246">
        <f t="shared" si="21"/>
        <v>1.4008540364065816</v>
      </c>
      <c r="W246">
        <f t="shared" si="18"/>
        <v>358.11744555049478</v>
      </c>
      <c r="Y246">
        <f t="shared" si="16"/>
        <v>2.0360870349248992</v>
      </c>
      <c r="Z246" s="3">
        <f t="shared" si="17"/>
        <v>2.7654224323006442</v>
      </c>
      <c r="AA246">
        <f t="shared" si="19"/>
        <v>458.52618878166015</v>
      </c>
      <c r="AC246">
        <f t="shared" si="22"/>
        <v>1.3582044307858609</v>
      </c>
      <c r="AE246">
        <f t="shared" si="20"/>
        <v>-1.397986705784201</v>
      </c>
    </row>
    <row r="247" spans="1:32" x14ac:dyDescent="0.2">
      <c r="A247">
        <v>1995.5</v>
      </c>
      <c r="B247">
        <v>1.42626998391466</v>
      </c>
      <c r="C247">
        <v>0.49982722403839502</v>
      </c>
      <c r="D247">
        <v>0.14259349362648099</v>
      </c>
      <c r="E247">
        <v>-0.31018014613718298</v>
      </c>
      <c r="F247">
        <v>-1.0170314140144701</v>
      </c>
      <c r="G247">
        <v>0.40454636274891598</v>
      </c>
      <c r="H247">
        <v>2.1408454212902099E-2</v>
      </c>
      <c r="I247">
        <v>-0.19330243015068799</v>
      </c>
      <c r="J247">
        <v>8.8198295572270505E-2</v>
      </c>
      <c r="K247">
        <v>4.4796241827910102E-2</v>
      </c>
      <c r="L247">
        <v>-7.0902999929780002E-4</v>
      </c>
      <c r="M247">
        <v>0.120676515122756</v>
      </c>
      <c r="N247">
        <v>-1.3272115601516501</v>
      </c>
      <c r="O247">
        <v>1.00506762893063</v>
      </c>
      <c r="P247">
        <v>0.36264691126576099</v>
      </c>
      <c r="Q247">
        <v>1.4697729769049499</v>
      </c>
      <c r="R247">
        <v>1.5897404620284099</v>
      </c>
      <c r="S247">
        <v>-3.8899438537605399E-2</v>
      </c>
      <c r="U247">
        <v>360.17</v>
      </c>
      <c r="V247">
        <f t="shared" si="21"/>
        <v>1.4291998740175238</v>
      </c>
      <c r="W247">
        <f t="shared" si="18"/>
        <v>359.97937642300445</v>
      </c>
      <c r="Y247">
        <f t="shared" si="16"/>
        <v>2.0686907015795359</v>
      </c>
      <c r="Z247" s="3">
        <f t="shared" si="17"/>
        <v>2.7969845370566078</v>
      </c>
      <c r="AA247">
        <f t="shared" si="19"/>
        <v>461.14860588717909</v>
      </c>
      <c r="AC247">
        <f t="shared" si="22"/>
        <v>1.3520554498171176</v>
      </c>
      <c r="AE247">
        <f t="shared" si="20"/>
        <v>-1.327211560151653</v>
      </c>
    </row>
    <row r="248" spans="1:32" x14ac:dyDescent="0.2">
      <c r="A248">
        <v>1996.5</v>
      </c>
      <c r="B248">
        <v>1.4535944353080601</v>
      </c>
      <c r="C248">
        <v>0.50062349807784201</v>
      </c>
      <c r="D248">
        <v>0.145422011355679</v>
      </c>
      <c r="E248">
        <v>-0.30185737238605298</v>
      </c>
      <c r="F248">
        <v>-0.987580737335084</v>
      </c>
      <c r="G248">
        <v>0.40480185862954698</v>
      </c>
      <c r="H248">
        <v>2.26605033477437E-2</v>
      </c>
      <c r="I248">
        <v>-0.193670317583271</v>
      </c>
      <c r="J248">
        <v>8.5075548793707503E-2</v>
      </c>
      <c r="K248">
        <v>4.4890371992209299E-2</v>
      </c>
      <c r="L248">
        <v>-1.2908688202422801E-2</v>
      </c>
      <c r="M248">
        <v>0.189889191010602</v>
      </c>
      <c r="N248">
        <v>-1.28943810972113</v>
      </c>
      <c r="O248">
        <v>1.01186774319789</v>
      </c>
      <c r="P248">
        <v>0.36582223376437301</v>
      </c>
      <c r="Q248">
        <v>1.5397820339647501</v>
      </c>
      <c r="R248">
        <v>1.71676253677293</v>
      </c>
      <c r="S248">
        <v>-4.1043893449611298E-2</v>
      </c>
      <c r="U248">
        <v>361.93</v>
      </c>
      <c r="V248">
        <f t="shared" si="21"/>
        <v>1.4561781055572318</v>
      </c>
      <c r="W248">
        <f t="shared" si="18"/>
        <v>361.76107536138107</v>
      </c>
      <c r="Y248">
        <f t="shared" si="16"/>
        <v>2.0996399447415812</v>
      </c>
      <c r="Z248" s="3">
        <f t="shared" si="17"/>
        <v>2.8292201436858906</v>
      </c>
      <c r="AA248">
        <f t="shared" si="19"/>
        <v>463.84246491627749</v>
      </c>
      <c r="AC248">
        <f t="shared" si="22"/>
        <v>1.3474787192782733</v>
      </c>
      <c r="AE248">
        <f t="shared" si="20"/>
        <v>-1.2894381097211369</v>
      </c>
    </row>
    <row r="249" spans="1:32" x14ac:dyDescent="0.2">
      <c r="A249">
        <v>1997.5</v>
      </c>
      <c r="B249">
        <v>1.4709156323283701</v>
      </c>
      <c r="C249">
        <v>0.50192406834796</v>
      </c>
      <c r="D249">
        <v>0.14818849754112401</v>
      </c>
      <c r="E249">
        <v>-0.33276817715565699</v>
      </c>
      <c r="F249">
        <v>-1.0945011204709401</v>
      </c>
      <c r="G249">
        <v>0.44223705448885697</v>
      </c>
      <c r="H249">
        <v>2.3816113946755101E-2</v>
      </c>
      <c r="I249">
        <v>-0.19428111256811001</v>
      </c>
      <c r="J249">
        <v>9.4372477125734405E-2</v>
      </c>
      <c r="K249">
        <v>4.5041437496427798E-2</v>
      </c>
      <c r="L249">
        <v>3.5031282038271E-3</v>
      </c>
      <c r="M249">
        <v>0.21325117034736599</v>
      </c>
      <c r="N249">
        <v>-1.4272692976265999</v>
      </c>
      <c r="O249">
        <v>1.01830072002535</v>
      </c>
      <c r="P249">
        <v>0.36818815413626699</v>
      </c>
      <c r="Q249">
        <v>1.47313302521679</v>
      </c>
      <c r="R249">
        <v>1.6898873237679799</v>
      </c>
      <c r="S249">
        <v>-3.1051083999193201E-2</v>
      </c>
      <c r="U249">
        <v>363.05</v>
      </c>
      <c r="V249">
        <f t="shared" si="21"/>
        <v>1.4732778506805992</v>
      </c>
      <c r="W249">
        <f t="shared" si="18"/>
        <v>362.89507321808424</v>
      </c>
      <c r="Y249">
        <f t="shared" si="16"/>
        <v>2.1210281982174539</v>
      </c>
      <c r="Z249" s="3">
        <f t="shared" si="17"/>
        <v>2.9004023228433851</v>
      </c>
      <c r="AA249">
        <f t="shared" si="19"/>
        <v>469.84687572705957</v>
      </c>
      <c r="AC249">
        <f t="shared" si="22"/>
        <v>1.3674510905988566</v>
      </c>
      <c r="AE249">
        <f t="shared" si="20"/>
        <v>-1.427269297626597</v>
      </c>
    </row>
    <row r="250" spans="1:32" x14ac:dyDescent="0.2">
      <c r="A250">
        <v>1998.5</v>
      </c>
      <c r="B250">
        <v>1.51172953254083</v>
      </c>
      <c r="C250">
        <v>0.50592697426017796</v>
      </c>
      <c r="D250">
        <v>0.15071093824899001</v>
      </c>
      <c r="E250">
        <v>-0.32342684524328402</v>
      </c>
      <c r="F250">
        <v>-1.0829683702139401</v>
      </c>
      <c r="G250">
        <v>0.43506242714831</v>
      </c>
      <c r="H250">
        <v>2.4777870039626601E-2</v>
      </c>
      <c r="I250">
        <v>-0.19468984761316299</v>
      </c>
      <c r="J250">
        <v>9.4741208087624304E-2</v>
      </c>
      <c r="K250">
        <v>4.5498371077726599E-2</v>
      </c>
      <c r="L250">
        <v>5.0398489531952098E-2</v>
      </c>
      <c r="M250">
        <v>0.21542688197263199</v>
      </c>
      <c r="N250">
        <v>-1.4063952154572199</v>
      </c>
      <c r="O250">
        <v>1.0271695076331999</v>
      </c>
      <c r="P250">
        <v>0.370531595124033</v>
      </c>
      <c r="Q250">
        <v>1.53789385345693</v>
      </c>
      <c r="R250">
        <v>1.8037192249615199</v>
      </c>
      <c r="S250">
        <v>-2.9672398408186001E-2</v>
      </c>
      <c r="U250">
        <v>365.7</v>
      </c>
      <c r="V250">
        <f t="shared" si="21"/>
        <v>1.5135279091219012</v>
      </c>
      <c r="W250">
        <f t="shared" si="18"/>
        <v>365.58118596637786</v>
      </c>
      <c r="Y250">
        <f t="shared" si="16"/>
        <v>2.1683674450499981</v>
      </c>
      <c r="Z250" s="3">
        <f t="shared" si="17"/>
        <v>2.9442890689141552</v>
      </c>
      <c r="AA250">
        <f t="shared" si="19"/>
        <v>473.58751227911722</v>
      </c>
      <c r="AC250">
        <f t="shared" si="22"/>
        <v>1.357836779755871</v>
      </c>
      <c r="AE250">
        <f t="shared" si="20"/>
        <v>-1.4063952154572241</v>
      </c>
    </row>
    <row r="251" spans="1:32" x14ac:dyDescent="0.2">
      <c r="A251">
        <v>1999.5</v>
      </c>
      <c r="B251">
        <v>1.5438782835565099</v>
      </c>
      <c r="C251">
        <v>0.50889232700662301</v>
      </c>
      <c r="D251">
        <v>0.15396041751952999</v>
      </c>
      <c r="E251">
        <v>-0.293799886124812</v>
      </c>
      <c r="F251">
        <v>-0.97256189846534002</v>
      </c>
      <c r="G251">
        <v>0.42037074858942802</v>
      </c>
      <c r="H251">
        <v>2.62782635901504E-2</v>
      </c>
      <c r="I251">
        <v>-0.19523861714384499</v>
      </c>
      <c r="J251">
        <v>8.2652763986877001E-2</v>
      </c>
      <c r="K251">
        <v>4.58401150137831E-2</v>
      </c>
      <c r="L251">
        <v>8.4906985625702106E-2</v>
      </c>
      <c r="M251">
        <v>0.219694637530091</v>
      </c>
      <c r="N251">
        <v>-1.26636178459015</v>
      </c>
      <c r="O251">
        <v>1.03557494112102</v>
      </c>
      <c r="P251">
        <v>0.37272219659487099</v>
      </c>
      <c r="Q251">
        <v>1.69299471412377</v>
      </c>
      <c r="R251">
        <v>1.99759633727957</v>
      </c>
      <c r="S251">
        <v>-4.0467474553035301E-2</v>
      </c>
      <c r="U251">
        <v>367.8</v>
      </c>
      <c r="V251">
        <f t="shared" si="21"/>
        <v>1.5452175748395156</v>
      </c>
      <c r="W251">
        <f t="shared" si="18"/>
        <v>367.71100473097471</v>
      </c>
      <c r="Y251">
        <f t="shared" si="16"/>
        <v>2.2067310280826633</v>
      </c>
      <c r="Z251" s="3">
        <f t="shared" si="17"/>
        <v>2.9593564987139271</v>
      </c>
      <c r="AA251">
        <f t="shared" si="19"/>
        <v>474.87862286726227</v>
      </c>
      <c r="AC251">
        <f t="shared" si="22"/>
        <v>1.3410589967936368</v>
      </c>
      <c r="AE251">
        <f t="shared" si="20"/>
        <v>-1.266361784590152</v>
      </c>
    </row>
    <row r="252" spans="1:32" x14ac:dyDescent="0.2">
      <c r="A252">
        <v>2000.5</v>
      </c>
      <c r="B252">
        <v>1.5615582458017401</v>
      </c>
      <c r="C252">
        <v>0.50935203372484505</v>
      </c>
      <c r="D252">
        <v>0.157210114849095</v>
      </c>
      <c r="E252">
        <v>-0.29025756483660298</v>
      </c>
      <c r="F252">
        <v>-0.92831526576997903</v>
      </c>
      <c r="G252">
        <v>0.41749282140466598</v>
      </c>
      <c r="H252">
        <v>2.83573150619565E-2</v>
      </c>
      <c r="I252">
        <v>-0.195791975125648</v>
      </c>
      <c r="J252">
        <v>7.6842402148730699E-2</v>
      </c>
      <c r="K252">
        <v>4.5897490008837E-2</v>
      </c>
      <c r="L252">
        <v>0.110008328399139</v>
      </c>
      <c r="M252">
        <v>0.22078028364604099</v>
      </c>
      <c r="N252">
        <v>-1.2185728306065799</v>
      </c>
      <c r="O252">
        <v>1.0413931736729301</v>
      </c>
      <c r="P252">
        <v>0.37483102509899402</v>
      </c>
      <c r="Q252">
        <v>1.75717664236664</v>
      </c>
      <c r="R252">
        <v>2.0879652544118201</v>
      </c>
      <c r="S252">
        <v>-4.4694767906124297E-2</v>
      </c>
      <c r="U252">
        <v>368.96</v>
      </c>
      <c r="V252">
        <f t="shared" si="21"/>
        <v>1.5626448546296068</v>
      </c>
      <c r="W252">
        <f t="shared" si="18"/>
        <v>368.88756598115901</v>
      </c>
      <c r="Y252">
        <f t="shared" si="16"/>
        <v>2.2281203943756802</v>
      </c>
      <c r="Z252" s="3">
        <f t="shared" si="17"/>
        <v>2.9757494729732161</v>
      </c>
      <c r="AA252">
        <f t="shared" si="19"/>
        <v>476.28731612005026</v>
      </c>
      <c r="AC252">
        <f t="shared" si="22"/>
        <v>1.3355424960360016</v>
      </c>
      <c r="AE252">
        <f t="shared" si="20"/>
        <v>-1.2185728306065819</v>
      </c>
    </row>
    <row r="253" spans="1:32" x14ac:dyDescent="0.2">
      <c r="A253">
        <v>2001.5</v>
      </c>
      <c r="B253">
        <v>1.58602576923831</v>
      </c>
      <c r="C253">
        <v>0.50874174915152404</v>
      </c>
      <c r="D253">
        <v>0.15965484101813401</v>
      </c>
      <c r="E253">
        <v>-0.28977525377826802</v>
      </c>
      <c r="F253">
        <v>-0.92932216604288498</v>
      </c>
      <c r="G253">
        <v>0.42069125192900902</v>
      </c>
      <c r="H253">
        <v>2.9015767727746299E-2</v>
      </c>
      <c r="I253">
        <v>-0.19552423123255</v>
      </c>
      <c r="J253">
        <v>7.7557609342844794E-2</v>
      </c>
      <c r="K253">
        <v>4.5831937428281198E-2</v>
      </c>
      <c r="L253">
        <v>9.9446731719452106E-2</v>
      </c>
      <c r="M253">
        <v>0.215175318136513</v>
      </c>
      <c r="N253">
        <v>-1.2190974198211499</v>
      </c>
      <c r="O253">
        <v>1.04513240717623</v>
      </c>
      <c r="P253">
        <v>0.37673581700657</v>
      </c>
      <c r="Q253">
        <v>1.78963309178871</v>
      </c>
      <c r="R253">
        <v>2.1042551416446802</v>
      </c>
      <c r="S253">
        <v>-4.3118916733677799E-2</v>
      </c>
      <c r="U253">
        <v>370.57</v>
      </c>
      <c r="V253">
        <f t="shared" si="21"/>
        <v>1.58674213666038</v>
      </c>
      <c r="W253">
        <f t="shared" si="18"/>
        <v>370.52203652081863</v>
      </c>
      <c r="Y253">
        <f t="shared" si="16"/>
        <v>2.2544223594079682</v>
      </c>
      <c r="Z253" s="3">
        <f t="shared" si="17"/>
        <v>3.008730511609869</v>
      </c>
      <c r="AA253">
        <f t="shared" si="19"/>
        <v>479.13414090810284</v>
      </c>
      <c r="AC253">
        <f t="shared" si="22"/>
        <v>1.3345904324689137</v>
      </c>
      <c r="AE253">
        <f t="shared" si="20"/>
        <v>-1.219097419821153</v>
      </c>
    </row>
    <row r="254" spans="1:32" x14ac:dyDescent="0.2">
      <c r="A254">
        <v>2002.5</v>
      </c>
      <c r="B254">
        <v>1.6164442821818099</v>
      </c>
      <c r="C254">
        <v>0.50906117067434398</v>
      </c>
      <c r="D254">
        <v>0.16176431057171101</v>
      </c>
      <c r="E254">
        <v>-0.30472811348854101</v>
      </c>
      <c r="F254">
        <v>-0.99795680920596097</v>
      </c>
      <c r="G254">
        <v>0.43347805187744298</v>
      </c>
      <c r="H254">
        <v>2.8468965603090399E-2</v>
      </c>
      <c r="I254">
        <v>-0.194653131669104</v>
      </c>
      <c r="J254">
        <v>8.3177820888127696E-2</v>
      </c>
      <c r="K254">
        <v>4.5871594321414202E-2</v>
      </c>
      <c r="L254">
        <v>0.104735330352264</v>
      </c>
      <c r="M254">
        <v>0.22219952368448301</v>
      </c>
      <c r="N254">
        <v>-1.3026849226945001</v>
      </c>
      <c r="O254">
        <v>1.0492749578571401</v>
      </c>
      <c r="P254">
        <v>0.37844947661109102</v>
      </c>
      <c r="Q254">
        <v>1.7593776183654299</v>
      </c>
      <c r="R254">
        <v>2.08631247240218</v>
      </c>
      <c r="S254">
        <v>-3.7134750856472297E-2</v>
      </c>
      <c r="U254">
        <v>372.59</v>
      </c>
      <c r="V254">
        <f t="shared" si="21"/>
        <v>1.6168283414831599</v>
      </c>
      <c r="W254">
        <f t="shared" si="18"/>
        <v>372.56414484688429</v>
      </c>
      <c r="Y254">
        <f t="shared" si="16"/>
        <v>2.2872697634278647</v>
      </c>
      <c r="Z254" s="3">
        <f t="shared" si="17"/>
        <v>3.0620625410599271</v>
      </c>
      <c r="AA254">
        <f t="shared" si="19"/>
        <v>483.77365134266751</v>
      </c>
      <c r="AC254">
        <f t="shared" si="22"/>
        <v>1.3387413194632989</v>
      </c>
      <c r="AE254">
        <f t="shared" si="20"/>
        <v>-1.3026849226945019</v>
      </c>
    </row>
    <row r="255" spans="1:32" x14ac:dyDescent="0.2">
      <c r="A255">
        <v>2003.5</v>
      </c>
      <c r="B255">
        <v>1.65512706540646</v>
      </c>
      <c r="C255">
        <v>0.51064971754021904</v>
      </c>
      <c r="D255">
        <v>0.16405858608568799</v>
      </c>
      <c r="E255">
        <v>-0.31950420636471699</v>
      </c>
      <c r="F255">
        <v>-1.0234908216618199</v>
      </c>
      <c r="G255">
        <v>0.43664983145089997</v>
      </c>
      <c r="H255">
        <v>2.9491774355165701E-2</v>
      </c>
      <c r="I255">
        <v>-0.19413322095438701</v>
      </c>
      <c r="J255">
        <v>8.4352060984166005E-2</v>
      </c>
      <c r="K255">
        <v>4.6056051633098997E-2</v>
      </c>
      <c r="L255">
        <v>4.3362625274139602E-2</v>
      </c>
      <c r="M255">
        <v>0.20535269446804999</v>
      </c>
      <c r="N255">
        <v>-1.3429950280265399</v>
      </c>
      <c r="O255">
        <v>1.0546408738066699</v>
      </c>
      <c r="P255">
        <v>0.37993257018076898</v>
      </c>
      <c r="Q255">
        <v>1.76918940865554</v>
      </c>
      <c r="R255">
        <v>2.0179047283977298</v>
      </c>
      <c r="S255">
        <v>-3.42333339819565E-2</v>
      </c>
      <c r="U255">
        <v>375.15</v>
      </c>
      <c r="V255">
        <f t="shared" si="21"/>
        <v>1.654723902718171</v>
      </c>
      <c r="W255">
        <f t="shared" si="18"/>
        <v>375.1773296331852</v>
      </c>
      <c r="Y255">
        <f t="shared" si="16"/>
        <v>2.329835369032367</v>
      </c>
      <c r="Z255" s="3">
        <f t="shared" si="17"/>
        <v>3.1121844366820799</v>
      </c>
      <c r="AA255">
        <f t="shared" si="19"/>
        <v>488.17484498285535</v>
      </c>
      <c r="AC255">
        <f t="shared" si="22"/>
        <v>1.3357958583891874</v>
      </c>
      <c r="AE255">
        <f t="shared" si="20"/>
        <v>-1.3429950280265368</v>
      </c>
      <c r="AF255" t="s">
        <v>25</v>
      </c>
    </row>
    <row r="256" spans="1:32" x14ac:dyDescent="0.2">
      <c r="A256">
        <v>2004.5</v>
      </c>
      <c r="B256">
        <v>1.6820764781133499</v>
      </c>
      <c r="C256">
        <v>0.51037852509688597</v>
      </c>
      <c r="D256">
        <v>0.16619384887544</v>
      </c>
      <c r="E256">
        <v>-0.31931890698916698</v>
      </c>
      <c r="F256">
        <v>-1.0262717242955</v>
      </c>
      <c r="G256">
        <v>0.44477932035059198</v>
      </c>
      <c r="H256">
        <v>3.3543080113722402E-2</v>
      </c>
      <c r="I256">
        <v>-0.19399097999999901</v>
      </c>
      <c r="J256">
        <v>8.7103072912797799E-2</v>
      </c>
      <c r="K256">
        <v>4.6028551204435199E-2</v>
      </c>
      <c r="L256">
        <v>1.6576419219452101E-2</v>
      </c>
      <c r="M256">
        <v>0.21689557238585799</v>
      </c>
      <c r="N256">
        <v>-1.3455906312846699</v>
      </c>
      <c r="O256">
        <v>1.0581473712296601</v>
      </c>
      <c r="P256">
        <v>0.38157499725733302</v>
      </c>
      <c r="Q256">
        <v>1.81209626263988</v>
      </c>
      <c r="R256">
        <v>2.0455682542451901</v>
      </c>
      <c r="S256">
        <v>-2.7316275769044499E-2</v>
      </c>
      <c r="U256">
        <v>376.95</v>
      </c>
      <c r="V256">
        <f t="shared" si="21"/>
        <v>1.681214700684027</v>
      </c>
      <c r="W256">
        <f t="shared" si="18"/>
        <v>377.00870098343051</v>
      </c>
      <c r="Y256">
        <f t="shared" si="16"/>
        <v>2.3586488520856759</v>
      </c>
      <c r="Z256" s="3">
        <f t="shared" si="17"/>
        <v>3.1576868939245575</v>
      </c>
      <c r="AA256">
        <f t="shared" si="19"/>
        <v>492.20507204726249</v>
      </c>
      <c r="AC256">
        <f t="shared" si="22"/>
        <v>1.3387693938130376</v>
      </c>
      <c r="AE256">
        <f t="shared" si="20"/>
        <v>-1.3455906312846668</v>
      </c>
      <c r="AF256">
        <f>Q256+N256</f>
        <v>0.46650563135521006</v>
      </c>
    </row>
    <row r="257" spans="1:34" x14ac:dyDescent="0.2">
      <c r="A257">
        <v>2005.5</v>
      </c>
      <c r="B257">
        <v>1.71233253067546</v>
      </c>
      <c r="C257">
        <v>0.50958088228488296</v>
      </c>
      <c r="D257">
        <v>0.16851318728210299</v>
      </c>
      <c r="E257">
        <v>-0.33349494449691602</v>
      </c>
      <c r="F257">
        <v>-1.0560029071604899</v>
      </c>
      <c r="G257">
        <v>0.45025395036975602</v>
      </c>
      <c r="H257">
        <v>3.5235940452188898E-2</v>
      </c>
      <c r="I257">
        <v>-0.193827728375396</v>
      </c>
      <c r="J257">
        <v>8.9966910411266102E-2</v>
      </c>
      <c r="K257">
        <v>4.5941411556774801E-2</v>
      </c>
      <c r="L257">
        <v>-9.8821745305478007E-3</v>
      </c>
      <c r="M257">
        <v>0.18971118557701599</v>
      </c>
      <c r="N257">
        <v>-1.3894978516574099</v>
      </c>
      <c r="O257">
        <v>1.06137738105723</v>
      </c>
      <c r="P257">
        <v>0.38328331149024902</v>
      </c>
      <c r="Q257">
        <v>1.8117825444898701</v>
      </c>
      <c r="R257">
        <v>1.9916115555363401</v>
      </c>
      <c r="S257">
        <v>-2.2683465955167001E-2</v>
      </c>
      <c r="U257">
        <v>378.98</v>
      </c>
      <c r="V257">
        <f t="shared" si="21"/>
        <v>1.7109390800558408</v>
      </c>
      <c r="W257">
        <f t="shared" si="18"/>
        <v>379.07543226908689</v>
      </c>
      <c r="Y257">
        <f t="shared" si="16"/>
        <v>2.3904266002424461</v>
      </c>
      <c r="Z257" s="3">
        <f t="shared" si="17"/>
        <v>3.2012803961472849</v>
      </c>
      <c r="AA257">
        <f t="shared" si="19"/>
        <v>496.09742408768659</v>
      </c>
      <c r="AC257">
        <f t="shared" si="22"/>
        <v>1.3392088239909139</v>
      </c>
      <c r="AE257">
        <f t="shared" si="20"/>
        <v>-1.3894978516574059</v>
      </c>
      <c r="AF257">
        <f>Q257+N257</f>
        <v>0.42228469283246017</v>
      </c>
    </row>
    <row r="258" spans="1:34" x14ac:dyDescent="0.2">
      <c r="A258">
        <v>2006.5</v>
      </c>
      <c r="B258">
        <v>1.74451416115827</v>
      </c>
      <c r="C258">
        <v>0.50962859619390899</v>
      </c>
      <c r="D258">
        <v>0.171248459255984</v>
      </c>
      <c r="E258">
        <v>-0.34417683472729799</v>
      </c>
      <c r="F258">
        <v>-1.07001073859572</v>
      </c>
      <c r="G258">
        <v>0.45662845982941302</v>
      </c>
      <c r="H258">
        <v>3.6701711761344499E-2</v>
      </c>
      <c r="I258">
        <v>-0.192803125248697</v>
      </c>
      <c r="J258">
        <v>8.9070783928886496E-2</v>
      </c>
      <c r="K258">
        <v>4.5951171900761E-2</v>
      </c>
      <c r="L258">
        <v>-1.5888400116485301E-2</v>
      </c>
      <c r="M258">
        <v>0.171699347145816</v>
      </c>
      <c r="N258">
        <v>-1.41418757332302</v>
      </c>
      <c r="O258">
        <v>1.0657731600704099</v>
      </c>
      <c r="P258">
        <v>0.38489610462052498</v>
      </c>
      <c r="Q258">
        <v>1.8316487500773699</v>
      </c>
      <c r="R258">
        <v>1.9874596971067</v>
      </c>
      <c r="S258">
        <v>-2.10794576577059E-2</v>
      </c>
      <c r="U258">
        <v>381.15</v>
      </c>
      <c r="V258">
        <f t="shared" si="21"/>
        <v>1.742537861520578</v>
      </c>
      <c r="W258">
        <f t="shared" si="18"/>
        <v>381.28613160369758</v>
      </c>
      <c r="Y258">
        <f t="shared" si="16"/>
        <v>2.4253912166081633</v>
      </c>
      <c r="Z258" s="3">
        <f t="shared" si="17"/>
        <v>3.245836323400396</v>
      </c>
      <c r="AA258">
        <f t="shared" si="19"/>
        <v>500.10751794474987</v>
      </c>
      <c r="AC258">
        <f t="shared" si="22"/>
        <v>1.3382733066625023</v>
      </c>
      <c r="AE258">
        <f t="shared" si="20"/>
        <v>-1.414187573323018</v>
      </c>
      <c r="AF258">
        <f t="shared" ref="AF258:AF267" si="23">Q258+N258</f>
        <v>0.41746117675434991</v>
      </c>
    </row>
    <row r="259" spans="1:34" x14ac:dyDescent="0.2">
      <c r="A259">
        <v>2007.5</v>
      </c>
      <c r="B259">
        <v>1.77034685300192</v>
      </c>
      <c r="C259">
        <v>0.51226953668863695</v>
      </c>
      <c r="D259">
        <v>0.173658473256664</v>
      </c>
      <c r="E259">
        <v>-0.33057707955365601</v>
      </c>
      <c r="F259">
        <v>-1.05602911783377</v>
      </c>
      <c r="G259">
        <v>0.46132576595344599</v>
      </c>
      <c r="H259">
        <v>3.8577903200797299E-2</v>
      </c>
      <c r="I259">
        <v>-0.19175421150408301</v>
      </c>
      <c r="J259">
        <v>9.1431998351338806E-2</v>
      </c>
      <c r="K259">
        <v>4.6256006788275197E-2</v>
      </c>
      <c r="L259">
        <v>-2.7401632538360299E-2</v>
      </c>
      <c r="M259">
        <v>0.158918980412004</v>
      </c>
      <c r="N259">
        <v>-1.38660619738742</v>
      </c>
      <c r="O259">
        <v>1.07273721204031</v>
      </c>
      <c r="P259">
        <v>0.38680920209501701</v>
      </c>
      <c r="Q259">
        <v>1.9023153304445799</v>
      </c>
      <c r="R259">
        <v>2.0338326783182201</v>
      </c>
      <c r="S259">
        <v>-1.5488303163672499E-2</v>
      </c>
      <c r="U259">
        <v>382.9</v>
      </c>
      <c r="V259">
        <f t="shared" si="21"/>
        <v>1.7678899839186109</v>
      </c>
      <c r="W259">
        <f t="shared" si="18"/>
        <v>383.07001861899852</v>
      </c>
      <c r="Y259">
        <f t="shared" ref="Y259:Y275" si="24">SUM(B259:D259)</f>
        <v>2.4562748629472213</v>
      </c>
      <c r="Z259" s="3">
        <f t="shared" si="17"/>
        <v>3.2889215278320125</v>
      </c>
      <c r="AA259">
        <f t="shared" si="19"/>
        <v>504.01606944438277</v>
      </c>
      <c r="AC259">
        <f t="shared" si="22"/>
        <v>1.3389875772639386</v>
      </c>
      <c r="AE259">
        <f t="shared" si="20"/>
        <v>-1.386606197387426</v>
      </c>
      <c r="AF259">
        <f t="shared" si="23"/>
        <v>0.51570913305715993</v>
      </c>
    </row>
    <row r="260" spans="1:34" x14ac:dyDescent="0.2">
      <c r="A260">
        <v>2008.5</v>
      </c>
      <c r="B260">
        <v>1.8015007636678899</v>
      </c>
      <c r="C260">
        <v>0.51471073842416204</v>
      </c>
      <c r="D260">
        <v>0.17657178358789899</v>
      </c>
      <c r="E260">
        <v>-0.31563116744265801</v>
      </c>
      <c r="F260">
        <v>-1.01561623888756</v>
      </c>
      <c r="G260">
        <v>0.45666989916318002</v>
      </c>
      <c r="H260">
        <v>3.9346345713622902E-2</v>
      </c>
      <c r="I260">
        <v>-0.19120704786375101</v>
      </c>
      <c r="J260">
        <v>8.7961750106681696E-2</v>
      </c>
      <c r="K260">
        <v>4.6539562367279103E-2</v>
      </c>
      <c r="L260">
        <v>-2.9882125702422799E-2</v>
      </c>
      <c r="M260">
        <v>0.17601340062605</v>
      </c>
      <c r="N260">
        <v>-1.33124740633022</v>
      </c>
      <c r="O260">
        <v>1.0801035414473701</v>
      </c>
      <c r="P260">
        <v>0.38882101943531</v>
      </c>
      <c r="Q260">
        <v>1.98966740827205</v>
      </c>
      <c r="R260">
        <v>2.1357986831956799</v>
      </c>
      <c r="S260">
        <v>-1.7359389676167999E-2</v>
      </c>
      <c r="U260">
        <v>385.02</v>
      </c>
      <c r="V260">
        <f t="shared" si="21"/>
        <v>1.798447516285524</v>
      </c>
      <c r="W260">
        <f t="shared" si="18"/>
        <v>385.23247008286626</v>
      </c>
      <c r="Y260">
        <f t="shared" si="24"/>
        <v>2.492783285679951</v>
      </c>
      <c r="Z260" s="3">
        <f t="shared" ref="Z260:Z275" si="25">K260+J260+I260+H260+G260+D260+C260+B260+P260</f>
        <v>3.3209148146022733</v>
      </c>
      <c r="AA260">
        <f t="shared" si="19"/>
        <v>506.9381477015927</v>
      </c>
      <c r="AC260">
        <f t="shared" si="22"/>
        <v>1.332211602059276</v>
      </c>
      <c r="AE260">
        <f t="shared" si="20"/>
        <v>-1.331247406330218</v>
      </c>
      <c r="AF260">
        <f t="shared" si="23"/>
        <v>0.65842000194183004</v>
      </c>
    </row>
    <row r="261" spans="1:34" x14ac:dyDescent="0.2">
      <c r="A261">
        <v>2009.5</v>
      </c>
      <c r="B261">
        <v>1.8231577432539501</v>
      </c>
      <c r="C261">
        <v>0.51657563809377904</v>
      </c>
      <c r="D261">
        <v>0.17883647928794699</v>
      </c>
      <c r="E261">
        <v>-0.28796040866712702</v>
      </c>
      <c r="F261">
        <v>-0.96533828757532403</v>
      </c>
      <c r="G261">
        <v>0.44908218926152599</v>
      </c>
      <c r="H261">
        <v>3.8287852839907398E-2</v>
      </c>
      <c r="I261">
        <v>-0.19081649243599499</v>
      </c>
      <c r="J261">
        <v>8.4854560088841499E-2</v>
      </c>
      <c r="K261">
        <v>4.6756686055458102E-2</v>
      </c>
      <c r="L261">
        <v>-2.99445280461728E-2</v>
      </c>
      <c r="M261">
        <v>0.14656463280565901</v>
      </c>
      <c r="N261">
        <v>-1.2532986962424499</v>
      </c>
      <c r="O261">
        <v>1.08589361376799</v>
      </c>
      <c r="P261">
        <v>0.390481496386272</v>
      </c>
      <c r="Q261">
        <v>2.0839174565892402</v>
      </c>
      <c r="R261">
        <v>2.2005375613487299</v>
      </c>
      <c r="S261">
        <v>-2.0917393451787902E-2</v>
      </c>
      <c r="U261">
        <v>386.5</v>
      </c>
      <c r="V261">
        <f t="shared" si="21"/>
        <v>1.8196805649080581</v>
      </c>
      <c r="W261">
        <f t="shared" si="18"/>
        <v>386.74291011739916</v>
      </c>
      <c r="Y261">
        <f t="shared" si="24"/>
        <v>2.5185698606356763</v>
      </c>
      <c r="Z261" s="3">
        <f t="shared" si="25"/>
        <v>3.3372161528316862</v>
      </c>
      <c r="AA261">
        <f t="shared" si="19"/>
        <v>508.43352468790721</v>
      </c>
      <c r="AC261">
        <f t="shared" si="22"/>
        <v>1.3250441073686903</v>
      </c>
      <c r="AE261">
        <f t="shared" si="20"/>
        <v>-1.253298696242451</v>
      </c>
      <c r="AF261">
        <f t="shared" si="23"/>
        <v>0.83061876034679027</v>
      </c>
      <c r="AG261">
        <f>AVERAGE(AF256:AF266)</f>
        <v>0.75105830823435549</v>
      </c>
      <c r="AH261">
        <f>(AG262+AG261)/2</f>
        <v>0.78555308448534511</v>
      </c>
    </row>
    <row r="262" spans="1:34" x14ac:dyDescent="0.2">
      <c r="A262">
        <v>2010.5</v>
      </c>
      <c r="B262">
        <v>1.85594512398329</v>
      </c>
      <c r="C262">
        <v>0.51854041373710902</v>
      </c>
      <c r="D262">
        <v>0.181661838931301</v>
      </c>
      <c r="E262">
        <v>-0.27885575396221002</v>
      </c>
      <c r="F262">
        <v>-0.99094178953754797</v>
      </c>
      <c r="G262">
        <v>0.45786561701424699</v>
      </c>
      <c r="H262">
        <v>4.24134288000175E-2</v>
      </c>
      <c r="I262">
        <v>-0.19019311691186799</v>
      </c>
      <c r="J262">
        <v>9.1162783344599999E-2</v>
      </c>
      <c r="K262">
        <v>4.6986581725294602E-2</v>
      </c>
      <c r="L262">
        <v>-7.7916960149227998E-3</v>
      </c>
      <c r="M262">
        <v>0.181680239068476</v>
      </c>
      <c r="N262">
        <v>-1.2697975434997499</v>
      </c>
      <c r="O262">
        <v>1.09256753147867</v>
      </c>
      <c r="P262">
        <v>0.39236527881026501</v>
      </c>
      <c r="Q262">
        <v>2.1269504059345001</v>
      </c>
      <c r="R262">
        <v>2.3008389489880501</v>
      </c>
      <c r="S262">
        <v>-9.6303230419566895E-3</v>
      </c>
      <c r="U262">
        <v>388.76</v>
      </c>
      <c r="V262">
        <f t="shared" si="21"/>
        <v>1.8519476390784853</v>
      </c>
      <c r="W262">
        <f t="shared" si="18"/>
        <v>389.04090402510491</v>
      </c>
      <c r="Y262">
        <f t="shared" si="24"/>
        <v>2.5561473766516998</v>
      </c>
      <c r="Z262" s="3">
        <f t="shared" si="25"/>
        <v>3.3967479494342561</v>
      </c>
      <c r="AA262">
        <f t="shared" si="19"/>
        <v>513.93214541436362</v>
      </c>
      <c r="AC262">
        <f t="shared" si="22"/>
        <v>1.3288545020763474</v>
      </c>
      <c r="AE262">
        <f t="shared" si="20"/>
        <v>-1.2697975434997579</v>
      </c>
      <c r="AF262">
        <f t="shared" si="23"/>
        <v>0.8571528624347502</v>
      </c>
      <c r="AG262">
        <f>AVERAGE(AF257:AF267)</f>
        <v>0.82004786073633473</v>
      </c>
    </row>
    <row r="263" spans="1:34" x14ac:dyDescent="0.2">
      <c r="A263">
        <v>2011.5</v>
      </c>
      <c r="B263">
        <v>1.88306090678133</v>
      </c>
      <c r="C263">
        <v>0.52056533516768499</v>
      </c>
      <c r="D263">
        <v>0.18490289244563801</v>
      </c>
      <c r="E263">
        <v>-0.28897693610935399</v>
      </c>
      <c r="F263">
        <v>-0.96780857820036703</v>
      </c>
      <c r="G263">
        <v>0.46086382608524501</v>
      </c>
      <c r="H263">
        <v>4.4480985940404699E-2</v>
      </c>
      <c r="I263">
        <v>-0.18924209826347799</v>
      </c>
      <c r="J263">
        <v>8.5423928414380498E-2</v>
      </c>
      <c r="K263">
        <v>4.7224501101336101E-2</v>
      </c>
      <c r="L263">
        <v>2.6576394805389598E-2</v>
      </c>
      <c r="M263">
        <v>0.140708161696492</v>
      </c>
      <c r="N263">
        <v>-1.25678551430972</v>
      </c>
      <c r="O263">
        <v>1.0996220534827901</v>
      </c>
      <c r="P263">
        <v>0.39415382586947201</v>
      </c>
      <c r="Q263">
        <v>2.1746485892323002</v>
      </c>
      <c r="R263">
        <v>2.3419331457341799</v>
      </c>
      <c r="S263">
        <v>-1.21126828073572E-2</v>
      </c>
      <c r="U263">
        <v>390.63</v>
      </c>
      <c r="V263">
        <f t="shared" si="21"/>
        <v>1.878504999370687</v>
      </c>
      <c r="W263">
        <f t="shared" si="18"/>
        <v>390.95170066050645</v>
      </c>
      <c r="Y263">
        <f t="shared" si="24"/>
        <v>2.588529134394653</v>
      </c>
      <c r="Z263" s="3">
        <f t="shared" si="25"/>
        <v>3.4314341035420135</v>
      </c>
      <c r="AA263">
        <f t="shared" si="19"/>
        <v>517.16328929144686</v>
      </c>
      <c r="AC263">
        <f t="shared" si="22"/>
        <v>1.3256308603783515</v>
      </c>
      <c r="AE263">
        <f t="shared" si="20"/>
        <v>-1.2567855143097211</v>
      </c>
      <c r="AF263">
        <f t="shared" si="23"/>
        <v>0.91786307492258024</v>
      </c>
    </row>
    <row r="264" spans="1:34" x14ac:dyDescent="0.2">
      <c r="A264">
        <v>2012.5</v>
      </c>
      <c r="B264">
        <v>1.91237109913948</v>
      </c>
      <c r="C264">
        <v>0.52245305862413904</v>
      </c>
      <c r="D264">
        <v>0.18768847194108901</v>
      </c>
      <c r="E264">
        <v>-0.28781597588906899</v>
      </c>
      <c r="F264">
        <v>-0.99133367502873304</v>
      </c>
      <c r="G264">
        <v>0.466148021383958</v>
      </c>
      <c r="H264">
        <v>4.5436685065251503E-2</v>
      </c>
      <c r="I264">
        <v>-0.18876988205083101</v>
      </c>
      <c r="J264">
        <v>8.84712541231715E-2</v>
      </c>
      <c r="K264">
        <v>4.7446351082211097E-2</v>
      </c>
      <c r="L264">
        <v>4.0944534453827099E-2</v>
      </c>
      <c r="M264">
        <v>0.17946857219085099</v>
      </c>
      <c r="N264">
        <v>-1.2791496509178</v>
      </c>
      <c r="O264">
        <v>1.1058327493834701</v>
      </c>
      <c r="P264">
        <v>0.39569121881824898</v>
      </c>
      <c r="Q264">
        <v>2.1977866272089202</v>
      </c>
      <c r="R264">
        <v>2.4181997338536001</v>
      </c>
      <c r="S264">
        <v>-7.4155917801973998E-3</v>
      </c>
      <c r="U264">
        <v>392.65</v>
      </c>
      <c r="V264">
        <f t="shared" si="21"/>
        <v>1.9070501664625645</v>
      </c>
      <c r="W264">
        <f t="shared" si="18"/>
        <v>393.02768945238466</v>
      </c>
      <c r="Y264">
        <f t="shared" si="24"/>
        <v>2.6225126297047079</v>
      </c>
      <c r="Z264" s="3">
        <f t="shared" si="25"/>
        <v>3.4769362781267183</v>
      </c>
      <c r="AA264">
        <f t="shared" si="19"/>
        <v>521.43280974282084</v>
      </c>
      <c r="AC264">
        <f t="shared" si="22"/>
        <v>1.3258034446599472</v>
      </c>
      <c r="AE264">
        <f t="shared" si="20"/>
        <v>-1.279149650917802</v>
      </c>
      <c r="AF264">
        <f t="shared" si="23"/>
        <v>0.91863697629112018</v>
      </c>
    </row>
    <row r="265" spans="1:34" x14ac:dyDescent="0.2">
      <c r="A265">
        <v>2013.5</v>
      </c>
      <c r="B265">
        <v>1.9518684792785299</v>
      </c>
      <c r="C265">
        <v>0.524466622287592</v>
      </c>
      <c r="D265">
        <v>0.19064721294182799</v>
      </c>
      <c r="E265">
        <v>-0.26771084925892003</v>
      </c>
      <c r="F265">
        <v>-0.93215679178988198</v>
      </c>
      <c r="G265">
        <v>0.45918644013709098</v>
      </c>
      <c r="H265">
        <v>4.6807938609504003E-2</v>
      </c>
      <c r="I265">
        <v>-0.18934523755176799</v>
      </c>
      <c r="J265">
        <v>8.3539558053712298E-2</v>
      </c>
      <c r="K265">
        <v>4.7683435113496903E-2</v>
      </c>
      <c r="L265">
        <v>4.9212845000702103E-2</v>
      </c>
      <c r="M265">
        <v>0.203357371821109</v>
      </c>
      <c r="N265">
        <v>-1.1998676410488001</v>
      </c>
      <c r="O265">
        <v>1.11259077521804</v>
      </c>
      <c r="P265">
        <v>0.39747693998862699</v>
      </c>
      <c r="Q265">
        <v>2.3124637478098098</v>
      </c>
      <c r="R265">
        <v>2.56503396463162</v>
      </c>
      <c r="S265">
        <v>-1.1314305775054901E-2</v>
      </c>
      <c r="U265">
        <v>395.4</v>
      </c>
      <c r="V265">
        <f t="shared" si="21"/>
        <v>1.9456760101102795</v>
      </c>
      <c r="W265">
        <f t="shared" si="18"/>
        <v>395.84266604499101</v>
      </c>
      <c r="Y265">
        <f t="shared" si="24"/>
        <v>2.6669823145079499</v>
      </c>
      <c r="Z265" s="3">
        <f t="shared" si="25"/>
        <v>3.512331388858613</v>
      </c>
      <c r="AA265">
        <f t="shared" si="19"/>
        <v>524.77833136197432</v>
      </c>
      <c r="AC265">
        <f t="shared" si="22"/>
        <v>1.3169683839866886</v>
      </c>
      <c r="AE265">
        <f t="shared" si="20"/>
        <v>-1.1998676410488021</v>
      </c>
      <c r="AF265">
        <f t="shared" si="23"/>
        <v>1.1125961067610097</v>
      </c>
    </row>
    <row r="266" spans="1:34" x14ac:dyDescent="0.2">
      <c r="A266">
        <v>2014.5</v>
      </c>
      <c r="B266">
        <v>1.9795752374272999</v>
      </c>
      <c r="C266">
        <v>0.52789863270493698</v>
      </c>
      <c r="D266">
        <v>0.194210716990215</v>
      </c>
      <c r="E266">
        <v>-0.26480004989278699</v>
      </c>
      <c r="F266">
        <v>-0.94329576818095795</v>
      </c>
      <c r="G266">
        <v>0.46768259236308102</v>
      </c>
      <c r="H266">
        <v>4.8705699211503702E-2</v>
      </c>
      <c r="I266">
        <v>-0.18962885212716199</v>
      </c>
      <c r="J266">
        <v>8.4867229195518396E-2</v>
      </c>
      <c r="K266">
        <v>4.8086093268440197E-2</v>
      </c>
      <c r="L266">
        <v>5.9103616485077101E-2</v>
      </c>
      <c r="M266">
        <v>0.18433626707144701</v>
      </c>
      <c r="N266">
        <v>-1.20809581807374</v>
      </c>
      <c r="O266">
        <v>1.12129661068945</v>
      </c>
      <c r="P266">
        <v>0.39918726099429702</v>
      </c>
      <c r="Q266">
        <v>2.3524887919543902</v>
      </c>
      <c r="R266">
        <v>2.5959286755109101</v>
      </c>
      <c r="S266">
        <v>-7.9698304516996991E-3</v>
      </c>
      <c r="U266">
        <v>397.34</v>
      </c>
      <c r="V266">
        <f t="shared" si="21"/>
        <v>1.97276352227858</v>
      </c>
      <c r="W266">
        <f t="shared" si="18"/>
        <v>397.82934906172335</v>
      </c>
      <c r="Y266">
        <f t="shared" si="24"/>
        <v>2.7016845871224522</v>
      </c>
      <c r="Z266" s="3">
        <f t="shared" si="25"/>
        <v>3.5605846100281298</v>
      </c>
      <c r="AA266">
        <f t="shared" si="19"/>
        <v>529.37379732994873</v>
      </c>
      <c r="AC266">
        <f t="shared" si="22"/>
        <v>1.3179127670933959</v>
      </c>
      <c r="AE266">
        <f t="shared" si="20"/>
        <v>-1.2080958180737449</v>
      </c>
      <c r="AF266">
        <f t="shared" si="23"/>
        <v>1.1443929738806502</v>
      </c>
    </row>
    <row r="267" spans="1:34" x14ac:dyDescent="0.2">
      <c r="A267">
        <v>2015.5</v>
      </c>
      <c r="B267">
        <v>2.0124189705961899</v>
      </c>
      <c r="C267">
        <v>0.53205651143203803</v>
      </c>
      <c r="D267">
        <v>0.197143691049985</v>
      </c>
      <c r="E267">
        <v>-0.258298692110836</v>
      </c>
      <c r="F267">
        <v>-0.93595218684280301</v>
      </c>
      <c r="G267">
        <v>0.47676341152216301</v>
      </c>
      <c r="H267">
        <v>5.1189852329696597E-2</v>
      </c>
      <c r="I267">
        <v>-0.18955540017204001</v>
      </c>
      <c r="J267">
        <v>8.4498379222910799E-2</v>
      </c>
      <c r="K267">
        <v>4.8573341071263702E-2</v>
      </c>
      <c r="L267">
        <v>2.91972932428896E-2</v>
      </c>
      <c r="M267">
        <v>0.15391054355667799</v>
      </c>
      <c r="N267">
        <v>-1.1942508789536399</v>
      </c>
      <c r="O267">
        <v>1.1300039122140699</v>
      </c>
      <c r="P267">
        <v>0.40080370973205498</v>
      </c>
      <c r="Q267">
        <v>2.4196415878306201</v>
      </c>
      <c r="R267">
        <v>2.6027494246301899</v>
      </c>
      <c r="S267">
        <v>-5.29382754816911E-3</v>
      </c>
      <c r="U267" s="4">
        <v>399.65</v>
      </c>
      <c r="V267" s="4">
        <f t="shared" si="21"/>
        <v>2.0048452403973975</v>
      </c>
      <c r="W267" s="4">
        <f t="shared" si="18"/>
        <v>400.19729256278629</v>
      </c>
      <c r="X267" s="4"/>
      <c r="Y267" s="4">
        <f t="shared" si="24"/>
        <v>2.7416191730782127</v>
      </c>
      <c r="Z267" s="3">
        <f t="shared" si="25"/>
        <v>3.6138924667842622</v>
      </c>
      <c r="AA267" s="4">
        <f t="shared" si="19"/>
        <v>534.49744952106346</v>
      </c>
      <c r="AB267" s="4"/>
      <c r="AC267" s="4">
        <f t="shared" si="22"/>
        <v>1.3181599042899477</v>
      </c>
      <c r="AD267" s="4"/>
      <c r="AE267">
        <f t="shared" si="20"/>
        <v>-1.194250878953639</v>
      </c>
      <c r="AF267">
        <f t="shared" si="23"/>
        <v>1.2253907088769802</v>
      </c>
      <c r="AG267" s="4"/>
      <c r="AH267" s="4"/>
    </row>
    <row r="268" spans="1:34" x14ac:dyDescent="0.2">
      <c r="A268">
        <v>2016.5</v>
      </c>
      <c r="B268">
        <v>2.0606090817792402</v>
      </c>
      <c r="C268">
        <v>0.53510183535725497</v>
      </c>
      <c r="D268">
        <v>0.19970850860262501</v>
      </c>
      <c r="E268">
        <v>-0.23523601872651201</v>
      </c>
      <c r="F268">
        <v>-0.86186365495345896</v>
      </c>
      <c r="G268">
        <v>0.46401627622455999</v>
      </c>
      <c r="H268">
        <v>5.3790306528452E-2</v>
      </c>
      <c r="I268">
        <v>-0.189878136295873</v>
      </c>
      <c r="J268">
        <v>7.8376662893135093E-2</v>
      </c>
      <c r="K268">
        <v>4.8932143626539297E-2</v>
      </c>
      <c r="L268">
        <v>-7.5872260402230999E-3</v>
      </c>
      <c r="M268">
        <v>0.172762162185292</v>
      </c>
      <c r="N268">
        <v>-1.0970996736799701</v>
      </c>
      <c r="O268">
        <v>1.13738980089958</v>
      </c>
      <c r="P268">
        <v>0.40257945693970099</v>
      </c>
      <c r="Q268">
        <v>2.5561364619756701</v>
      </c>
      <c r="R268">
        <v>2.72131139812074</v>
      </c>
      <c r="S268">
        <v>-8.7790232477472797E-3</v>
      </c>
      <c r="U268">
        <v>403.06</v>
      </c>
      <c r="V268">
        <f t="shared" si="21"/>
        <v>2.0518666466193984</v>
      </c>
      <c r="W268">
        <f t="shared" si="18"/>
        <v>403.69720310951993</v>
      </c>
      <c r="Y268">
        <f t="shared" si="24"/>
        <v>2.7954194257391203</v>
      </c>
      <c r="Z268" s="3">
        <f t="shared" si="25"/>
        <v>3.6532361356556344</v>
      </c>
      <c r="AA268">
        <f t="shared" si="19"/>
        <v>538.31072170186565</v>
      </c>
      <c r="AC268">
        <f t="shared" si="22"/>
        <v>1.306865117276526</v>
      </c>
      <c r="AE268">
        <f t="shared" si="20"/>
        <v>-1.097099673679971</v>
      </c>
    </row>
    <row r="269" spans="1:34" x14ac:dyDescent="0.2">
      <c r="A269">
        <v>2017.5</v>
      </c>
      <c r="B269">
        <v>2.09093857550813</v>
      </c>
      <c r="C269">
        <v>0.53772345048146097</v>
      </c>
      <c r="D269">
        <v>0.202596237264458</v>
      </c>
      <c r="E269">
        <v>-0.226004053772972</v>
      </c>
      <c r="F269">
        <v>-0.84834290306541105</v>
      </c>
      <c r="G269">
        <v>0.46696179756034101</v>
      </c>
      <c r="H269">
        <v>5.6310549717799897E-2</v>
      </c>
      <c r="I269">
        <v>-0.19010653161264601</v>
      </c>
      <c r="J269">
        <v>7.8243062776863201E-2</v>
      </c>
      <c r="K269">
        <v>4.9242979806639602E-2</v>
      </c>
      <c r="L269">
        <v>-1.7466581034708599E-2</v>
      </c>
      <c r="M269">
        <v>0.198168431272709</v>
      </c>
      <c r="N269">
        <v>-1.0743469568383801</v>
      </c>
      <c r="O269">
        <v>1.14490005041441</v>
      </c>
      <c r="P269">
        <v>0.40458036266849701</v>
      </c>
      <c r="Q269">
        <v>2.6221435273331601</v>
      </c>
      <c r="R269">
        <v>2.8028453775711601</v>
      </c>
      <c r="S269">
        <v>-6.3099393113434004E-3</v>
      </c>
      <c r="U269">
        <v>405.22</v>
      </c>
      <c r="V269">
        <f t="shared" si="21"/>
        <v>2.0814461070109935</v>
      </c>
      <c r="W269">
        <f t="shared" si="18"/>
        <v>405.91562509218045</v>
      </c>
      <c r="Y269">
        <f t="shared" si="24"/>
        <v>2.8312582632540493</v>
      </c>
      <c r="Z269" s="3">
        <f t="shared" si="25"/>
        <v>3.6964904841715436</v>
      </c>
      <c r="AA269">
        <f t="shared" si="19"/>
        <v>542.53442835543467</v>
      </c>
      <c r="AC269">
        <f t="shared" si="22"/>
        <v>1.3055998925096495</v>
      </c>
      <c r="AE269">
        <f t="shared" si="20"/>
        <v>-1.074346956838383</v>
      </c>
    </row>
    <row r="270" spans="1:34" x14ac:dyDescent="0.2">
      <c r="A270">
        <v>2018.5</v>
      </c>
      <c r="B270">
        <v>2.1243278612918801</v>
      </c>
      <c r="C270">
        <v>0.54087957668132203</v>
      </c>
      <c r="D270">
        <v>0.20622172908116501</v>
      </c>
      <c r="E270">
        <v>-0.22324063469593899</v>
      </c>
      <c r="F270">
        <v>-0.83285150345933401</v>
      </c>
      <c r="G270">
        <v>0.46759884935421298</v>
      </c>
      <c r="H270">
        <v>5.6835523856832403E-2</v>
      </c>
      <c r="I270">
        <v>-0.190079589783653</v>
      </c>
      <c r="J270">
        <v>7.5921266719471095E-2</v>
      </c>
      <c r="K270">
        <v>4.9618467274270002E-2</v>
      </c>
      <c r="L270">
        <v>-2.1467554319714501E-2</v>
      </c>
      <c r="M270">
        <v>0.18027527556517101</v>
      </c>
      <c r="N270">
        <v>-1.0560921381552699</v>
      </c>
      <c r="O270">
        <v>1.1537085043455699</v>
      </c>
      <c r="P270">
        <v>0.40660719858308803</v>
      </c>
      <c r="Q270">
        <v>2.6818387449033101</v>
      </c>
      <c r="R270">
        <v>2.8406464661487698</v>
      </c>
      <c r="S270">
        <v>-7.7043319330798998E-3</v>
      </c>
      <c r="U270">
        <v>407.61</v>
      </c>
      <c r="V270">
        <f t="shared" si="21"/>
        <v>2.1139920397953667</v>
      </c>
      <c r="W270">
        <f t="shared" si="18"/>
        <v>408.37195291130337</v>
      </c>
      <c r="Y270">
        <f t="shared" si="24"/>
        <v>2.8714291670543672</v>
      </c>
      <c r="Z270" s="3">
        <f t="shared" si="25"/>
        <v>3.7379308830585884</v>
      </c>
      <c r="AA270">
        <f t="shared" si="19"/>
        <v>546.61208740321592</v>
      </c>
      <c r="AC270">
        <f t="shared" si="22"/>
        <v>1.3017667041716077</v>
      </c>
      <c r="AE270">
        <f t="shared" si="20"/>
        <v>-1.056092138155273</v>
      </c>
    </row>
    <row r="271" spans="1:34" x14ac:dyDescent="0.2">
      <c r="A271">
        <v>2019.5</v>
      </c>
      <c r="B271">
        <v>2.15852048699122</v>
      </c>
      <c r="C271">
        <v>0.54408796848510899</v>
      </c>
      <c r="D271">
        <v>0.20914351131974299</v>
      </c>
      <c r="E271">
        <v>-0.235360243914848</v>
      </c>
      <c r="F271">
        <v>-0.87755907908658903</v>
      </c>
      <c r="G271">
        <v>0.47919873825967702</v>
      </c>
      <c r="H271">
        <v>6.1541386114692502E-2</v>
      </c>
      <c r="I271">
        <v>-0.19063316505479999</v>
      </c>
      <c r="J271">
        <v>0.08</v>
      </c>
      <c r="K271">
        <v>0.05</v>
      </c>
      <c r="L271">
        <v>-2.2172871769407701E-2</v>
      </c>
      <c r="M271">
        <v>0.108442628377518</v>
      </c>
      <c r="N271">
        <v>-1.11291932300143</v>
      </c>
      <c r="O271">
        <v>1.1612750087380801</v>
      </c>
      <c r="P271">
        <v>0.40804352893323198</v>
      </c>
      <c r="Q271">
        <v>2.68698313204743</v>
      </c>
      <c r="R271">
        <v>2.7732528886555401</v>
      </c>
      <c r="S271">
        <v>9.0822105989180003E-4</v>
      </c>
      <c r="U271">
        <v>410.07</v>
      </c>
      <c r="V271">
        <f t="shared" si="21"/>
        <v>2.1472925077883964</v>
      </c>
      <c r="W271">
        <f t="shared" si="18"/>
        <v>410.90278504265643</v>
      </c>
      <c r="Y271">
        <f t="shared" si="24"/>
        <v>2.9117519667960723</v>
      </c>
      <c r="Z271" s="3">
        <f t="shared" si="25"/>
        <v>3.7999024550488736</v>
      </c>
      <c r="AA271">
        <f t="shared" si="19"/>
        <v>552.76723176220753</v>
      </c>
      <c r="AC271">
        <f t="shared" si="22"/>
        <v>1.3050227142904869</v>
      </c>
      <c r="AE271">
        <f t="shared" si="20"/>
        <v>-1.1129193230014369</v>
      </c>
    </row>
    <row r="272" spans="1:34" x14ac:dyDescent="0.2">
      <c r="A272">
        <v>2020.5</v>
      </c>
      <c r="B272">
        <v>2.1912845194862398</v>
      </c>
      <c r="C272">
        <v>0.54869191141787699</v>
      </c>
      <c r="D272">
        <v>0.21277959497993401</v>
      </c>
      <c r="E272">
        <v>-0.18794397149403999</v>
      </c>
      <c r="F272">
        <v>-0.76860448459348096</v>
      </c>
      <c r="G272">
        <v>0.46210993763399999</v>
      </c>
      <c r="H272">
        <v>3.0675970199307501E-2</v>
      </c>
      <c r="I272">
        <v>-0.19116768406749399</v>
      </c>
      <c r="J272">
        <v>7.4098500124026995E-2</v>
      </c>
      <c r="K272">
        <v>5.0548469780304299E-2</v>
      </c>
      <c r="L272">
        <v>-1.6968634131278901E-2</v>
      </c>
      <c r="M272">
        <v>7.4220309491306993E-2</v>
      </c>
      <c r="N272">
        <v>-0.95654845608752104</v>
      </c>
      <c r="O272">
        <v>1.1702882637857199</v>
      </c>
      <c r="P272">
        <v>0.40881675738791001</v>
      </c>
      <c r="Q272">
        <v>2.8312895208545799</v>
      </c>
      <c r="R272">
        <v>2.8885411962146099</v>
      </c>
      <c r="S272">
        <v>-3.5844743963855903E-2</v>
      </c>
      <c r="U272">
        <v>412.44</v>
      </c>
      <c r="V272">
        <f t="shared" si="21"/>
        <v>2.1791862629548682</v>
      </c>
      <c r="W272">
        <f t="shared" si="18"/>
        <v>413.34259109452978</v>
      </c>
      <c r="Y272">
        <f t="shared" si="24"/>
        <v>2.9527560258840508</v>
      </c>
      <c r="Z272" s="3">
        <f t="shared" si="25"/>
        <v>3.7878379769421056</v>
      </c>
      <c r="AA272">
        <f t="shared" si="19"/>
        <v>551.56355395835828</v>
      </c>
      <c r="AC272">
        <f t="shared" si="22"/>
        <v>1.2828144092290972</v>
      </c>
      <c r="AE272">
        <f t="shared" si="20"/>
        <v>-0.95654845608752093</v>
      </c>
    </row>
    <row r="273" spans="1:34" x14ac:dyDescent="0.2">
      <c r="A273">
        <v>2021.5</v>
      </c>
      <c r="B273">
        <v>2.2223692156599202</v>
      </c>
      <c r="C273">
        <v>0.55478321514689599</v>
      </c>
      <c r="D273">
        <v>0.21670637440384999</v>
      </c>
      <c r="E273">
        <v>-0.21299404219583401</v>
      </c>
      <c r="F273">
        <v>-0.82574634281174197</v>
      </c>
      <c r="G273">
        <v>0.47675603427755697</v>
      </c>
      <c r="H273">
        <v>3.6909062776841403E-2</v>
      </c>
      <c r="I273">
        <v>-0.19141430527827</v>
      </c>
      <c r="J273">
        <v>7.7541112982701305E-2</v>
      </c>
      <c r="K273">
        <v>5.1276099027922503E-2</v>
      </c>
      <c r="L273">
        <v>1.95572424081152E-2</v>
      </c>
      <c r="M273">
        <v>0.13240895393063001</v>
      </c>
      <c r="N273">
        <v>-1.03874038500757</v>
      </c>
      <c r="O273">
        <v>1.1813158367908001</v>
      </c>
      <c r="P273">
        <v>0.40982624724005401</v>
      </c>
      <c r="Q273">
        <v>2.8160126712298998</v>
      </c>
      <c r="R273">
        <v>2.9679788675686498</v>
      </c>
      <c r="S273">
        <v>-2.5688030490805501E-2</v>
      </c>
      <c r="U273">
        <v>414.71</v>
      </c>
      <c r="V273">
        <f t="shared" si="21"/>
        <v>2.2095629193198185</v>
      </c>
      <c r="W273">
        <f t="shared" si="18"/>
        <v>415.67073435993166</v>
      </c>
      <c r="Y273">
        <f t="shared" si="24"/>
        <v>2.9938588052106661</v>
      </c>
      <c r="Z273" s="3">
        <f t="shared" si="25"/>
        <v>3.8547530562374721</v>
      </c>
      <c r="AA273">
        <f t="shared" si="19"/>
        <v>558.2729031924265</v>
      </c>
      <c r="AC273">
        <f t="shared" si="22"/>
        <v>1.2875533908040224</v>
      </c>
      <c r="AE273">
        <f t="shared" si="20"/>
        <v>-1.038740385007576</v>
      </c>
      <c r="AH273">
        <f>AVERAGE(R257:R267)</f>
        <v>2.2885385517140198</v>
      </c>
    </row>
    <row r="274" spans="1:34" x14ac:dyDescent="0.2">
      <c r="A274">
        <v>2022.5</v>
      </c>
      <c r="B274">
        <v>2.2549438356653599</v>
      </c>
      <c r="C274">
        <v>0.56075299467560302</v>
      </c>
      <c r="D274">
        <v>0.220700848405676</v>
      </c>
      <c r="E274">
        <v>-0.18683321684261001</v>
      </c>
      <c r="F274">
        <v>-0.73882328217355497</v>
      </c>
      <c r="G274">
        <v>0.47135545330205902</v>
      </c>
      <c r="H274">
        <v>4.6869746207138102E-2</v>
      </c>
      <c r="I274">
        <v>-0.19160250124282699</v>
      </c>
      <c r="J274">
        <v>7.0228327735431501E-2</v>
      </c>
      <c r="K274">
        <v>5.1993396379879597E-2</v>
      </c>
      <c r="L274">
        <v>5.9393060780893098E-2</v>
      </c>
      <c r="M274">
        <v>0.17170530555265701</v>
      </c>
      <c r="N274">
        <v>-0.92565649901616498</v>
      </c>
      <c r="O274">
        <v>1.19217144675047</v>
      </c>
      <c r="P274">
        <v>0.41071760366919702</v>
      </c>
      <c r="Q274">
        <v>2.9703032057813501</v>
      </c>
      <c r="R274">
        <v>3.2014015721149001</v>
      </c>
      <c r="S274">
        <v>-2.2511030920378199E-2</v>
      </c>
      <c r="U274">
        <v>417.06</v>
      </c>
      <c r="V274">
        <f t="shared" si="21"/>
        <v>2.240835452383795</v>
      </c>
      <c r="W274">
        <f t="shared" si="18"/>
        <v>418.12454044536491</v>
      </c>
      <c r="Y274">
        <f t="shared" si="24"/>
        <v>3.0363976787466389</v>
      </c>
      <c r="Z274" s="3">
        <f t="shared" si="25"/>
        <v>3.8959597047975172</v>
      </c>
      <c r="AA274">
        <f t="shared" si="19"/>
        <v>562.44509570489083</v>
      </c>
      <c r="AC274">
        <f>Z274/Y274</f>
        <v>1.2830861161788556</v>
      </c>
      <c r="AE274">
        <f t="shared" si="20"/>
        <v>-0.92565649901616498</v>
      </c>
    </row>
    <row r="275" spans="1:34" x14ac:dyDescent="0.2">
      <c r="A275">
        <v>2023.5</v>
      </c>
      <c r="B275">
        <v>2.2860003274460299</v>
      </c>
      <c r="C275">
        <v>0.56449839238795796</v>
      </c>
      <c r="D275">
        <v>0.224001654041767</v>
      </c>
      <c r="E275">
        <v>-0.24245310616945201</v>
      </c>
      <c r="F275">
        <v>-0.88838907394498001</v>
      </c>
      <c r="G275">
        <v>0.50092579236652601</v>
      </c>
      <c r="H275">
        <v>5.1360314613640497E-2</v>
      </c>
      <c r="I275">
        <v>-0.19219637283082999</v>
      </c>
      <c r="J275">
        <v>8.3364666274604898E-2</v>
      </c>
      <c r="K275">
        <v>5.2446900651129197E-2</v>
      </c>
      <c r="L275">
        <v>8.1981597943763404E-2</v>
      </c>
      <c r="M275">
        <v>0.26497923257993</v>
      </c>
      <c r="N275">
        <v>-1.1308421801144299</v>
      </c>
      <c r="O275">
        <v>1.19956688653993</v>
      </c>
      <c r="P275">
        <v>0.411066840110206</v>
      </c>
      <c r="Q275">
        <v>2.8506263349465999</v>
      </c>
      <c r="R275">
        <v>3.1975871654702899</v>
      </c>
      <c r="S275">
        <v>-5.0244912914557101E-3</v>
      </c>
      <c r="V275" t="e">
        <f t="shared" ref="V275" si="26">LOG10(U275)*$V$99-$V$100</f>
        <v>#NUM!</v>
      </c>
      <c r="W275">
        <f t="shared" ref="W275" si="27">10^((B275+$V$100)/$V$99)</f>
        <v>420.47747508021837</v>
      </c>
      <c r="Y275">
        <f t="shared" si="24"/>
        <v>3.0745003738757548</v>
      </c>
      <c r="Z275" s="3">
        <f t="shared" si="25"/>
        <v>3.9814685150610316</v>
      </c>
      <c r="AA275">
        <f t="shared" si="19"/>
        <v>571.20265446718122</v>
      </c>
      <c r="AB275">
        <f>LOG10(AA274)</f>
        <v>2.7500801342568515</v>
      </c>
      <c r="AC275">
        <f>Z275/Y275</f>
        <v>1.2949969201148417</v>
      </c>
      <c r="AE275">
        <f t="shared" si="20"/>
        <v>-1.1308421801144319</v>
      </c>
    </row>
    <row r="276" spans="1:34" x14ac:dyDescent="0.2">
      <c r="A276">
        <v>2024.5</v>
      </c>
      <c r="B276">
        <v>2.3324569217008801</v>
      </c>
      <c r="C276">
        <v>0.56724224843179205</v>
      </c>
      <c r="D276">
        <v>0.22711607751237201</v>
      </c>
      <c r="E276">
        <v>-0.215552777424209</v>
      </c>
      <c r="F276">
        <v>-0.85066099557490504</v>
      </c>
      <c r="G276">
        <v>0.50258058338843403</v>
      </c>
      <c r="H276">
        <v>5.6384693217148903E-2</v>
      </c>
      <c r="I276">
        <v>-0.19256303950961801</v>
      </c>
      <c r="J276">
        <v>8.2753389301028005E-2</v>
      </c>
      <c r="K276">
        <v>5.2781478208493202E-2</v>
      </c>
      <c r="L276">
        <v>9.0837254260437594E-2</v>
      </c>
      <c r="M276">
        <v>0.23795422805692901</v>
      </c>
      <c r="N276">
        <v>-1.0662137729991099</v>
      </c>
      <c r="O276">
        <v>1.20585616452682</v>
      </c>
      <c r="P276">
        <v>0.41149783858265498</v>
      </c>
      <c r="Q276">
        <v>2.9740364178340699</v>
      </c>
      <c r="R276">
        <v>3.3028279001514398</v>
      </c>
      <c r="S276">
        <v>-6.43478782947987E-4</v>
      </c>
      <c r="V276" t="e">
        <f t="shared" ref="V276" si="28">LOG10(U276)*$V$99-$V$100</f>
        <v>#NUM!</v>
      </c>
      <c r="W276">
        <f t="shared" ref="W276" si="29">10^((B276+$V$100)/$V$99)</f>
        <v>424.02190880759895</v>
      </c>
      <c r="Y276">
        <f t="shared" ref="Y276" si="30">SUM(B276:D276)</f>
        <v>3.1268152476450446</v>
      </c>
      <c r="Z276" s="3">
        <f t="shared" ref="Z276" si="31">K276+J276+I276+H276+G276+D276+C276+B276+P276</f>
        <v>4.0402501908331852</v>
      </c>
      <c r="AA276">
        <f t="shared" ref="AA276" si="32">10^((Z276+$V$100)/$V$99)</f>
        <v>577.30186033078667</v>
      </c>
      <c r="AC276">
        <f>Z276/Y276</f>
        <v>1.2921294898622784</v>
      </c>
      <c r="AE276">
        <f t="shared" si="20"/>
        <v>-1.0662137729991141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ERF_best_aggregates_1750-2024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2026-10-15T16:48:13Z</dcterms:created>
  <dcterms:modified xsi:type="dcterms:W3CDTF">2026-10-17T05:50:57Z</dcterms:modified>
</cp:coreProperties>
</file>