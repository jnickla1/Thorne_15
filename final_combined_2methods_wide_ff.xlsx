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/FaIR_fut/"/>
    </mc:Choice>
  </mc:AlternateContent>
  <xr:revisionPtr revIDLastSave="0" documentId="8_{0BB3260A-2D9E-9D4D-899C-E61AD7F6BC83}" xr6:coauthVersionLast="47" xr6:coauthVersionMax="47" xr10:uidLastSave="{00000000-0000-0000-0000-000000000000}"/>
  <bookViews>
    <workbookView xWindow="7580" yWindow="5220" windowWidth="26840" windowHeight="15940" xr2:uid="{C5EFB806-CC49-FF45-A9BF-684F2EA9307C}"/>
  </bookViews>
  <sheets>
    <sheet name="final_combined_2methods_wide_ff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I18" i="1"/>
  <c r="J18" i="1"/>
  <c r="D17" i="1"/>
  <c r="E17" i="1"/>
  <c r="F17" i="1"/>
  <c r="G17" i="1"/>
  <c r="H17" i="1"/>
  <c r="I17" i="1"/>
  <c r="J17" i="1"/>
  <c r="D16" i="1"/>
  <c r="E16" i="1"/>
  <c r="F16" i="1"/>
  <c r="G16" i="1"/>
  <c r="H16" i="1"/>
  <c r="I16" i="1"/>
  <c r="J16" i="1"/>
  <c r="D20" i="1"/>
  <c r="E20" i="1"/>
  <c r="F20" i="1"/>
  <c r="G20" i="1"/>
  <c r="H20" i="1"/>
  <c r="I20" i="1"/>
  <c r="J20" i="1"/>
  <c r="D19" i="1"/>
  <c r="E19" i="1"/>
  <c r="F19" i="1"/>
  <c r="G19" i="1"/>
  <c r="H19" i="1"/>
  <c r="I19" i="1"/>
  <c r="J19" i="1"/>
  <c r="C19" i="1"/>
  <c r="C20" i="1"/>
  <c r="C16" i="1"/>
  <c r="C17" i="1"/>
  <c r="C18" i="1"/>
  <c r="A19" i="1"/>
  <c r="A20" i="1"/>
  <c r="A16" i="1"/>
  <c r="B16" i="1" s="1"/>
  <c r="A17" i="1"/>
  <c r="B17" i="1" s="1"/>
  <c r="A18" i="1"/>
  <c r="B18" i="1" s="1"/>
  <c r="C39" i="1"/>
  <c r="C37" i="1"/>
  <c r="A39" i="1"/>
  <c r="B39" i="1" s="1"/>
  <c r="A37" i="1"/>
  <c r="B37" i="1" s="1"/>
  <c r="C23" i="1"/>
  <c r="D23" i="1"/>
  <c r="E23" i="1"/>
  <c r="F23" i="1"/>
  <c r="G23" i="1"/>
  <c r="H23" i="1"/>
  <c r="I23" i="1"/>
  <c r="J23" i="1"/>
  <c r="C24" i="1"/>
  <c r="D24" i="1"/>
  <c r="E24" i="1"/>
  <c r="F24" i="1"/>
  <c r="G24" i="1"/>
  <c r="H24" i="1"/>
  <c r="I24" i="1"/>
  <c r="J24" i="1"/>
  <c r="C25" i="1"/>
  <c r="D25" i="1"/>
  <c r="E25" i="1"/>
  <c r="F25" i="1"/>
  <c r="G25" i="1"/>
  <c r="H25" i="1"/>
  <c r="I25" i="1"/>
  <c r="J25" i="1"/>
  <c r="C26" i="1"/>
  <c r="D26" i="1"/>
  <c r="E26" i="1"/>
  <c r="F26" i="1"/>
  <c r="G26" i="1"/>
  <c r="H26" i="1"/>
  <c r="I26" i="1"/>
  <c r="J26" i="1"/>
  <c r="C27" i="1"/>
  <c r="D27" i="1"/>
  <c r="E27" i="1"/>
  <c r="F27" i="1"/>
  <c r="G27" i="1"/>
  <c r="H27" i="1"/>
  <c r="I27" i="1"/>
  <c r="J27" i="1"/>
  <c r="A27" i="1"/>
  <c r="B27" i="1" s="1"/>
  <c r="A26" i="1"/>
  <c r="B26" i="1" s="1"/>
  <c r="A25" i="1"/>
  <c r="B25" i="1" s="1"/>
  <c r="A24" i="1"/>
  <c r="B24" i="1" s="1"/>
  <c r="A23" i="1"/>
  <c r="B23" i="1" s="1"/>
  <c r="B19" i="1"/>
  <c r="B20" i="1"/>
  <c r="C32" i="1"/>
  <c r="D32" i="1"/>
  <c r="E32" i="1"/>
  <c r="F32" i="1"/>
  <c r="G32" i="1"/>
  <c r="H32" i="1"/>
  <c r="I32" i="1"/>
  <c r="J32" i="1"/>
  <c r="C31" i="1"/>
  <c r="D31" i="1"/>
  <c r="E31" i="1"/>
  <c r="F31" i="1"/>
  <c r="G31" i="1"/>
  <c r="H31" i="1"/>
  <c r="I31" i="1"/>
  <c r="J31" i="1"/>
  <c r="C30" i="1"/>
  <c r="D30" i="1"/>
  <c r="E30" i="1"/>
  <c r="F30" i="1"/>
  <c r="G30" i="1"/>
  <c r="H30" i="1"/>
  <c r="I30" i="1"/>
  <c r="J30" i="1"/>
  <c r="C34" i="1"/>
  <c r="D34" i="1"/>
  <c r="E34" i="1"/>
  <c r="F34" i="1"/>
  <c r="G34" i="1"/>
  <c r="H34" i="1"/>
  <c r="I34" i="1"/>
  <c r="J34" i="1"/>
  <c r="C33" i="1"/>
  <c r="D33" i="1"/>
  <c r="E33" i="1"/>
  <c r="F33" i="1"/>
  <c r="G33" i="1"/>
  <c r="H33" i="1"/>
  <c r="I33" i="1"/>
  <c r="J33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C41" i="1"/>
  <c r="D41" i="1"/>
  <c r="E41" i="1"/>
  <c r="F41" i="1"/>
  <c r="G41" i="1"/>
  <c r="H41" i="1"/>
  <c r="I41" i="1"/>
  <c r="J41" i="1"/>
  <c r="C40" i="1"/>
  <c r="D40" i="1"/>
  <c r="E40" i="1"/>
  <c r="F40" i="1"/>
  <c r="G40" i="1"/>
  <c r="H40" i="1"/>
  <c r="I40" i="1"/>
  <c r="J40" i="1"/>
  <c r="A40" i="1"/>
  <c r="B40" i="1" s="1"/>
  <c r="A41" i="1"/>
  <c r="B41" i="1" s="1"/>
  <c r="A38" i="1"/>
  <c r="B38" i="1" s="1"/>
  <c r="A33" i="1"/>
  <c r="B33" i="1" s="1"/>
  <c r="A34" i="1"/>
  <c r="B34" i="1" s="1"/>
  <c r="A30" i="1"/>
  <c r="B30" i="1" s="1"/>
  <c r="A31" i="1"/>
  <c r="B31" i="1" s="1"/>
  <c r="A32" i="1"/>
  <c r="B32" i="1" s="1"/>
</calcChain>
</file>

<file path=xl/sharedStrings.xml><?xml version="1.0" encoding="utf-8"?>
<sst xmlns="http://schemas.openxmlformats.org/spreadsheetml/2006/main" count="47" uniqueCount="32">
  <si>
    <t>experiment</t>
  </si>
  <si>
    <t>approach</t>
  </si>
  <si>
    <t>firstcross1</t>
  </si>
  <si>
    <t>firstcross2</t>
  </si>
  <si>
    <t>firstcross5</t>
  </si>
  <si>
    <t>kl</t>
  </si>
  <si>
    <t>kl75</t>
  </si>
  <si>
    <t>ncrosses</t>
  </si>
  <si>
    <t>rmse</t>
  </si>
  <si>
    <t>rmse75</t>
  </si>
  <si>
    <t>fut_ESM1-2-LR_SSP126_constVolc</t>
  </si>
  <si>
    <t>inverse_variance</t>
  </si>
  <si>
    <t>sharpened_blended</t>
  </si>
  <si>
    <t>fut_ESM1-2-LR_SSP245_constVolc</t>
  </si>
  <si>
    <t>fut_ESM1-2-LR_SSP370_constVolc</t>
  </si>
  <si>
    <t>fut_NorESM_RCP45_Volc</t>
  </si>
  <si>
    <t>fut_NorESM_RCP45_VolcConst</t>
  </si>
  <si>
    <t>Compressed Mixture (CSCM), 8 methods</t>
  </si>
  <si>
    <t>Inverse Variance (PIVW), 16 methods</t>
  </si>
  <si>
    <t>EBMKF_ta4</t>
  </si>
  <si>
    <t>GWI_tot_CGWL</t>
  </si>
  <si>
    <t>Ensemble</t>
  </si>
  <si>
    <t>within 1 yr</t>
  </si>
  <si>
    <t>First crossing instant of 1.5°C</t>
  </si>
  <si>
    <t>within 2 yrs</t>
  </si>
  <si>
    <t>within 5yrs</t>
  </si>
  <si>
    <t>2025-2090</t>
  </si>
  <si>
    <t>Kullback-Liebler Divergence</t>
  </si>
  <si>
    <t>2000-2090</t>
  </si>
  <si>
    <t># crosses</t>
  </si>
  <si>
    <t>of 1.5°C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</si>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</sst>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final_combined_16methods_wide_ff.csv" TargetMode="External"/><Relationship Id="rId1" Type="http://schemas.openxmlformats.org/officeDocument/2006/relationships/externalLinkPath" Target="/Users/JohnMatthew/Downloads/Thorne_15_codefigurestats/final_combined_16methods_wide_ff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final_combined_7methods_wide_ff.csv" TargetMode="External"/><Relationship Id="rId1" Type="http://schemas.openxmlformats.org/officeDocument/2006/relationships/externalLinkPath" Target="/Users/JohnMatthew/Downloads/Thorne_15_codefigurestats/final_combined_7methods_wide_f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combined_16methods_wide_f"/>
    </sheetNames>
    <sheetDataSet>
      <sheetData sheetId="0">
        <row r="2">
          <cell r="A2" t="str">
            <v>fut_ESM1-2-LR_SSP126_constVolc</v>
          </cell>
          <cell r="C2">
            <v>0.23423231205582501</v>
          </cell>
          <cell r="D2">
            <v>0.44301513220746003</v>
          </cell>
          <cell r="E2">
            <v>0.80477747916472697</v>
          </cell>
          <cell r="F2">
            <v>0.46624181380279101</v>
          </cell>
          <cell r="G2">
            <v>0.49304442107483998</v>
          </cell>
          <cell r="H2">
            <v>1.22</v>
          </cell>
          <cell r="I2">
            <v>3.4209966316283001E-2</v>
          </cell>
          <cell r="J2">
            <v>3.3170670153985497E-2</v>
          </cell>
        </row>
        <row r="4">
          <cell r="A4" t="str">
            <v>fut_ESM1-2-LR_SSP245_constVolc</v>
          </cell>
          <cell r="C4">
            <v>0.54526216461403398</v>
          </cell>
          <cell r="D4">
            <v>0.85151612528392695</v>
          </cell>
          <cell r="E4">
            <v>0.98769878415374102</v>
          </cell>
          <cell r="F4">
            <v>0.34391488294497302</v>
          </cell>
          <cell r="G4">
            <v>0.33005863001684399</v>
          </cell>
          <cell r="H4">
            <v>1.02</v>
          </cell>
          <cell r="I4">
            <v>3.1604406760897701E-2</v>
          </cell>
          <cell r="J4">
            <v>2.94731342330086E-2</v>
          </cell>
        </row>
        <row r="6">
          <cell r="A6" t="str">
            <v>fut_ESM1-2-LR_SSP370_constVolc</v>
          </cell>
          <cell r="C6">
            <v>0.58820103523420497</v>
          </cell>
          <cell r="D6">
            <v>0.882503084666731</v>
          </cell>
          <cell r="E6">
            <v>0.99999998110849297</v>
          </cell>
          <cell r="F6">
            <v>0.25605969664375</v>
          </cell>
          <cell r="G6">
            <v>0.18398203276660599</v>
          </cell>
          <cell r="H6">
            <v>1</v>
          </cell>
          <cell r="I6">
            <v>3.2646386575724898E-2</v>
          </cell>
          <cell r="J6">
            <v>2.8700340830130601E-2</v>
          </cell>
        </row>
        <row r="8">
          <cell r="A8" t="str">
            <v>fut_NorESM_RCP45_Volc</v>
          </cell>
          <cell r="C8">
            <v>0.31504677447179003</v>
          </cell>
          <cell r="D8">
            <v>0.57232123229446896</v>
          </cell>
          <cell r="E8">
            <v>0.89159107765915202</v>
          </cell>
          <cell r="F8">
            <v>0.65038981916972405</v>
          </cell>
          <cell r="G8">
            <v>0.69969231489820405</v>
          </cell>
          <cell r="H8">
            <v>1.1000000000000001</v>
          </cell>
          <cell r="I8">
            <v>4.9608096699926101E-2</v>
          </cell>
          <cell r="J8">
            <v>5.1449692451564499E-2</v>
          </cell>
        </row>
        <row r="10">
          <cell r="A10" t="str">
            <v>fut_NorESM_RCP45_VolcConst</v>
          </cell>
          <cell r="C10">
            <v>0.60445409265483296</v>
          </cell>
          <cell r="D10">
            <v>0.91644379909259599</v>
          </cell>
          <cell r="E10">
            <v>0.99999999918240301</v>
          </cell>
          <cell r="F10">
            <v>0.39538783081048301</v>
          </cell>
          <cell r="G10">
            <v>0.42024078216599597</v>
          </cell>
          <cell r="H10">
            <v>1.0166666666666599</v>
          </cell>
          <cell r="I10">
            <v>2.8010350719259801E-2</v>
          </cell>
          <cell r="J10">
            <v>2.7966801098772701E-2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combined_7methods_wide_ff"/>
    </sheetNames>
    <sheetDataSet>
      <sheetData sheetId="0">
        <row r="3">
          <cell r="A3" t="str">
            <v>fut_ESM1-2-LR_SSP126_constVolc</v>
          </cell>
          <cell r="C3">
            <v>0.20598707423877799</v>
          </cell>
          <cell r="D3">
            <v>0.39125892210348001</v>
          </cell>
          <cell r="E3">
            <v>0.75460221525915105</v>
          </cell>
          <cell r="F3">
            <v>0.56475621844510304</v>
          </cell>
          <cell r="G3">
            <v>0</v>
          </cell>
          <cell r="H3">
            <v>1.42</v>
          </cell>
          <cell r="I3">
            <v>3.52982195739854E-2</v>
          </cell>
          <cell r="J3">
            <v>3.4435063627015101E-2</v>
          </cell>
        </row>
        <row r="5">
          <cell r="A5" t="str">
            <v>fut_ESM1-2-LR_SSP245_constVolc</v>
          </cell>
          <cell r="C5">
            <v>0.54537720214768104</v>
          </cell>
          <cell r="D5">
            <v>0.82936652432745805</v>
          </cell>
          <cell r="E5">
            <v>0.98938446493499099</v>
          </cell>
          <cell r="F5">
            <v>0.47702824636535701</v>
          </cell>
          <cell r="G5">
            <v>0</v>
          </cell>
          <cell r="H5">
            <v>1.04</v>
          </cell>
          <cell r="I5">
            <v>3.20702585058706E-2</v>
          </cell>
          <cell r="J5">
            <v>2.9932675985723699E-2</v>
          </cell>
        </row>
        <row r="7">
          <cell r="A7" t="str">
            <v>fut_ESM1-2-LR_SSP370_constVolc</v>
          </cell>
          <cell r="C7">
            <v>0.54377625772486804</v>
          </cell>
          <cell r="D7">
            <v>0.85010427686262902</v>
          </cell>
          <cell r="E7">
            <v>0.99999241359801805</v>
          </cell>
          <cell r="F7">
            <v>0.35240261158414299</v>
          </cell>
          <cell r="G7">
            <v>0</v>
          </cell>
          <cell r="H7">
            <v>1.08</v>
          </cell>
          <cell r="I7">
            <v>3.6908175403974099E-2</v>
          </cell>
          <cell r="J7">
            <v>3.3497276994360899E-2</v>
          </cell>
        </row>
        <row r="9">
          <cell r="A9" t="str">
            <v>fut_NorESM_RCP45_Volc</v>
          </cell>
          <cell r="C9">
            <v>0.29728047786762701</v>
          </cell>
          <cell r="D9">
            <v>0.54511819223838698</v>
          </cell>
          <cell r="E9">
            <v>0.87959810607169198</v>
          </cell>
          <cell r="F9">
            <v>0.75713434312233396</v>
          </cell>
          <cell r="G9">
            <v>0</v>
          </cell>
          <cell r="H9">
            <v>1.11666666666666</v>
          </cell>
          <cell r="I9">
            <v>4.9593159564462398E-2</v>
          </cell>
          <cell r="J9">
            <v>5.1204322773566999E-2</v>
          </cell>
        </row>
        <row r="11">
          <cell r="A11" t="str">
            <v>fut_NorESM_RCP45_VolcConst</v>
          </cell>
          <cell r="C11">
            <v>0.54102601968391995</v>
          </cell>
          <cell r="D11">
            <v>0.86734724522561701</v>
          </cell>
          <cell r="E11">
            <v>0.99999820550391105</v>
          </cell>
          <cell r="F11">
            <v>0.588634202813348</v>
          </cell>
          <cell r="G11">
            <v>0</v>
          </cell>
          <cell r="H11">
            <v>1</v>
          </cell>
          <cell r="I11">
            <v>2.9942905637516601E-2</v>
          </cell>
          <cell r="J11">
            <v>3.0024013511340601E-2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910-86A1-8841-8AC9-30F3B8F67705}">
  <dimension ref="A1:J41"/>
  <sheetViews>
    <sheetView tabSelected="1" topLeftCell="A22" workbookViewId="0">
      <selection activeCell="J34" sqref="J34"/>
    </sheetView>
  </sheetViews>
  <sheetFormatPr baseColWidth="10" defaultRowHeight="16" x14ac:dyDescent="0.2"/>
  <cols>
    <col min="1" max="1" width="30.33203125" customWidth="1"/>
    <col min="3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0.21161932405351599</v>
      </c>
      <c r="D2">
        <v>0.40396595365675098</v>
      </c>
      <c r="E2">
        <v>0.76865427585143098</v>
      </c>
      <c r="F2">
        <v>0.63734650833749396</v>
      </c>
      <c r="G2">
        <v>0.52549062434882099</v>
      </c>
      <c r="H2">
        <v>1.54</v>
      </c>
      <c r="I2">
        <v>4.14550484967314E-2</v>
      </c>
      <c r="J2">
        <v>3.5818757452349699E-2</v>
      </c>
    </row>
    <row r="3" spans="1:10" x14ac:dyDescent="0.2">
      <c r="A3" t="s">
        <v>10</v>
      </c>
      <c r="B3" t="s">
        <v>12</v>
      </c>
      <c r="C3">
        <v>0.16500835590663099</v>
      </c>
      <c r="D3">
        <v>0.32052495709975298</v>
      </c>
      <c r="E3">
        <v>0.67738862149364099</v>
      </c>
      <c r="F3">
        <v>0.72312962730627905</v>
      </c>
      <c r="G3">
        <v>0.65262018332211302</v>
      </c>
      <c r="H3">
        <v>1</v>
      </c>
      <c r="I3">
        <v>4.7924826086253897E-2</v>
      </c>
      <c r="J3">
        <v>3.9585073275757901E-2</v>
      </c>
    </row>
    <row r="4" spans="1:10" x14ac:dyDescent="0.2">
      <c r="A4" t="s">
        <v>13</v>
      </c>
      <c r="B4" t="s">
        <v>11</v>
      </c>
      <c r="C4">
        <v>0.50974682042109598</v>
      </c>
      <c r="D4">
        <v>0.80996193536411498</v>
      </c>
      <c r="E4">
        <v>0.98746274665149802</v>
      </c>
      <c r="F4">
        <v>0.56415571141182597</v>
      </c>
      <c r="G4">
        <v>0.39092663554097901</v>
      </c>
      <c r="H4">
        <v>1.02</v>
      </c>
      <c r="I4">
        <v>3.9619484294593298E-2</v>
      </c>
      <c r="J4">
        <v>3.2487978546580497E-2</v>
      </c>
    </row>
    <row r="5" spans="1:10" x14ac:dyDescent="0.2">
      <c r="A5" t="s">
        <v>13</v>
      </c>
      <c r="B5" t="s">
        <v>12</v>
      </c>
      <c r="C5">
        <v>0.32272305160293702</v>
      </c>
      <c r="D5">
        <v>0.60963225535908305</v>
      </c>
      <c r="E5">
        <v>0.92550530731992098</v>
      </c>
      <c r="F5">
        <v>0.71242307999963705</v>
      </c>
      <c r="G5">
        <v>0.61013150635878699</v>
      </c>
      <c r="H5">
        <v>1</v>
      </c>
      <c r="I5">
        <v>5.14577615073573E-2</v>
      </c>
      <c r="J5">
        <v>3.9952145868938999E-2</v>
      </c>
    </row>
    <row r="6" spans="1:10" x14ac:dyDescent="0.2">
      <c r="A6" t="s">
        <v>14</v>
      </c>
      <c r="B6" t="s">
        <v>11</v>
      </c>
      <c r="C6">
        <v>0.64167468205339295</v>
      </c>
      <c r="D6">
        <v>0.92134192098814205</v>
      </c>
      <c r="E6">
        <v>0.99999999992211497</v>
      </c>
      <c r="F6">
        <v>0.58257242065806303</v>
      </c>
      <c r="G6">
        <v>0.36471938323216702</v>
      </c>
      <c r="H6">
        <v>1.06</v>
      </c>
      <c r="I6">
        <v>3.9146185155741801E-2</v>
      </c>
      <c r="J6">
        <v>2.9479803361305599E-2</v>
      </c>
    </row>
    <row r="7" spans="1:10" x14ac:dyDescent="0.2">
      <c r="A7" t="s">
        <v>14</v>
      </c>
      <c r="B7" t="s">
        <v>12</v>
      </c>
      <c r="C7">
        <v>0.153679610448271</v>
      </c>
      <c r="D7">
        <v>0.34150036785639698</v>
      </c>
      <c r="E7">
        <v>0.82410366011376901</v>
      </c>
      <c r="F7">
        <v>0.75525220045584596</v>
      </c>
      <c r="G7">
        <v>0.65528228338484396</v>
      </c>
      <c r="H7">
        <v>1</v>
      </c>
      <c r="I7">
        <v>6.8233767139105395E-2</v>
      </c>
      <c r="J7">
        <v>5.7310887082711301E-2</v>
      </c>
    </row>
    <row r="8" spans="1:10" x14ac:dyDescent="0.2">
      <c r="A8" t="s">
        <v>15</v>
      </c>
      <c r="B8" t="s">
        <v>11</v>
      </c>
      <c r="C8">
        <v>0.35316813126645102</v>
      </c>
      <c r="D8">
        <v>0.62991221212830595</v>
      </c>
      <c r="E8">
        <v>0.92104559023504595</v>
      </c>
      <c r="F8">
        <v>0.69470880820399195</v>
      </c>
      <c r="G8">
        <v>0.65259499157233103</v>
      </c>
      <c r="H8">
        <v>1.11666666666666</v>
      </c>
      <c r="I8">
        <v>5.9639432635513898E-2</v>
      </c>
      <c r="J8">
        <v>6.0089927606266198E-2</v>
      </c>
    </row>
    <row r="9" spans="1:10" x14ac:dyDescent="0.2">
      <c r="A9" t="s">
        <v>15</v>
      </c>
      <c r="B9" t="s">
        <v>12</v>
      </c>
      <c r="C9">
        <v>0.24172655046852501</v>
      </c>
      <c r="D9">
        <v>0.45951717349270299</v>
      </c>
      <c r="E9">
        <v>0.84197272967619696</v>
      </c>
      <c r="F9">
        <v>0.78885052339075301</v>
      </c>
      <c r="G9">
        <v>0.73038928215626897</v>
      </c>
      <c r="H9">
        <v>1.05</v>
      </c>
      <c r="I9">
        <v>6.00693062685295E-2</v>
      </c>
      <c r="J9">
        <v>5.5749640580537503E-2</v>
      </c>
    </row>
    <row r="10" spans="1:10" x14ac:dyDescent="0.2">
      <c r="A10" t="s">
        <v>16</v>
      </c>
      <c r="B10" t="s">
        <v>11</v>
      </c>
      <c r="C10">
        <v>0.49934996162543499</v>
      </c>
      <c r="D10">
        <v>0.85184374092964499</v>
      </c>
      <c r="E10">
        <v>0.99999419553518598</v>
      </c>
      <c r="F10">
        <v>0.57230663609077204</v>
      </c>
      <c r="G10">
        <v>0.42470431846740098</v>
      </c>
      <c r="H10">
        <v>1</v>
      </c>
      <c r="I10">
        <v>2.9102690918756099E-2</v>
      </c>
      <c r="J10">
        <v>2.49146921749391E-2</v>
      </c>
    </row>
    <row r="11" spans="1:10" x14ac:dyDescent="0.2">
      <c r="A11" t="s">
        <v>16</v>
      </c>
      <c r="B11" t="s">
        <v>12</v>
      </c>
      <c r="C11">
        <v>0.34149028921088098</v>
      </c>
      <c r="D11">
        <v>0.63497038219064394</v>
      </c>
      <c r="E11">
        <v>0.9887736478686</v>
      </c>
      <c r="F11">
        <v>0.73298331626506696</v>
      </c>
      <c r="G11">
        <v>0.67448595360081598</v>
      </c>
      <c r="H11">
        <v>1</v>
      </c>
      <c r="I11">
        <v>4.7962799242892498E-2</v>
      </c>
      <c r="J11">
        <v>4.2451274264061201E-2</v>
      </c>
    </row>
    <row r="12" spans="1:10" x14ac:dyDescent="0.2">
      <c r="C12" t="s">
        <v>23</v>
      </c>
      <c r="F12" t="s">
        <v>27</v>
      </c>
      <c r="H12" t="s">
        <v>29</v>
      </c>
      <c r="I12" t="s">
        <v>31</v>
      </c>
    </row>
    <row r="13" spans="1:10" x14ac:dyDescent="0.2">
      <c r="B13" t="s">
        <v>21</v>
      </c>
      <c r="C13" t="s">
        <v>22</v>
      </c>
      <c r="D13" t="s">
        <v>24</v>
      </c>
      <c r="E13" t="s">
        <v>25</v>
      </c>
      <c r="F13" t="s">
        <v>28</v>
      </c>
      <c r="G13" t="s">
        <v>26</v>
      </c>
      <c r="H13" t="s">
        <v>30</v>
      </c>
      <c r="I13" t="s">
        <v>28</v>
      </c>
      <c r="J13" t="s">
        <v>26</v>
      </c>
    </row>
    <row r="15" spans="1:10" x14ac:dyDescent="0.2">
      <c r="C15" t="s">
        <v>17</v>
      </c>
    </row>
    <row r="16" spans="1:10" x14ac:dyDescent="0.2">
      <c r="A16" t="str">
        <f>[2]final_combined_7methods_wide_ff!A$7</f>
        <v>fut_ESM1-2-LR_SSP370_constVolc</v>
      </c>
      <c r="B16" t="str">
        <f>RIGHT(A16,LEN(A16)-4)</f>
        <v>ESM1-2-LR_SSP370_constVolc</v>
      </c>
      <c r="C16" s="3">
        <f>[2]final_combined_7methods_wide_ff!C$7</f>
        <v>0.54377625772486804</v>
      </c>
      <c r="D16" s="3">
        <f>[2]final_combined_7methods_wide_ff!D$7</f>
        <v>0.85010427686262902</v>
      </c>
      <c r="E16" s="3">
        <f>[2]final_combined_7methods_wide_ff!E$7</f>
        <v>0.99999241359801805</v>
      </c>
      <c r="F16" s="6">
        <f>[2]final_combined_7methods_wide_ff!F$7</f>
        <v>0.35240261158414299</v>
      </c>
      <c r="G16" s="6">
        <f>[2]final_combined_7methods_wide_ff!G$7</f>
        <v>0</v>
      </c>
      <c r="H16" s="6">
        <f>[2]final_combined_7methods_wide_ff!H$7</f>
        <v>1.08</v>
      </c>
      <c r="I16" s="5">
        <f>[2]final_combined_7methods_wide_ff!I$7</f>
        <v>3.6908175403974099E-2</v>
      </c>
      <c r="J16" s="5">
        <f>[2]final_combined_7methods_wide_ff!J$7</f>
        <v>3.3497276994360899E-2</v>
      </c>
    </row>
    <row r="17" spans="1:10" x14ac:dyDescent="0.2">
      <c r="A17" t="str">
        <f>[2]final_combined_7methods_wide_ff!A$5</f>
        <v>fut_ESM1-2-LR_SSP245_constVolc</v>
      </c>
      <c r="B17" t="str">
        <f t="shared" ref="B17:B39" si="0">RIGHT(A17,LEN(A17)-4)</f>
        <v>ESM1-2-LR_SSP245_constVolc</v>
      </c>
      <c r="C17" s="3">
        <f>[2]final_combined_7methods_wide_ff!C$5</f>
        <v>0.54537720214768104</v>
      </c>
      <c r="D17" s="3">
        <f>[2]final_combined_7methods_wide_ff!D$5</f>
        <v>0.82936652432745805</v>
      </c>
      <c r="E17" s="3">
        <f>[2]final_combined_7methods_wide_ff!E$5</f>
        <v>0.98938446493499099</v>
      </c>
      <c r="F17" s="6">
        <f>[2]final_combined_7methods_wide_ff!F$5</f>
        <v>0.47702824636535701</v>
      </c>
      <c r="G17" s="6">
        <f>[2]final_combined_7methods_wide_ff!G$5</f>
        <v>0</v>
      </c>
      <c r="H17" s="6">
        <f>[2]final_combined_7methods_wide_ff!H$5</f>
        <v>1.04</v>
      </c>
      <c r="I17" s="5">
        <f>[2]final_combined_7methods_wide_ff!I$5</f>
        <v>3.20702585058706E-2</v>
      </c>
      <c r="J17" s="5">
        <f>[2]final_combined_7methods_wide_ff!J$5</f>
        <v>2.9932675985723699E-2</v>
      </c>
    </row>
    <row r="18" spans="1:10" ht="15" customHeight="1" x14ac:dyDescent="0.2">
      <c r="A18" t="str">
        <f>[2]final_combined_7methods_wide_ff!A$3</f>
        <v>fut_ESM1-2-LR_SSP126_constVolc</v>
      </c>
      <c r="B18" t="str">
        <f>RIGHT(A18,LEN(A18)-4)</f>
        <v>ESM1-2-LR_SSP126_constVolc</v>
      </c>
      <c r="C18" s="3">
        <f>[2]final_combined_7methods_wide_ff!C$3</f>
        <v>0.20598707423877799</v>
      </c>
      <c r="D18" s="3">
        <f>[2]final_combined_7methods_wide_ff!D$3</f>
        <v>0.39125892210348001</v>
      </c>
      <c r="E18" s="3">
        <f>[2]final_combined_7methods_wide_ff!E$3</f>
        <v>0.75460221525915105</v>
      </c>
      <c r="F18" s="6">
        <f>[2]final_combined_7methods_wide_ff!F$3</f>
        <v>0.56475621844510304</v>
      </c>
      <c r="G18" s="6">
        <f>[2]final_combined_7methods_wide_ff!G$3</f>
        <v>0</v>
      </c>
      <c r="H18" s="6">
        <f>[2]final_combined_7methods_wide_ff!H$3</f>
        <v>1.42</v>
      </c>
      <c r="I18" s="5">
        <f>[2]final_combined_7methods_wide_ff!I$3</f>
        <v>3.52982195739854E-2</v>
      </c>
      <c r="J18" s="5">
        <f>[2]final_combined_7methods_wide_ff!J$3</f>
        <v>3.4435063627015101E-2</v>
      </c>
    </row>
    <row r="19" spans="1:10" x14ac:dyDescent="0.2">
      <c r="A19" t="str">
        <f>[2]final_combined_7methods_wide_ff!A$11</f>
        <v>fut_NorESM_RCP45_VolcConst</v>
      </c>
      <c r="B19" t="str">
        <f>RIGHT(A19,LEN(A19)-4)</f>
        <v>NorESM_RCP45_VolcConst</v>
      </c>
      <c r="C19" s="3">
        <f>[2]final_combined_7methods_wide_ff!C$11</f>
        <v>0.54102601968391995</v>
      </c>
      <c r="D19" s="3">
        <f>[2]final_combined_7methods_wide_ff!D$11</f>
        <v>0.86734724522561701</v>
      </c>
      <c r="E19" s="3">
        <f>[2]final_combined_7methods_wide_ff!E$11</f>
        <v>0.99999820550391105</v>
      </c>
      <c r="F19" s="6">
        <f>[2]final_combined_7methods_wide_ff!F$11</f>
        <v>0.588634202813348</v>
      </c>
      <c r="G19" s="6">
        <f>[2]final_combined_7methods_wide_ff!G$11</f>
        <v>0</v>
      </c>
      <c r="H19" s="6">
        <f>[2]final_combined_7methods_wide_ff!H$11</f>
        <v>1</v>
      </c>
      <c r="I19" s="5">
        <f>[2]final_combined_7methods_wide_ff!I$11</f>
        <v>2.9942905637516601E-2</v>
      </c>
      <c r="J19" s="5">
        <f>[2]final_combined_7methods_wide_ff!J$11</f>
        <v>3.0024013511340601E-2</v>
      </c>
    </row>
    <row r="20" spans="1:10" x14ac:dyDescent="0.2">
      <c r="A20" t="str">
        <f>[2]final_combined_7methods_wide_ff!A$9</f>
        <v>fut_NorESM_RCP45_Volc</v>
      </c>
      <c r="B20" t="str">
        <f>RIGHT(A20,LEN(A20)-4)</f>
        <v>NorESM_RCP45_Volc</v>
      </c>
      <c r="C20" s="3">
        <f>[2]final_combined_7methods_wide_ff!C$9</f>
        <v>0.29728047786762701</v>
      </c>
      <c r="D20" s="3">
        <f>[2]final_combined_7methods_wide_ff!D$9</f>
        <v>0.54511819223838698</v>
      </c>
      <c r="E20" s="3">
        <f>[2]final_combined_7methods_wide_ff!E$9</f>
        <v>0.87959810607169198</v>
      </c>
      <c r="F20" s="6">
        <f>[2]final_combined_7methods_wide_ff!F$9</f>
        <v>0.75713434312233396</v>
      </c>
      <c r="G20" s="6">
        <f>[2]final_combined_7methods_wide_ff!G$9</f>
        <v>0</v>
      </c>
      <c r="H20" s="6">
        <f>[2]final_combined_7methods_wide_ff!H$9</f>
        <v>1.11666666666666</v>
      </c>
      <c r="I20" s="5">
        <f>[2]final_combined_7methods_wide_ff!I$9</f>
        <v>4.9593159564462398E-2</v>
      </c>
      <c r="J20" s="5">
        <f>[2]final_combined_7methods_wide_ff!J$9</f>
        <v>5.1204322773566999E-2</v>
      </c>
    </row>
    <row r="22" spans="1:10" x14ac:dyDescent="0.2">
      <c r="C22" s="3" t="s">
        <v>18</v>
      </c>
      <c r="D22" s="3"/>
      <c r="E22" s="3"/>
      <c r="F22" s="2"/>
      <c r="G22" s="2"/>
      <c r="H22" s="2"/>
      <c r="I22" s="1"/>
      <c r="J22" s="1"/>
    </row>
    <row r="23" spans="1:10" x14ac:dyDescent="0.2">
      <c r="A23" t="str">
        <f>[1]final_combined_16methods_wide_f!A$2</f>
        <v>fut_ESM1-2-LR_SSP126_constVolc</v>
      </c>
      <c r="B23" t="str">
        <f t="shared" si="0"/>
        <v>ESM1-2-LR_SSP126_constVolc</v>
      </c>
      <c r="C23" s="3">
        <f>[1]final_combined_16methods_wide_f!C$2</f>
        <v>0.23423231205582501</v>
      </c>
      <c r="D23" s="3">
        <f>[1]final_combined_16methods_wide_f!D$2</f>
        <v>0.44301513220746003</v>
      </c>
      <c r="E23" s="3">
        <f>[1]final_combined_16methods_wide_f!E$2</f>
        <v>0.80477747916472697</v>
      </c>
      <c r="F23" s="2">
        <f>[1]final_combined_16methods_wide_f!F$2</f>
        <v>0.46624181380279101</v>
      </c>
      <c r="G23" s="2">
        <f>[1]final_combined_16methods_wide_f!G$2</f>
        <v>0.49304442107483998</v>
      </c>
      <c r="H23" s="2">
        <f>[1]final_combined_16methods_wide_f!H$2</f>
        <v>1.22</v>
      </c>
      <c r="I23" s="1">
        <f>[1]final_combined_16methods_wide_f!I$2</f>
        <v>3.4209966316283001E-2</v>
      </c>
      <c r="J23" s="1">
        <f>[1]final_combined_16methods_wide_f!J$2</f>
        <v>3.3170670153985497E-2</v>
      </c>
    </row>
    <row r="24" spans="1:10" x14ac:dyDescent="0.2">
      <c r="A24" t="str">
        <f>[1]final_combined_16methods_wide_f!A$4</f>
        <v>fut_ESM1-2-LR_SSP245_constVolc</v>
      </c>
      <c r="B24" t="str">
        <f t="shared" si="0"/>
        <v>ESM1-2-LR_SSP245_constVolc</v>
      </c>
      <c r="C24" s="3">
        <f>[1]final_combined_16methods_wide_f!C$4</f>
        <v>0.54526216461403398</v>
      </c>
      <c r="D24" s="3">
        <f>[1]final_combined_16methods_wide_f!D$4</f>
        <v>0.85151612528392695</v>
      </c>
      <c r="E24" s="3">
        <f>[1]final_combined_16methods_wide_f!E$4</f>
        <v>0.98769878415374102</v>
      </c>
      <c r="F24" s="2">
        <f>[1]final_combined_16methods_wide_f!F$4</f>
        <v>0.34391488294497302</v>
      </c>
      <c r="G24" s="2">
        <f>[1]final_combined_16methods_wide_f!G$4</f>
        <v>0.33005863001684399</v>
      </c>
      <c r="H24" s="2">
        <f>[1]final_combined_16methods_wide_f!H$4</f>
        <v>1.02</v>
      </c>
      <c r="I24" s="1">
        <f>[1]final_combined_16methods_wide_f!I$4</f>
        <v>3.1604406760897701E-2</v>
      </c>
      <c r="J24" s="1">
        <f>[1]final_combined_16methods_wide_f!J$4</f>
        <v>2.94731342330086E-2</v>
      </c>
    </row>
    <row r="25" spans="1:10" x14ac:dyDescent="0.2">
      <c r="A25" t="str">
        <f>[1]final_combined_16methods_wide_f!A$6</f>
        <v>fut_ESM1-2-LR_SSP370_constVolc</v>
      </c>
      <c r="B25" t="str">
        <f t="shared" si="0"/>
        <v>ESM1-2-LR_SSP370_constVolc</v>
      </c>
      <c r="C25" s="3">
        <f>[1]final_combined_16methods_wide_f!C$6</f>
        <v>0.58820103523420497</v>
      </c>
      <c r="D25" s="3">
        <f>[1]final_combined_16methods_wide_f!D$6</f>
        <v>0.882503084666731</v>
      </c>
      <c r="E25" s="3">
        <f>[1]final_combined_16methods_wide_f!E$6</f>
        <v>0.99999998110849297</v>
      </c>
      <c r="F25" s="2">
        <f>[1]final_combined_16methods_wide_f!F$6</f>
        <v>0.25605969664375</v>
      </c>
      <c r="G25" s="2">
        <f>[1]final_combined_16methods_wide_f!G$6</f>
        <v>0.18398203276660599</v>
      </c>
      <c r="H25" s="2">
        <f>[1]final_combined_16methods_wide_f!H$6</f>
        <v>1</v>
      </c>
      <c r="I25" s="1">
        <f>[1]final_combined_16methods_wide_f!I$6</f>
        <v>3.2646386575724898E-2</v>
      </c>
      <c r="J25" s="1">
        <f>[1]final_combined_16methods_wide_f!J$6</f>
        <v>2.8700340830130601E-2</v>
      </c>
    </row>
    <row r="26" spans="1:10" x14ac:dyDescent="0.2">
      <c r="A26" t="str">
        <f>[1]final_combined_16methods_wide_f!A$8</f>
        <v>fut_NorESM_RCP45_Volc</v>
      </c>
      <c r="B26" t="str">
        <f t="shared" si="0"/>
        <v>NorESM_RCP45_Volc</v>
      </c>
      <c r="C26" s="3">
        <f>[1]final_combined_16methods_wide_f!C$8</f>
        <v>0.31504677447179003</v>
      </c>
      <c r="D26" s="3">
        <f>[1]final_combined_16methods_wide_f!D$8</f>
        <v>0.57232123229446896</v>
      </c>
      <c r="E26" s="3">
        <f>[1]final_combined_16methods_wide_f!E$8</f>
        <v>0.89159107765915202</v>
      </c>
      <c r="F26" s="2">
        <f>[1]final_combined_16methods_wide_f!F$8</f>
        <v>0.65038981916972405</v>
      </c>
      <c r="G26" s="2">
        <f>[1]final_combined_16methods_wide_f!G$8</f>
        <v>0.69969231489820405</v>
      </c>
      <c r="H26" s="2">
        <f>[1]final_combined_16methods_wide_f!H$8</f>
        <v>1.1000000000000001</v>
      </c>
      <c r="I26" s="1">
        <f>[1]final_combined_16methods_wide_f!I$8</f>
        <v>4.9608096699926101E-2</v>
      </c>
      <c r="J26" s="1">
        <f>[1]final_combined_16methods_wide_f!J$8</f>
        <v>5.1449692451564499E-2</v>
      </c>
    </row>
    <row r="27" spans="1:10" x14ac:dyDescent="0.2">
      <c r="A27" t="str">
        <f>[1]final_combined_16methods_wide_f!A$10</f>
        <v>fut_NorESM_RCP45_VolcConst</v>
      </c>
      <c r="B27" t="str">
        <f t="shared" si="0"/>
        <v>NorESM_RCP45_VolcConst</v>
      </c>
      <c r="C27" s="3">
        <f>[1]final_combined_16methods_wide_f!C$10</f>
        <v>0.60445409265483296</v>
      </c>
      <c r="D27" s="3">
        <f>[1]final_combined_16methods_wide_f!D$10</f>
        <v>0.91644379909259599</v>
      </c>
      <c r="E27" s="3">
        <f>[1]final_combined_16methods_wide_f!E$10</f>
        <v>0.99999999918240301</v>
      </c>
      <c r="F27" s="2">
        <f>[1]final_combined_16methods_wide_f!F$10</f>
        <v>0.39538783081048301</v>
      </c>
      <c r="G27" s="2">
        <f>[1]final_combined_16methods_wide_f!G$10</f>
        <v>0.42024078216599597</v>
      </c>
      <c r="H27" s="2">
        <f>[1]final_combined_16methods_wide_f!H$10</f>
        <v>1.0166666666666599</v>
      </c>
      <c r="I27" s="1">
        <f>[1]final_combined_16methods_wide_f!I$10</f>
        <v>2.8010350719259801E-2</v>
      </c>
      <c r="J27" s="1">
        <f>[1]final_combined_16methods_wide_f!J$10</f>
        <v>2.7966801098772701E-2</v>
      </c>
    </row>
    <row r="28" spans="1:10" x14ac:dyDescent="0.2">
      <c r="C28" s="3"/>
      <c r="D28" s="3"/>
      <c r="E28" s="3"/>
      <c r="F28" s="2"/>
      <c r="G28" s="2"/>
      <c r="H28" s="2"/>
      <c r="I28" s="1"/>
      <c r="J28" s="1"/>
    </row>
    <row r="29" spans="1:10" x14ac:dyDescent="0.2">
      <c r="C29" s="3" t="s">
        <v>19</v>
      </c>
      <c r="D29" s="3"/>
      <c r="E29" s="3"/>
      <c r="F29" s="2"/>
      <c r="G29" s="2"/>
      <c r="H29" s="2"/>
      <c r="I29" s="1"/>
      <c r="J29" s="1"/>
    </row>
    <row r="30" spans="1:10" x14ac:dyDescent="0.2">
      <c r="A30" t="str">
        <f>A6</f>
        <v>fut_ESM1-2-LR_SSP370_constVolc</v>
      </c>
      <c r="B30" t="str">
        <f>RIGHT(A30,LEN(A30)-4)</f>
        <v>ESM1-2-LR_SSP370_constVolc</v>
      </c>
      <c r="C30" s="3">
        <f>C6</f>
        <v>0.64167468205339295</v>
      </c>
      <c r="D30" s="3">
        <f>D6</f>
        <v>0.92134192098814205</v>
      </c>
      <c r="E30" s="3">
        <f>E6</f>
        <v>0.99999999992211497</v>
      </c>
      <c r="F30" s="2">
        <f>F6</f>
        <v>0.58257242065806303</v>
      </c>
      <c r="G30" s="2">
        <f>G6</f>
        <v>0.36471938323216702</v>
      </c>
      <c r="H30" s="2">
        <f>H6</f>
        <v>1.06</v>
      </c>
      <c r="I30" s="1">
        <f>I6</f>
        <v>3.9146185155741801E-2</v>
      </c>
      <c r="J30" s="1">
        <f>J6</f>
        <v>2.9479803361305599E-2</v>
      </c>
    </row>
    <row r="31" spans="1:10" x14ac:dyDescent="0.2">
      <c r="A31" t="str">
        <f>A4</f>
        <v>fut_ESM1-2-LR_SSP245_constVolc</v>
      </c>
      <c r="B31" t="str">
        <f t="shared" si="0"/>
        <v>ESM1-2-LR_SSP245_constVolc</v>
      </c>
      <c r="C31" s="3">
        <f t="shared" ref="C31:J31" si="1">C4</f>
        <v>0.50974682042109598</v>
      </c>
      <c r="D31" s="3">
        <f t="shared" si="1"/>
        <v>0.80996193536411498</v>
      </c>
      <c r="E31" s="3">
        <f t="shared" si="1"/>
        <v>0.98746274665149802</v>
      </c>
      <c r="F31" s="2">
        <f t="shared" si="1"/>
        <v>0.56415571141182597</v>
      </c>
      <c r="G31" s="2">
        <f t="shared" si="1"/>
        <v>0.39092663554097901</v>
      </c>
      <c r="H31" s="2">
        <f t="shared" si="1"/>
        <v>1.02</v>
      </c>
      <c r="I31" s="1">
        <f t="shared" si="1"/>
        <v>3.9619484294593298E-2</v>
      </c>
      <c r="J31" s="1">
        <f t="shared" si="1"/>
        <v>3.2487978546580497E-2</v>
      </c>
    </row>
    <row r="32" spans="1:10" x14ac:dyDescent="0.2">
      <c r="A32" t="str">
        <f>A2</f>
        <v>fut_ESM1-2-LR_SSP126_constVolc</v>
      </c>
      <c r="B32" t="str">
        <f>RIGHT(A32,LEN(A32)-4)</f>
        <v>ESM1-2-LR_SSP126_constVolc</v>
      </c>
      <c r="C32" s="3">
        <f>C2</f>
        <v>0.21161932405351599</v>
      </c>
      <c r="D32" s="3">
        <f>D2</f>
        <v>0.40396595365675098</v>
      </c>
      <c r="E32" s="3">
        <f>E2</f>
        <v>0.76865427585143098</v>
      </c>
      <c r="F32" s="2">
        <f>F2</f>
        <v>0.63734650833749396</v>
      </c>
      <c r="G32" s="2">
        <f>G2</f>
        <v>0.52549062434882099</v>
      </c>
      <c r="H32" s="2">
        <f>H2</f>
        <v>1.54</v>
      </c>
      <c r="I32" s="1">
        <f>I2</f>
        <v>4.14550484967314E-2</v>
      </c>
      <c r="J32" s="1">
        <f>J2</f>
        <v>3.5818757452349699E-2</v>
      </c>
    </row>
    <row r="33" spans="1:10" x14ac:dyDescent="0.2">
      <c r="A33" t="str">
        <f>A10</f>
        <v>fut_NorESM_RCP45_VolcConst</v>
      </c>
      <c r="B33" t="str">
        <f>RIGHT(A33,LEN(A33)-4)</f>
        <v>NorESM_RCP45_VolcConst</v>
      </c>
      <c r="C33" s="3">
        <f>C10</f>
        <v>0.49934996162543499</v>
      </c>
      <c r="D33" s="3">
        <f>D10</f>
        <v>0.85184374092964499</v>
      </c>
      <c r="E33" s="3">
        <f>E10</f>
        <v>0.99999419553518598</v>
      </c>
      <c r="F33" s="2">
        <f>F10</f>
        <v>0.57230663609077204</v>
      </c>
      <c r="G33" s="2">
        <f>G10</f>
        <v>0.42470431846740098</v>
      </c>
      <c r="H33" s="2">
        <f>H10</f>
        <v>1</v>
      </c>
      <c r="I33" s="1">
        <f>I10</f>
        <v>2.9102690918756099E-2</v>
      </c>
      <c r="J33" s="1">
        <f>J10</f>
        <v>2.49146921749391E-2</v>
      </c>
    </row>
    <row r="34" spans="1:10" x14ac:dyDescent="0.2">
      <c r="A34" t="str">
        <f>A8</f>
        <v>fut_NorESM_RCP45_Volc</v>
      </c>
      <c r="B34" t="str">
        <f>RIGHT(A34,LEN(A34)-4)</f>
        <v>NorESM_RCP45_Volc</v>
      </c>
      <c r="C34" s="3">
        <f>C8</f>
        <v>0.35316813126645102</v>
      </c>
      <c r="D34" s="3">
        <f>D8</f>
        <v>0.62991221212830595</v>
      </c>
      <c r="E34" s="3">
        <f>E8</f>
        <v>0.92104559023504595</v>
      </c>
      <c r="F34" s="2">
        <f>F8</f>
        <v>0.69470880820399195</v>
      </c>
      <c r="G34" s="2">
        <f>G8</f>
        <v>0.65259499157233103</v>
      </c>
      <c r="H34" s="2">
        <f>H8</f>
        <v>1.11666666666666</v>
      </c>
      <c r="I34" s="1">
        <f>I8</f>
        <v>5.9639432635513898E-2</v>
      </c>
      <c r="J34" s="1">
        <f>J8</f>
        <v>6.0089927606266198E-2</v>
      </c>
    </row>
    <row r="35" spans="1:10" x14ac:dyDescent="0.2">
      <c r="C35" s="4"/>
      <c r="D35" s="4"/>
      <c r="E35" s="4"/>
    </row>
    <row r="36" spans="1:10" x14ac:dyDescent="0.2">
      <c r="C36" s="3" t="s">
        <v>20</v>
      </c>
      <c r="D36" s="3"/>
      <c r="E36" s="3"/>
      <c r="F36" s="2"/>
      <c r="G36" s="2"/>
      <c r="H36" s="2"/>
      <c r="I36" s="1"/>
      <c r="J36" s="1"/>
    </row>
    <row r="37" spans="1:10" x14ac:dyDescent="0.2">
      <c r="A37" t="str">
        <f>A7</f>
        <v>fut_ESM1-2-LR_SSP370_constVolc</v>
      </c>
      <c r="B37" t="str">
        <f t="shared" si="0"/>
        <v>ESM1-2-LR_SSP370_constVolc</v>
      </c>
      <c r="C37" s="3">
        <f>C7</f>
        <v>0.153679610448271</v>
      </c>
      <c r="D37" s="3">
        <f t="shared" ref="D37:J37" si="2">D3</f>
        <v>0.32052495709975298</v>
      </c>
      <c r="E37" s="3">
        <f t="shared" si="2"/>
        <v>0.67738862149364099</v>
      </c>
      <c r="F37" s="2">
        <f t="shared" si="2"/>
        <v>0.72312962730627905</v>
      </c>
      <c r="G37" s="2">
        <f t="shared" si="2"/>
        <v>0.65262018332211302</v>
      </c>
      <c r="H37" s="2">
        <f t="shared" si="2"/>
        <v>1</v>
      </c>
      <c r="I37" s="1">
        <f t="shared" si="2"/>
        <v>4.7924826086253897E-2</v>
      </c>
      <c r="J37" s="1">
        <f t="shared" si="2"/>
        <v>3.9585073275757901E-2</v>
      </c>
    </row>
    <row r="38" spans="1:10" x14ac:dyDescent="0.2">
      <c r="A38" t="str">
        <f>A5</f>
        <v>fut_ESM1-2-LR_SSP245_constVolc</v>
      </c>
      <c r="B38" t="str">
        <f t="shared" si="0"/>
        <v>ESM1-2-LR_SSP245_constVolc</v>
      </c>
      <c r="C38" s="3">
        <f t="shared" ref="C38:J38" si="3">C5</f>
        <v>0.32272305160293702</v>
      </c>
      <c r="D38" s="3">
        <f t="shared" si="3"/>
        <v>0.60963225535908305</v>
      </c>
      <c r="E38" s="3">
        <f t="shared" si="3"/>
        <v>0.92550530731992098</v>
      </c>
      <c r="F38" s="2">
        <f t="shared" si="3"/>
        <v>0.71242307999963705</v>
      </c>
      <c r="G38" s="2">
        <f t="shared" si="3"/>
        <v>0.61013150635878699</v>
      </c>
      <c r="H38" s="2">
        <f t="shared" si="3"/>
        <v>1</v>
      </c>
      <c r="I38" s="1">
        <f t="shared" si="3"/>
        <v>5.14577615073573E-2</v>
      </c>
      <c r="J38" s="1">
        <f t="shared" si="3"/>
        <v>3.9952145868938999E-2</v>
      </c>
    </row>
    <row r="39" spans="1:10" x14ac:dyDescent="0.2">
      <c r="A39" t="str">
        <f>A3</f>
        <v>fut_ESM1-2-LR_SSP126_constVolc</v>
      </c>
      <c r="B39" t="str">
        <f t="shared" si="0"/>
        <v>ESM1-2-LR_SSP126_constVolc</v>
      </c>
      <c r="C39" s="3">
        <f>C3</f>
        <v>0.16500835590663099</v>
      </c>
      <c r="D39" s="3">
        <f t="shared" ref="D39:J39" si="4">D7</f>
        <v>0.34150036785639698</v>
      </c>
      <c r="E39" s="3">
        <f t="shared" si="4"/>
        <v>0.82410366011376901</v>
      </c>
      <c r="F39" s="2">
        <f t="shared" si="4"/>
        <v>0.75525220045584596</v>
      </c>
      <c r="G39" s="2">
        <f t="shared" si="4"/>
        <v>0.65528228338484396</v>
      </c>
      <c r="H39" s="2">
        <f t="shared" si="4"/>
        <v>1</v>
      </c>
      <c r="I39" s="1">
        <f t="shared" si="4"/>
        <v>6.8233767139105395E-2</v>
      </c>
      <c r="J39" s="1">
        <f t="shared" si="4"/>
        <v>5.7310887082711301E-2</v>
      </c>
    </row>
    <row r="40" spans="1:10" x14ac:dyDescent="0.2">
      <c r="A40" t="str">
        <f>A11</f>
        <v>fut_NorESM_RCP45_VolcConst</v>
      </c>
      <c r="B40" t="str">
        <f>RIGHT(A40,LEN(A40)-4)</f>
        <v>NorESM_RCP45_VolcConst</v>
      </c>
      <c r="C40" s="3">
        <f>C11</f>
        <v>0.34149028921088098</v>
      </c>
      <c r="D40" s="3">
        <f>D11</f>
        <v>0.63497038219064394</v>
      </c>
      <c r="E40" s="3">
        <f>E11</f>
        <v>0.9887736478686</v>
      </c>
      <c r="F40" s="2">
        <f>F11</f>
        <v>0.73298331626506696</v>
      </c>
      <c r="G40" s="2">
        <f>G11</f>
        <v>0.67448595360081598</v>
      </c>
      <c r="H40" s="2">
        <f>H11</f>
        <v>1</v>
      </c>
      <c r="I40" s="1">
        <f>I11</f>
        <v>4.7962799242892498E-2</v>
      </c>
      <c r="J40" s="1">
        <f>J11</f>
        <v>4.2451274264061201E-2</v>
      </c>
    </row>
    <row r="41" spans="1:10" x14ac:dyDescent="0.2">
      <c r="A41" t="str">
        <f>A9</f>
        <v>fut_NorESM_RCP45_Volc</v>
      </c>
      <c r="B41" t="str">
        <f>RIGHT(A41,LEN(A41)-4)</f>
        <v>NorESM_RCP45_Volc</v>
      </c>
      <c r="C41" s="3">
        <f>C9</f>
        <v>0.24172655046852501</v>
      </c>
      <c r="D41" s="3">
        <f>D9</f>
        <v>0.45951717349270299</v>
      </c>
      <c r="E41" s="3">
        <f>E9</f>
        <v>0.84197272967619696</v>
      </c>
      <c r="F41" s="2">
        <f>F9</f>
        <v>0.78885052339075301</v>
      </c>
      <c r="G41" s="2">
        <f>G9</f>
        <v>0.73038928215626897</v>
      </c>
      <c r="H41" s="2">
        <f>H9</f>
        <v>1.05</v>
      </c>
      <c r="I41" s="1">
        <f>I9</f>
        <v>6.00693062685295E-2</v>
      </c>
      <c r="J41" s="1">
        <f>J9</f>
        <v>5.5749640580537503E-2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final_combined_2methods_wide_ff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2025-08-26T18:50:20Z</dcterms:created>
  <dcterms:modified xsi:type="dcterms:W3CDTF">2025-12-03T11:35:27Z</dcterms:modified>
</cp:coreProperties>
</file>