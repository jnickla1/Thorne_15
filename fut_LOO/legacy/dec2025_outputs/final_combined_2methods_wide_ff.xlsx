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"/>
    </mc:Choice>
  </mc:AlternateContent>
  <xr:revisionPtr revIDLastSave="0" documentId="13_ncr:1_{62124667-4D56-AA4D-9940-B2FE76A94E53}" xr6:coauthVersionLast="47" xr6:coauthVersionMax="47" xr10:uidLastSave="{00000000-0000-0000-0000-000000000000}"/>
  <bookViews>
    <workbookView xWindow="4780" yWindow="500" windowWidth="31060" windowHeight="20320" activeTab="1" xr2:uid="{C5EFB806-CC49-FF45-A9BF-684F2EA9307C}"/>
  </bookViews>
  <sheets>
    <sheet name="final_combined_2methods_wide_ff" sheetId="1" r:id="rId1"/>
    <sheet name="Sheet1" sheetId="2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E25" i="2"/>
  <c r="F25" i="2"/>
  <c r="G25" i="2"/>
  <c r="H25" i="2"/>
  <c r="I25" i="2"/>
  <c r="J25" i="2"/>
  <c r="D26" i="2"/>
  <c r="E26" i="2"/>
  <c r="F26" i="2"/>
  <c r="G26" i="2"/>
  <c r="H26" i="2"/>
  <c r="I26" i="2"/>
  <c r="J26" i="2"/>
  <c r="D27" i="2"/>
  <c r="E27" i="2"/>
  <c r="F27" i="2"/>
  <c r="G27" i="2"/>
  <c r="H27" i="2"/>
  <c r="I27" i="2"/>
  <c r="J27" i="2"/>
  <c r="D28" i="2"/>
  <c r="E28" i="2"/>
  <c r="F28" i="2"/>
  <c r="G28" i="2"/>
  <c r="H28" i="2"/>
  <c r="I28" i="2"/>
  <c r="J28" i="2"/>
  <c r="D29" i="2"/>
  <c r="E29" i="2"/>
  <c r="F29" i="2"/>
  <c r="G29" i="2"/>
  <c r="H29" i="2"/>
  <c r="I29" i="2"/>
  <c r="J29" i="2"/>
  <c r="C29" i="2"/>
  <c r="C28" i="2"/>
  <c r="C27" i="2"/>
  <c r="C26" i="2"/>
  <c r="C25" i="2"/>
  <c r="D18" i="2"/>
  <c r="E18" i="2"/>
  <c r="F18" i="2"/>
  <c r="G18" i="2"/>
  <c r="H18" i="2"/>
  <c r="I18" i="2"/>
  <c r="J18" i="2"/>
  <c r="D19" i="2"/>
  <c r="E19" i="2"/>
  <c r="F19" i="2"/>
  <c r="G19" i="2"/>
  <c r="H19" i="2"/>
  <c r="I19" i="2"/>
  <c r="J19" i="2"/>
  <c r="D20" i="2"/>
  <c r="E20" i="2"/>
  <c r="F20" i="2"/>
  <c r="G20" i="2"/>
  <c r="H20" i="2"/>
  <c r="I20" i="2"/>
  <c r="J20" i="2"/>
  <c r="D21" i="2"/>
  <c r="E21" i="2"/>
  <c r="F21" i="2"/>
  <c r="G21" i="2"/>
  <c r="H21" i="2"/>
  <c r="I21" i="2"/>
  <c r="J21" i="2"/>
  <c r="D22" i="2"/>
  <c r="E22" i="2"/>
  <c r="F22" i="2"/>
  <c r="G22" i="2"/>
  <c r="H22" i="2"/>
  <c r="I22" i="2"/>
  <c r="J22" i="2"/>
  <c r="D39" i="2"/>
  <c r="E39" i="2"/>
  <c r="F39" i="2"/>
  <c r="G39" i="2"/>
  <c r="H39" i="2"/>
  <c r="I39" i="2"/>
  <c r="J39" i="2"/>
  <c r="D40" i="2"/>
  <c r="E40" i="2"/>
  <c r="F40" i="2"/>
  <c r="G40" i="2"/>
  <c r="H40" i="2"/>
  <c r="I40" i="2"/>
  <c r="J40" i="2"/>
  <c r="D41" i="2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C43" i="2"/>
  <c r="C42" i="2"/>
  <c r="C41" i="2"/>
  <c r="C40" i="2"/>
  <c r="C39" i="2"/>
  <c r="C22" i="2"/>
  <c r="C21" i="2"/>
  <c r="C20" i="2"/>
  <c r="C19" i="2"/>
  <c r="C18" i="2"/>
  <c r="A43" i="2"/>
  <c r="B43" i="2" s="1"/>
  <c r="A42" i="2"/>
  <c r="B42" i="2" s="1"/>
  <c r="A41" i="2"/>
  <c r="B41" i="2" s="1"/>
  <c r="A40" i="2"/>
  <c r="B40" i="2" s="1"/>
  <c r="A39" i="2"/>
  <c r="B39" i="2" s="1"/>
  <c r="A22" i="2"/>
  <c r="B22" i="2" s="1"/>
  <c r="A21" i="2"/>
  <c r="B21" i="2" s="1"/>
  <c r="A20" i="2"/>
  <c r="B20" i="2" s="1"/>
  <c r="A19" i="2"/>
  <c r="B19" i="2" s="1"/>
  <c r="A18" i="2"/>
  <c r="B18" i="2" s="1"/>
  <c r="D11" i="2"/>
  <c r="E11" i="2"/>
  <c r="F11" i="2"/>
  <c r="G11" i="2"/>
  <c r="H11" i="2"/>
  <c r="I11" i="2"/>
  <c r="J11" i="2"/>
  <c r="D12" i="2"/>
  <c r="E12" i="2"/>
  <c r="F12" i="2"/>
  <c r="G12" i="2"/>
  <c r="H12" i="2"/>
  <c r="I12" i="2"/>
  <c r="J12" i="2"/>
  <c r="D13" i="2"/>
  <c r="E13" i="2"/>
  <c r="F13" i="2"/>
  <c r="G13" i="2"/>
  <c r="H13" i="2"/>
  <c r="I13" i="2"/>
  <c r="J13" i="2"/>
  <c r="D14" i="2"/>
  <c r="E14" i="2"/>
  <c r="F14" i="2"/>
  <c r="G14" i="2"/>
  <c r="H14" i="2"/>
  <c r="I14" i="2"/>
  <c r="J14" i="2"/>
  <c r="D15" i="2"/>
  <c r="E15" i="2"/>
  <c r="F15" i="2"/>
  <c r="G15" i="2"/>
  <c r="H15" i="2"/>
  <c r="I15" i="2"/>
  <c r="J15" i="2"/>
  <c r="A29" i="2"/>
  <c r="B29" i="2" s="1"/>
  <c r="A28" i="2"/>
  <c r="B28" i="2" s="1"/>
  <c r="A27" i="2"/>
  <c r="B27" i="2" s="1"/>
  <c r="A26" i="2"/>
  <c r="B26" i="2" s="1"/>
  <c r="A25" i="2"/>
  <c r="B25" i="2" s="1"/>
  <c r="C15" i="2"/>
  <c r="C14" i="2"/>
  <c r="C13" i="2"/>
  <c r="C12" i="2"/>
  <c r="C11" i="2"/>
  <c r="A15" i="2"/>
  <c r="B15" i="2" s="1"/>
  <c r="A14" i="2"/>
  <c r="B14" i="2" s="1"/>
  <c r="A13" i="2"/>
  <c r="A12" i="2"/>
  <c r="B12" i="2" s="1"/>
  <c r="A11" i="2"/>
  <c r="B13" i="2"/>
  <c r="B11" i="2"/>
  <c r="J36" i="2"/>
  <c r="I36" i="2"/>
  <c r="H36" i="2"/>
  <c r="G36" i="2"/>
  <c r="F36" i="2"/>
  <c r="E36" i="2"/>
  <c r="D36" i="2"/>
  <c r="C36" i="2"/>
  <c r="A36" i="2"/>
  <c r="B36" i="2" s="1"/>
  <c r="J35" i="2"/>
  <c r="I35" i="2"/>
  <c r="H35" i="2"/>
  <c r="G35" i="2"/>
  <c r="F35" i="2"/>
  <c r="E35" i="2"/>
  <c r="D35" i="2"/>
  <c r="C35" i="2"/>
  <c r="A35" i="2"/>
  <c r="B35" i="2" s="1"/>
  <c r="J34" i="2"/>
  <c r="I34" i="2"/>
  <c r="H34" i="2"/>
  <c r="G34" i="2"/>
  <c r="F34" i="2"/>
  <c r="E34" i="2"/>
  <c r="D34" i="2"/>
  <c r="C34" i="2"/>
  <c r="A34" i="2"/>
  <c r="B34" i="2" s="1"/>
  <c r="J33" i="2"/>
  <c r="I33" i="2"/>
  <c r="H33" i="2"/>
  <c r="G33" i="2"/>
  <c r="F33" i="2"/>
  <c r="E33" i="2"/>
  <c r="D33" i="2"/>
  <c r="C33" i="2"/>
  <c r="A33" i="2"/>
  <c r="B33" i="2" s="1"/>
  <c r="J32" i="2"/>
  <c r="I32" i="2"/>
  <c r="H32" i="2"/>
  <c r="G32" i="2"/>
  <c r="F32" i="2"/>
  <c r="E32" i="2"/>
  <c r="D32" i="2"/>
  <c r="C32" i="2"/>
  <c r="A32" i="2"/>
  <c r="B32" i="2" s="1"/>
  <c r="J8" i="2"/>
  <c r="I8" i="2"/>
  <c r="H8" i="2"/>
  <c r="G8" i="2"/>
  <c r="F8" i="2"/>
  <c r="E8" i="2"/>
  <c r="D8" i="2"/>
  <c r="C8" i="2"/>
  <c r="A8" i="2"/>
  <c r="B8" i="2" s="1"/>
  <c r="J7" i="2"/>
  <c r="I7" i="2"/>
  <c r="H7" i="2"/>
  <c r="G7" i="2"/>
  <c r="F7" i="2"/>
  <c r="E7" i="2"/>
  <c r="D7" i="2"/>
  <c r="C7" i="2"/>
  <c r="A7" i="2"/>
  <c r="B7" i="2" s="1"/>
  <c r="J6" i="2"/>
  <c r="I6" i="2"/>
  <c r="H6" i="2"/>
  <c r="G6" i="2"/>
  <c r="F6" i="2"/>
  <c r="E6" i="2"/>
  <c r="D6" i="2"/>
  <c r="C6" i="2"/>
  <c r="A6" i="2"/>
  <c r="B6" i="2" s="1"/>
  <c r="J5" i="2"/>
  <c r="I5" i="2"/>
  <c r="H5" i="2"/>
  <c r="G5" i="2"/>
  <c r="F5" i="2"/>
  <c r="E5" i="2"/>
  <c r="D5" i="2"/>
  <c r="C5" i="2"/>
  <c r="A5" i="2"/>
  <c r="B5" i="2" s="1"/>
  <c r="J4" i="2"/>
  <c r="I4" i="2"/>
  <c r="H4" i="2"/>
  <c r="G4" i="2"/>
  <c r="F4" i="2"/>
  <c r="E4" i="2"/>
  <c r="D4" i="2"/>
  <c r="C4" i="2"/>
  <c r="A4" i="2"/>
  <c r="B4" i="2" s="1"/>
  <c r="D18" i="1"/>
  <c r="E18" i="1"/>
  <c r="F18" i="1"/>
  <c r="G18" i="1"/>
  <c r="H18" i="1"/>
  <c r="I18" i="1"/>
  <c r="J18" i="1"/>
  <c r="D17" i="1"/>
  <c r="E17" i="1"/>
  <c r="F17" i="1"/>
  <c r="G17" i="1"/>
  <c r="H17" i="1"/>
  <c r="I17" i="1"/>
  <c r="J17" i="1"/>
  <c r="D16" i="1"/>
  <c r="E16" i="1"/>
  <c r="F16" i="1"/>
  <c r="G16" i="1"/>
  <c r="H16" i="1"/>
  <c r="I16" i="1"/>
  <c r="J16" i="1"/>
  <c r="D20" i="1"/>
  <c r="E20" i="1"/>
  <c r="F20" i="1"/>
  <c r="G20" i="1"/>
  <c r="H20" i="1"/>
  <c r="I20" i="1"/>
  <c r="J20" i="1"/>
  <c r="D19" i="1"/>
  <c r="E19" i="1"/>
  <c r="F19" i="1"/>
  <c r="G19" i="1"/>
  <c r="H19" i="1"/>
  <c r="I19" i="1"/>
  <c r="J19" i="1"/>
  <c r="C19" i="1"/>
  <c r="C20" i="1"/>
  <c r="C16" i="1"/>
  <c r="C17" i="1"/>
  <c r="C18" i="1"/>
  <c r="A19" i="1"/>
  <c r="B19" i="1" s="1"/>
  <c r="A20" i="1"/>
  <c r="A16" i="1"/>
  <c r="B16" i="1" s="1"/>
  <c r="A17" i="1"/>
  <c r="B17" i="1" s="1"/>
  <c r="A18" i="1"/>
  <c r="B18" i="1" s="1"/>
  <c r="C39" i="1"/>
  <c r="C37" i="1"/>
  <c r="A39" i="1"/>
  <c r="B39" i="1" s="1"/>
  <c r="A37" i="1"/>
  <c r="B37" i="1" s="1"/>
  <c r="C23" i="1"/>
  <c r="D23" i="1"/>
  <c r="E23" i="1"/>
  <c r="F23" i="1"/>
  <c r="G23" i="1"/>
  <c r="H23" i="1"/>
  <c r="I23" i="1"/>
  <c r="J23" i="1"/>
  <c r="C24" i="1"/>
  <c r="D24" i="1"/>
  <c r="E24" i="1"/>
  <c r="F24" i="1"/>
  <c r="G24" i="1"/>
  <c r="H24" i="1"/>
  <c r="I24" i="1"/>
  <c r="J24" i="1"/>
  <c r="C25" i="1"/>
  <c r="D25" i="1"/>
  <c r="E25" i="1"/>
  <c r="F25" i="1"/>
  <c r="G25" i="1"/>
  <c r="H25" i="1"/>
  <c r="I25" i="1"/>
  <c r="J25" i="1"/>
  <c r="C26" i="1"/>
  <c r="D26" i="1"/>
  <c r="E26" i="1"/>
  <c r="F26" i="1"/>
  <c r="G26" i="1"/>
  <c r="H26" i="1"/>
  <c r="I26" i="1"/>
  <c r="J26" i="1"/>
  <c r="C27" i="1"/>
  <c r="D27" i="1"/>
  <c r="E27" i="1"/>
  <c r="F27" i="1"/>
  <c r="G27" i="1"/>
  <c r="H27" i="1"/>
  <c r="I27" i="1"/>
  <c r="J27" i="1"/>
  <c r="A27" i="1"/>
  <c r="B27" i="1" s="1"/>
  <c r="A26" i="1"/>
  <c r="B26" i="1" s="1"/>
  <c r="A25" i="1"/>
  <c r="B25" i="1" s="1"/>
  <c r="A24" i="1"/>
  <c r="B24" i="1" s="1"/>
  <c r="A23" i="1"/>
  <c r="B23" i="1" s="1"/>
  <c r="B20" i="1"/>
  <c r="C32" i="1"/>
  <c r="D32" i="1"/>
  <c r="E32" i="1"/>
  <c r="F32" i="1"/>
  <c r="G32" i="1"/>
  <c r="H32" i="1"/>
  <c r="I32" i="1"/>
  <c r="J32" i="1"/>
  <c r="C31" i="1"/>
  <c r="D31" i="1"/>
  <c r="E31" i="1"/>
  <c r="F31" i="1"/>
  <c r="G31" i="1"/>
  <c r="H31" i="1"/>
  <c r="I31" i="1"/>
  <c r="J31" i="1"/>
  <c r="C30" i="1"/>
  <c r="D30" i="1"/>
  <c r="E30" i="1"/>
  <c r="F30" i="1"/>
  <c r="G30" i="1"/>
  <c r="H30" i="1"/>
  <c r="I30" i="1"/>
  <c r="J30" i="1"/>
  <c r="C34" i="1"/>
  <c r="D34" i="1"/>
  <c r="E34" i="1"/>
  <c r="F34" i="1"/>
  <c r="G34" i="1"/>
  <c r="H34" i="1"/>
  <c r="I34" i="1"/>
  <c r="J34" i="1"/>
  <c r="C33" i="1"/>
  <c r="D33" i="1"/>
  <c r="E33" i="1"/>
  <c r="F33" i="1"/>
  <c r="G33" i="1"/>
  <c r="H33" i="1"/>
  <c r="I33" i="1"/>
  <c r="J33" i="1"/>
  <c r="D37" i="1"/>
  <c r="E37" i="1"/>
  <c r="F37" i="1"/>
  <c r="G37" i="1"/>
  <c r="H37" i="1"/>
  <c r="I37" i="1"/>
  <c r="J37" i="1"/>
  <c r="C38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C41" i="1"/>
  <c r="D41" i="1"/>
  <c r="E41" i="1"/>
  <c r="F41" i="1"/>
  <c r="G41" i="1"/>
  <c r="H41" i="1"/>
  <c r="I41" i="1"/>
  <c r="J41" i="1"/>
  <c r="C40" i="1"/>
  <c r="D40" i="1"/>
  <c r="E40" i="1"/>
  <c r="F40" i="1"/>
  <c r="G40" i="1"/>
  <c r="H40" i="1"/>
  <c r="I40" i="1"/>
  <c r="J40" i="1"/>
  <c r="A40" i="1"/>
  <c r="B40" i="1" s="1"/>
  <c r="A41" i="1"/>
  <c r="B41" i="1" s="1"/>
  <c r="A38" i="1"/>
  <c r="B38" i="1" s="1"/>
  <c r="A33" i="1"/>
  <c r="B33" i="1" s="1"/>
  <c r="A34" i="1"/>
  <c r="B34" i="1" s="1"/>
  <c r="A30" i="1"/>
  <c r="B30" i="1" s="1"/>
  <c r="A31" i="1"/>
  <c r="B31" i="1" s="1"/>
  <c r="A32" i="1"/>
  <c r="B32" i="1" s="1"/>
</calcChain>
</file>

<file path=xl/sharedStrings.xml><?xml version="1.0" encoding="utf-8"?>
<sst xmlns="http://schemas.openxmlformats.org/spreadsheetml/2006/main" count="66" uniqueCount="38">
  <si>
    <t>experiment</t>
  </si>
  <si>
    <t>approach</t>
  </si>
  <si>
    <t>firstcross1</t>
  </si>
  <si>
    <t>firstcross2</t>
  </si>
  <si>
    <t>firstcross5</t>
  </si>
  <si>
    <t>kl</t>
  </si>
  <si>
    <t>kl75</t>
  </si>
  <si>
    <t>ncrosses</t>
  </si>
  <si>
    <t>rmse</t>
  </si>
  <si>
    <t>rmse75</t>
  </si>
  <si>
    <t>fut_ESM1-2-LR_SSP126_constVolc</t>
  </si>
  <si>
    <t>inverse_variance</t>
  </si>
  <si>
    <t>sharpened_blended</t>
  </si>
  <si>
    <t>fut_ESM1-2-LR_SSP245_constVolc</t>
  </si>
  <si>
    <t>fut_ESM1-2-LR_SSP370_constVolc</t>
  </si>
  <si>
    <t>fut_NorESM_RCP45_Volc</t>
  </si>
  <si>
    <t>fut_NorESM_RCP45_VolcConst</t>
  </si>
  <si>
    <t>Compressed Mixture (CSCM), 8 methods</t>
  </si>
  <si>
    <t>Inverse Variance (PIVW), 16 methods</t>
  </si>
  <si>
    <t>EBMKF_ta4</t>
  </si>
  <si>
    <t>GWI_tot_CGWL</t>
  </si>
  <si>
    <t>Ensemble</t>
  </si>
  <si>
    <t>within 1 yr</t>
  </si>
  <si>
    <t>First crossing instant of 1.5°C</t>
  </si>
  <si>
    <t>within 2 yrs</t>
  </si>
  <si>
    <t>within 5yrs</t>
  </si>
  <si>
    <t>2025-2090</t>
  </si>
  <si>
    <t>Kullback-Liebler Divergence</t>
  </si>
  <si>
    <t>2000-2090</t>
  </si>
  <si>
    <t># crosses</t>
  </si>
  <si>
    <t>of 1.5°C</t>
  </si>
  <si>
    <t>RMSE</t>
  </si>
  <si>
    <t>Compressed Mixture (CSCM), 7 methods</t>
  </si>
  <si>
    <t>Compressed Mixture (CSCM), 18 methods</t>
  </si>
  <si>
    <t>Inverse Variance (PIVW), 18 methods</t>
  </si>
  <si>
    <t>Inverse Variance (PIVW), 7 methods</t>
  </si>
  <si>
    <t>Compressed Mixture (CSCM), 37 methods</t>
  </si>
  <si>
    <t>Inverse Variance (PIVW), 37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</si>
</sst>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0" fontId="18" fillId="0" borderId="0" xfId="0" applyFont="1"/>
    <xf numFmtId="166" fontId="18" fillId="0" borderId="0" xfId="1" applyNumberFormat="1" applyFont="1"/>
    <xf numFmtId="165" fontId="18" fillId="0" borderId="0" xfId="1" applyNumberFormat="1" applyFont="1"/>
    <xf numFmtId="164" fontId="18" fillId="0" borderId="0" xfId="43" applyNumberFormat="1" applyFont="1"/>
    <xf numFmtId="165" fontId="18" fillId="0" borderId="0" xfId="0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final_combined_7methods_wide_ff.csv" TargetMode="External"/><Relationship Id="rId1" Type="http://schemas.openxmlformats.org/officeDocument/2006/relationships/externalLinkPath" Target="final_combined_7methods_wide_ff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final_combined_16methods_wide_ff.csv" TargetMode="External"/><Relationship Id="rId1" Type="http://schemas.openxmlformats.org/officeDocument/2006/relationships/externalLinkPath" Target="final_combined_16methods_wide_ff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final_combined_32methods_wide_ff.csv" TargetMode="External"/><Relationship Id="rId1" Type="http://schemas.openxmlformats.org/officeDocument/2006/relationships/externalLinkPath" Target="final_combined_32methods_wide_ff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combined_7methods_wide_ff"/>
    </sheetNames>
    <sheetDataSet>
      <sheetData sheetId="0">
        <row r="2">
          <cell r="A2" t="str">
            <v>fut_ESM1-2-LR_SSP126_constVolc</v>
          </cell>
          <cell r="C2">
            <v>0.21132096210941201</v>
          </cell>
          <cell r="D2">
            <v>0.39883056449283</v>
          </cell>
          <cell r="E2">
            <v>0.74598077875606195</v>
          </cell>
          <cell r="F2">
            <v>0.528912270279561</v>
          </cell>
          <cell r="G2">
            <v>0.577668141911305</v>
          </cell>
          <cell r="H2">
            <v>1.42</v>
          </cell>
          <cell r="I2">
            <v>3.8089126961787199E-2</v>
          </cell>
          <cell r="J2">
            <v>3.8257160319207201E-2</v>
          </cell>
        </row>
        <row r="3">
          <cell r="A3" t="str">
            <v>fut_ESM1-2-LR_SSP126_constVolc</v>
          </cell>
          <cell r="C3">
            <v>0.20755706849306199</v>
          </cell>
          <cell r="D3">
            <v>0.39313285295950501</v>
          </cell>
          <cell r="E3">
            <v>0.75508045533102697</v>
          </cell>
          <cell r="F3">
            <v>0.56758655826126803</v>
          </cell>
          <cell r="G3">
            <v>0.60241889512051305</v>
          </cell>
          <cell r="H3">
            <v>1.46</v>
          </cell>
          <cell r="I3">
            <v>3.55967136847853E-2</v>
          </cell>
          <cell r="J3">
            <v>3.4755163366221101E-2</v>
          </cell>
        </row>
        <row r="4">
          <cell r="A4" t="str">
            <v>fut_ESM1-2-LR_SSP245_constVolc</v>
          </cell>
          <cell r="C4">
            <v>0.51324464439026996</v>
          </cell>
          <cell r="D4">
            <v>0.80791569847865796</v>
          </cell>
          <cell r="E4">
            <v>0.98599074521400898</v>
          </cell>
          <cell r="F4">
            <v>0.40375019023063502</v>
          </cell>
          <cell r="G4">
            <v>0.409028023352207</v>
          </cell>
          <cell r="H4">
            <v>1.04</v>
          </cell>
          <cell r="I4">
            <v>3.5707271533879398E-2</v>
          </cell>
          <cell r="J4">
            <v>3.4964253761786197E-2</v>
          </cell>
        </row>
        <row r="5">
          <cell r="A5" t="str">
            <v>fut_ESM1-2-LR_SSP245_constVolc</v>
          </cell>
          <cell r="C5">
            <v>0.55693243562445705</v>
          </cell>
          <cell r="D5">
            <v>0.85137216343120803</v>
          </cell>
          <cell r="E5">
            <v>0.99159617730083804</v>
          </cell>
          <cell r="F5">
            <v>0.48770586775952401</v>
          </cell>
          <cell r="G5">
            <v>0.48135376341167602</v>
          </cell>
          <cell r="H5">
            <v>1.04</v>
          </cell>
          <cell r="I5">
            <v>3.2207269952229799E-2</v>
          </cell>
          <cell r="J5">
            <v>3.0085110989888701E-2</v>
          </cell>
        </row>
        <row r="6">
          <cell r="A6" t="str">
            <v>fut_ESM1-2-LR_SSP370_constVolc</v>
          </cell>
          <cell r="C6">
            <v>0.56326546202472005</v>
          </cell>
          <cell r="D6">
            <v>0.85916848777764898</v>
          </cell>
          <cell r="E6">
            <v>0.99999972101326395</v>
          </cell>
          <cell r="F6">
            <v>0.28103151374638402</v>
          </cell>
          <cell r="G6">
            <v>0.21456750872458</v>
          </cell>
          <cell r="H6">
            <v>1.1200000000000001</v>
          </cell>
          <cell r="I6">
            <v>3.5110423411378301E-2</v>
          </cell>
          <cell r="J6">
            <v>3.1880713374243502E-2</v>
          </cell>
        </row>
        <row r="7">
          <cell r="A7" t="str">
            <v>fut_ESM1-2-LR_SSP370_constVolc</v>
          </cell>
          <cell r="C7">
            <v>0.54619910490746704</v>
          </cell>
          <cell r="D7">
            <v>0.85026964875689004</v>
          </cell>
          <cell r="E7">
            <v>0.99999836434091705</v>
          </cell>
          <cell r="F7">
            <v>0.35236140573901098</v>
          </cell>
          <cell r="G7">
            <v>0.27106817338542499</v>
          </cell>
          <cell r="H7">
            <v>1.08</v>
          </cell>
          <cell r="I7">
            <v>3.67655115767027E-2</v>
          </cell>
          <cell r="J7">
            <v>3.35054597998811E-2</v>
          </cell>
        </row>
        <row r="8">
          <cell r="A8" t="str">
            <v>fut_NorESM_RCP45_Volc</v>
          </cell>
          <cell r="C8">
            <v>0.307948440316553</v>
          </cell>
          <cell r="D8">
            <v>0.56086887661448304</v>
          </cell>
          <cell r="E8">
            <v>0.88328191599981898</v>
          </cell>
          <cell r="F8">
            <v>0.68845574872436999</v>
          </cell>
          <cell r="G8">
            <v>0.73625220438107497</v>
          </cell>
          <cell r="H8">
            <v>1.11666666666666</v>
          </cell>
          <cell r="I8">
            <v>5.2707464159806802E-2</v>
          </cell>
          <cell r="J8">
            <v>5.4510865770008098E-2</v>
          </cell>
        </row>
        <row r="9">
          <cell r="A9" t="str">
            <v>fut_NorESM_RCP45_Volc</v>
          </cell>
          <cell r="C9">
            <v>0.295802697172452</v>
          </cell>
          <cell r="D9">
            <v>0.54277920035025196</v>
          </cell>
          <cell r="E9">
            <v>0.87879965089157297</v>
          </cell>
          <cell r="F9">
            <v>0.71051840812753497</v>
          </cell>
          <cell r="G9">
            <v>0.77054138023377905</v>
          </cell>
          <cell r="H9">
            <v>1.1000000000000001</v>
          </cell>
          <cell r="I9">
            <v>4.9516240832959101E-2</v>
          </cell>
          <cell r="J9">
            <v>5.1047676785816301E-2</v>
          </cell>
        </row>
        <row r="10">
          <cell r="A10" t="str">
            <v>fut_NorESM_RCP45_VolcConst</v>
          </cell>
          <cell r="C10">
            <v>0.54514943518981696</v>
          </cell>
          <cell r="D10">
            <v>0.87461617266192504</v>
          </cell>
          <cell r="E10">
            <v>0.99999951520399999</v>
          </cell>
          <cell r="F10">
            <v>0.43700824798559201</v>
          </cell>
          <cell r="G10">
            <v>0.46820692982842599</v>
          </cell>
          <cell r="H10">
            <v>1</v>
          </cell>
          <cell r="I10">
            <v>3.0552993250828501E-2</v>
          </cell>
          <cell r="J10">
            <v>3.1015313492675101E-2</v>
          </cell>
        </row>
        <row r="11">
          <cell r="A11" t="str">
            <v>fut_NorESM_RCP45_VolcConst</v>
          </cell>
          <cell r="C11">
            <v>0.53338404346295398</v>
          </cell>
          <cell r="D11">
            <v>0.87097082324211506</v>
          </cell>
          <cell r="E11">
            <v>0.99999430169446302</v>
          </cell>
          <cell r="F11">
            <v>0.59136052630917102</v>
          </cell>
          <cell r="G11">
            <v>0.62348162834786303</v>
          </cell>
          <cell r="H11">
            <v>1.0166666666666599</v>
          </cell>
          <cell r="I11">
            <v>3.00118195904426E-2</v>
          </cell>
          <cell r="J11">
            <v>3.0029336713997799E-2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combined_16methods_wide_f"/>
    </sheetNames>
    <sheetDataSet>
      <sheetData sheetId="0">
        <row r="2">
          <cell r="A2" t="str">
            <v>fut_ESM1-2-LR_SSP126_constVolc</v>
          </cell>
          <cell r="C2">
            <v>0.21863766120108799</v>
          </cell>
          <cell r="D2">
            <v>0.41443677964713499</v>
          </cell>
          <cell r="E2">
            <v>0.77937568423139103</v>
          </cell>
          <cell r="F2">
            <v>0.48696744999126601</v>
          </cell>
          <cell r="G2">
            <v>0.51389146851774203</v>
          </cell>
          <cell r="H2">
            <v>1.32</v>
          </cell>
          <cell r="I2">
            <v>3.50856668376376E-2</v>
          </cell>
          <cell r="J2">
            <v>3.3615419242651802E-2</v>
          </cell>
        </row>
        <row r="3">
          <cell r="A3" t="str">
            <v>fut_ESM1-2-LR_SSP126_constVolc</v>
          </cell>
          <cell r="C3">
            <v>0.20576812891627</v>
          </cell>
          <cell r="D3">
            <v>0.39131798477193203</v>
          </cell>
          <cell r="E3">
            <v>0.75985380247993595</v>
          </cell>
          <cell r="F3">
            <v>0.555132277466724</v>
          </cell>
          <cell r="G3">
            <v>0.58900071435593904</v>
          </cell>
          <cell r="H3">
            <v>1.32</v>
          </cell>
          <cell r="I3">
            <v>3.5373468407243903E-2</v>
          </cell>
          <cell r="J3">
            <v>3.4498382156762097E-2</v>
          </cell>
        </row>
        <row r="4">
          <cell r="A4" t="str">
            <v>fut_ESM1-2-LR_SSP245_constVolc</v>
          </cell>
          <cell r="C4">
            <v>0.50241628034270402</v>
          </cell>
          <cell r="D4">
            <v>0.80083031539555205</v>
          </cell>
          <cell r="E4">
            <v>0.98233423425677902</v>
          </cell>
          <cell r="F4">
            <v>0.37766050566306703</v>
          </cell>
          <cell r="G4">
            <v>0.36062433239381603</v>
          </cell>
          <cell r="H4">
            <v>1.04</v>
          </cell>
          <cell r="I4">
            <v>3.3762834915676602E-2</v>
          </cell>
          <cell r="J4">
            <v>3.1137489609733799E-2</v>
          </cell>
        </row>
        <row r="5">
          <cell r="A5" t="str">
            <v>fut_ESM1-2-LR_SSP245_constVolc</v>
          </cell>
          <cell r="C5">
            <v>0.55327213342940795</v>
          </cell>
          <cell r="D5">
            <v>0.83542228277474595</v>
          </cell>
          <cell r="E5">
            <v>0.99065301016602703</v>
          </cell>
          <cell r="F5">
            <v>0.474326788739316</v>
          </cell>
          <cell r="G5">
            <v>0.46525764271050302</v>
          </cell>
          <cell r="H5">
            <v>1.08</v>
          </cell>
          <cell r="I5">
            <v>3.2244062898479302E-2</v>
          </cell>
          <cell r="J5">
            <v>3.00446004526808E-2</v>
          </cell>
        </row>
        <row r="6">
          <cell r="A6" t="str">
            <v>fut_ESM1-2-LR_SSP370_constVolc</v>
          </cell>
          <cell r="C6">
            <v>0.53501465488853195</v>
          </cell>
          <cell r="D6">
            <v>0.84813894955111901</v>
          </cell>
          <cell r="E6">
            <v>0.99999924843690502</v>
          </cell>
          <cell r="F6">
            <v>0.30089129959560101</v>
          </cell>
          <cell r="G6">
            <v>0.205675254798835</v>
          </cell>
          <cell r="H6">
            <v>1.04</v>
          </cell>
          <cell r="I6">
            <v>3.6451904631969602E-2</v>
          </cell>
          <cell r="J6">
            <v>3.0872821507860401E-2</v>
          </cell>
        </row>
        <row r="7">
          <cell r="A7" t="str">
            <v>fut_ESM1-2-LR_SSP370_constVolc</v>
          </cell>
          <cell r="C7">
            <v>0.55738744535778695</v>
          </cell>
          <cell r="D7">
            <v>0.85120073146078801</v>
          </cell>
          <cell r="E7">
            <v>0.99999778206774803</v>
          </cell>
          <cell r="F7">
            <v>0.34517946300421798</v>
          </cell>
          <cell r="G7">
            <v>0.26883137024650899</v>
          </cell>
          <cell r="H7">
            <v>1.06</v>
          </cell>
          <cell r="I7">
            <v>3.6506341264737098E-2</v>
          </cell>
          <cell r="J7">
            <v>3.3248760486993302E-2</v>
          </cell>
        </row>
        <row r="8">
          <cell r="A8" t="str">
            <v>fut_NorESM_RCP45_Volc</v>
          </cell>
          <cell r="C8">
            <v>0.31140257165176499</v>
          </cell>
          <cell r="D8">
            <v>0.56608191326903601</v>
          </cell>
          <cell r="E8">
            <v>0.88269092438697105</v>
          </cell>
          <cell r="F8">
            <v>0.67277852547364903</v>
          </cell>
          <cell r="G8">
            <v>0.71152466033224304</v>
          </cell>
          <cell r="H8">
            <v>1.1000000000000001</v>
          </cell>
          <cell r="I8">
            <v>5.1493484708925202E-2</v>
          </cell>
          <cell r="J8">
            <v>5.2810633513484799E-2</v>
          </cell>
        </row>
        <row r="9">
          <cell r="A9" t="str">
            <v>fut_NorESM_RCP45_Volc</v>
          </cell>
          <cell r="C9">
            <v>0.30106359931930998</v>
          </cell>
          <cell r="D9">
            <v>0.55168877761303903</v>
          </cell>
          <cell r="E9">
            <v>0.88473982556344</v>
          </cell>
          <cell r="F9">
            <v>0.72122719204056196</v>
          </cell>
          <cell r="G9">
            <v>0.71024730946443604</v>
          </cell>
          <cell r="H9">
            <v>1.1000000000000001</v>
          </cell>
          <cell r="I9">
            <v>4.91660796604797E-2</v>
          </cell>
          <cell r="J9">
            <v>5.0769616326947098E-2</v>
          </cell>
        </row>
        <row r="10">
          <cell r="A10" t="str">
            <v>fut_NorESM_RCP45_VolcConst</v>
          </cell>
          <cell r="C10">
            <v>0.54750981158324097</v>
          </cell>
          <cell r="D10">
            <v>0.87561068610950599</v>
          </cell>
          <cell r="E10">
            <v>0.99999991396280796</v>
          </cell>
          <cell r="F10">
            <v>0.42401791056917898</v>
          </cell>
          <cell r="G10">
            <v>0.44634031718390499</v>
          </cell>
          <cell r="H10">
            <v>1</v>
          </cell>
          <cell r="I10">
            <v>2.9801671950952201E-2</v>
          </cell>
          <cell r="J10">
            <v>2.94607743232577E-2</v>
          </cell>
        </row>
        <row r="11">
          <cell r="A11" t="str">
            <v>fut_NorESM_RCP45_VolcConst</v>
          </cell>
          <cell r="C11">
            <v>0.53542936181767697</v>
          </cell>
          <cell r="D11">
            <v>0.86675058660220505</v>
          </cell>
          <cell r="E11">
            <v>0.99999826488588195</v>
          </cell>
          <cell r="F11">
            <v>0.56829985226404101</v>
          </cell>
          <cell r="G11">
            <v>0.47488218559303003</v>
          </cell>
          <cell r="H11">
            <v>1.0166666666666599</v>
          </cell>
          <cell r="I11">
            <v>2.9692821763125501E-2</v>
          </cell>
          <cell r="J11">
            <v>2.9527986662152901E-2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combined_32methods_wide_f"/>
    </sheetNames>
    <sheetDataSet>
      <sheetData sheetId="0">
        <row r="2">
          <cell r="C2">
            <v>0.232929713919617</v>
          </cell>
          <cell r="D2">
            <v>0.437810418972361</v>
          </cell>
          <cell r="E2">
            <v>0.79678814890417904</v>
          </cell>
          <cell r="F2">
            <v>0.49141179481859698</v>
          </cell>
          <cell r="G2">
            <v>0.53467197927883603</v>
          </cell>
          <cell r="H2">
            <v>1.42</v>
          </cell>
          <cell r="I2">
            <v>3.5518948759835502E-2</v>
          </cell>
          <cell r="J2">
            <v>3.53737882916575E-2</v>
          </cell>
        </row>
        <row r="3">
          <cell r="C3">
            <v>0.21789558676590701</v>
          </cell>
          <cell r="D3">
            <v>0.41545942039553602</v>
          </cell>
          <cell r="E3">
            <v>0.79430186547134896</v>
          </cell>
          <cell r="F3">
            <v>0.55355925523003502</v>
          </cell>
          <cell r="G3">
            <v>0.58926144099300404</v>
          </cell>
          <cell r="H3">
            <v>1.32</v>
          </cell>
          <cell r="I3">
            <v>3.4759033290035199E-2</v>
          </cell>
          <cell r="J3">
            <v>3.4058045419036002E-2</v>
          </cell>
        </row>
        <row r="4">
          <cell r="C4">
            <v>0.53099357414290005</v>
          </cell>
          <cell r="D4">
            <v>0.82487087083286303</v>
          </cell>
          <cell r="E4">
            <v>0.99032480491036301</v>
          </cell>
          <cell r="F4">
            <v>0.35769399037726202</v>
          </cell>
          <cell r="G4">
            <v>0.35330599421387099</v>
          </cell>
          <cell r="H4">
            <v>1.04</v>
          </cell>
          <cell r="I4">
            <v>3.2180212168593798E-2</v>
          </cell>
          <cell r="J4">
            <v>3.06081086701467E-2</v>
          </cell>
        </row>
        <row r="5">
          <cell r="C5">
            <v>0.53795071414849205</v>
          </cell>
          <cell r="D5">
            <v>0.82966165685017401</v>
          </cell>
          <cell r="E5">
            <v>0.99279793965561802</v>
          </cell>
          <cell r="F5">
            <v>0.47296562334456499</v>
          </cell>
          <cell r="G5">
            <v>0.46616316879048197</v>
          </cell>
          <cell r="H5">
            <v>1.06</v>
          </cell>
          <cell r="I5">
            <v>3.1879531639024898E-2</v>
          </cell>
          <cell r="J5">
            <v>2.9940485328590699E-2</v>
          </cell>
        </row>
        <row r="6">
          <cell r="C6">
            <v>0.57071574749153098</v>
          </cell>
          <cell r="D6">
            <v>0.86860141429073801</v>
          </cell>
          <cell r="E6">
            <v>0.99999963584588902</v>
          </cell>
          <cell r="F6">
            <v>0.29445999120060601</v>
          </cell>
          <cell r="G6">
            <v>0.23833676480029001</v>
          </cell>
          <cell r="H6">
            <v>1.06</v>
          </cell>
          <cell r="I6">
            <v>3.58686394015027E-2</v>
          </cell>
          <cell r="J6">
            <v>3.3520742091611301E-2</v>
          </cell>
        </row>
        <row r="7">
          <cell r="C7">
            <v>0.54447939616679597</v>
          </cell>
          <cell r="D7">
            <v>0.84570767317965201</v>
          </cell>
          <cell r="E7">
            <v>0.99999336318933896</v>
          </cell>
          <cell r="F7">
            <v>0.35570970869045898</v>
          </cell>
          <cell r="G7">
            <v>0.27231278148992299</v>
          </cell>
          <cell r="H7">
            <v>1.06</v>
          </cell>
          <cell r="I7">
            <v>3.7020164041822297E-2</v>
          </cell>
          <cell r="J7">
            <v>3.3484937846857799E-2</v>
          </cell>
        </row>
        <row r="8">
          <cell r="C8">
            <v>0.30728740459515103</v>
          </cell>
          <cell r="D8">
            <v>0.56063420527432195</v>
          </cell>
          <cell r="E8">
            <v>0.88528731731210597</v>
          </cell>
          <cell r="F8">
            <v>0.67512915843021004</v>
          </cell>
          <cell r="G8">
            <v>0.70899514228895699</v>
          </cell>
          <cell r="H8">
            <v>1.1499999999999999</v>
          </cell>
          <cell r="I8">
            <v>5.1485888988200099E-2</v>
          </cell>
          <cell r="J8">
            <v>5.2533223607533798E-2</v>
          </cell>
        </row>
        <row r="9">
          <cell r="C9">
            <v>0.32645120923792798</v>
          </cell>
          <cell r="D9">
            <v>0.59079979067163901</v>
          </cell>
          <cell r="E9">
            <v>0.90896191913690905</v>
          </cell>
          <cell r="F9">
            <v>0.73645404524055702</v>
          </cell>
          <cell r="G9">
            <v>0.81387864681549205</v>
          </cell>
          <cell r="H9">
            <v>1.0833333333333299</v>
          </cell>
          <cell r="I9">
            <v>4.8982929865659303E-2</v>
          </cell>
          <cell r="J9">
            <v>5.0659588379776799E-2</v>
          </cell>
        </row>
        <row r="10">
          <cell r="C10">
            <v>0.56090986534166298</v>
          </cell>
          <cell r="D10">
            <v>0.88161955063888198</v>
          </cell>
          <cell r="E10">
            <v>0.99999974469155095</v>
          </cell>
          <cell r="F10">
            <v>0.41856779286222301</v>
          </cell>
          <cell r="G10">
            <v>0.43694253348560003</v>
          </cell>
          <cell r="H10">
            <v>1.0166666666666599</v>
          </cell>
          <cell r="I10">
            <v>2.9465985614831301E-2</v>
          </cell>
          <cell r="J10">
            <v>2.8759257707692599E-2</v>
          </cell>
        </row>
        <row r="11">
          <cell r="C11">
            <v>0.54497070338604503</v>
          </cell>
          <cell r="D11">
            <v>0.869225259621072</v>
          </cell>
          <cell r="E11">
            <v>0.99999968353572399</v>
          </cell>
          <cell r="F11">
            <v>0.57234286872200302</v>
          </cell>
          <cell r="G11">
            <v>0.59778528724644397</v>
          </cell>
          <cell r="H11">
            <v>1.0166666666666599</v>
          </cell>
          <cell r="I11">
            <v>2.9416336109457701E-2</v>
          </cell>
          <cell r="J11">
            <v>2.9317239210130901E-2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F910-86A1-8841-8AC9-30F3B8F67705}">
  <dimension ref="A1:J41"/>
  <sheetViews>
    <sheetView workbookViewId="0">
      <selection activeCell="B12" sqref="B12:J13"/>
    </sheetView>
  </sheetViews>
  <sheetFormatPr baseColWidth="10" defaultRowHeight="16" x14ac:dyDescent="0.2"/>
  <cols>
    <col min="1" max="1" width="30.33203125" customWidth="1"/>
    <col min="3" max="10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0.21161932405351599</v>
      </c>
      <c r="D2">
        <v>0.40396595365675098</v>
      </c>
      <c r="E2">
        <v>0.76865427585143098</v>
      </c>
      <c r="F2">
        <v>0.63734650833749396</v>
      </c>
      <c r="G2">
        <v>0.52549062434882099</v>
      </c>
      <c r="H2">
        <v>1.54</v>
      </c>
      <c r="I2">
        <v>4.14550484967314E-2</v>
      </c>
      <c r="J2">
        <v>3.5818757452349699E-2</v>
      </c>
    </row>
    <row r="3" spans="1:10" x14ac:dyDescent="0.2">
      <c r="A3" t="s">
        <v>10</v>
      </c>
      <c r="B3" t="s">
        <v>12</v>
      </c>
      <c r="C3">
        <v>0.16500835590663099</v>
      </c>
      <c r="D3">
        <v>0.32052495709975298</v>
      </c>
      <c r="E3">
        <v>0.67738862149364099</v>
      </c>
      <c r="F3">
        <v>0.72312962730627905</v>
      </c>
      <c r="G3">
        <v>0.65262018332211302</v>
      </c>
      <c r="H3">
        <v>1</v>
      </c>
      <c r="I3">
        <v>4.7924826086253897E-2</v>
      </c>
      <c r="J3">
        <v>3.9585073275757901E-2</v>
      </c>
    </row>
    <row r="4" spans="1:10" x14ac:dyDescent="0.2">
      <c r="A4" t="s">
        <v>13</v>
      </c>
      <c r="B4" t="s">
        <v>11</v>
      </c>
      <c r="C4">
        <v>0.50974682042109598</v>
      </c>
      <c r="D4">
        <v>0.80996193536411498</v>
      </c>
      <c r="E4">
        <v>0.98746274665149802</v>
      </c>
      <c r="F4">
        <v>0.56415571141182597</v>
      </c>
      <c r="G4">
        <v>0.39092663554097901</v>
      </c>
      <c r="H4">
        <v>1.02</v>
      </c>
      <c r="I4">
        <v>3.9619484294593298E-2</v>
      </c>
      <c r="J4">
        <v>3.2487978546580497E-2</v>
      </c>
    </row>
    <row r="5" spans="1:10" x14ac:dyDescent="0.2">
      <c r="A5" t="s">
        <v>13</v>
      </c>
      <c r="B5" t="s">
        <v>12</v>
      </c>
      <c r="C5">
        <v>0.32272305160293702</v>
      </c>
      <c r="D5">
        <v>0.60963225535908305</v>
      </c>
      <c r="E5">
        <v>0.92550530731992098</v>
      </c>
      <c r="F5">
        <v>0.71242307999963705</v>
      </c>
      <c r="G5">
        <v>0.61013150635878699</v>
      </c>
      <c r="H5">
        <v>1</v>
      </c>
      <c r="I5">
        <v>5.14577615073573E-2</v>
      </c>
      <c r="J5">
        <v>3.9952145868938999E-2</v>
      </c>
    </row>
    <row r="6" spans="1:10" x14ac:dyDescent="0.2">
      <c r="A6" t="s">
        <v>14</v>
      </c>
      <c r="B6" t="s">
        <v>11</v>
      </c>
      <c r="C6">
        <v>0.64167468205339295</v>
      </c>
      <c r="D6">
        <v>0.92134192098814205</v>
      </c>
      <c r="E6">
        <v>0.99999999992211497</v>
      </c>
      <c r="F6">
        <v>0.58257242065806303</v>
      </c>
      <c r="G6">
        <v>0.36471938323216702</v>
      </c>
      <c r="H6">
        <v>1.06</v>
      </c>
      <c r="I6">
        <v>3.9146185155741801E-2</v>
      </c>
      <c r="J6">
        <v>2.9479803361305599E-2</v>
      </c>
    </row>
    <row r="7" spans="1:10" x14ac:dyDescent="0.2">
      <c r="A7" t="s">
        <v>14</v>
      </c>
      <c r="B7" t="s">
        <v>12</v>
      </c>
      <c r="C7">
        <v>0.153679610448271</v>
      </c>
      <c r="D7">
        <v>0.34150036785639698</v>
      </c>
      <c r="E7">
        <v>0.82410366011376901</v>
      </c>
      <c r="F7">
        <v>0.75525220045584596</v>
      </c>
      <c r="G7">
        <v>0.65528228338484396</v>
      </c>
      <c r="H7">
        <v>1</v>
      </c>
      <c r="I7">
        <v>6.8233767139105395E-2</v>
      </c>
      <c r="J7">
        <v>5.7310887082711301E-2</v>
      </c>
    </row>
    <row r="8" spans="1:10" x14ac:dyDescent="0.2">
      <c r="A8" t="s">
        <v>15</v>
      </c>
      <c r="B8" t="s">
        <v>11</v>
      </c>
      <c r="C8">
        <v>0.35316813126645102</v>
      </c>
      <c r="D8">
        <v>0.62991221212830595</v>
      </c>
      <c r="E8">
        <v>0.92104559023504595</v>
      </c>
      <c r="F8">
        <v>0.69470880820399195</v>
      </c>
      <c r="G8">
        <v>0.65259499157233103</v>
      </c>
      <c r="H8">
        <v>1.11666666666666</v>
      </c>
      <c r="I8">
        <v>5.9639432635513898E-2</v>
      </c>
      <c r="J8">
        <v>6.0089927606266198E-2</v>
      </c>
    </row>
    <row r="9" spans="1:10" x14ac:dyDescent="0.2">
      <c r="A9" t="s">
        <v>15</v>
      </c>
      <c r="B9" t="s">
        <v>12</v>
      </c>
      <c r="C9">
        <v>0.24172655046852501</v>
      </c>
      <c r="D9">
        <v>0.45951717349270299</v>
      </c>
      <c r="E9">
        <v>0.84197272967619696</v>
      </c>
      <c r="F9">
        <v>0.78885052339075301</v>
      </c>
      <c r="G9">
        <v>0.73038928215626897</v>
      </c>
      <c r="H9">
        <v>1.05</v>
      </c>
      <c r="I9">
        <v>6.00693062685295E-2</v>
      </c>
      <c r="J9">
        <v>5.5749640580537503E-2</v>
      </c>
    </row>
    <row r="10" spans="1:10" x14ac:dyDescent="0.2">
      <c r="A10" t="s">
        <v>16</v>
      </c>
      <c r="B10" t="s">
        <v>11</v>
      </c>
      <c r="C10">
        <v>0.49934996162543499</v>
      </c>
      <c r="D10">
        <v>0.85184374092964499</v>
      </c>
      <c r="E10">
        <v>0.99999419553518598</v>
      </c>
      <c r="F10">
        <v>0.57230663609077204</v>
      </c>
      <c r="G10">
        <v>0.42470431846740098</v>
      </c>
      <c r="H10">
        <v>1</v>
      </c>
      <c r="I10">
        <v>2.9102690918756099E-2</v>
      </c>
      <c r="J10">
        <v>2.49146921749391E-2</v>
      </c>
    </row>
    <row r="11" spans="1:10" x14ac:dyDescent="0.2">
      <c r="A11" t="s">
        <v>16</v>
      </c>
      <c r="B11" t="s">
        <v>12</v>
      </c>
      <c r="C11">
        <v>0.34149028921088098</v>
      </c>
      <c r="D11">
        <v>0.63497038219064394</v>
      </c>
      <c r="E11">
        <v>0.9887736478686</v>
      </c>
      <c r="F11">
        <v>0.73298331626506696</v>
      </c>
      <c r="G11">
        <v>0.67448595360081598</v>
      </c>
      <c r="H11">
        <v>1</v>
      </c>
      <c r="I11">
        <v>4.7962799242892498E-2</v>
      </c>
      <c r="J11">
        <v>4.2451274264061201E-2</v>
      </c>
    </row>
    <row r="12" spans="1:10" x14ac:dyDescent="0.2">
      <c r="C12" t="s">
        <v>23</v>
      </c>
      <c r="F12" t="s">
        <v>27</v>
      </c>
      <c r="H12" t="s">
        <v>29</v>
      </c>
      <c r="I12" t="s">
        <v>31</v>
      </c>
    </row>
    <row r="13" spans="1:10" x14ac:dyDescent="0.2">
      <c r="B13" t="s">
        <v>21</v>
      </c>
      <c r="C13" t="s">
        <v>22</v>
      </c>
      <c r="D13" t="s">
        <v>24</v>
      </c>
      <c r="E13" t="s">
        <v>25</v>
      </c>
      <c r="F13" t="s">
        <v>28</v>
      </c>
      <c r="G13" t="s">
        <v>26</v>
      </c>
      <c r="H13" t="s">
        <v>30</v>
      </c>
      <c r="I13" t="s">
        <v>28</v>
      </c>
      <c r="J13" t="s">
        <v>26</v>
      </c>
    </row>
    <row r="15" spans="1:10" x14ac:dyDescent="0.2">
      <c r="C15" t="s">
        <v>17</v>
      </c>
    </row>
    <row r="16" spans="1:10" x14ac:dyDescent="0.2">
      <c r="A16" t="str">
        <f>[1]final_combined_7methods_wide_ff!A$7</f>
        <v>fut_ESM1-2-LR_SSP370_constVolc</v>
      </c>
      <c r="B16" t="str">
        <f>RIGHT(A16,LEN(A16)-4)</f>
        <v>ESM1-2-LR_SSP370_constVolc</v>
      </c>
      <c r="C16" s="3">
        <f>[1]final_combined_7methods_wide_ff!C$7</f>
        <v>0.54619910490746704</v>
      </c>
      <c r="D16" s="3">
        <f>[1]final_combined_7methods_wide_ff!D$7</f>
        <v>0.85026964875689004</v>
      </c>
      <c r="E16" s="3">
        <f>[1]final_combined_7methods_wide_ff!E$7</f>
        <v>0.99999836434091705</v>
      </c>
      <c r="F16" s="6">
        <f>[1]final_combined_7methods_wide_ff!F$7</f>
        <v>0.35236140573901098</v>
      </c>
      <c r="G16" s="6">
        <f>[1]final_combined_7methods_wide_ff!G$7</f>
        <v>0.27106817338542499</v>
      </c>
      <c r="H16" s="6">
        <f>[1]final_combined_7methods_wide_ff!H$7</f>
        <v>1.08</v>
      </c>
      <c r="I16" s="5">
        <f>[1]final_combined_7methods_wide_ff!I$7</f>
        <v>3.67655115767027E-2</v>
      </c>
      <c r="J16" s="5">
        <f>[1]final_combined_7methods_wide_ff!J$7</f>
        <v>3.35054597998811E-2</v>
      </c>
    </row>
    <row r="17" spans="1:10" x14ac:dyDescent="0.2">
      <c r="A17" t="str">
        <f>[1]final_combined_7methods_wide_ff!A$5</f>
        <v>fut_ESM1-2-LR_SSP245_constVolc</v>
      </c>
      <c r="B17" t="str">
        <f t="shared" ref="B17:B39" si="0">RIGHT(A17,LEN(A17)-4)</f>
        <v>ESM1-2-LR_SSP245_constVolc</v>
      </c>
      <c r="C17" s="3">
        <f>[1]final_combined_7methods_wide_ff!C$5</f>
        <v>0.55693243562445705</v>
      </c>
      <c r="D17" s="3">
        <f>[1]final_combined_7methods_wide_ff!D$5</f>
        <v>0.85137216343120803</v>
      </c>
      <c r="E17" s="3">
        <f>[1]final_combined_7methods_wide_ff!E$5</f>
        <v>0.99159617730083804</v>
      </c>
      <c r="F17" s="6">
        <f>[1]final_combined_7methods_wide_ff!F$5</f>
        <v>0.48770586775952401</v>
      </c>
      <c r="G17" s="6">
        <f>[1]final_combined_7methods_wide_ff!G$5</f>
        <v>0.48135376341167602</v>
      </c>
      <c r="H17" s="6">
        <f>[1]final_combined_7methods_wide_ff!H$5</f>
        <v>1.04</v>
      </c>
      <c r="I17" s="5">
        <f>[1]final_combined_7methods_wide_ff!I$5</f>
        <v>3.2207269952229799E-2</v>
      </c>
      <c r="J17" s="5">
        <f>[1]final_combined_7methods_wide_ff!J$5</f>
        <v>3.0085110989888701E-2</v>
      </c>
    </row>
    <row r="18" spans="1:10" ht="15" customHeight="1" x14ac:dyDescent="0.2">
      <c r="A18" t="str">
        <f>[1]final_combined_7methods_wide_ff!A$3</f>
        <v>fut_ESM1-2-LR_SSP126_constVolc</v>
      </c>
      <c r="B18" t="str">
        <f>RIGHT(A18,LEN(A18)-4)</f>
        <v>ESM1-2-LR_SSP126_constVolc</v>
      </c>
      <c r="C18" s="3">
        <f>[1]final_combined_7methods_wide_ff!C$3</f>
        <v>0.20755706849306199</v>
      </c>
      <c r="D18" s="3">
        <f>[1]final_combined_7methods_wide_ff!D$3</f>
        <v>0.39313285295950501</v>
      </c>
      <c r="E18" s="3">
        <f>[1]final_combined_7methods_wide_ff!E$3</f>
        <v>0.75508045533102697</v>
      </c>
      <c r="F18" s="6">
        <f>[1]final_combined_7methods_wide_ff!F$3</f>
        <v>0.56758655826126803</v>
      </c>
      <c r="G18" s="6">
        <f>[1]final_combined_7methods_wide_ff!G$3</f>
        <v>0.60241889512051305</v>
      </c>
      <c r="H18" s="6">
        <f>[1]final_combined_7methods_wide_ff!H$3</f>
        <v>1.46</v>
      </c>
      <c r="I18" s="5">
        <f>[1]final_combined_7methods_wide_ff!I$3</f>
        <v>3.55967136847853E-2</v>
      </c>
      <c r="J18" s="5">
        <f>[1]final_combined_7methods_wide_ff!J$3</f>
        <v>3.4755163366221101E-2</v>
      </c>
    </row>
    <row r="19" spans="1:10" x14ac:dyDescent="0.2">
      <c r="A19" t="str">
        <f>[1]final_combined_7methods_wide_ff!A$11</f>
        <v>fut_NorESM_RCP45_VolcConst</v>
      </c>
      <c r="B19" t="str">
        <f>RIGHT(A19,LEN(A19)-4)</f>
        <v>NorESM_RCP45_VolcConst</v>
      </c>
      <c r="C19" s="3">
        <f>[1]final_combined_7methods_wide_ff!C$11</f>
        <v>0.53338404346295398</v>
      </c>
      <c r="D19" s="3">
        <f>[1]final_combined_7methods_wide_ff!D$11</f>
        <v>0.87097082324211506</v>
      </c>
      <c r="E19" s="3">
        <f>[1]final_combined_7methods_wide_ff!E$11</f>
        <v>0.99999430169446302</v>
      </c>
      <c r="F19" s="6">
        <f>[1]final_combined_7methods_wide_ff!F$11</f>
        <v>0.59136052630917102</v>
      </c>
      <c r="G19" s="6">
        <f>[1]final_combined_7methods_wide_ff!G$11</f>
        <v>0.62348162834786303</v>
      </c>
      <c r="H19" s="6">
        <f>[1]final_combined_7methods_wide_ff!H$11</f>
        <v>1.0166666666666599</v>
      </c>
      <c r="I19" s="5">
        <f>[1]final_combined_7methods_wide_ff!I$11</f>
        <v>3.00118195904426E-2</v>
      </c>
      <c r="J19" s="5">
        <f>[1]final_combined_7methods_wide_ff!J$11</f>
        <v>3.0029336713997799E-2</v>
      </c>
    </row>
    <row r="20" spans="1:10" x14ac:dyDescent="0.2">
      <c r="A20" t="str">
        <f>[1]final_combined_7methods_wide_ff!A$9</f>
        <v>fut_NorESM_RCP45_Volc</v>
      </c>
      <c r="B20" t="str">
        <f>RIGHT(A20,LEN(A20)-4)</f>
        <v>NorESM_RCP45_Volc</v>
      </c>
      <c r="C20" s="3">
        <f>[1]final_combined_7methods_wide_ff!C$9</f>
        <v>0.295802697172452</v>
      </c>
      <c r="D20" s="3">
        <f>[1]final_combined_7methods_wide_ff!D$9</f>
        <v>0.54277920035025196</v>
      </c>
      <c r="E20" s="3">
        <f>[1]final_combined_7methods_wide_ff!E$9</f>
        <v>0.87879965089157297</v>
      </c>
      <c r="F20" s="6">
        <f>[1]final_combined_7methods_wide_ff!F$9</f>
        <v>0.71051840812753497</v>
      </c>
      <c r="G20" s="6">
        <f>[1]final_combined_7methods_wide_ff!G$9</f>
        <v>0.77054138023377905</v>
      </c>
      <c r="H20" s="6">
        <f>[1]final_combined_7methods_wide_ff!H$9</f>
        <v>1.1000000000000001</v>
      </c>
      <c r="I20" s="5">
        <f>[1]final_combined_7methods_wide_ff!I$9</f>
        <v>4.9516240832959101E-2</v>
      </c>
      <c r="J20" s="5">
        <f>[1]final_combined_7methods_wide_ff!J$9</f>
        <v>5.1047676785816301E-2</v>
      </c>
    </row>
    <row r="22" spans="1:10" x14ac:dyDescent="0.2">
      <c r="C22" s="3" t="s">
        <v>18</v>
      </c>
      <c r="D22" s="3"/>
      <c r="E22" s="3"/>
      <c r="F22" s="2"/>
      <c r="G22" s="2"/>
      <c r="H22" s="2"/>
      <c r="I22" s="1"/>
      <c r="J22" s="1"/>
    </row>
    <row r="23" spans="1:10" x14ac:dyDescent="0.2">
      <c r="A23" t="str">
        <f>[2]final_combined_16methods_wide_f!A$2</f>
        <v>fut_ESM1-2-LR_SSP126_constVolc</v>
      </c>
      <c r="B23" t="str">
        <f t="shared" si="0"/>
        <v>ESM1-2-LR_SSP126_constVolc</v>
      </c>
      <c r="C23" s="3">
        <f>[2]final_combined_16methods_wide_f!C$2</f>
        <v>0.21863766120108799</v>
      </c>
      <c r="D23" s="3">
        <f>[2]final_combined_16methods_wide_f!D$2</f>
        <v>0.41443677964713499</v>
      </c>
      <c r="E23" s="3">
        <f>[2]final_combined_16methods_wide_f!E$2</f>
        <v>0.77937568423139103</v>
      </c>
      <c r="F23" s="2">
        <f>[2]final_combined_16methods_wide_f!F$2</f>
        <v>0.48696744999126601</v>
      </c>
      <c r="G23" s="2">
        <f>[2]final_combined_16methods_wide_f!G$2</f>
        <v>0.51389146851774203</v>
      </c>
      <c r="H23" s="2">
        <f>[2]final_combined_16methods_wide_f!H$2</f>
        <v>1.32</v>
      </c>
      <c r="I23" s="1">
        <f>[2]final_combined_16methods_wide_f!I$2</f>
        <v>3.50856668376376E-2</v>
      </c>
      <c r="J23" s="1">
        <f>[2]final_combined_16methods_wide_f!J$2</f>
        <v>3.3615419242651802E-2</v>
      </c>
    </row>
    <row r="24" spans="1:10" x14ac:dyDescent="0.2">
      <c r="A24" t="str">
        <f>[2]final_combined_16methods_wide_f!A$4</f>
        <v>fut_ESM1-2-LR_SSP245_constVolc</v>
      </c>
      <c r="B24" t="str">
        <f t="shared" si="0"/>
        <v>ESM1-2-LR_SSP245_constVolc</v>
      </c>
      <c r="C24" s="3">
        <f>[2]final_combined_16methods_wide_f!C$4</f>
        <v>0.50241628034270402</v>
      </c>
      <c r="D24" s="3">
        <f>[2]final_combined_16methods_wide_f!D$4</f>
        <v>0.80083031539555205</v>
      </c>
      <c r="E24" s="3">
        <f>[2]final_combined_16methods_wide_f!E$4</f>
        <v>0.98233423425677902</v>
      </c>
      <c r="F24" s="2">
        <f>[2]final_combined_16methods_wide_f!F$4</f>
        <v>0.37766050566306703</v>
      </c>
      <c r="G24" s="2">
        <f>[2]final_combined_16methods_wide_f!G$4</f>
        <v>0.36062433239381603</v>
      </c>
      <c r="H24" s="2">
        <f>[2]final_combined_16methods_wide_f!H$4</f>
        <v>1.04</v>
      </c>
      <c r="I24" s="1">
        <f>[2]final_combined_16methods_wide_f!I$4</f>
        <v>3.3762834915676602E-2</v>
      </c>
      <c r="J24" s="1">
        <f>[2]final_combined_16methods_wide_f!J$4</f>
        <v>3.1137489609733799E-2</v>
      </c>
    </row>
    <row r="25" spans="1:10" x14ac:dyDescent="0.2">
      <c r="A25" t="str">
        <f>[2]final_combined_16methods_wide_f!A$6</f>
        <v>fut_ESM1-2-LR_SSP370_constVolc</v>
      </c>
      <c r="B25" t="str">
        <f t="shared" si="0"/>
        <v>ESM1-2-LR_SSP370_constVolc</v>
      </c>
      <c r="C25" s="3">
        <f>[2]final_combined_16methods_wide_f!C$6</f>
        <v>0.53501465488853195</v>
      </c>
      <c r="D25" s="3">
        <f>[2]final_combined_16methods_wide_f!D$6</f>
        <v>0.84813894955111901</v>
      </c>
      <c r="E25" s="3">
        <f>[2]final_combined_16methods_wide_f!E$6</f>
        <v>0.99999924843690502</v>
      </c>
      <c r="F25" s="2">
        <f>[2]final_combined_16methods_wide_f!F$6</f>
        <v>0.30089129959560101</v>
      </c>
      <c r="G25" s="2">
        <f>[2]final_combined_16methods_wide_f!G$6</f>
        <v>0.205675254798835</v>
      </c>
      <c r="H25" s="2">
        <f>[2]final_combined_16methods_wide_f!H$6</f>
        <v>1.04</v>
      </c>
      <c r="I25" s="1">
        <f>[2]final_combined_16methods_wide_f!I$6</f>
        <v>3.6451904631969602E-2</v>
      </c>
      <c r="J25" s="1">
        <f>[2]final_combined_16methods_wide_f!J$6</f>
        <v>3.0872821507860401E-2</v>
      </c>
    </row>
    <row r="26" spans="1:10" x14ac:dyDescent="0.2">
      <c r="A26" t="str">
        <f>[2]final_combined_16methods_wide_f!A$8</f>
        <v>fut_NorESM_RCP45_Volc</v>
      </c>
      <c r="B26" t="str">
        <f t="shared" si="0"/>
        <v>NorESM_RCP45_Volc</v>
      </c>
      <c r="C26" s="3">
        <f>[2]final_combined_16methods_wide_f!C$8</f>
        <v>0.31140257165176499</v>
      </c>
      <c r="D26" s="3">
        <f>[2]final_combined_16methods_wide_f!D$8</f>
        <v>0.56608191326903601</v>
      </c>
      <c r="E26" s="3">
        <f>[2]final_combined_16methods_wide_f!E$8</f>
        <v>0.88269092438697105</v>
      </c>
      <c r="F26" s="2">
        <f>[2]final_combined_16methods_wide_f!F$8</f>
        <v>0.67277852547364903</v>
      </c>
      <c r="G26" s="2">
        <f>[2]final_combined_16methods_wide_f!G$8</f>
        <v>0.71152466033224304</v>
      </c>
      <c r="H26" s="2">
        <f>[2]final_combined_16methods_wide_f!H$8</f>
        <v>1.1000000000000001</v>
      </c>
      <c r="I26" s="1">
        <f>[2]final_combined_16methods_wide_f!I$8</f>
        <v>5.1493484708925202E-2</v>
      </c>
      <c r="J26" s="1">
        <f>[2]final_combined_16methods_wide_f!J$8</f>
        <v>5.2810633513484799E-2</v>
      </c>
    </row>
    <row r="27" spans="1:10" x14ac:dyDescent="0.2">
      <c r="A27" t="str">
        <f>[2]final_combined_16methods_wide_f!A$10</f>
        <v>fut_NorESM_RCP45_VolcConst</v>
      </c>
      <c r="B27" t="str">
        <f t="shared" si="0"/>
        <v>NorESM_RCP45_VolcConst</v>
      </c>
      <c r="C27" s="3">
        <f>[2]final_combined_16methods_wide_f!C$10</f>
        <v>0.54750981158324097</v>
      </c>
      <c r="D27" s="3">
        <f>[2]final_combined_16methods_wide_f!D$10</f>
        <v>0.87561068610950599</v>
      </c>
      <c r="E27" s="3">
        <f>[2]final_combined_16methods_wide_f!E$10</f>
        <v>0.99999991396280796</v>
      </c>
      <c r="F27" s="2">
        <f>[2]final_combined_16methods_wide_f!F$10</f>
        <v>0.42401791056917898</v>
      </c>
      <c r="G27" s="2">
        <f>[2]final_combined_16methods_wide_f!G$10</f>
        <v>0.44634031718390499</v>
      </c>
      <c r="H27" s="2">
        <f>[2]final_combined_16methods_wide_f!H$10</f>
        <v>1</v>
      </c>
      <c r="I27" s="1">
        <f>[2]final_combined_16methods_wide_f!I$10</f>
        <v>2.9801671950952201E-2</v>
      </c>
      <c r="J27" s="1">
        <f>[2]final_combined_16methods_wide_f!J$10</f>
        <v>2.94607743232577E-2</v>
      </c>
    </row>
    <row r="28" spans="1:10" x14ac:dyDescent="0.2">
      <c r="C28" s="3"/>
      <c r="D28" s="3"/>
      <c r="E28" s="3"/>
      <c r="F28" s="2"/>
      <c r="G28" s="2"/>
      <c r="H28" s="2"/>
      <c r="I28" s="1"/>
      <c r="J28" s="1"/>
    </row>
    <row r="29" spans="1:10" x14ac:dyDescent="0.2">
      <c r="C29" s="3" t="s">
        <v>19</v>
      </c>
      <c r="D29" s="3"/>
      <c r="E29" s="3"/>
      <c r="F29" s="2"/>
      <c r="G29" s="2"/>
      <c r="H29" s="2"/>
      <c r="I29" s="1"/>
      <c r="J29" s="1"/>
    </row>
    <row r="30" spans="1:10" x14ac:dyDescent="0.2">
      <c r="A30" t="str">
        <f>A6</f>
        <v>fut_ESM1-2-LR_SSP370_constVolc</v>
      </c>
      <c r="B30" t="str">
        <f>RIGHT(A30,LEN(A30)-4)</f>
        <v>ESM1-2-LR_SSP370_constVolc</v>
      </c>
      <c r="C30" s="3">
        <f t="shared" ref="C30:J30" si="1">C6</f>
        <v>0.64167468205339295</v>
      </c>
      <c r="D30" s="3">
        <f t="shared" si="1"/>
        <v>0.92134192098814205</v>
      </c>
      <c r="E30" s="3">
        <f t="shared" si="1"/>
        <v>0.99999999992211497</v>
      </c>
      <c r="F30" s="2">
        <f t="shared" si="1"/>
        <v>0.58257242065806303</v>
      </c>
      <c r="G30" s="2">
        <f t="shared" si="1"/>
        <v>0.36471938323216702</v>
      </c>
      <c r="H30" s="2">
        <f t="shared" si="1"/>
        <v>1.06</v>
      </c>
      <c r="I30" s="1">
        <f t="shared" si="1"/>
        <v>3.9146185155741801E-2</v>
      </c>
      <c r="J30" s="1">
        <f t="shared" si="1"/>
        <v>2.9479803361305599E-2</v>
      </c>
    </row>
    <row r="31" spans="1:10" x14ac:dyDescent="0.2">
      <c r="A31" t="str">
        <f>A4</f>
        <v>fut_ESM1-2-LR_SSP245_constVolc</v>
      </c>
      <c r="B31" t="str">
        <f t="shared" si="0"/>
        <v>ESM1-2-LR_SSP245_constVolc</v>
      </c>
      <c r="C31" s="3">
        <f t="shared" ref="C31:J31" si="2">C4</f>
        <v>0.50974682042109598</v>
      </c>
      <c r="D31" s="3">
        <f t="shared" si="2"/>
        <v>0.80996193536411498</v>
      </c>
      <c r="E31" s="3">
        <f t="shared" si="2"/>
        <v>0.98746274665149802</v>
      </c>
      <c r="F31" s="2">
        <f t="shared" si="2"/>
        <v>0.56415571141182597</v>
      </c>
      <c r="G31" s="2">
        <f t="shared" si="2"/>
        <v>0.39092663554097901</v>
      </c>
      <c r="H31" s="2">
        <f t="shared" si="2"/>
        <v>1.02</v>
      </c>
      <c r="I31" s="1">
        <f t="shared" si="2"/>
        <v>3.9619484294593298E-2</v>
      </c>
      <c r="J31" s="1">
        <f t="shared" si="2"/>
        <v>3.2487978546580497E-2</v>
      </c>
    </row>
    <row r="32" spans="1:10" x14ac:dyDescent="0.2">
      <c r="A32" t="str">
        <f>A2</f>
        <v>fut_ESM1-2-LR_SSP126_constVolc</v>
      </c>
      <c r="B32" t="str">
        <f>RIGHT(A32,LEN(A32)-4)</f>
        <v>ESM1-2-LR_SSP126_constVolc</v>
      </c>
      <c r="C32" s="3">
        <f t="shared" ref="C32:J32" si="3">C2</f>
        <v>0.21161932405351599</v>
      </c>
      <c r="D32" s="3">
        <f t="shared" si="3"/>
        <v>0.40396595365675098</v>
      </c>
      <c r="E32" s="3">
        <f t="shared" si="3"/>
        <v>0.76865427585143098</v>
      </c>
      <c r="F32" s="2">
        <f t="shared" si="3"/>
        <v>0.63734650833749396</v>
      </c>
      <c r="G32" s="2">
        <f t="shared" si="3"/>
        <v>0.52549062434882099</v>
      </c>
      <c r="H32" s="2">
        <f t="shared" si="3"/>
        <v>1.54</v>
      </c>
      <c r="I32" s="1">
        <f t="shared" si="3"/>
        <v>4.14550484967314E-2</v>
      </c>
      <c r="J32" s="1">
        <f t="shared" si="3"/>
        <v>3.5818757452349699E-2</v>
      </c>
    </row>
    <row r="33" spans="1:10" x14ac:dyDescent="0.2">
      <c r="A33" t="str">
        <f>A10</f>
        <v>fut_NorESM_RCP45_VolcConst</v>
      </c>
      <c r="B33" t="str">
        <f>RIGHT(A33,LEN(A33)-4)</f>
        <v>NorESM_RCP45_VolcConst</v>
      </c>
      <c r="C33" s="3">
        <f t="shared" ref="C33:J33" si="4">C10</f>
        <v>0.49934996162543499</v>
      </c>
      <c r="D33" s="3">
        <f t="shared" si="4"/>
        <v>0.85184374092964499</v>
      </c>
      <c r="E33" s="3">
        <f t="shared" si="4"/>
        <v>0.99999419553518598</v>
      </c>
      <c r="F33" s="2">
        <f t="shared" si="4"/>
        <v>0.57230663609077204</v>
      </c>
      <c r="G33" s="2">
        <f t="shared" si="4"/>
        <v>0.42470431846740098</v>
      </c>
      <c r="H33" s="2">
        <f t="shared" si="4"/>
        <v>1</v>
      </c>
      <c r="I33" s="1">
        <f t="shared" si="4"/>
        <v>2.9102690918756099E-2</v>
      </c>
      <c r="J33" s="1">
        <f t="shared" si="4"/>
        <v>2.49146921749391E-2</v>
      </c>
    </row>
    <row r="34" spans="1:10" x14ac:dyDescent="0.2">
      <c r="A34" t="str">
        <f>A8</f>
        <v>fut_NorESM_RCP45_Volc</v>
      </c>
      <c r="B34" t="str">
        <f>RIGHT(A34,LEN(A34)-4)</f>
        <v>NorESM_RCP45_Volc</v>
      </c>
      <c r="C34" s="3">
        <f t="shared" ref="C34:J34" si="5">C8</f>
        <v>0.35316813126645102</v>
      </c>
      <c r="D34" s="3">
        <f t="shared" si="5"/>
        <v>0.62991221212830595</v>
      </c>
      <c r="E34" s="3">
        <f t="shared" si="5"/>
        <v>0.92104559023504595</v>
      </c>
      <c r="F34" s="2">
        <f t="shared" si="5"/>
        <v>0.69470880820399195</v>
      </c>
      <c r="G34" s="2">
        <f t="shared" si="5"/>
        <v>0.65259499157233103</v>
      </c>
      <c r="H34" s="2">
        <f t="shared" si="5"/>
        <v>1.11666666666666</v>
      </c>
      <c r="I34" s="1">
        <f t="shared" si="5"/>
        <v>5.9639432635513898E-2</v>
      </c>
      <c r="J34" s="1">
        <f t="shared" si="5"/>
        <v>6.0089927606266198E-2</v>
      </c>
    </row>
    <row r="35" spans="1:10" x14ac:dyDescent="0.2">
      <c r="C35" s="4"/>
      <c r="D35" s="4"/>
      <c r="E35" s="4"/>
    </row>
    <row r="36" spans="1:10" x14ac:dyDescent="0.2">
      <c r="C36" s="3" t="s">
        <v>20</v>
      </c>
      <c r="D36" s="3"/>
      <c r="E36" s="3"/>
      <c r="F36" s="2"/>
      <c r="G36" s="2"/>
      <c r="H36" s="2"/>
      <c r="I36" s="1"/>
      <c r="J36" s="1"/>
    </row>
    <row r="37" spans="1:10" x14ac:dyDescent="0.2">
      <c r="A37" t="str">
        <f>A7</f>
        <v>fut_ESM1-2-LR_SSP370_constVolc</v>
      </c>
      <c r="B37" t="str">
        <f t="shared" si="0"/>
        <v>ESM1-2-LR_SSP370_constVolc</v>
      </c>
      <c r="C37" s="3">
        <f>C7</f>
        <v>0.153679610448271</v>
      </c>
      <c r="D37" s="3">
        <f t="shared" ref="D37:J37" si="6">D3</f>
        <v>0.32052495709975298</v>
      </c>
      <c r="E37" s="3">
        <f t="shared" si="6"/>
        <v>0.67738862149364099</v>
      </c>
      <c r="F37" s="2">
        <f t="shared" si="6"/>
        <v>0.72312962730627905</v>
      </c>
      <c r="G37" s="2">
        <f t="shared" si="6"/>
        <v>0.65262018332211302</v>
      </c>
      <c r="H37" s="2">
        <f t="shared" si="6"/>
        <v>1</v>
      </c>
      <c r="I37" s="1">
        <f t="shared" si="6"/>
        <v>4.7924826086253897E-2</v>
      </c>
      <c r="J37" s="1">
        <f t="shared" si="6"/>
        <v>3.9585073275757901E-2</v>
      </c>
    </row>
    <row r="38" spans="1:10" x14ac:dyDescent="0.2">
      <c r="A38" t="str">
        <f>A5</f>
        <v>fut_ESM1-2-LR_SSP245_constVolc</v>
      </c>
      <c r="B38" t="str">
        <f t="shared" si="0"/>
        <v>ESM1-2-LR_SSP245_constVolc</v>
      </c>
      <c r="C38" s="3">
        <f t="shared" ref="C38:J38" si="7">C5</f>
        <v>0.32272305160293702</v>
      </c>
      <c r="D38" s="3">
        <f t="shared" si="7"/>
        <v>0.60963225535908305</v>
      </c>
      <c r="E38" s="3">
        <f t="shared" si="7"/>
        <v>0.92550530731992098</v>
      </c>
      <c r="F38" s="2">
        <f t="shared" si="7"/>
        <v>0.71242307999963705</v>
      </c>
      <c r="G38" s="2">
        <f t="shared" si="7"/>
        <v>0.61013150635878699</v>
      </c>
      <c r="H38" s="2">
        <f t="shared" si="7"/>
        <v>1</v>
      </c>
      <c r="I38" s="1">
        <f t="shared" si="7"/>
        <v>5.14577615073573E-2</v>
      </c>
      <c r="J38" s="1">
        <f t="shared" si="7"/>
        <v>3.9952145868938999E-2</v>
      </c>
    </row>
    <row r="39" spans="1:10" x14ac:dyDescent="0.2">
      <c r="A39" t="str">
        <f>A3</f>
        <v>fut_ESM1-2-LR_SSP126_constVolc</v>
      </c>
      <c r="B39" t="str">
        <f t="shared" si="0"/>
        <v>ESM1-2-LR_SSP126_constVolc</v>
      </c>
      <c r="C39" s="3">
        <f>C3</f>
        <v>0.16500835590663099</v>
      </c>
      <c r="D39" s="3">
        <f t="shared" ref="D39:J39" si="8">D7</f>
        <v>0.34150036785639698</v>
      </c>
      <c r="E39" s="3">
        <f t="shared" si="8"/>
        <v>0.82410366011376901</v>
      </c>
      <c r="F39" s="2">
        <f t="shared" si="8"/>
        <v>0.75525220045584596</v>
      </c>
      <c r="G39" s="2">
        <f t="shared" si="8"/>
        <v>0.65528228338484396</v>
      </c>
      <c r="H39" s="2">
        <f t="shared" si="8"/>
        <v>1</v>
      </c>
      <c r="I39" s="1">
        <f t="shared" si="8"/>
        <v>6.8233767139105395E-2</v>
      </c>
      <c r="J39" s="1">
        <f t="shared" si="8"/>
        <v>5.7310887082711301E-2</v>
      </c>
    </row>
    <row r="40" spans="1:10" x14ac:dyDescent="0.2">
      <c r="A40" t="str">
        <f>A11</f>
        <v>fut_NorESM_RCP45_VolcConst</v>
      </c>
      <c r="B40" t="str">
        <f>RIGHT(A40,LEN(A40)-4)</f>
        <v>NorESM_RCP45_VolcConst</v>
      </c>
      <c r="C40" s="3">
        <f t="shared" ref="C40:J40" si="9">C11</f>
        <v>0.34149028921088098</v>
      </c>
      <c r="D40" s="3">
        <f t="shared" si="9"/>
        <v>0.63497038219064394</v>
      </c>
      <c r="E40" s="3">
        <f t="shared" si="9"/>
        <v>0.9887736478686</v>
      </c>
      <c r="F40" s="2">
        <f t="shared" si="9"/>
        <v>0.73298331626506696</v>
      </c>
      <c r="G40" s="2">
        <f t="shared" si="9"/>
        <v>0.67448595360081598</v>
      </c>
      <c r="H40" s="2">
        <f t="shared" si="9"/>
        <v>1</v>
      </c>
      <c r="I40" s="1">
        <f t="shared" si="9"/>
        <v>4.7962799242892498E-2</v>
      </c>
      <c r="J40" s="1">
        <f t="shared" si="9"/>
        <v>4.2451274264061201E-2</v>
      </c>
    </row>
    <row r="41" spans="1:10" x14ac:dyDescent="0.2">
      <c r="A41" t="str">
        <f>A9</f>
        <v>fut_NorESM_RCP45_Volc</v>
      </c>
      <c r="B41" t="str">
        <f>RIGHT(A41,LEN(A41)-4)</f>
        <v>NorESM_RCP45_Volc</v>
      </c>
      <c r="C41" s="3">
        <f t="shared" ref="C41:J41" si="10">C9</f>
        <v>0.24172655046852501</v>
      </c>
      <c r="D41" s="3">
        <f t="shared" si="10"/>
        <v>0.45951717349270299</v>
      </c>
      <c r="E41" s="3">
        <f t="shared" si="10"/>
        <v>0.84197272967619696</v>
      </c>
      <c r="F41" s="2">
        <f t="shared" si="10"/>
        <v>0.78885052339075301</v>
      </c>
      <c r="G41" s="2">
        <f t="shared" si="10"/>
        <v>0.73038928215626897</v>
      </c>
      <c r="H41" s="2">
        <f t="shared" si="10"/>
        <v>1.05</v>
      </c>
      <c r="I41" s="1">
        <f t="shared" si="10"/>
        <v>6.00693062685295E-2</v>
      </c>
      <c r="J41" s="1">
        <f t="shared" si="10"/>
        <v>5.5749640580537503E-2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7A6D-F203-8948-835B-1E2A48CE7160}">
  <dimension ref="A1:J43"/>
  <sheetViews>
    <sheetView tabSelected="1" topLeftCell="A9" workbookViewId="0">
      <selection activeCell="B1" sqref="B1:J43"/>
    </sheetView>
  </sheetViews>
  <sheetFormatPr baseColWidth="10" defaultRowHeight="16" x14ac:dyDescent="0.2"/>
  <sheetData>
    <row r="1" spans="1:10" x14ac:dyDescent="0.2">
      <c r="B1" s="7"/>
      <c r="C1" s="7" t="s">
        <v>23</v>
      </c>
      <c r="D1" s="7"/>
      <c r="E1" s="7"/>
      <c r="F1" s="7" t="s">
        <v>27</v>
      </c>
      <c r="G1" s="7"/>
      <c r="H1" s="7" t="s">
        <v>29</v>
      </c>
      <c r="I1" s="7" t="s">
        <v>31</v>
      </c>
      <c r="J1" s="7"/>
    </row>
    <row r="2" spans="1:10" x14ac:dyDescent="0.2">
      <c r="B2" s="7" t="s">
        <v>21</v>
      </c>
      <c r="C2" s="7" t="s">
        <v>22</v>
      </c>
      <c r="D2" s="7" t="s">
        <v>24</v>
      </c>
      <c r="E2" s="7" t="s">
        <v>25</v>
      </c>
      <c r="F2" s="7" t="s">
        <v>28</v>
      </c>
      <c r="G2" s="7" t="s">
        <v>26</v>
      </c>
      <c r="H2" s="7" t="s">
        <v>30</v>
      </c>
      <c r="I2" s="7" t="s">
        <v>28</v>
      </c>
      <c r="J2" s="7" t="s">
        <v>26</v>
      </c>
    </row>
    <row r="3" spans="1:10" x14ac:dyDescent="0.2">
      <c r="B3" s="7"/>
      <c r="C3" s="7" t="s">
        <v>32</v>
      </c>
      <c r="D3" s="7"/>
      <c r="E3" s="7"/>
      <c r="F3" s="7"/>
      <c r="G3" s="7"/>
      <c r="H3" s="7"/>
      <c r="I3" s="7"/>
      <c r="J3" s="7"/>
    </row>
    <row r="4" spans="1:10" x14ac:dyDescent="0.2">
      <c r="A4" t="str">
        <f>[1]final_combined_7methods_wide_ff!A$7</f>
        <v>fut_ESM1-2-LR_SSP370_constVolc</v>
      </c>
      <c r="B4" s="7" t="str">
        <f>RIGHT(A4,LEN(A4)-4)</f>
        <v>ESM1-2-LR_SSP370_constVolc</v>
      </c>
      <c r="C4" s="8">
        <f>[1]final_combined_7methods_wide_ff!C$7</f>
        <v>0.54619910490746704</v>
      </c>
      <c r="D4" s="8">
        <f>[1]final_combined_7methods_wide_ff!D$7</f>
        <v>0.85026964875689004</v>
      </c>
      <c r="E4" s="8">
        <f>[1]final_combined_7methods_wide_ff!E$7</f>
        <v>0.99999836434091705</v>
      </c>
      <c r="F4" s="9">
        <f>[1]final_combined_7methods_wide_ff!F$7</f>
        <v>0.35236140573901098</v>
      </c>
      <c r="G4" s="9">
        <f>[1]final_combined_7methods_wide_ff!G$7</f>
        <v>0.27106817338542499</v>
      </c>
      <c r="H4" s="9">
        <f>[1]final_combined_7methods_wide_ff!H$7</f>
        <v>1.08</v>
      </c>
      <c r="I4" s="10">
        <f>[1]final_combined_7methods_wide_ff!I$7</f>
        <v>3.67655115767027E-2</v>
      </c>
      <c r="J4" s="10">
        <f>[1]final_combined_7methods_wide_ff!J$7</f>
        <v>3.35054597998811E-2</v>
      </c>
    </row>
    <row r="5" spans="1:10" x14ac:dyDescent="0.2">
      <c r="A5" t="str">
        <f>[1]final_combined_7methods_wide_ff!A$5</f>
        <v>fut_ESM1-2-LR_SSP245_constVolc</v>
      </c>
      <c r="B5" s="7" t="str">
        <f t="shared" ref="B5:B15" si="0">RIGHT(A5,LEN(A5)-4)</f>
        <v>ESM1-2-LR_SSP245_constVolc</v>
      </c>
      <c r="C5" s="8">
        <f>[1]final_combined_7methods_wide_ff!C$5</f>
        <v>0.55693243562445705</v>
      </c>
      <c r="D5" s="8">
        <f>[1]final_combined_7methods_wide_ff!D$5</f>
        <v>0.85137216343120803</v>
      </c>
      <c r="E5" s="8">
        <f>[1]final_combined_7methods_wide_ff!E$5</f>
        <v>0.99159617730083804</v>
      </c>
      <c r="F5" s="9">
        <f>[1]final_combined_7methods_wide_ff!F$5</f>
        <v>0.48770586775952401</v>
      </c>
      <c r="G5" s="9">
        <f>[1]final_combined_7methods_wide_ff!G$5</f>
        <v>0.48135376341167602</v>
      </c>
      <c r="H5" s="9">
        <f>[1]final_combined_7methods_wide_ff!H$5</f>
        <v>1.04</v>
      </c>
      <c r="I5" s="10">
        <f>[1]final_combined_7methods_wide_ff!I$5</f>
        <v>3.2207269952229799E-2</v>
      </c>
      <c r="J5" s="10">
        <f>[1]final_combined_7methods_wide_ff!J$5</f>
        <v>3.0085110989888701E-2</v>
      </c>
    </row>
    <row r="6" spans="1:10" x14ac:dyDescent="0.2">
      <c r="A6" t="str">
        <f>[1]final_combined_7methods_wide_ff!A$3</f>
        <v>fut_ESM1-2-LR_SSP126_constVolc</v>
      </c>
      <c r="B6" s="7" t="str">
        <f>RIGHT(A6,LEN(A6)-4)</f>
        <v>ESM1-2-LR_SSP126_constVolc</v>
      </c>
      <c r="C6" s="8">
        <f>[1]final_combined_7methods_wide_ff!C$3</f>
        <v>0.20755706849306199</v>
      </c>
      <c r="D6" s="8">
        <f>[1]final_combined_7methods_wide_ff!D$3</f>
        <v>0.39313285295950501</v>
      </c>
      <c r="E6" s="8">
        <f>[1]final_combined_7methods_wide_ff!E$3</f>
        <v>0.75508045533102697</v>
      </c>
      <c r="F6" s="9">
        <f>[1]final_combined_7methods_wide_ff!F$3</f>
        <v>0.56758655826126803</v>
      </c>
      <c r="G6" s="9">
        <f>[1]final_combined_7methods_wide_ff!G$3</f>
        <v>0.60241889512051305</v>
      </c>
      <c r="H6" s="9">
        <f>[1]final_combined_7methods_wide_ff!H$3</f>
        <v>1.46</v>
      </c>
      <c r="I6" s="10">
        <f>[1]final_combined_7methods_wide_ff!I$3</f>
        <v>3.55967136847853E-2</v>
      </c>
      <c r="J6" s="10">
        <f>[1]final_combined_7methods_wide_ff!J$3</f>
        <v>3.4755163366221101E-2</v>
      </c>
    </row>
    <row r="7" spans="1:10" x14ac:dyDescent="0.2">
      <c r="A7" t="str">
        <f>[1]final_combined_7methods_wide_ff!A$11</f>
        <v>fut_NorESM_RCP45_VolcConst</v>
      </c>
      <c r="B7" s="7" t="str">
        <f>RIGHT(A7,LEN(A7)-4)</f>
        <v>NorESM_RCP45_VolcConst</v>
      </c>
      <c r="C7" s="8">
        <f>[1]final_combined_7methods_wide_ff!C$11</f>
        <v>0.53338404346295398</v>
      </c>
      <c r="D7" s="8">
        <f>[1]final_combined_7methods_wide_ff!D$11</f>
        <v>0.87097082324211506</v>
      </c>
      <c r="E7" s="8">
        <f>[1]final_combined_7methods_wide_ff!E$11</f>
        <v>0.99999430169446302</v>
      </c>
      <c r="F7" s="9">
        <f>[1]final_combined_7methods_wide_ff!F$11</f>
        <v>0.59136052630917102</v>
      </c>
      <c r="G7" s="9">
        <f>[1]final_combined_7methods_wide_ff!G$11</f>
        <v>0.62348162834786303</v>
      </c>
      <c r="H7" s="9">
        <f>[1]final_combined_7methods_wide_ff!H$11</f>
        <v>1.0166666666666599</v>
      </c>
      <c r="I7" s="10">
        <f>[1]final_combined_7methods_wide_ff!I$11</f>
        <v>3.00118195904426E-2</v>
      </c>
      <c r="J7" s="10">
        <f>[1]final_combined_7methods_wide_ff!J$11</f>
        <v>3.0029336713997799E-2</v>
      </c>
    </row>
    <row r="8" spans="1:10" x14ac:dyDescent="0.2">
      <c r="A8" t="str">
        <f>[1]final_combined_7methods_wide_ff!A$9</f>
        <v>fut_NorESM_RCP45_Volc</v>
      </c>
      <c r="B8" s="7" t="str">
        <f>RIGHT(A8,LEN(A8)-4)</f>
        <v>NorESM_RCP45_Volc</v>
      </c>
      <c r="C8" s="8">
        <f>[1]final_combined_7methods_wide_ff!C$9</f>
        <v>0.295802697172452</v>
      </c>
      <c r="D8" s="8">
        <f>[1]final_combined_7methods_wide_ff!D$9</f>
        <v>0.54277920035025196</v>
      </c>
      <c r="E8" s="8">
        <f>[1]final_combined_7methods_wide_ff!E$9</f>
        <v>0.87879965089157297</v>
      </c>
      <c r="F8" s="9">
        <f>[1]final_combined_7methods_wide_ff!F$9</f>
        <v>0.71051840812753497</v>
      </c>
      <c r="G8" s="9">
        <f>[1]final_combined_7methods_wide_ff!G$9</f>
        <v>0.77054138023377905</v>
      </c>
      <c r="H8" s="9">
        <f>[1]final_combined_7methods_wide_ff!H$9</f>
        <v>1.1000000000000001</v>
      </c>
      <c r="I8" s="10">
        <f>[1]final_combined_7methods_wide_ff!I$9</f>
        <v>4.9516240832959101E-2</v>
      </c>
      <c r="J8" s="10">
        <f>[1]final_combined_7methods_wide_ff!J$9</f>
        <v>5.1047676785816301E-2</v>
      </c>
    </row>
    <row r="9" spans="1:10" x14ac:dyDescent="0.2">
      <c r="B9" s="7"/>
      <c r="C9" s="7"/>
      <c r="D9" s="7"/>
      <c r="E9" s="7"/>
      <c r="F9" s="11"/>
      <c r="G9" s="11"/>
      <c r="H9" s="11"/>
      <c r="I9" s="10"/>
      <c r="J9" s="10"/>
    </row>
    <row r="10" spans="1:10" x14ac:dyDescent="0.2">
      <c r="B10" s="7"/>
      <c r="C10" s="7" t="s">
        <v>33</v>
      </c>
      <c r="D10" s="7"/>
      <c r="E10" s="7"/>
      <c r="F10" s="11"/>
      <c r="G10" s="11"/>
      <c r="H10" s="11"/>
      <c r="I10" s="10"/>
      <c r="J10" s="10"/>
    </row>
    <row r="11" spans="1:10" x14ac:dyDescent="0.2">
      <c r="A11" t="str">
        <f>[2]final_combined_16methods_wide_f!A$7</f>
        <v>fut_ESM1-2-LR_SSP370_constVolc</v>
      </c>
      <c r="B11" s="7" t="str">
        <f>RIGHT(A11,LEN(A11)-4)</f>
        <v>ESM1-2-LR_SSP370_constVolc</v>
      </c>
      <c r="C11" s="8">
        <f>[2]final_combined_16methods_wide_f!C$7</f>
        <v>0.55738744535778695</v>
      </c>
      <c r="D11" s="8">
        <f>[2]final_combined_16methods_wide_f!D$7</f>
        <v>0.85120073146078801</v>
      </c>
      <c r="E11" s="8">
        <f>[2]final_combined_16methods_wide_f!E$7</f>
        <v>0.99999778206774803</v>
      </c>
      <c r="F11" s="9">
        <f>[2]final_combined_16methods_wide_f!F$7</f>
        <v>0.34517946300421798</v>
      </c>
      <c r="G11" s="9">
        <f>[2]final_combined_16methods_wide_f!G$7</f>
        <v>0.26883137024650899</v>
      </c>
      <c r="H11" s="9">
        <f>[2]final_combined_16methods_wide_f!H$7</f>
        <v>1.06</v>
      </c>
      <c r="I11" s="10">
        <f>[2]final_combined_16methods_wide_f!I$7</f>
        <v>3.6506341264737098E-2</v>
      </c>
      <c r="J11" s="10">
        <f>[2]final_combined_16methods_wide_f!J$7</f>
        <v>3.3248760486993302E-2</v>
      </c>
    </row>
    <row r="12" spans="1:10" x14ac:dyDescent="0.2">
      <c r="A12" t="str">
        <f>[2]final_combined_16methods_wide_f!A$5</f>
        <v>fut_ESM1-2-LR_SSP245_constVolc</v>
      </c>
      <c r="B12" s="7" t="str">
        <f>RIGHT(A12,LEN(A12)-4)</f>
        <v>ESM1-2-LR_SSP245_constVolc</v>
      </c>
      <c r="C12" s="8">
        <f>[2]final_combined_16methods_wide_f!C$5</f>
        <v>0.55327213342940795</v>
      </c>
      <c r="D12" s="8">
        <f>[2]final_combined_16methods_wide_f!D$5</f>
        <v>0.83542228277474595</v>
      </c>
      <c r="E12" s="8">
        <f>[2]final_combined_16methods_wide_f!E$5</f>
        <v>0.99065301016602703</v>
      </c>
      <c r="F12" s="9">
        <f>[2]final_combined_16methods_wide_f!F$5</f>
        <v>0.474326788739316</v>
      </c>
      <c r="G12" s="9">
        <f>[2]final_combined_16methods_wide_f!G$5</f>
        <v>0.46525764271050302</v>
      </c>
      <c r="H12" s="9">
        <f>[2]final_combined_16methods_wide_f!H$5</f>
        <v>1.08</v>
      </c>
      <c r="I12" s="10">
        <f>[2]final_combined_16methods_wide_f!I$5</f>
        <v>3.2244062898479302E-2</v>
      </c>
      <c r="J12" s="10">
        <f>[2]final_combined_16methods_wide_f!J$5</f>
        <v>3.00446004526808E-2</v>
      </c>
    </row>
    <row r="13" spans="1:10" x14ac:dyDescent="0.2">
      <c r="A13" t="str">
        <f>[2]final_combined_16methods_wide_f!A$3</f>
        <v>fut_ESM1-2-LR_SSP126_constVolc</v>
      </c>
      <c r="B13" s="7" t="str">
        <f>RIGHT(A13,LEN(A13)-4)</f>
        <v>ESM1-2-LR_SSP126_constVolc</v>
      </c>
      <c r="C13" s="8">
        <f>[2]final_combined_16methods_wide_f!C$3</f>
        <v>0.20576812891627</v>
      </c>
      <c r="D13" s="8">
        <f>[2]final_combined_16methods_wide_f!D$3</f>
        <v>0.39131798477193203</v>
      </c>
      <c r="E13" s="8">
        <f>[2]final_combined_16methods_wide_f!E$3</f>
        <v>0.75985380247993595</v>
      </c>
      <c r="F13" s="9">
        <f>[2]final_combined_16methods_wide_f!F$3</f>
        <v>0.555132277466724</v>
      </c>
      <c r="G13" s="9">
        <f>[2]final_combined_16methods_wide_f!G$3</f>
        <v>0.58900071435593904</v>
      </c>
      <c r="H13" s="9">
        <f>[2]final_combined_16methods_wide_f!H$3</f>
        <v>1.32</v>
      </c>
      <c r="I13" s="10">
        <f>[2]final_combined_16methods_wide_f!I$3</f>
        <v>3.5373468407243903E-2</v>
      </c>
      <c r="J13" s="10">
        <f>[2]final_combined_16methods_wide_f!J$3</f>
        <v>3.4498382156762097E-2</v>
      </c>
    </row>
    <row r="14" spans="1:10" x14ac:dyDescent="0.2">
      <c r="A14" t="str">
        <f>[2]final_combined_16methods_wide_f!A$11</f>
        <v>fut_NorESM_RCP45_VolcConst</v>
      </c>
      <c r="B14" s="7" t="str">
        <f>RIGHT(A14,LEN(A14)-4)</f>
        <v>NorESM_RCP45_VolcConst</v>
      </c>
      <c r="C14" s="8">
        <f>[2]final_combined_16methods_wide_f!C$11</f>
        <v>0.53542936181767697</v>
      </c>
      <c r="D14" s="8">
        <f>[2]final_combined_16methods_wide_f!D$11</f>
        <v>0.86675058660220505</v>
      </c>
      <c r="E14" s="8">
        <f>[2]final_combined_16methods_wide_f!E$11</f>
        <v>0.99999826488588195</v>
      </c>
      <c r="F14" s="9">
        <f>[2]final_combined_16methods_wide_f!F$11</f>
        <v>0.56829985226404101</v>
      </c>
      <c r="G14" s="9">
        <f>[2]final_combined_16methods_wide_f!G$11</f>
        <v>0.47488218559303003</v>
      </c>
      <c r="H14" s="9">
        <f>[2]final_combined_16methods_wide_f!H$11</f>
        <v>1.0166666666666599</v>
      </c>
      <c r="I14" s="10">
        <f>[2]final_combined_16methods_wide_f!I$11</f>
        <v>2.9692821763125501E-2</v>
      </c>
      <c r="J14" s="10">
        <f>[2]final_combined_16methods_wide_f!J$11</f>
        <v>2.9527986662152901E-2</v>
      </c>
    </row>
    <row r="15" spans="1:10" x14ac:dyDescent="0.2">
      <c r="A15" t="str">
        <f>[2]final_combined_16methods_wide_f!A$9</f>
        <v>fut_NorESM_RCP45_Volc</v>
      </c>
      <c r="B15" s="7" t="str">
        <f>RIGHT(A15,LEN(A15)-4)</f>
        <v>NorESM_RCP45_Volc</v>
      </c>
      <c r="C15" s="8">
        <f>[2]final_combined_16methods_wide_f!C$9</f>
        <v>0.30106359931930998</v>
      </c>
      <c r="D15" s="8">
        <f>[2]final_combined_16methods_wide_f!D$9</f>
        <v>0.55168877761303903</v>
      </c>
      <c r="E15" s="8">
        <f>[2]final_combined_16methods_wide_f!E$9</f>
        <v>0.88473982556344</v>
      </c>
      <c r="F15" s="9">
        <f>[2]final_combined_16methods_wide_f!F$9</f>
        <v>0.72122719204056196</v>
      </c>
      <c r="G15" s="9">
        <f>[2]final_combined_16methods_wide_f!G$9</f>
        <v>0.71024730946443604</v>
      </c>
      <c r="H15" s="9">
        <f>[2]final_combined_16methods_wide_f!H$9</f>
        <v>1.1000000000000001</v>
      </c>
      <c r="I15" s="10">
        <f>[2]final_combined_16methods_wide_f!I$9</f>
        <v>4.91660796604797E-2</v>
      </c>
      <c r="J15" s="10">
        <f>[2]final_combined_16methods_wide_f!J$9</f>
        <v>5.0769616326947098E-2</v>
      </c>
    </row>
    <row r="16" spans="1:10" x14ac:dyDescent="0.2">
      <c r="B16" s="7"/>
      <c r="C16" s="7"/>
      <c r="D16" s="7"/>
      <c r="E16" s="7"/>
      <c r="F16" s="11"/>
      <c r="G16" s="11"/>
      <c r="H16" s="11"/>
      <c r="I16" s="10"/>
      <c r="J16" s="10"/>
    </row>
    <row r="17" spans="1:10" x14ac:dyDescent="0.2">
      <c r="B17" s="7"/>
      <c r="C17" s="7" t="s">
        <v>36</v>
      </c>
      <c r="D17" s="7"/>
      <c r="E17" s="7"/>
      <c r="F17" s="11"/>
      <c r="G17" s="11"/>
      <c r="H17" s="11"/>
      <c r="I17" s="10"/>
      <c r="J17" s="10"/>
    </row>
    <row r="18" spans="1:10" x14ac:dyDescent="0.2">
      <c r="A18" t="str">
        <f>[2]final_combined_16methods_wide_f!A$7</f>
        <v>fut_ESM1-2-LR_SSP370_constVolc</v>
      </c>
      <c r="B18" s="7" t="str">
        <f>RIGHT(A18,LEN(A18)-4)</f>
        <v>ESM1-2-LR_SSP370_constVolc</v>
      </c>
      <c r="C18" s="8">
        <f>[3]final_combined_32methods_wide_f!C$7</f>
        <v>0.54447939616679597</v>
      </c>
      <c r="D18" s="8">
        <f>[3]final_combined_32methods_wide_f!D$7</f>
        <v>0.84570767317965201</v>
      </c>
      <c r="E18" s="8">
        <f>[3]final_combined_32methods_wide_f!E$7</f>
        <v>0.99999336318933896</v>
      </c>
      <c r="F18" s="9">
        <f>[3]final_combined_32methods_wide_f!F$7</f>
        <v>0.35570970869045898</v>
      </c>
      <c r="G18" s="9">
        <f>[3]final_combined_32methods_wide_f!G$7</f>
        <v>0.27231278148992299</v>
      </c>
      <c r="H18" s="9">
        <f>[3]final_combined_32methods_wide_f!H$7</f>
        <v>1.06</v>
      </c>
      <c r="I18" s="10">
        <f>[3]final_combined_32methods_wide_f!I$7</f>
        <v>3.7020164041822297E-2</v>
      </c>
      <c r="J18" s="10">
        <f>[3]final_combined_32methods_wide_f!J$7</f>
        <v>3.3484937846857799E-2</v>
      </c>
    </row>
    <row r="19" spans="1:10" x14ac:dyDescent="0.2">
      <c r="A19" t="str">
        <f>[2]final_combined_16methods_wide_f!A$5</f>
        <v>fut_ESM1-2-LR_SSP245_constVolc</v>
      </c>
      <c r="B19" s="7" t="str">
        <f>RIGHT(A19,LEN(A19)-4)</f>
        <v>ESM1-2-LR_SSP245_constVolc</v>
      </c>
      <c r="C19" s="8">
        <f>[3]final_combined_32methods_wide_f!C$5</f>
        <v>0.53795071414849205</v>
      </c>
      <c r="D19" s="8">
        <f>[3]final_combined_32methods_wide_f!D$5</f>
        <v>0.82966165685017401</v>
      </c>
      <c r="E19" s="8">
        <f>[3]final_combined_32methods_wide_f!E$5</f>
        <v>0.99279793965561802</v>
      </c>
      <c r="F19" s="9">
        <f>[3]final_combined_32methods_wide_f!F$5</f>
        <v>0.47296562334456499</v>
      </c>
      <c r="G19" s="9">
        <f>[3]final_combined_32methods_wide_f!G$5</f>
        <v>0.46616316879048197</v>
      </c>
      <c r="H19" s="9">
        <f>[3]final_combined_32methods_wide_f!H$5</f>
        <v>1.06</v>
      </c>
      <c r="I19" s="10">
        <f>[3]final_combined_32methods_wide_f!I$5</f>
        <v>3.1879531639024898E-2</v>
      </c>
      <c r="J19" s="10">
        <f>[3]final_combined_32methods_wide_f!J$5</f>
        <v>2.9940485328590699E-2</v>
      </c>
    </row>
    <row r="20" spans="1:10" x14ac:dyDescent="0.2">
      <c r="A20" t="str">
        <f>[2]final_combined_16methods_wide_f!A$3</f>
        <v>fut_ESM1-2-LR_SSP126_constVolc</v>
      </c>
      <c r="B20" s="7" t="str">
        <f>RIGHT(A20,LEN(A20)-4)</f>
        <v>ESM1-2-LR_SSP126_constVolc</v>
      </c>
      <c r="C20" s="8">
        <f>[3]final_combined_32methods_wide_f!C$3</f>
        <v>0.21789558676590701</v>
      </c>
      <c r="D20" s="8">
        <f>[3]final_combined_32methods_wide_f!D$3</f>
        <v>0.41545942039553602</v>
      </c>
      <c r="E20" s="8">
        <f>[3]final_combined_32methods_wide_f!E$3</f>
        <v>0.79430186547134896</v>
      </c>
      <c r="F20" s="9">
        <f>[3]final_combined_32methods_wide_f!F$3</f>
        <v>0.55355925523003502</v>
      </c>
      <c r="G20" s="9">
        <f>[3]final_combined_32methods_wide_f!G$3</f>
        <v>0.58926144099300404</v>
      </c>
      <c r="H20" s="9">
        <f>[3]final_combined_32methods_wide_f!H$3</f>
        <v>1.32</v>
      </c>
      <c r="I20" s="10">
        <f>[3]final_combined_32methods_wide_f!I$3</f>
        <v>3.4759033290035199E-2</v>
      </c>
      <c r="J20" s="10">
        <f>[3]final_combined_32methods_wide_f!J$3</f>
        <v>3.4058045419036002E-2</v>
      </c>
    </row>
    <row r="21" spans="1:10" x14ac:dyDescent="0.2">
      <c r="A21" t="str">
        <f>[2]final_combined_16methods_wide_f!A$11</f>
        <v>fut_NorESM_RCP45_VolcConst</v>
      </c>
      <c r="B21" s="7" t="str">
        <f>RIGHT(A21,LEN(A21)-4)</f>
        <v>NorESM_RCP45_VolcConst</v>
      </c>
      <c r="C21" s="8">
        <f>[3]final_combined_32methods_wide_f!C$11</f>
        <v>0.54497070338604503</v>
      </c>
      <c r="D21" s="8">
        <f>[3]final_combined_32methods_wide_f!D$11</f>
        <v>0.869225259621072</v>
      </c>
      <c r="E21" s="8">
        <f>[3]final_combined_32methods_wide_f!E$11</f>
        <v>0.99999968353572399</v>
      </c>
      <c r="F21" s="9">
        <f>[3]final_combined_32methods_wide_f!F$11</f>
        <v>0.57234286872200302</v>
      </c>
      <c r="G21" s="9">
        <f>[3]final_combined_32methods_wide_f!G$11</f>
        <v>0.59778528724644397</v>
      </c>
      <c r="H21" s="9">
        <f>[3]final_combined_32methods_wide_f!H$11</f>
        <v>1.0166666666666599</v>
      </c>
      <c r="I21" s="10">
        <f>[3]final_combined_32methods_wide_f!I$11</f>
        <v>2.9416336109457701E-2</v>
      </c>
      <c r="J21" s="10">
        <f>[3]final_combined_32methods_wide_f!J$11</f>
        <v>2.9317239210130901E-2</v>
      </c>
    </row>
    <row r="22" spans="1:10" x14ac:dyDescent="0.2">
      <c r="A22" t="str">
        <f>[2]final_combined_16methods_wide_f!A$9</f>
        <v>fut_NorESM_RCP45_Volc</v>
      </c>
      <c r="B22" s="7" t="str">
        <f>RIGHT(A22,LEN(A22)-4)</f>
        <v>NorESM_RCP45_Volc</v>
      </c>
      <c r="C22" s="8">
        <f>[3]final_combined_32methods_wide_f!C$9</f>
        <v>0.32645120923792798</v>
      </c>
      <c r="D22" s="8">
        <f>[3]final_combined_32methods_wide_f!D$9</f>
        <v>0.59079979067163901</v>
      </c>
      <c r="E22" s="8">
        <f>[3]final_combined_32methods_wide_f!E$9</f>
        <v>0.90896191913690905</v>
      </c>
      <c r="F22" s="9">
        <f>[3]final_combined_32methods_wide_f!F$9</f>
        <v>0.73645404524055702</v>
      </c>
      <c r="G22" s="9">
        <f>[3]final_combined_32methods_wide_f!G$9</f>
        <v>0.81387864681549205</v>
      </c>
      <c r="H22" s="9">
        <f>[3]final_combined_32methods_wide_f!H$9</f>
        <v>1.0833333333333299</v>
      </c>
      <c r="I22" s="10">
        <f>[3]final_combined_32methods_wide_f!I$9</f>
        <v>4.8982929865659303E-2</v>
      </c>
      <c r="J22" s="10">
        <f>[3]final_combined_32methods_wide_f!J$9</f>
        <v>5.0659588379776799E-2</v>
      </c>
    </row>
    <row r="23" spans="1:10" x14ac:dyDescent="0.2">
      <c r="B23" s="7"/>
      <c r="C23" s="7"/>
      <c r="D23" s="7"/>
      <c r="E23" s="7"/>
      <c r="F23" s="11"/>
      <c r="G23" s="11"/>
      <c r="H23" s="11"/>
      <c r="I23" s="10"/>
      <c r="J23" s="10"/>
    </row>
    <row r="24" spans="1:10" x14ac:dyDescent="0.2">
      <c r="B24" s="7"/>
      <c r="C24" s="8" t="s">
        <v>35</v>
      </c>
      <c r="D24" s="8"/>
      <c r="E24" s="8"/>
      <c r="F24" s="11"/>
      <c r="G24" s="11"/>
      <c r="H24" s="11"/>
      <c r="I24" s="10"/>
      <c r="J24" s="10"/>
    </row>
    <row r="25" spans="1:10" x14ac:dyDescent="0.2">
      <c r="A25" t="str">
        <f>[1]final_combined_7methods_wide_ff!A$2</f>
        <v>fut_ESM1-2-LR_SSP126_constVolc</v>
      </c>
      <c r="B25" s="7" t="str">
        <f t="shared" ref="B25:B29" si="1">RIGHT(A25,LEN(A25)-4)</f>
        <v>ESM1-2-LR_SSP126_constVolc</v>
      </c>
      <c r="C25" s="8">
        <f>[1]final_combined_7methods_wide_ff!C$2</f>
        <v>0.21132096210941201</v>
      </c>
      <c r="D25" s="8">
        <f>[1]final_combined_7methods_wide_ff!D$2</f>
        <v>0.39883056449283</v>
      </c>
      <c r="E25" s="8">
        <f>[1]final_combined_7methods_wide_ff!E$2</f>
        <v>0.74598077875606195</v>
      </c>
      <c r="F25" s="9">
        <f>[1]final_combined_7methods_wide_ff!F$2</f>
        <v>0.528912270279561</v>
      </c>
      <c r="G25" s="9">
        <f>[1]final_combined_7methods_wide_ff!G$2</f>
        <v>0.577668141911305</v>
      </c>
      <c r="H25" s="9">
        <f>[1]final_combined_7methods_wide_ff!H$2</f>
        <v>1.42</v>
      </c>
      <c r="I25" s="10">
        <f>[1]final_combined_7methods_wide_ff!I$2</f>
        <v>3.8089126961787199E-2</v>
      </c>
      <c r="J25" s="10">
        <f>[1]final_combined_7methods_wide_ff!J$2</f>
        <v>3.8257160319207201E-2</v>
      </c>
    </row>
    <row r="26" spans="1:10" x14ac:dyDescent="0.2">
      <c r="A26" t="str">
        <f>[1]final_combined_7methods_wide_ff!A$4</f>
        <v>fut_ESM1-2-LR_SSP245_constVolc</v>
      </c>
      <c r="B26" s="7" t="str">
        <f t="shared" si="1"/>
        <v>ESM1-2-LR_SSP245_constVolc</v>
      </c>
      <c r="C26" s="8">
        <f>[1]final_combined_7methods_wide_ff!C$4</f>
        <v>0.51324464439026996</v>
      </c>
      <c r="D26" s="8">
        <f>[1]final_combined_7methods_wide_ff!D$4</f>
        <v>0.80791569847865796</v>
      </c>
      <c r="E26" s="8">
        <f>[1]final_combined_7methods_wide_ff!E$4</f>
        <v>0.98599074521400898</v>
      </c>
      <c r="F26" s="9">
        <f>[1]final_combined_7methods_wide_ff!F$4</f>
        <v>0.40375019023063502</v>
      </c>
      <c r="G26" s="9">
        <f>[1]final_combined_7methods_wide_ff!G$4</f>
        <v>0.409028023352207</v>
      </c>
      <c r="H26" s="9">
        <f>[1]final_combined_7methods_wide_ff!H$4</f>
        <v>1.04</v>
      </c>
      <c r="I26" s="10">
        <f>[1]final_combined_7methods_wide_ff!I$4</f>
        <v>3.5707271533879398E-2</v>
      </c>
      <c r="J26" s="10">
        <f>[1]final_combined_7methods_wide_ff!J$4</f>
        <v>3.4964253761786197E-2</v>
      </c>
    </row>
    <row r="27" spans="1:10" x14ac:dyDescent="0.2">
      <c r="A27" t="str">
        <f>[1]final_combined_7methods_wide_ff!A$6</f>
        <v>fut_ESM1-2-LR_SSP370_constVolc</v>
      </c>
      <c r="B27" s="7" t="str">
        <f t="shared" si="1"/>
        <v>ESM1-2-LR_SSP370_constVolc</v>
      </c>
      <c r="C27" s="8">
        <f>[1]final_combined_7methods_wide_ff!C$6</f>
        <v>0.56326546202472005</v>
      </c>
      <c r="D27" s="8">
        <f>[1]final_combined_7methods_wide_ff!D$6</f>
        <v>0.85916848777764898</v>
      </c>
      <c r="E27" s="8">
        <f>[1]final_combined_7methods_wide_ff!E$6</f>
        <v>0.99999972101326395</v>
      </c>
      <c r="F27" s="9">
        <f>[1]final_combined_7methods_wide_ff!F$6</f>
        <v>0.28103151374638402</v>
      </c>
      <c r="G27" s="9">
        <f>[1]final_combined_7methods_wide_ff!G$6</f>
        <v>0.21456750872458</v>
      </c>
      <c r="H27" s="9">
        <f>[1]final_combined_7methods_wide_ff!H$6</f>
        <v>1.1200000000000001</v>
      </c>
      <c r="I27" s="10">
        <f>[1]final_combined_7methods_wide_ff!I$6</f>
        <v>3.5110423411378301E-2</v>
      </c>
      <c r="J27" s="10">
        <f>[1]final_combined_7methods_wide_ff!J$6</f>
        <v>3.1880713374243502E-2</v>
      </c>
    </row>
    <row r="28" spans="1:10" x14ac:dyDescent="0.2">
      <c r="A28" t="str">
        <f>[1]final_combined_7methods_wide_ff!A$8</f>
        <v>fut_NorESM_RCP45_Volc</v>
      </c>
      <c r="B28" s="7" t="str">
        <f t="shared" si="1"/>
        <v>NorESM_RCP45_Volc</v>
      </c>
      <c r="C28" s="8">
        <f>[1]final_combined_7methods_wide_ff!C$8</f>
        <v>0.307948440316553</v>
      </c>
      <c r="D28" s="8">
        <f>[1]final_combined_7methods_wide_ff!D$8</f>
        <v>0.56086887661448304</v>
      </c>
      <c r="E28" s="8">
        <f>[1]final_combined_7methods_wide_ff!E$8</f>
        <v>0.88328191599981898</v>
      </c>
      <c r="F28" s="9">
        <f>[1]final_combined_7methods_wide_ff!F$8</f>
        <v>0.68845574872436999</v>
      </c>
      <c r="G28" s="9">
        <f>[1]final_combined_7methods_wide_ff!G$8</f>
        <v>0.73625220438107497</v>
      </c>
      <c r="H28" s="9">
        <f>[1]final_combined_7methods_wide_ff!H$8</f>
        <v>1.11666666666666</v>
      </c>
      <c r="I28" s="10">
        <f>[1]final_combined_7methods_wide_ff!I$8</f>
        <v>5.2707464159806802E-2</v>
      </c>
      <c r="J28" s="10">
        <f>[1]final_combined_7methods_wide_ff!J$8</f>
        <v>5.4510865770008098E-2</v>
      </c>
    </row>
    <row r="29" spans="1:10" x14ac:dyDescent="0.2">
      <c r="A29" t="str">
        <f>[1]final_combined_7methods_wide_ff!A$10</f>
        <v>fut_NorESM_RCP45_VolcConst</v>
      </c>
      <c r="B29" s="7" t="str">
        <f t="shared" si="1"/>
        <v>NorESM_RCP45_VolcConst</v>
      </c>
      <c r="C29" s="8">
        <f>[1]final_combined_7methods_wide_ff!C$10</f>
        <v>0.54514943518981696</v>
      </c>
      <c r="D29" s="8">
        <f>[1]final_combined_7methods_wide_ff!D$10</f>
        <v>0.87461617266192504</v>
      </c>
      <c r="E29" s="8">
        <f>[1]final_combined_7methods_wide_ff!E$10</f>
        <v>0.99999951520399999</v>
      </c>
      <c r="F29" s="9">
        <f>[1]final_combined_7methods_wide_ff!F$10</f>
        <v>0.43700824798559201</v>
      </c>
      <c r="G29" s="9">
        <f>[1]final_combined_7methods_wide_ff!G$10</f>
        <v>0.46820692982842599</v>
      </c>
      <c r="H29" s="9">
        <f>[1]final_combined_7methods_wide_ff!H$10</f>
        <v>1</v>
      </c>
      <c r="I29" s="10">
        <f>[1]final_combined_7methods_wide_ff!I$10</f>
        <v>3.0552993250828501E-2</v>
      </c>
      <c r="J29" s="10">
        <f>[1]final_combined_7methods_wide_ff!J$10</f>
        <v>3.1015313492675101E-2</v>
      </c>
    </row>
    <row r="30" spans="1:10" x14ac:dyDescent="0.2">
      <c r="B30" s="7"/>
      <c r="C30" s="7"/>
      <c r="D30" s="7"/>
      <c r="E30" s="7"/>
      <c r="F30" s="11"/>
      <c r="G30" s="11"/>
      <c r="H30" s="11"/>
      <c r="I30" s="10"/>
      <c r="J30" s="10"/>
    </row>
    <row r="31" spans="1:10" x14ac:dyDescent="0.2">
      <c r="B31" s="7"/>
      <c r="C31" s="8" t="s">
        <v>34</v>
      </c>
      <c r="D31" s="8"/>
      <c r="E31" s="8"/>
      <c r="F31" s="11"/>
      <c r="G31" s="11"/>
      <c r="H31" s="11"/>
      <c r="I31" s="10"/>
      <c r="J31" s="10"/>
    </row>
    <row r="32" spans="1:10" x14ac:dyDescent="0.2">
      <c r="A32" t="str">
        <f>[2]final_combined_16methods_wide_f!A$2</f>
        <v>fut_ESM1-2-LR_SSP126_constVolc</v>
      </c>
      <c r="B32" s="7" t="str">
        <f>RIGHT(A32,LEN(A32)-4)</f>
        <v>ESM1-2-LR_SSP126_constVolc</v>
      </c>
      <c r="C32" s="8">
        <f>[2]final_combined_16methods_wide_f!C$2</f>
        <v>0.21863766120108799</v>
      </c>
      <c r="D32" s="8">
        <f>[2]final_combined_16methods_wide_f!D$2</f>
        <v>0.41443677964713499</v>
      </c>
      <c r="E32" s="8">
        <f>[2]final_combined_16methods_wide_f!E$2</f>
        <v>0.77937568423139103</v>
      </c>
      <c r="F32" s="11">
        <f>[2]final_combined_16methods_wide_f!F$2</f>
        <v>0.48696744999126601</v>
      </c>
      <c r="G32" s="11">
        <f>[2]final_combined_16methods_wide_f!G$2</f>
        <v>0.51389146851774203</v>
      </c>
      <c r="H32" s="11">
        <f>[2]final_combined_16methods_wide_f!H$2</f>
        <v>1.32</v>
      </c>
      <c r="I32" s="10">
        <f>[2]final_combined_16methods_wide_f!I$2</f>
        <v>3.50856668376376E-2</v>
      </c>
      <c r="J32" s="10">
        <f>[2]final_combined_16methods_wide_f!J$2</f>
        <v>3.3615419242651802E-2</v>
      </c>
    </row>
    <row r="33" spans="1:10" x14ac:dyDescent="0.2">
      <c r="A33" t="str">
        <f>[2]final_combined_16methods_wide_f!A$4</f>
        <v>fut_ESM1-2-LR_SSP245_constVolc</v>
      </c>
      <c r="B33" s="7" t="str">
        <f>RIGHT(A33,LEN(A33)-4)</f>
        <v>ESM1-2-LR_SSP245_constVolc</v>
      </c>
      <c r="C33" s="8">
        <f>[2]final_combined_16methods_wide_f!C$4</f>
        <v>0.50241628034270402</v>
      </c>
      <c r="D33" s="8">
        <f>[2]final_combined_16methods_wide_f!D$4</f>
        <v>0.80083031539555205</v>
      </c>
      <c r="E33" s="8">
        <f>[2]final_combined_16methods_wide_f!E$4</f>
        <v>0.98233423425677902</v>
      </c>
      <c r="F33" s="11">
        <f>[2]final_combined_16methods_wide_f!F$4</f>
        <v>0.37766050566306703</v>
      </c>
      <c r="G33" s="11">
        <f>[2]final_combined_16methods_wide_f!G$4</f>
        <v>0.36062433239381603</v>
      </c>
      <c r="H33" s="11">
        <f>[2]final_combined_16methods_wide_f!H$4</f>
        <v>1.04</v>
      </c>
      <c r="I33" s="10">
        <f>[2]final_combined_16methods_wide_f!I$4</f>
        <v>3.3762834915676602E-2</v>
      </c>
      <c r="J33" s="10">
        <f>[2]final_combined_16methods_wide_f!J$4</f>
        <v>3.1137489609733799E-2</v>
      </c>
    </row>
    <row r="34" spans="1:10" x14ac:dyDescent="0.2">
      <c r="A34" t="str">
        <f>[2]final_combined_16methods_wide_f!A$6</f>
        <v>fut_ESM1-2-LR_SSP370_constVolc</v>
      </c>
      <c r="B34" s="7" t="str">
        <f>RIGHT(A34,LEN(A34)-4)</f>
        <v>ESM1-2-LR_SSP370_constVolc</v>
      </c>
      <c r="C34" s="8">
        <f>[2]final_combined_16methods_wide_f!C$6</f>
        <v>0.53501465488853195</v>
      </c>
      <c r="D34" s="8">
        <f>[2]final_combined_16methods_wide_f!D$6</f>
        <v>0.84813894955111901</v>
      </c>
      <c r="E34" s="8">
        <f>[2]final_combined_16methods_wide_f!E$6</f>
        <v>0.99999924843690502</v>
      </c>
      <c r="F34" s="11">
        <f>[2]final_combined_16methods_wide_f!F$6</f>
        <v>0.30089129959560101</v>
      </c>
      <c r="G34" s="11">
        <f>[2]final_combined_16methods_wide_f!G$6</f>
        <v>0.205675254798835</v>
      </c>
      <c r="H34" s="11">
        <f>[2]final_combined_16methods_wide_f!H$6</f>
        <v>1.04</v>
      </c>
      <c r="I34" s="10">
        <f>[2]final_combined_16methods_wide_f!I$6</f>
        <v>3.6451904631969602E-2</v>
      </c>
      <c r="J34" s="10">
        <f>[2]final_combined_16methods_wide_f!J$6</f>
        <v>3.0872821507860401E-2</v>
      </c>
    </row>
    <row r="35" spans="1:10" x14ac:dyDescent="0.2">
      <c r="A35" t="str">
        <f>[2]final_combined_16methods_wide_f!A$8</f>
        <v>fut_NorESM_RCP45_Volc</v>
      </c>
      <c r="B35" s="7" t="str">
        <f>RIGHT(A35,LEN(A35)-4)</f>
        <v>NorESM_RCP45_Volc</v>
      </c>
      <c r="C35" s="8">
        <f>[2]final_combined_16methods_wide_f!C$8</f>
        <v>0.31140257165176499</v>
      </c>
      <c r="D35" s="8">
        <f>[2]final_combined_16methods_wide_f!D$8</f>
        <v>0.56608191326903601</v>
      </c>
      <c r="E35" s="8">
        <f>[2]final_combined_16methods_wide_f!E$8</f>
        <v>0.88269092438697105</v>
      </c>
      <c r="F35" s="11">
        <f>[2]final_combined_16methods_wide_f!F$8</f>
        <v>0.67277852547364903</v>
      </c>
      <c r="G35" s="11">
        <f>[2]final_combined_16methods_wide_f!G$8</f>
        <v>0.71152466033224304</v>
      </c>
      <c r="H35" s="11">
        <f>[2]final_combined_16methods_wide_f!H$8</f>
        <v>1.1000000000000001</v>
      </c>
      <c r="I35" s="10">
        <f>[2]final_combined_16methods_wide_f!I$8</f>
        <v>5.1493484708925202E-2</v>
      </c>
      <c r="J35" s="10">
        <f>[2]final_combined_16methods_wide_f!J$8</f>
        <v>5.2810633513484799E-2</v>
      </c>
    </row>
    <row r="36" spans="1:10" x14ac:dyDescent="0.2">
      <c r="A36" t="str">
        <f>[2]final_combined_16methods_wide_f!A$10</f>
        <v>fut_NorESM_RCP45_VolcConst</v>
      </c>
      <c r="B36" s="7" t="str">
        <f>RIGHT(A36,LEN(A36)-4)</f>
        <v>NorESM_RCP45_VolcConst</v>
      </c>
      <c r="C36" s="8">
        <f>[2]final_combined_16methods_wide_f!C$10</f>
        <v>0.54750981158324097</v>
      </c>
      <c r="D36" s="8">
        <f>[2]final_combined_16methods_wide_f!D$10</f>
        <v>0.87561068610950599</v>
      </c>
      <c r="E36" s="8">
        <f>[2]final_combined_16methods_wide_f!E$10</f>
        <v>0.99999991396280796</v>
      </c>
      <c r="F36" s="11">
        <f>[2]final_combined_16methods_wide_f!F$10</f>
        <v>0.42401791056917898</v>
      </c>
      <c r="G36" s="11">
        <f>[2]final_combined_16methods_wide_f!G$10</f>
        <v>0.44634031718390499</v>
      </c>
      <c r="H36" s="11">
        <f>[2]final_combined_16methods_wide_f!H$10</f>
        <v>1</v>
      </c>
      <c r="I36" s="10">
        <f>[2]final_combined_16methods_wide_f!I$10</f>
        <v>2.9801671950952201E-2</v>
      </c>
      <c r="J36" s="10">
        <f>[2]final_combined_16methods_wide_f!J$10</f>
        <v>2.94607743232577E-2</v>
      </c>
    </row>
    <row r="37" spans="1:10" x14ac:dyDescent="0.2">
      <c r="B37" s="7"/>
      <c r="C37" s="7"/>
      <c r="D37" s="7"/>
      <c r="E37" s="7"/>
      <c r="F37" s="11"/>
      <c r="G37" s="11"/>
      <c r="H37" s="11"/>
      <c r="I37" s="10"/>
      <c r="J37" s="10"/>
    </row>
    <row r="38" spans="1:10" x14ac:dyDescent="0.2">
      <c r="B38" s="7"/>
      <c r="C38" s="8" t="s">
        <v>37</v>
      </c>
      <c r="D38" s="8"/>
      <c r="E38" s="8"/>
      <c r="F38" s="11"/>
      <c r="G38" s="11"/>
      <c r="H38" s="11"/>
      <c r="I38" s="10"/>
      <c r="J38" s="10"/>
    </row>
    <row r="39" spans="1:10" x14ac:dyDescent="0.2">
      <c r="A39" t="str">
        <f>[1]final_combined_7methods_wide_ff!A$2</f>
        <v>fut_ESM1-2-LR_SSP126_constVolc</v>
      </c>
      <c r="B39" s="7" t="str">
        <f t="shared" ref="B39:B43" si="2">RIGHT(A39,LEN(A39)-4)</f>
        <v>ESM1-2-LR_SSP126_constVolc</v>
      </c>
      <c r="C39" s="8">
        <f>[3]final_combined_32methods_wide_f!C$2</f>
        <v>0.232929713919617</v>
      </c>
      <c r="D39" s="8">
        <f>[3]final_combined_32methods_wide_f!D$2</f>
        <v>0.437810418972361</v>
      </c>
      <c r="E39" s="8">
        <f>[3]final_combined_32methods_wide_f!E$2</f>
        <v>0.79678814890417904</v>
      </c>
      <c r="F39" s="9">
        <f>[3]final_combined_32methods_wide_f!F$2</f>
        <v>0.49141179481859698</v>
      </c>
      <c r="G39" s="9">
        <f>[3]final_combined_32methods_wide_f!G$2</f>
        <v>0.53467197927883603</v>
      </c>
      <c r="H39" s="9">
        <f>[3]final_combined_32methods_wide_f!H$2</f>
        <v>1.42</v>
      </c>
      <c r="I39" s="10">
        <f>[3]final_combined_32methods_wide_f!I$2</f>
        <v>3.5518948759835502E-2</v>
      </c>
      <c r="J39" s="10">
        <f>[3]final_combined_32methods_wide_f!J$2</f>
        <v>3.53737882916575E-2</v>
      </c>
    </row>
    <row r="40" spans="1:10" x14ac:dyDescent="0.2">
      <c r="A40" t="str">
        <f>[1]final_combined_7methods_wide_ff!A$4</f>
        <v>fut_ESM1-2-LR_SSP245_constVolc</v>
      </c>
      <c r="B40" s="7" t="str">
        <f t="shared" si="2"/>
        <v>ESM1-2-LR_SSP245_constVolc</v>
      </c>
      <c r="C40" s="8">
        <f>[3]final_combined_32methods_wide_f!C$4</f>
        <v>0.53099357414290005</v>
      </c>
      <c r="D40" s="8">
        <f>[3]final_combined_32methods_wide_f!D$4</f>
        <v>0.82487087083286303</v>
      </c>
      <c r="E40" s="8">
        <f>[3]final_combined_32methods_wide_f!E$4</f>
        <v>0.99032480491036301</v>
      </c>
      <c r="F40" s="9">
        <f>[3]final_combined_32methods_wide_f!F$4</f>
        <v>0.35769399037726202</v>
      </c>
      <c r="G40" s="9">
        <f>[3]final_combined_32methods_wide_f!G$4</f>
        <v>0.35330599421387099</v>
      </c>
      <c r="H40" s="9">
        <f>[3]final_combined_32methods_wide_f!H$4</f>
        <v>1.04</v>
      </c>
      <c r="I40" s="10">
        <f>[3]final_combined_32methods_wide_f!I$4</f>
        <v>3.2180212168593798E-2</v>
      </c>
      <c r="J40" s="10">
        <f>[3]final_combined_32methods_wide_f!J$4</f>
        <v>3.06081086701467E-2</v>
      </c>
    </row>
    <row r="41" spans="1:10" x14ac:dyDescent="0.2">
      <c r="A41" t="str">
        <f>[1]final_combined_7methods_wide_ff!A$6</f>
        <v>fut_ESM1-2-LR_SSP370_constVolc</v>
      </c>
      <c r="B41" s="7" t="str">
        <f t="shared" si="2"/>
        <v>ESM1-2-LR_SSP370_constVolc</v>
      </c>
      <c r="C41" s="8">
        <f>[3]final_combined_32methods_wide_f!C$6</f>
        <v>0.57071574749153098</v>
      </c>
      <c r="D41" s="8">
        <f>[3]final_combined_32methods_wide_f!D$6</f>
        <v>0.86860141429073801</v>
      </c>
      <c r="E41" s="8">
        <f>[3]final_combined_32methods_wide_f!E$6</f>
        <v>0.99999963584588902</v>
      </c>
      <c r="F41" s="9">
        <f>[3]final_combined_32methods_wide_f!F$6</f>
        <v>0.29445999120060601</v>
      </c>
      <c r="G41" s="9">
        <f>[3]final_combined_32methods_wide_f!G$6</f>
        <v>0.23833676480029001</v>
      </c>
      <c r="H41" s="9">
        <f>[3]final_combined_32methods_wide_f!H$6</f>
        <v>1.06</v>
      </c>
      <c r="I41" s="10">
        <f>[3]final_combined_32methods_wide_f!I$6</f>
        <v>3.58686394015027E-2</v>
      </c>
      <c r="J41" s="10">
        <f>[3]final_combined_32methods_wide_f!J$6</f>
        <v>3.3520742091611301E-2</v>
      </c>
    </row>
    <row r="42" spans="1:10" x14ac:dyDescent="0.2">
      <c r="A42" t="str">
        <f>[1]final_combined_7methods_wide_ff!A$8</f>
        <v>fut_NorESM_RCP45_Volc</v>
      </c>
      <c r="B42" s="7" t="str">
        <f t="shared" si="2"/>
        <v>NorESM_RCP45_Volc</v>
      </c>
      <c r="C42" s="8">
        <f>[3]final_combined_32methods_wide_f!C$8</f>
        <v>0.30728740459515103</v>
      </c>
      <c r="D42" s="8">
        <f>[3]final_combined_32methods_wide_f!D$8</f>
        <v>0.56063420527432195</v>
      </c>
      <c r="E42" s="8">
        <f>[3]final_combined_32methods_wide_f!E$8</f>
        <v>0.88528731731210597</v>
      </c>
      <c r="F42" s="9">
        <f>[3]final_combined_32methods_wide_f!F$8</f>
        <v>0.67512915843021004</v>
      </c>
      <c r="G42" s="9">
        <f>[3]final_combined_32methods_wide_f!G$8</f>
        <v>0.70899514228895699</v>
      </c>
      <c r="H42" s="9">
        <f>[3]final_combined_32methods_wide_f!H$8</f>
        <v>1.1499999999999999</v>
      </c>
      <c r="I42" s="10">
        <f>[3]final_combined_32methods_wide_f!I$8</f>
        <v>5.1485888988200099E-2</v>
      </c>
      <c r="J42" s="10">
        <f>[3]final_combined_32methods_wide_f!J$8</f>
        <v>5.2533223607533798E-2</v>
      </c>
    </row>
    <row r="43" spans="1:10" x14ac:dyDescent="0.2">
      <c r="A43" t="str">
        <f>[1]final_combined_7methods_wide_ff!A$10</f>
        <v>fut_NorESM_RCP45_VolcConst</v>
      </c>
      <c r="B43" s="7" t="str">
        <f t="shared" si="2"/>
        <v>NorESM_RCP45_VolcConst</v>
      </c>
      <c r="C43" s="8">
        <f>[3]final_combined_32methods_wide_f!C$10</f>
        <v>0.56090986534166298</v>
      </c>
      <c r="D43" s="8">
        <f>[3]final_combined_32methods_wide_f!D$10</f>
        <v>0.88161955063888198</v>
      </c>
      <c r="E43" s="8">
        <f>[3]final_combined_32methods_wide_f!E$10</f>
        <v>0.99999974469155095</v>
      </c>
      <c r="F43" s="9">
        <f>[3]final_combined_32methods_wide_f!F$10</f>
        <v>0.41856779286222301</v>
      </c>
      <c r="G43" s="9">
        <f>[3]final_combined_32methods_wide_f!G$10</f>
        <v>0.43694253348560003</v>
      </c>
      <c r="H43" s="9">
        <f>[3]final_combined_32methods_wide_f!H$10</f>
        <v>1.0166666666666599</v>
      </c>
      <c r="I43" s="10">
        <f>[3]final_combined_32methods_wide_f!I$10</f>
        <v>2.9465985614831301E-2</v>
      </c>
      <c r="J43" s="10">
        <f>[3]final_combined_32methods_wide_f!J$10</f>
        <v>2.8759257707692599E-2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final_combined_2methods_wide_ff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2025-08-26T18:50:20Z</dcterms:created>
  <dcterms:modified xsi:type="dcterms:W3CDTF">2025-12-26T23:50:10Z</dcterms:modified>
</cp:coreProperties>
</file>